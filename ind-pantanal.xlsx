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417" documentId="8_{DAC6C9CA-70D7-4111-A0A7-BC6755E560D9}" xr6:coauthVersionLast="47" xr6:coauthVersionMax="47" xr10:uidLastSave="{333BF94D-1D30-4922-A49C-7564A342A345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551" i="20"/>
  <c r="BD551" i="20"/>
  <c r="BE551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329" i="20"/>
  <c r="BD329" i="20"/>
  <c r="BE32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26" i="20"/>
  <c r="BD126" i="20"/>
  <c r="BE126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479" i="20"/>
  <c r="BD479" i="20"/>
  <c r="BE479" i="20"/>
  <c r="BC372" i="20"/>
  <c r="BD372" i="20"/>
  <c r="BE372" i="20"/>
  <c r="BC135" i="20"/>
  <c r="BD135" i="20"/>
  <c r="BE135" i="20"/>
  <c r="BC162" i="20"/>
  <c r="BD162" i="20"/>
  <c r="BE162" i="20"/>
  <c r="BC151" i="20"/>
  <c r="BD151" i="20"/>
  <c r="BE151" i="20"/>
  <c r="BC103" i="20"/>
  <c r="BD103" i="20"/>
  <c r="BE103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74" i="20"/>
  <c r="BD174" i="20"/>
  <c r="BE174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74" i="20"/>
  <c r="BD474" i="20"/>
  <c r="BE474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523" i="20"/>
  <c r="BD523" i="20"/>
  <c r="BE523" i="20"/>
  <c r="BC457" i="20"/>
  <c r="BD457" i="20"/>
  <c r="BE457" i="20"/>
  <c r="BC458" i="20"/>
  <c r="BD458" i="20"/>
  <c r="BE458" i="20"/>
  <c r="BC459" i="20"/>
  <c r="BD459" i="20"/>
  <c r="BE459" i="20"/>
  <c r="BC476" i="20"/>
  <c r="BD476" i="20"/>
  <c r="BE476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594" i="20"/>
  <c r="BD594" i="20"/>
  <c r="BE594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60" i="20"/>
  <c r="BD460" i="20"/>
  <c r="BE460" i="20"/>
  <c r="BC475" i="20"/>
  <c r="BD475" i="20"/>
  <c r="BE475" i="20"/>
  <c r="BC477" i="20"/>
  <c r="BD477" i="20"/>
  <c r="BE477" i="20"/>
  <c r="BC478" i="20"/>
  <c r="BD478" i="20"/>
  <c r="BE478" i="20"/>
  <c r="BC133" i="20"/>
  <c r="BD133" i="20"/>
  <c r="BE133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433" i="20"/>
  <c r="BD433" i="20"/>
  <c r="BE433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147" i="20"/>
  <c r="BD147" i="20"/>
  <c r="BE147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594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<sst xmlns="http://schemas.openxmlformats.org/spreadsheetml/2006/main" count="33716" uniqueCount="8602">
  <si>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</si>
  <si>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</si>
  <si>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</si>
  <si>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</si>
  <si>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</si>
  <si>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</si>
  <si>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</si>
  <si>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</si>
  <si>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</si>
  <si>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</si>
  <si>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</si>
  <si>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</si>
  <si>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</si>
  <si>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</si>
  <si>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</si>
  <si>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</si>
  <si>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</si>
  <si>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</si>
  <si>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</si>
  <si>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</si>
  <si>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</si>
  <si>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</si>
  <si>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</si>
  <si>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</si>
  <si>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</si>
  <si>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</si>
  <si>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</si>
  <si>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</si>
  <si>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</si>
  <si>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</si>
  <si>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</si>
  <si>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</si>
  <si>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</si>
  <si>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</si>
  <si>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</si>
  <si>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</si>
  <si>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</si>
  <si>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</si>
  <si>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</si>
  <si>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</si>
  <si>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</si>
  <si>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</si>
  <si>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</si>
  <si>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</si>
  <si>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</si>
  <si>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</si>
  <si>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</si>
  <si>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</si>
  <si>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</si>
  <si>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</si>
  <si>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</si>
  <si>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</si>
  <si>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</si>
  <si>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</si>
  <si>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</si>
  <si>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</si>
  <si>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</si>
  <si>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</si>
  <si>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</si>
  <si>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</si>
  <si>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</si>
  <si>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</si>
  <si>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</si>
  <si>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</si>
  <si>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</si>
  <si>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</si>
  <si>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</si>
  <si>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</si>
  <si>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</si>
  <si>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</si>
  <si>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</si>
  <si>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</si>
  <si>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</si>
  <si>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</si>
  <si>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</si>
  <si>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</si>
  <si>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</si>
  <si>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</si>
  <si>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</si>
  <si>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</si>
  <si>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</si>
  <si>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</si>
  <si>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</si>
  <si>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</si>
  <si>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</si>
  <si>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</si>
  <si>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</si>
  <si>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</si>
  <si>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</si>
  <si>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</si>
  <si>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</si>
  <si>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</si>
  <si>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</si>
  <si>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</si>
  <si>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</si>
  <si>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</si>
  <si>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</si>
  <si>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</si>
  <si>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</si>
  <si>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</si>
  <si>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</si>
  <si>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</si>
  <si>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</si>
  <si>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</si>
  <si>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</si>
  <si>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</si>
  <si>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</si>
  <si>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</si>
  <si>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</si>
  <si>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</si>
  <si>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</si>
  <si>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</si>
  <si>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</si>
  <si>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</si>
  <si>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</si>
  <si>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</si>
  <si>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</si>
  <si>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</si>
  <si>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</si>
  <si>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</si>
  <si>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</si>
  <si>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</si>
  <si>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</si>
  <si>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</si>
  <si>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</si>
  <si>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</si>
  <si>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</si>
  <si>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</si>
  <si>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</si>
  <si>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</si>
  <si>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</si>
  <si>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</si>
  <si>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</si>
  <si>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</si>
  <si>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</si>
  <si>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</si>
  <si>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</si>
  <si>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</si>
  <si>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</si>
  <si>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</si>
  <si>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</si>
  <si>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</si>
  <si>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</si>
  <si>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</si>
  <si>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</si>
  <si>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</si>
  <si>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</si>
  <si>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</si>
  <si>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</si>
  <si>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</si>
  <si>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</si>
  <si>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</si>
  <si>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</si>
  <si>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</si>
  <si>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</si>
  <si>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</si>
  <si>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</si>
  <si>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</si>
  <si>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</si>
  <si>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</si>
  <si>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</si>
  <si>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</si>
  <si>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</si>
  <si>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</si>
  <si>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</si>
  <si>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</si>
  <si>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</si>
  <si>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</si>
  <si>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</si>
  <si>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</si>
  <si>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</si>
  <si>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</si>
  <si>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</si>
  <si>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</si>
  <si>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</si>
  <si>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</si>
  <si>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</si>
  <si>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</si>
  <si>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</si>
  <si>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</si>
  <si>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</si>
  <si>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</si>
  <si>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</si>
  <si>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</si>
  <si>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</si>
  <si>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</si>
  <si>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</si>
  <si>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</si>
  <si>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</si>
  <si>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</si>
  <si>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</si>
  <si>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</si>
  <si>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</si>
  <si>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</si>
  <si>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</si>
  <si>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</si>
  <si>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</si>
  <si>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</si>
  <si>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</si>
  <si>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</si>
  <si>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</si>
  <si>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</si>
  <si>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</si>
  <si>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</si>
  <si>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</si>
  <si>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</si>
  <si>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</si>
  <si>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</si>
  <si>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</si>
  <si>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</si>
  <si>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</si>
  <si>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</si>
  <si>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</si>
  <si>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</si>
  <si>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</si>
  <si>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</si>
  <si>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</si>
  <si>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</si>
  <si>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</si>
  <si>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</si>
  <si>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</si>
  <si>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</si>
  <si>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</si>
  <si>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</si>
  <si>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</si>
  <si>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</si>
  <si>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</si>
  <si>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</si>
  <si>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</si>
  <si>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</si>
  <si>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</si>
  <si>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</si>
  <si>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</si>
  <si>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</si>
  <si>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</si>
  <si>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</si>
  <si>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</si>
  <si>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</si>
  <si>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</si>
  <si>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</si>
  <si>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</si>
  <si>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</si>
  <si>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</si>
  <si>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</si>
  <si>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</si>
  <si>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</si>
  <si>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</si>
  <si>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</si>
  <si>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</si>
  <si>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</si>
  <si>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</si>
  <si>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</si>
  <si>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</si>
  <si>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</si>
  <si>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</si>
  <si>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</si>
  <si>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</si>
  <si>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</si>
  <si>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</si>
  <si>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</si>
  <si>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</si>
  <si>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</si>
  <si>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</si>
  <si>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</si>
  <si>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</si>
  <si>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</si>
  <si>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</si>
  <si>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</si>
  <si>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</si>
  <si>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</si>
  <si>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</si>
  <si>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</si>
  <si>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</si>
  <si>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</si>
  <si>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</si>
  <si>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</si>
  <si>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</si>
  <si>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</si>
  <si>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</si>
  <si>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</si>
  <si>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</si>
  <si>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</si>
  <si>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</si>
  <si>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</si>
  <si>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</si>
  <si>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</si>
  <si>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</si>
  <si>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</si>
  <si>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</si>
  <si>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</si>
  <si>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</si>
  <si>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</si>
  <si>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</si>
  <si>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</si>
  <si>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</si>
  <si>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</si>
  <si>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</si>
  <si>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</si>
  <si>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</si>
  <si>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</si>
  <si>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</si>
  <si>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</si>
  <si>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</si>
  <si>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</si>
  <si>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</si>
  <si>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</si>
  <si>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</si>
  <si>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</si>
  <si>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</si>
  <si>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</si>
  <si>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</si>
  <si>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</si>
  <si>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</si>
  <si>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</si>
  <si>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</si>
  <si>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</si>
  <si>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</si>
  <si>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</si>
  <si>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</si>
  <si>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</si>
  <si>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</si>
  <si>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</si>
  <si>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</si>
  <si>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</si>
  <si>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</si>
  <si>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</si>
  <si>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</si>
  <si>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</si>
  <si>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</si>
  <si>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</si>
  <si>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</si>
  <si>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</si>
  <si>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</si>
  <si>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</si>
  <si>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</si>
  <si>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</si>
  <si>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</si>
  <si>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</si>
  <si>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</si>
  <si>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</si>
  <si>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</si>
  <si>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</si>
  <si>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</si>
  <si>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</si>
  <si>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</si>
  <si>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</si>
  <si>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</si>
  <si>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</si>
  <si>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</si>
  <si>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</si>
  <si>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</si>
  <si>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</si>
  <si>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</si>
  <si>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</si>
  <si>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</si>
  <si>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</si>
  <si>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</si>
  <si>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</si>
  <si>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</si>
  <si>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</si>
  <si>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</si>
  <si>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</si>
  <si>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</si>
  <si>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</si>
  <si>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</si>
  <si>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</si>
  <si>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</si>
  <si>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</si>
  <si>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</si>
  <si>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</si>
  <si>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</si>
  <si>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</si>
  <si>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</si>
  <si>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</si>
  <si>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</si>
  <si>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</si>
  <si>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</si>
  <si>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</si>
  <si>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</si>
  <si>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</si>
  <si>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</si>
  <si>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</si>
  <si>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</si>
  <si>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</si>
  <si>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</si>
  <si>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</si>
  <si>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</si>
  <si>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</si>
  <si>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</si>
  <si>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</si>
  <si>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</si>
  <si>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</si>
  <si>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</si>
  <si>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</si>
  <si>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</si>
  <si>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</si>
  <si>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</si>
  <si>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</si>
  <si>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</si>
  <si>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</si>
  <si>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</si>
  <si>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</si>
  <si>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</si>
  <si>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</si>
  <si>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</si>
  <si>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</si>
  <si>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</si>
  <si>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</si>
  <si>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</si>
  <si>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</si>
  <si>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</si>
  <si>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</si>
  <si>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</si>
  <si>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</si>
  <si>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</si>
  <si>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</si>
  <si>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</si>
  <si>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</si>
  <si>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</si>
  <si>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</si>
  <si>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</si>
  <si>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</si>
  <si>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</si>
  <si>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</si>
  <si>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</si>
  <si>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</si>
  <si>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</si>
  <si>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</si>
  <si>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</si>
  <si>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</si>
  <si>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</si>
  <si>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</si>
  <si>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</si>
  <si>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</si>
  <si>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</si>
  <si>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</si>
  <si>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</si>
  <si>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</si>
  <si>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</si>
  <si>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</si>
  <si>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</si>
  <si>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</si>
  <si>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</si>
  <si>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</si>
  <si>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</si>
  <si>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</si>
  <si>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</si>
  <si>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</si>
  <si>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</si>
  <si>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</si>
  <si>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</si>
  <si>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</si>
  <si>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</si>
  <si>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</si>
  <si>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</si>
  <si>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</si>
  <si>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</si>
  <si>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</si>
  <si>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</si>
  <si>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</si>
  <si>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</si>
  <si>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</si>
  <si>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</si>
  <si>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</si>
  <si>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</si>
  <si>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</si>
  <si>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</si>
  <si>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</si>
  <si>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</si>
  <si>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</si>
  <si>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</si>
  <si>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</si>
  <si>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</si>
  <si>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</si>
  <si>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</si>
  <si>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</si>
  <si>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</si>
  <si>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</si>
  <si>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</si>
  <si>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</si>
  <si>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</si>
  <si>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</si>
  <si>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</si>
  <si>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</si>
  <si>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</si>
  <si>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</si>
  <si>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</si>
  <si>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</si>
  <si>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</si>
  <si>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</si>
  <si>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</si>
  <si>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</si>
  <si>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</si>
  <si>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</si>
  <si>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</si>
  <si>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</si>
  <si>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</si>
  <si>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</si>
  <si>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</si>
  <si>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</si>
  <si>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</si>
  <si>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</si>
  <si>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</si>
  <si>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</si>
  <si>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</si>
  <si>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</si>
  <si>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</si>
  <si>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</si>
  <si>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</si>
  <si>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</si>
  <si>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</si>
  <si>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</si>
  <si>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</si>
  <si>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</si>
  <si>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</si>
  <si>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</si>
  <si>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</si>
  <si>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</si>
  <si>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</si>
  <si>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</si>
  <si>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</si>
  <si>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</si>
  <si>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</si>
  <si>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</si>
  <si>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</si>
  <si>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</si>
  <si>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</si>
  <si>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</si>
  <si>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</si>
  <si>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</si>
  <si>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</si>
  <si>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</si>
  <si>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</si>
  <si>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</si>
  <si>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</si>
  <si>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</si>
  <si>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</si>
  <si>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</si>
  <si>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</si>
  <si>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</si>
  <si>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</si>
  <si>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</si>
  <si>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</si>
  <si>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</si>
  <si>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</si>
  <si>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</si>
  <si>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</si>
  <si>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</si>
  <si>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</si>
  <si>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</si>
  <si>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</si>
  <si>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</si>
  <si>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</si>
  <si>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</si>
  <si>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</si>
  <si>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</si>
  <si>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</si>
  <si>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</si>
  <si>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</si>
  <si>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</si>
  <si>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</si>
  <si>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</si>
  <si>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</si>
  <si>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</si>
  <si>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</si>
  <si>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</si>
  <si>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</si>
  <si>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</si>
  <si>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</si>
  <si>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</si>
  <si>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</si>
  <si>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</si>
  <si>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</si>
  <si>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</si>
  <si>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</si>
  <si>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</si>
  <si>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</si>
  <si>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</si>
  <si>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</si>
  <si>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</si>
  <si>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</si>
  <si>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</si>
  <si>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</si>
  <si>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</si>
  <si>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</si>
  <si>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</si>
  <si>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</si>
  <si>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</si>
  <si>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</si>
  <si>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</si>
  <si>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</si>
  <si>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</si>
  <si>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</si>
  <si>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</si>
  <si>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</si>
  <si>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</si>
  <si>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</si>
  <si>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</si>
  <si>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</si>
  <si>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</si>
  <si>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</si>
  <si>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</si>
  <si>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</si>
  <si>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</si>
  <si>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</si>
  <si>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</si>
  <si>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</si>
  <si>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</si>
  <si>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</si>
  <si>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</si>
  <si>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</si>
  <si>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</si>
  <si>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</si>
  <si>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</si>
  <si>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</si>
  <si>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</si>
  <si>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</si>
  <si>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</si>
  <si>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</si>
  <si>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</si>
  <si>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</si>
  <si>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</si>
  <si>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</si>
  <si>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</si>
  <si>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</si>
  <si>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</si>
  <si>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</si>
  <si>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</si>
  <si>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</si>
  <si>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</si>
  <si>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</si>
  <si>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</si>
  <si>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</si>
  <si>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</si>
  <si>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</si>
  <si>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</si>
  <si>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</si>
  <si>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</si>
  <si>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</si>
  <si>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</si>
  <si>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</si>
  <si>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</si>
  <si>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</si>
  <si>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</si>
  <si>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</si>
  <si>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</si>
  <si>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</si>
  <si>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</si>
  <si>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</si>
  <si>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</si>
  <si>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</si>
  <si>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</si>
  <si>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</si>
  <si>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</si>
  <si>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</si>
  <si>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</si>
  <si>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</si>
  <si>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</si>
  <si>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</si>
  <si>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</si>
  <si>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</si>
  <si>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</si>
  <si>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</si>
  <si>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</si>
  <si>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</si>
  <si>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</si>
  <si>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</si>
  <si>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</si>
  <si>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</si>
  <si>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</si>
  <si>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</si>
  <si>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</si>
  <si>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</si>
  <si>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</si>
  <si>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</si>
  <si>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</si>
  <si>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</si>
  <si>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</si>
  <si>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</si>
  <si>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</si>
  <si>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</si>
  <si>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</si>
  <si>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</si>
  <si>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</si>
  <si>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</si>
  <si>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</si>
  <si>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</si>
  <si>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</si>
  <si>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</si>
  <si>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</si>
  <si>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</si>
  <si>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</si>
  <si>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</si>
  <si>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</si>
  <si>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</si>
  <si>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</si>
  <si>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</si>
  <si>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</si>
  <si>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</si>
  <si>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</si>
  <si>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</si>
  <si>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</si>
  <si>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</si>
  <si>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</si>
  <si>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</si>
  <si>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</si>
  <si>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</si>
  <si>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</si>
  <si>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</si>
  <si>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</si>
  <si>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</si>
  <si>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</si>
  <si>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</si>
  <si>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</si>
  <si>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</si>
  <si>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</si>
  <si>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</si>
  <si>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</si>
  <si>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</si>
  <si>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</si>
  <si>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</si>
  <si>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</si>
  <si>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</si>
  <si>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</si>
  <si>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</si>
  <si>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</si>
  <si>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</si>
  <si>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</si>
  <si>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</si>
  <si>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</si>
  <si>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</si>
  <si>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</si>
  <si>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</si>
  <si>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</si>
  <si>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</si>
  <si>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</si>
  <si>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</si>
  <si>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</si>
  <si>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</si>
  <si>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</si>
  <si>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</si>
  <si>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</si>
  <si>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</si>
  <si>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</si>
  <si>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</si>
  <si>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</si>
  <si>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</si>
  <si>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</si>
  <si>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</si>
  <si>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</si>
  <si>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</si>
  <si>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</si>
  <si>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</si>
  <si>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</si>
  <si>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</si>
  <si>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</si>
  <si>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</si>
  <si>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</si>
  <si>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</si>
  <si>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</si>
  <si>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</si>
  <si>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</si>
  <si>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</si>
  <si>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</si>
  <si>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</si>
  <si>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</si>
  <si>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</si>
  <si>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</si>
  <si>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</si>
  <si>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</si>
  <si>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</si>
  <si>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</si>
  <si>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</si>
  <si>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</si>
  <si>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</si>
  <si>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</si>
  <si>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</si>
  <si>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</si>
  <si>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</si>
  <si>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</si>
  <si>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</si>
  <si>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</si>
  <si>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</si>
  <si>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</si>
  <si>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</si>
  <si>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</si>
  <si>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</si>
  <si>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</si>
  <si>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</si>
  <si>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</si>
  <si>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</si>
  <si>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</si>
  <si>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</si>
  <si>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</si>
  <si>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</si>
  <si>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</si>
  <si>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</si>
  <si>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</si>
  <si>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</si>
  <si>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</si>
  <si>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</si>
  <si>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</si>
  <si>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</si>
  <si>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</si>
  <si>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</si>
  <si>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</si>
  <si>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</si>
  <si>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</si>
  <si>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</si>
  <si>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</si>
  <si>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</si>
  <si>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</si>
  <si>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</si>
  <si>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</si>
  <si>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</si>
  <si>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</si>
  <si>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</si>
  <si>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</si>
  <si>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</si>
  <si>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</si>
  <si>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</si>
  <si>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</si>
  <si>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</si>
  <si>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</si>
  <si>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</si>
  <si>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</si>
  <si>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</si>
  <si>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</si>
  <si>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</si>
  <si>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</si>
  <si>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</si>
  <si>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</si>
  <si>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</si>
  <si>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</si>
  <si>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</si>
  <si>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</si>
  <si>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</si>
  <si>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</si>
  <si>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</si>
  <si>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</si>
  <si>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</si>
  <si>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</si>
  <si>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</si>
  <si>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</si>
  <si>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</si>
  <si>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</si>
  <si>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</si>
  <si>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</si>
  <si>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</si>
  <si>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</si>
  <si>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</si>
  <si>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</si>
  <si>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</si>
  <si>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</si>
  <si>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</si>
  <si>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</si>
  <si>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</si>
  <si>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</si>
  <si>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</si>
  <si>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</si>
  <si>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</si>
  <si>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</si>
  <si>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</si>
  <si>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</si>
  <si>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</si>
  <si>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</si>
  <si>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</si>
  <si>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</si>
  <si>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</si>
  <si>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</si>
  <si>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</si>
  <si>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</si>
  <si>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</si>
  <si>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</si>
  <si>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</si>
  <si>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</si>
  <si>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</si>
  <si>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</si>
  <si>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</si>
  <si>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</si>
  <si>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</si>
  <si>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</si>
  <si>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</si>
  <si>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</si>
  <si>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</si>
  <si>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</si>
  <si>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</si>
  <si>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</si>
  <si>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</si>
  <si>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</si>
  <si>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</si>
  <si>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</si>
  <si>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</si>
  <si>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</si>
  <si>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</si>
  <si>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</si>
  <si>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</si>
  <si>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</si>
  <si>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</si>
  <si>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</si>
  <si>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</si>
  <si>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</si>
  <si>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</si>
  <si>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</si>
  <si>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</si>
  <si>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</si>
  <si>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</si>
  <si>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</si>
  <si>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</si>
  <si>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</si>
  <si>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</si>
  <si>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</si>
  <si>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</si>
  <si>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</si>
  <si>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</si>
  <si>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</si>
  <si>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</si>
  <si>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</si>
  <si>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</si>
  <si>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</si>
  <si>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</si>
  <si>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</si>
  <si>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</si>
  <si>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</si>
  <si>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</si>
  <si>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</si>
  <si>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</si>
  <si>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</si>
  <si>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</si>
  <si>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</si>
  <si>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</si>
  <si>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</si>
  <si>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</si>
  <si>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</si>
  <si>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</si>
  <si>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</si>
  <si>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</si>
  <si>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</si>
  <si>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</si>
  <si>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</si>
  <si>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</si>
  <si>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</si>
  <si>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</si>
  <si>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</si>
  <si>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</si>
  <si>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</si>
  <si>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</si>
  <si>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</si>
  <si>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</si>
  <si>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</si>
  <si>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</si>
  <si>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</si>
  <si>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</si>
  <si>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</si>
  <si>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</si>
  <si>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</si>
  <si>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</si>
  <si>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</si>
  <si>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</si>
  <si>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</si>
  <si>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</si>
  <si>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</si>
  <si>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</si>
  <si>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</si>
  <si>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</si>
  <si>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</si>
  <si>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</si>
  <si>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</si>
  <si>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</si>
  <si>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</si>
  <si>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</si>
  <si>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</si>
  <si>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</si>
  <si>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</si>
  <si>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</si>
  <si>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</si>
  <si>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</si>
  <si>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</si>
  <si>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</si>
  <si>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</si>
  <si>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</si>
  <si>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</si>
  <si>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</si>
  <si>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</si>
  <si>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</si>
  <si>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</si>
  <si>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</si>
  <si>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</si>
  <si>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</si>
  <si>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</si>
  <si>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</si>
  <si>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</si>
  <si>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</si>
  <si>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</si>
  <si>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</si>
  <si>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</si>
  <si>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</si>
  <si>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</si>
  <si>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</si>
  <si>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</si>
  <si>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</si>
  <si>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</si>
  <si>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</si>
  <si>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</si>
  <si>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</si>
  <si>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</si>
  <si>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</si>
  <si>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</si>
  <si>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</si>
  <si>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</si>
  <si>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</si>
  <si>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</si>
  <si>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</si>
  <si>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</si>
  <si>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</si>
  <si>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</si>
  <si>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</si>
  <si>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</si>
  <si>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</si>
  <si>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</si>
  <si>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</si>
  <si>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</si>
  <si>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</si>
  <si>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</si>
  <si>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</si>
  <si>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</si>
  <si>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</si>
  <si>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</si>
  <si>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</si>
  <si>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</si>
  <si>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</si>
  <si>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</si>
  <si>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</si>
  <si>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</si>
  <si>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</si>
  <si>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</si>
  <si>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</si>
  <si>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</si>
  <si>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</si>
  <si>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</si>
  <si>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</si>
  <si>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</si>
  <si>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</si>
  <si>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</si>
  <si>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</si>
  <si>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</si>
  <si>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</si>
  <si>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</si>
  <si>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</si>
  <si>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</si>
  <si>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</si>
  <si>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</si>
  <si>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</si>
  <si>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</si>
  <si>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</si>
  <si>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</si>
  <si>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</si>
  <si>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</si>
  <si>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</si>
  <si>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</si>
  <si>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</si>
  <si>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</si>
  <si>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</si>
  <si>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</si>
  <si>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</si>
  <si>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</si>
  <si>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</si>
  <si>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</si>
  <si>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</si>
  <si>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</si>
  <si>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</si>
  <si>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</si>
  <si>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</si>
  <si>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</si>
  <si>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</si>
  <si>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</si>
  <si>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</si>
  <si>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</si>
  <si>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</si>
  <si>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</si>
  <si>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</si>
  <si>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</si>
  <si>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</si>
  <si>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</si>
  <si>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</si>
  <si>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</si>
  <si>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</si>
  <si>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</si>
  <si>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</si>
  <si>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</si>
  <si>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</si>
  <si>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</si>
  <si>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</si>
  <si>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</si>
  <si>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</si>
  <si>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</si>
  <si>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</si>
  <si>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</si>
  <si>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</si>
  <si>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</si>
  <si>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</si>
  <si>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</si>
  <si>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</si>
  <si>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</si>
  <si>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</si>
  <si>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</si>
  <si>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</si>
  <si>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</si>
  <si>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</si>
  <si>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</si>
  <si>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</si>
  <si>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</si>
  <si>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</si>
  <si>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</si>
  <si>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</si>
  <si>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</si>
  <si>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</si>
  <si>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</si>
  <si>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</si>
  <si>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</si>
  <si>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</si>
  <si>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</si>
  <si>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</si>
  <si>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</si>
  <si>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</si>
  <si>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</si>
  <si>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</si>
  <si>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</si>
  <si>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</si>
  <si>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</si>
  <si>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</si>
  <si>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</si>
  <si>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</si>
  <si>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</si>
  <si>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</si>
  <si>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</si>
  <si>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</si>
  <si>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</si>
  <si>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</si>
  <si>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</si>
  <si>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</si>
  <si>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</si>
  <si>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</si>
  <si>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</si>
  <si>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</si>
  <si>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</si>
  <si>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</si>
  <si>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</si>
  <si>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</si>
  <si>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</si>
  <si>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</si>
  <si>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</si>
  <si>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</si>
  <si>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</si>
  <si>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</si>
  <si>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</si>
  <si>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</si>
  <si>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</si>
  <si>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</si>
  <si>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</si>
  <si>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</si>
  <si>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</si>
  <si>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</si>
  <si>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</si>
  <si>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</si>
  <si>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</si>
  <si>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</si>
  <si>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</si>
  <si>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</si>
  <si>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</si>
  <si>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</si>
  <si>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</si>
  <si>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</si>
  <si>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</si>
  <si>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</si>
  <si>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</si>
  <si>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</si>
  <si>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</si>
  <si>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</si>
  <si>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</si>
  <si>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</si>
  <si>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</si>
  <si>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</si>
  <si>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</si>
  <si>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</si>
  <si>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</si>
  <si>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</si>
  <si>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</si>
  <si>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</si>
  <si>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</si>
  <si>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</si>
  <si>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</si>
  <si>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</si>
  <si>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</si>
  <si>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</si>
  <si>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</si>
  <si>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</si>
  <si>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</si>
  <si>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</si>
  <si>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</si>
  <si>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</si>
  <si>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</si>
  <si>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</si>
  <si>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</si>
  <si>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</si>
  <si>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</si>
  <si>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</si>
  <si>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</si>
  <si>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</si>
  <si>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</si>
  <si>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</si>
  <si>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</si>
  <si>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</si>
  <si>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</si>
  <si>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</si>
  <si>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</si>
  <si>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</si>
  <si>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</si>
  <si>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</si>
  <si>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</si>
  <si>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</si>
  <si>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</si>
  <si>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</si>
  <si>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</si>
  <si>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</si>
  <si>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</si>
  <si>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</si>
  <si>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</si>
  <si>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</si>
  <si>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</si>
  <si>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</si>
  <si>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</si>
  <si>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</si>
  <si>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</si>
  <si>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</si>
  <si>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</si>
  <si>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</si>
  <si>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</si>
  <si>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</si>
  <si>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</si>
  <si>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</si>
  <si>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</si>
  <si>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</si>
  <si>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</si>
  <si>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</si>
  <si>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</si>
  <si>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</si>
  <si>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</si>
  <si>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</si>
  <si>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</si>
  <si>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</si>
  <si>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</si>
  <si>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</si>
  <si>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</si>
  <si>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</si>
  <si>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</si>
  <si>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</si>
  <si>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</si>
  <si>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</si>
  <si>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</si>
  <si>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</si>
  <si>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</si>
  <si>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</si>
  <si>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</si>
  <si>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</si>
  <si>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</si>
  <si>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</si>
  <si>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</si>
  <si>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</si>
  <si>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</si>
  <si>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</si>
  <si>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</si>
  <si>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</si>
  <si>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</si>
  <si>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</si>
  <si>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</si>
  <si>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</si>
  <si>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</si>
  <si>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</si>
  <si>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</si>
  <si>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</si>
  <si>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</si>
  <si>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</si>
  <si>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</si>
  <si>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</si>
  <si>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</si>
  <si>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</si>
  <si>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</si>
  <si>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</si>
  <si>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</si>
  <si>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</si>
  <si>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</si>
  <si>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</si>
  <si>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</si>
  <si>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</si>
  <si>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</si>
  <si>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</si>
  <si>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</si>
  <si>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</si>
  <si>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</si>
  <si>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</si>
  <si>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</si>
  <si>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</si>
  <si>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</si>
  <si>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</si>
  <si>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</si>
  <si>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</si>
  <si>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</si>
  <si>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</si>
  <si>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</si>
  <si>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</si>
  <si>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</si>
  <si>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</si>
  <si>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</si>
  <si>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</si>
  <si>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</si>
  <si>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</si>
  <si>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</si>
  <si>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</si>
  <si>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</si>
  <si>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</si>
  <si>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</si>
  <si>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</si>
  <si>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</si>
  <si>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</si>
  <si>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</si>
  <si>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</si>
  <si>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</si>
  <si>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</si>
  <si>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</si>
  <si>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</si>
  <si>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</si>
  <si>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</si>
  <si>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</si>
  <si>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</si>
  <si>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</si>
  <si>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</si>
  <si>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</si>
  <si>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</si>
  <si>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</si>
  <si>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</si>
  <si>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</si>
  <si>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</si>
  <si>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</si>
  <si>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</si>
  <si>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</si>
  <si>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</si>
  <si>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</si>
  <si>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</si>
  <si>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</si>
  <si>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</si>
  <si>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</si>
  <si>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</si>
  <si>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</si>
  <si>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</si>
  <si>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</si>
  <si>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</si>
  <si>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</si>
  <si>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</si>
  <si>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</si>
  <si>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</si>
  <si>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</si>
  <si>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</si>
  <si>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</si>
  <si>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</si>
  <si>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</si>
  <si>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</si>
  <si>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</si>
  <si>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</si>
  <si>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</si>
  <si>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</si>
  <si>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</si>
  <si>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</si>
  <si>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</si>
  <si>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</si>
  <si>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</si>
  <si>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</si>
  <si>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</si>
  <si>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</si>
  <si>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</si>
  <si>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</si>
  <si>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</si>
  <si>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</si>
  <si>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</si>
  <si>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</si>
  <si>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</si>
  <si>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</si>
  <si>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</si>
  <si>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</si>
  <si>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</si>
  <si>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</si>
  <si>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</si>
  <si>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</si>
  <si>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</si>
  <si>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</si>
  <si>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</si>
  <si>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</si>
  <si>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</si>
  <si>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</si>
  <si>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</si>
  <si>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</si>
  <si>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</si>
  <si>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</si>
  <si>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</si>
  <si>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</si>
  <si>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</si>
  <si>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</si>
  <si>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</si>
  <si>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</si>
  <si>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</si>
  <si>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</si>
  <si>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</si>
  <si>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</si>
  <si>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</si>
  <si>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</si>
  <si>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</si>
  <si>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</si>
  <si>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</si>
  <si>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</si>
  <si>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</si>
  <si>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</si>
  <si>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</si>
  <si>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</si>
  <si>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</si>
  <si>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</si>
  <si>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</si>
  <si>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</si>
  <si>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</si>
  <si>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</si>
  <si>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</si>
  <si>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</si>
  <si>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</si>
  <si>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</si>
  <si>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</si>
  <si>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</si>
  <si>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</si>
  <si>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</si>
  <si>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</si>
  <si>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</si>
  <si>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</si>
  <si>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</si>
  <si>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</si>
  <si>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</si>
  <si>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</si>
  <si>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</si>
  <si>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</si>
  <si>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</si>
  <si>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</si>
  <si>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</si>
  <si>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</si>
  <si>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</si>
  <si>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</si>
  <si>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</si>
  <si>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</si>
  <si>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</si>
  <si>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</si>
  <si>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</si>
  <si>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</si>
  <si>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</si>
  <si>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</si>
  <si>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</si>
  <si>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</si>
  <si>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</si>
  <si>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</si>
  <si>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</si>
  <si>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</si>
  <si>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</si>
  <si>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</si>
  <si>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</si>
  <si>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</si>
  <si>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</si>
  <si>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</si>
  <si>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</si>
  <si>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</si>
  <si>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</si>
  <si>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</si>
  <si>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</si>
  <si>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</si>
  <si>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</si>
  <si>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</si>
  <si>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</si>
  <si>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</si>
  <si>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</si>
  <si>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</si>
  <si>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</si>
  <si>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</si>
  <si>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</si>
  <si>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</si>
  <si>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</si>
  <si>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</si>
  <si>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</si>
  <si>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</si>
  <si>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</si>
  <si>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</si>
  <si>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</si>
  <si>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</si>
  <si>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</si>
  <si>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</si>
  <si>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</si>
  <si>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</si>
  <si>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</si>
  <si>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</si>
  <si>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</si>
  <si>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</si>
  <si>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</si>
  <si>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</si>
  <si>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</si>
  <si>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</si>
  <si>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</si>
  <si>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</si>
  <si>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</si>
  <si>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</si>
  <si>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</si>
  <si>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</si>
  <si>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</si>
  <si>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</si>
  <si>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</si>
  <si>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</si>
  <si>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</si>
  <si>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</si>
  <si>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</si>
  <si>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</si>
  <si>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</si>
  <si>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</si>
  <si>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</si>
  <si>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</si>
  <si>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</si>
  <si>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</si>
  <si>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</si>
  <si>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</si>
  <si>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</si>
  <si>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</si>
  <si>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</si>
  <si>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</si>
  <si>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</si>
  <si>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</si>
  <si>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</si>
  <si>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</si>
  <si>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</si>
  <si>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</si>
  <si>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</si>
  <si>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</si>
  <si>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</si>
  <si>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</si>
  <si>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</si>
  <si>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</si>
  <si>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</si>
  <si>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</si>
  <si>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</si>
  <si>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</si>
  <si>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</si>
  <si>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</si>
  <si>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</si>
  <si>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</si>
  <si>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</si>
  <si>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</si>
  <si>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</si>
  <si>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</si>
  <si>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</si>
  <si>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</si>
  <si>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</si>
  <si>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</si>
  <si>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</si>
  <si>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</si>
  <si>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</si>
  <si>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</si>
  <si>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</si>
  <si>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</si>
  <si>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</si>
  <si>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</si>
  <si>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</si>
  <si>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</si>
  <si>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</si>
  <si>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</si>
  <si>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</si>
  <si>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</si>
  <si>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</si>
  <si>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</si>
  <si>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</si>
  <si>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</si>
  <si>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</si>
  <si>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</si>
  <si>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</si>
  <si>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</si>
  <si>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</si>
  <si>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</si>
  <si>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</si>
  <si>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</si>
  <si>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</si>
  <si>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</si>
  <si>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</si>
  <si>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</si>
  <si>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</si>
  <si>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</si>
  <si>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</si>
  <si>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</si>
  <si>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</si>
  <si>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</si>
  <si>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</si>
  <si>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</si>
  <si>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</si>
  <si>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</si>
  <si>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</si>
  <si>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</si>
  <si>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</si>
  <si>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</si>
  <si>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</si>
  <si>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</si>
  <si>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</si>
  <si>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</si>
  <si>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</si>
  <si>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</si>
  <si>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</si>
  <si>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</si>
  <si>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</si>
  <si>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</si>
  <si>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</si>
  <si>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</si>
  <si>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</si>
  <si>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</si>
  <si>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</si>
  <si>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</si>
  <si>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</si>
  <si>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</si>
  <si>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</si>
  <si>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</si>
  <si>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</si>
  <si>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</si>
  <si>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</si>
  <si>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</si>
  <si>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</si>
  <si>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</si>
  <si>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</si>
  <si>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</si>
  <si>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</si>
  <si>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</si>
  <si>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</si>
  <si>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</si>
  <si>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</si>
  <si>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</si>
  <si>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</si>
  <si>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</si>
  <si>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</si>
  <si>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</si>
  <si>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</si>
  <si>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</si>
  <si>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</si>
  <si>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</si>
  <si>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</si>
  <si>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</si>
  <si>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</si>
  <si>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</si>
  <si>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</si>
  <si>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</si>
  <si>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</si>
  <si>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</si>
  <si>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</si>
  <si>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</si>
  <si>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</si>
  <si>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</si>
  <si>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</si>
  <si>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</si>
  <si>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</si>
  <si>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</si>
  <si>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</si>
  <si>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</si>
  <si>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</si>
  <si>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</si>
  <si>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</si>
  <si>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</si>
  <si>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</si>
  <si>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</si>
  <si>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</si>
  <si>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</si>
  <si>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</si>
  <si>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</si>
  <si>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</si>
  <si>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</si>
  <si>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</si>
  <si>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</si>
  <si>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</si>
  <si>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</si>
  <si>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</si>
  <si>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</si>
  <si>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</si>
  <si>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</si>
  <si>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</si>
  <si>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</si>
  <si>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</si>
  <si>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</si>
  <si>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</si>
  <si>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</si>
  <si>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</si>
  <si>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</si>
  <si>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</si>
  <si>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</si>
  <si>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</si>
  <si>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</si>
  <si>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</si>
  <si>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</si>
  <si>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</si>
  <si>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</si>
  <si>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</si>
  <si>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</si>
  <si>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</si>
  <si>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</si>
  <si>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</si>
  <si>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</si>
  <si>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</si>
  <si>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</si>
  <si>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</si>
  <si>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</si>
  <si>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</si>
  <si>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</si>
  <si>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</si>
  <si>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</si>
  <si>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</si>
  <si>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</si>
  <si>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</si>
  <si>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</si>
  <si>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</si>
  <si>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</si>
  <si>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</si>
  <si>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</si>
  <si>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</si>
  <si>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</si>
  <si>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</si>
  <si>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</si>
  <si>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</si>
  <si>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</si>
  <si>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</si>
  <si>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</si>
  <si>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</si>
  <si>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</si>
  <si>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</si>
  <si>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</si>
  <si>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</si>
  <si>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</si>
  <si>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</si>
  <si>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</si>
  <si>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</si>
  <si>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</si>
  <si>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</si>
  <si>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</si>
  <si>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</si>
  <si>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</si>
  <si>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</si>
  <si>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</si>
  <si>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</si>
  <si>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</si>
  <si>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</si>
  <si>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</si>
  <si>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</si>
  <si>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</si>
  <si>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</si>
  <si>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</si>
  <si>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</si>
  <si>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</si>
  <si>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</si>
  <si>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</si>
  <si>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</si>
  <si>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</si>
  <si>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</si>
  <si>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</si>
  <si>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</si>
  <si>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</si>
  <si>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</si>
  <si>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</si>
  <si>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</si>
  <si>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</si>
  <si>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</si>
  <si>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</si>
  <si>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</si>
  <si>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</si>
  <si>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</si>
  <si>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</si>
  <si>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</si>
  <si>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</si>
  <si>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</si>
  <si>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</si>
  <si>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</si>
  <si>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</si>
  <si>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</si>
  <si>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</si>
  <si>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</si>
  <si>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</si>
  <si>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</si>
  <si>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</si>
  <si>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</si>
  <si>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</si>
  <si>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</si>
  <si>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</si>
  <si>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</si>
  <si>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</si>
  <si>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</si>
  <si>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</si>
  <si>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</si>
  <si>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</si>
  <si>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</si>
  <si>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</si>
  <si>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</si>
  <si>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</si>
  <si>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</si>
  <si>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</si>
  <si>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</si>
  <si>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</si>
  <si>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</si>
  <si>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</si>
  <si>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</si>
  <si>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</si>
  <si>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</si>
  <si>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</si>
  <si>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</si>
  <si>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</si>
  <si>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</si>
  <si>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</si>
  <si>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</si>
  <si>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</si>
  <si>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</si>
  <si>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</si>
  <si>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</si>
  <si>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</si>
  <si>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</si>
  <si>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</si>
  <si>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</si>
  <si>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</si>
  <si>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</si>
  <si>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</si>
  <si>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</si>
  <si>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</si>
  <si>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</si>
  <si>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</si>
  <si>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</si>
  <si>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</si>
  <si>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</si>
  <si>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</si>
  <si>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</si>
  <si>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</si>
  <si>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</si>
  <si>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</si>
  <si>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</si>
  <si>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</si>
  <si>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</si>
  <si>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</si>
  <si>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</si>
  <si>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</si>
  <si>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</si>
  <si>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</si>
  <si>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</si>
  <si>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</si>
  <si>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</si>
  <si>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</si>
  <si>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</si>
  <si>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</si>
  <si>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</si>
  <si>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</si>
  <si>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</si>
  <si>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</si>
  <si>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</si>
  <si>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</si>
  <si>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</si>
  <si>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</si>
  <si>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</si>
  <si>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</si>
  <si>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</si>
  <si>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</si>
  <si>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</si>
  <si>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</si>
  <si>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</si>
  <si>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</si>
  <si>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</si>
  <si>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</si>
  <si>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</si>
  <si>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</si>
  <si>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</si>
  <si>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</si>
  <si>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</si>
  <si>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</si>
  <si>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</si>
  <si>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</si>
  <si>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</si>
  <si>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</si>
  <si>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</si>
  <si>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</si>
  <si>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</si>
  <si>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</si>
  <si>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</si>
  <si>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</si>
  <si>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</si>
  <si>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</si>
  <si>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</si>
  <si>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</si>
  <si>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</si>
  <si>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</si>
  <si>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</si>
  <si>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</si>
  <si>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</si>
  <si>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</si>
  <si>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</si>
  <si>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</si>
  <si>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</si>
  <si>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</si>
  <si>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</si>
  <si>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</si>
  <si>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</si>
  <si>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</si>
  <si>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</si>
  <si>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</si>
  <si>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</si>
  <si>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</si>
  <si>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</si>
  <si>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</si>
  <si>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</si>
  <si>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</si>
  <si>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</si>
  <si>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</si>
  <si>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</si>
  <si>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</si>
  <si>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</si>
  <si>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</si>
  <si>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</si>
  <si>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</si>
  <si>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</si>
  <si>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</si>
  <si>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</si>
  <si>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</si>
  <si>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</si>
  <si>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</si>
  <si>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</si>
  <si>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</si>
  <si>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</si>
  <si>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</si>
  <si>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</si>
  <si>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</si>
  <si>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</si>
  <si>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</si>
  <si>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</si>
  <si>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</si>
  <si>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</si>
  <si>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</si>
  <si>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</si>
  <si>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</si>
  <si>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</si>
  <si>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</si>
  <si>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</si>
  <si>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</si>
  <si>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</si>
  <si>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</si>
  <si>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</si>
  <si>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</si>
  <si>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</si>
  <si>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</si>
  <si>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</si>
  <si>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</si>
  <si>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</si>
  <si>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</si>
  <si>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</si>
  <si>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</si>
  <si>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</si>
  <si>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</si>
  <si>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</si>
  <si>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</si>
  <si>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</si>
  <si>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</si>
  <si>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</si>
  <si>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</si>
  <si>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</si>
  <si>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</si>
  <si>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</si>
  <si>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</si>
  <si>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</si>
  <si>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</si>
  <si>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</si>
  <si>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</si>
  <si>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</si>
  <si>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</si>
  <si>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</si>
  <si>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</si>
  <si>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</si>
  <si>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</si>
  <si>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</si>
  <si>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</si>
  <si>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</si>
  <si>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</si>
  <si>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</si>
  <si>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</si>
  <si>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</si>
  <si>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</si>
  <si>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</si>
  <si>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</si>
  <si>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</si>
  <si>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</si>
  <si>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</si>
  <si>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</si>
  <si>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</si>
  <si>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</si>
  <si>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</si>
  <si>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</si>
  <si>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</si>
  <si>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</si>
  <si>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</si>
  <si>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</si>
  <si>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</si>
  <si>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</si>
  <si>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</si>
  <si>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</si>
  <si>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</si>
  <si>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</si>
  <si>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</si>
  <si>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</si>
  <si>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</si>
  <si>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</si>
  <si>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</si>
  <si>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</si>
  <si>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</si>
  <si>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</si>
  <si>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</si>
  <si>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</si>
  <si>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</si>
  <si>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</si>
  <si>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</si>
  <si>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</si>
  <si>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</si>
  <si>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</si>
  <si>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</si>
  <si>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</si>
  <si>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</si>
  <si>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</si>
  <si>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</si>
  <si>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</si>
  <si>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</si>
  <si>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</si>
  <si>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</si>
  <si>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</si>
  <si>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</si>
  <si>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</si>
  <si>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</si>
  <si>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</si>
  <si>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</si>
  <si>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</si>
  <si>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</si>
  <si>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</si>
  <si>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</si>
  <si>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</si>
  <si>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</si>
  <si>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</si>
  <si>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</si>
  <si>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</si>
  <si>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</si>
  <si>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</si>
  <si>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</si>
  <si>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</si>
  <si>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</si>
  <si>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</si>
  <si>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</si>
  <si>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</si>
  <si>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</si>
  <si>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</si>
  <si>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</si>
  <si>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</si>
  <si>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</si>
  <si>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</si>
  <si>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</si>
  <si>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</si>
  <si>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</si>
  <si>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</si>
  <si>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</si>
  <si>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</si>
  <si>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</si>
  <si>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</si>
  <si>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</si>
  <si>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</si>
  <si>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</si>
  <si>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</si>
  <si>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</si>
  <si>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</si>
  <si>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</si>
  <si>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</si>
  <si>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</si>
  <si>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</si>
  <si>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</si>
  <si>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</si>
  <si>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</si>
  <si>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</si>
  <si>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</si>
  <si>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</si>
  <si>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</si>
  <si>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</si>
  <si>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</si>
  <si>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</si>
  <si>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</si>
  <si>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</si>
  <si>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</si>
  <si>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</si>
  <si>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</si>
  <si>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</si>
  <si>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</si>
  <si>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</si>
  <si>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</si>
  <si>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</si>
  <si>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</si>
  <si>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</si>
  <si>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</si>
  <si>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</si>
  <si>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</si>
  <si>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</si>
  <si>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</si>
  <si>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</si>
  <si>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</si>
  <si>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</si>
  <si>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</si>
  <si>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</si>
  <si>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</si>
  <si>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</si>
  <si>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</si>
  <si>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</si>
  <si>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</si>
  <si>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</si>
  <si>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</si>
  <si>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</si>
  <si>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</si>
  <si>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</si>
  <si>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</si>
  <si>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</si>
  <si>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</si>
  <si>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</si>
  <si>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</si>
  <si>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</si>
  <si>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</si>
  <si>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</si>
  <si>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</si>
  <si>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</si>
  <si>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</si>
  <si>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</si>
  <si>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</si>
  <si>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</si>
  <si>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</si>
  <si>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</si>
  <si>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</si>
  <si>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</si>
  <si>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</si>
  <si>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</si>
  <si>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</si>
  <si>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</si>
  <si>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</si>
  <si>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</si>
  <si>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</si>
  <si>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</si>
  <si>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</si>
  <si>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</si>
  <si>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</si>
  <si>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</si>
  <si>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</si>
  <si>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</si>
  <si>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</si>
  <si>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</si>
  <si>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</si>
  <si>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</si>
  <si>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</si>
  <si>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</si>
  <si>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</si>
  <si>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</si>
  <si>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</si>
  <si>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</si>
  <si>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</si>
  <si>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</si>
  <si>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</si>
  <si>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</si>
  <si>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</si>
  <si>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</si>
  <si>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</si>
  <si>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</si>
  <si>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</si>
  <si>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</si>
  <si>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</si>
  <si>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</si>
  <si>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</si>
  <si>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</si>
  <si>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</si>
  <si>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</si>
  <si>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</si>
  <si>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</si>
  <si>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</si>
  <si>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</si>
  <si>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</si>
  <si>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</si>
  <si>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</si>
  <si>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</si>
  <si>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</si>
  <si>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</si>
  <si>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</si>
  <si>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</si>
  <si>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</si>
  <si>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</si>
  <si>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</si>
  <si>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</si>
  <si>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</si>
  <si>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</si>
  <si>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</si>
  <si>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</si>
  <si>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</si>
  <si>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</si>
  <si>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</si>
  <si>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</si>
  <si>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</si>
  <si>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</si>
  <si>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</si>
  <si>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</si>
  <si>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</si>
  <si>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</si>
  <si>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</si>
  <si>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</si>
  <si>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</si>
  <si>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</si>
  <si>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</si>
  <si>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</si>
  <si>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</si>
  <si>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</si>
  <si>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</si>
  <si>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</si>
  <si>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</si>
  <si>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</si>
  <si>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</si>
  <si>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</si>
  <si>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</si>
  <si>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</si>
  <si>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</si>
  <si>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</si>
  <si>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</si>
  <si>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</si>
  <si>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</si>
  <si>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</si>
  <si>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</si>
  <si>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</si>
  <si>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</si>
  <si>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</si>
  <si>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</si>
  <si>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</si>
  <si>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</si>
  <si>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</si>
  <si>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</si>
  <si>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</si>
  <si>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</si>
  <si>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</si>
  <si>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</si>
  <si>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</si>
  <si>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</si>
  <si>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</si>
  <si>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</si>
  <si>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</si>
  <si>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</si>
  <si>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</si>
  <si>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</si>
  <si>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</si>
  <si>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</si>
  <si>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</si>
  <si>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</si>
  <si>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</si>
  <si>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</si>
  <si>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</si>
  <si>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</si>
  <si>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</si>
  <si>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</si>
  <si>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</si>
  <si>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</si>
  <si>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</si>
  <si>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</si>
  <si>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</si>
  <si>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</si>
  <si>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</si>
  <si>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</si>
  <si>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</si>
  <si>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</si>
  <si>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</si>
  <si>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</si>
  <si>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</si>
  <si>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</si>
  <si>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</si>
  <si>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</si>
  <si>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</si>
  <si>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</si>
  <si>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</si>
  <si>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</si>
  <si>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</si>
  <si>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</si>
  <si>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</si>
  <si>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</si>
  <si>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</si>
  <si>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</si>
  <si>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</si>
  <si>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</si>
  <si>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</si>
  <si>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</si>
  <si>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</si>
  <si>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</si>
  <si>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</si>
  <si>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</si>
  <si>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</si>
  <si>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</si>
  <si>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</si>
  <si>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</si>
  <si>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</si>
  <si>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</si>
  <si>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</si>
  <si>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</si>
  <si>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</si>
  <si>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</si>
  <si>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</si>
  <si>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</si>
  <si>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</si>
  <si>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</si>
  <si>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</si>
  <si>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</si>
  <si>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</si>
  <si>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</si>
  <si>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</si>
  <si>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</si>
  <si>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</si>
  <si>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</si>
  <si>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</si>
  <si>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</si>
  <si>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</si>
  <si>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</si>
  <si>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</si>
  <si>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</si>
  <si>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</si>
  <si>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</si>
  <si>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</si>
  <si>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</si>
  <si>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</si>
  <si>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</si>
  <si>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</si>
  <si>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</si>
  <si>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</si>
  <si>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</si>
  <si>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</si>
  <si>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</si>
  <si>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</si>
  <si>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</si>
  <si>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</si>
  <si>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</si>
  <si>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</si>
  <si>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</si>
  <si>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</si>
  <si>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</si>
  <si>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</si>
  <si>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</si>
  <si>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</si>
  <si>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</si>
  <si>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</si>
  <si>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</si>
  <si>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</si>
  <si>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</si>
  <si>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</si>
  <si>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</si>
  <si>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</si>
  <si>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</si>
  <si>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</si>
  <si>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</si>
  <si>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</si>
  <si>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</si>
  <si>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</si>
  <si>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</si>
  <si>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</si>
  <si>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</si>
  <si>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</si>
  <si>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</si>
  <si>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</si>
  <si>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</si>
  <si>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</si>
  <si>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</si>
  <si>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</si>
  <si>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</si>
  <si>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</si>
  <si>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</si>
  <si>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</si>
  <si>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</si>
  <si>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</si>
  <si>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</si>
  <si>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</si>
  <si>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</si>
  <si>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</si>
  <si>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</si>
  <si>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</si>
  <si>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</si>
  <si>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</si>
  <si>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</si>
  <si>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</si>
  <si>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</si>
  <si>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</si>
  <si>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</si>
  <si>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</si>
  <si>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</si>
  <si>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</si>
  <si>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</si>
  <si>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</si>
  <si>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</si>
  <si>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</si>
  <si>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</si>
  <si>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</si>
  <si>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</si>
  <si>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</si>
  <si>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</si>
  <si>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</si>
  <si>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</si>
  <si>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</si>
  <si>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</si>
  <si>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</si>
  <si>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</si>
  <si>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</si>
  <si>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</si>
  <si>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</si>
  <si>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</si>
  <si>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</si>
  <si>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</si>
  <si>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</si>
  <si>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</si>
  <si>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</si>
  <si>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</si>
  <si>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</si>
  <si>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</si>
  <si>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</si>
  <si>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</si>
  <si>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</si>
  <si>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</si>
  <si>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</si>
  <si>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</si>
  <si>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</si>
  <si>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</si>
  <si>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</si>
  <si>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</si>
  <si>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</si>
  <si>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</si>
  <si>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</si>
  <si>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</si>
  <si>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</si>
  <si>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</si>
  <si>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</si>
  <si>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</si>
  <si>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</si>
  <si>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</si>
  <si>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</si>
  <si>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</si>
  <si>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</si>
  <si>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</si>
  <si>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</si>
  <si>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</si>
  <si>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</si>
  <si>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</si>
  <si>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</si>
  <si>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</si>
  <si>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</si>
  <si>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</si>
  <si>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</si>
  <si>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</si>
  <si>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</si>
  <si>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</si>
  <si>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</si>
  <si>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</si>
  <si>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</si>
  <si>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</si>
  <si>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</si>
  <si>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</si>
  <si>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</si>
  <si>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</si>
  <si>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</si>
  <si>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</si>
  <si>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</si>
  <si>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</si>
  <si>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</si>
  <si>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</si>
  <si>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</si>
  <si>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</si>
  <si>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</si>
  <si>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</si>
  <si>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</si>
  <si>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</si>
  <si>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</si>
  <si>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</si>
  <si>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</si>
  <si>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</si>
  <si>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</si>
  <si>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</si>
  <si>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</si>
  <si>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</si>
  <si>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</si>
  <si>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</si>
  <si>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</si>
  <si>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</si>
  <si>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</si>
  <si>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</si>
  <si>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</si>
  <si>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</si>
  <si>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</si>
  <si>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</si>
  <si>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</si>
  <si>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</si>
  <si>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</si>
  <si>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</si>
  <si>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</si>
  <si>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</si>
  <si>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</si>
  <si>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</si>
  <si>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</si>
  <si>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</si>
  <si>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</si>
  <si>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</si>
  <si>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</si>
  <si>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</si>
  <si>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</si>
  <si>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</si>
  <si>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</si>
  <si>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</si>
  <si>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</si>
  <si>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</si>
  <si>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</si>
  <si>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</si>
  <si>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</si>
  <si>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</si>
  <si>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</si>
  <si>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</si>
  <si>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</si>
  <si>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</si>
  <si>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</si>
  <si>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</si>
  <si>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</si>
  <si>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</si>
  <si>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</si>
  <si>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</si>
  <si>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</si>
  <si>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</si>
  <si>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</si>
  <si>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</si>
  <si>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</si>
  <si>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</si>
  <si>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</si>
  <si>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</si>
  <si>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</si>
  <si>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</si>
  <si>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</si>
  <si>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</si>
  <si>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</si>
  <si>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</si>
  <si>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</si>
  <si>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</si>
  <si>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</si>
  <si>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</si>
  <si>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</si>
  <si>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</si>
  <si>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</si>
  <si>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</si>
  <si>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</si>
  <si>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</si>
  <si>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</si>
  <si>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</si>
  <si>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</si>
  <si>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</si>
  <si>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</si>
  <si>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</si>
  <si>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</si>
  <si>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</si>
  <si>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</si>
  <si>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</si>
  <si>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</si>
  <si>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</si>
  <si>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</si>
  <si>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</si>
  <si>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</si>
  <si>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</si>
  <si>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</si>
  <si>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</si>
  <si>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</si>
  <si>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</si>
  <si>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</si>
  <si>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</si>
  <si>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</si>
  <si>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</si>
  <si>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</si>
  <si>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</si>
  <si>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</si>
  <si>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</si>
  <si>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</si>
  <si>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</si>
  <si>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</si>
  <si>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</si>
  <si>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</si>
  <si>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</si>
  <si>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</si>
  <si>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</si>
  <si>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</si>
  <si>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</si>
  <si>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</si>
  <si>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</si>
  <si>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</si>
  <si>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</si>
  <si>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</si>
  <si>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</si>
  <si>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</si>
  <si>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</si>
  <si>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</si>
  <si>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</si>
  <si>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</si>
  <si>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</si>
  <si>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</si>
  <si>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</si>
  <si>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</si>
  <si>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</si>
  <si>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</si>
  <si>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</si>
  <si>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</si>
  <si>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</si>
  <si>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</si>
  <si>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</si>
  <si>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</si>
  <si>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</si>
  <si>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</si>
  <si>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</si>
  <si>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</si>
  <si>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</si>
  <si>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</si>
  <si>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</si>
  <si>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</si>
  <si>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</si>
  <si>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</si>
  <si>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</si>
  <si>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</si>
  <si>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</si>
  <si>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</si>
  <si>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</si>
  <si>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</si>
  <si>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</si>
  <si>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</si>
  <si>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</si>
  <si>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</si>
  <si>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</si>
  <si>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</si>
  <si>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</si>
  <si>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</si>
  <si>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</si>
  <si>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</si>
  <si>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</si>
  <si>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</si>
  <si>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</si>
  <si>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</si>
  <si>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</si>
  <si>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</si>
  <si>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</si>
  <si>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</si>
  <si>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</si>
  <si>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</si>
  <si>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</si>
  <si>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</si>
  <si>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</si>
  <si>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</si>
  <si>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</si>
  <si>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</si>
  <si>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</si>
  <si>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</si>
  <si>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</si>
  <si>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</si>
  <si>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</si>
  <si>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</si>
  <si>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</si>
  <si>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</si>
  <si>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</si>
  <si>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</si>
  <si>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</si>
  <si>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</si>
  <si>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</si>
  <si>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</si>
  <si>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</si>
  <si>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</si>
  <si>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</si>
  <si>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</si>
  <si>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</si>
  <si>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</si>
  <si>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</si>
  <si>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</si>
  <si>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</si>
  <si>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</si>
  <si>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</si>
  <si>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</si>
  <si>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</si>
  <si>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</si>
  <si>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</si>
  <si>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</si>
  <si>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</si>
  <si>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</si>
  <si>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</si>
  <si>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</si>
  <si>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</si>
  <si>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</si>
  <si>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</si>
  <si>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</si>
  <si>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</si>
  <si>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</si>
  <si>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</si>
  <si>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</si>
  <si>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</si>
  <si>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</si>
  <si>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</si>
  <si>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</si>
  <si>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</si>
  <si>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</si>
  <si>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</si>
  <si>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</si>
  <si>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</si>
  <si>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</si>
  <si>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</si>
  <si>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</si>
  <si>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</si>
  <si>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</si>
  <si>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</si>
  <si>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</si>
  <si>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</si>
  <si>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</si>
  <si>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</si>
  <si>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</si>
  <si>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</si>
  <si>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</si>
  <si>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</si>
  <si>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</si>
  <si>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</si>
  <si>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</si>
  <si>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</si>
  <si>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</si>
  <si>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</si>
  <si>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</si>
  <si>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</si>
  <si>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</si>
  <si>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</si>
  <si>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</si>
  <si>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</si>
  <si>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</si>
  <si>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</si>
  <si>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</si>
  <si>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</si>
  <si>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</si>
  <si>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</si>
  <si>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</si>
  <si>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</si>
  <si>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</si>
  <si>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</si>
  <si>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</si>
  <si>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</si>
  <si>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</si>
  <si>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</si>
  <si>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</si>
  <si>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</si>
  <si>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</si>
  <si>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</si>
  <si>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</si>
  <si>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</si>
  <si>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</si>
  <si>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</si>
  <si>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</si>
  <si>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</si>
  <si>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</si>
  <si>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</si>
  <si>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</si>
  <si>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</si>
  <si>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</si>
  <si>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</si>
  <si>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</si>
  <si>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</si>
  <si>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</si>
  <si>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</si>
  <si>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</si>
  <si>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</si>
  <si>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</si>
  <si>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</si>
  <si>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</si>
  <si>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</si>
  <si>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</si>
  <si>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</si>
  <si>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</si>
  <si>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</si>
  <si>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</si>
  <si>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</si>
  <si>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</si>
  <si>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</si>
  <si>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</si>
  <si>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</si>
  <si>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</si>
  <si>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</si>
  <si>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</si>
  <si>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</si>
  <si>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</si>
  <si>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</si>
  <si>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</si>
  <si>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</si>
  <si>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</si>
  <si>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</si>
  <si>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</si>
  <si>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</si>
  <si>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</si>
  <si>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</si>
  <si>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</si>
  <si>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</si>
  <si>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</si>
  <si>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</si>
  <si>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</si>
  <si>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</si>
  <si>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</si>
  <si>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</si>
  <si>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</si>
  <si>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</si>
  <si>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</si>
  <si>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</si>
  <si>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</si>
  <si>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</si>
  <si>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</si>
  <si>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</si>
  <si>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</si>
  <si>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</si>
  <si>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</si>
  <si>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</si>
  <si>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</si>
  <si>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</si>
  <si>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</si>
  <si>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</si>
  <si>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</si>
  <si>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</si>
  <si>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</si>
  <si>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</si>
  <si>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</si>
  <si>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</si>
  <si>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</si>
  <si>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</si>
  <si>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</si>
  <si>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</si>
  <si>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</si>
  <si>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</si>
  <si>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</si>
  <si>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</si>
  <si>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</si>
  <si>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</si>
  <si>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</si>
  <si>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</si>
  <si>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</si>
  <si>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</si>
  <si>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</si>
  <si>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</si>
  <si>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</si>
  <si>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</si>
  <si>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</si>
  <si>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</si>
  <si>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</si>
  <si>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</si>
  <si>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</si>
  <si>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</si>
  <si>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</si>
  <si>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</si>
  <si>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</si>
  <si>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</si>
  <si>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</si>
  <si>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</si>
  <si>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</si>
  <si>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</si>
  <si>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</si>
  <si>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</si>
  <si>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</si>
  <si>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</si>
  <si>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</si>
  <si>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</si>
  <si>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</si>
  <si>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</si>
  <si>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</si>
  <si>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</si>
  <si>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</si>
  <si>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</si>
  <si>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</si>
  <si>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</si>
  <si>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</si>
  <si>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</si>
  <si>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</si>
  <si>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</si>
  <si>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</si>
  <si>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</si>
  <si>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</si>
  <si>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</si>
  <si>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</si>
  <si>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</si>
  <si>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</si>
  <si>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</si>
  <si>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</si>
  <si>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</si>
  <si>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</si>
  <si>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</si>
  <si>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</si>
  <si>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</si>
  <si>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</si>
  <si>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</si>
  <si>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</si>
  <si>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</si>
  <si>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</si>
  <si>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</si>
  <si>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</si>
  <si>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</si>
  <si>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</si>
  <si>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</si>
  <si>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</si>
  <si>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</si>
  <si>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</si>
  <si>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</si>
  <si>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</si>
  <si>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</si>
  <si>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</si>
  <si>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</si>
  <si>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</si>
  <si>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</si>
  <si>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</si>
  <si>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</si>
  <si>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</si>
  <si>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</si>
  <si>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</si>
  <si>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</si>
  <si>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</si>
  <si>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</si>
  <si>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</si>
  <si>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</si>
  <si>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</si>
  <si>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</si>
  <si>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</si>
  <si>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</si>
  <si>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</si>
  <si>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</si>
  <si>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</si>
  <si>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</si>
  <si>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</si>
  <si>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</si>
  <si>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</si>
  <si>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</si>
  <si>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</si>
  <si>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</si>
  <si>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</si>
  <si>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</si>
  <si>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</si>
  <si>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</si>
  <si>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</si>
  <si>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</si>
  <si>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</si>
  <si>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</si>
  <si>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</si>
  <si>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</si>
  <si>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</si>
  <si>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</si>
  <si>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</si>
  <si>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</si>
  <si>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</si>
  <si>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</si>
  <si>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</si>
  <si>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</si>
  <si>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</si>
  <si>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</si>
  <si>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</si>
  <si>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</si>
  <si>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</si>
  <si>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</si>
  <si>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</si>
  <si>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</si>
  <si>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</si>
  <si>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</si>
  <si>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</si>
  <si>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</si>
  <si>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</si>
  <si>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</si>
  <si>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</si>
  <si>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</si>
  <si>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</si>
  <si>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</si>
  <si>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</si>
  <si>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</si>
  <si>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</si>
  <si>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</si>
  <si>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</si>
  <si>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</si>
  <si>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</si>
  <si>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</si>
  <si>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</si>
  <si>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</si>
  <si>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</si>
  <si>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</si>
  <si>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</si>
  <si>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</si>
  <si>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</si>
  <si>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</si>
  <si>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</si>
  <si>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</si>
  <si>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</si>
  <si>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</si>
  <si>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</si>
  <si>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</si>
  <si>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</si>
  <si>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</si>
  <si>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</si>
  <si>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</si>
  <si>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</si>
  <si>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</si>
  <si>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</si>
  <si>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</si>
  <si>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</si>
  <si>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</si>
  <si>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</si>
  <si>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</si>
  <si>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</si>
  <si>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</si>
  <si>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</si>
  <si>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</si>
  <si>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</si>
  <si>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</si>
  <si>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</si>
  <si>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</si>
  <si>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</si>
  <si>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</si>
  <si>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</si>
  <si>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</si>
  <si>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</si>
  <si>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</si>
  <si>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</si>
  <si>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</si>
  <si>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</si>
  <si>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</si>
  <si>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</si>
  <si>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</si>
  <si>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</si>
  <si>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</si>
  <si>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</si>
  <si>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</si>
  <si>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</si>
  <si>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</si>
  <si>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</si>
  <si>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</si>
  <si>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</si>
  <si>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</si>
  <si>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</si>
  <si>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</si>
  <si>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</si>
  <si>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</si>
  <si>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</si>
  <si>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</si>
  <si>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</si>
  <si>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</si>
  <si>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</si>
  <si>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</si>
  <si>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</si>
  <si>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</si>
  <si>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</si>
  <si>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</si>
  <si>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</si>
  <si>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</si>
  <si>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</si>
  <si>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</si>
  <si>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</si>
  <si>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</si>
  <si>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</si>
  <si>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</si>
  <si>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</si>
  <si>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</si>
  <si>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</si>
  <si>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</si>
  <si>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</si>
  <si>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</si>
  <si>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</si>
  <si>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</si>
  <si>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</si>
  <si>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</si>
  <si>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</si>
  <si>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</si>
  <si>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</si>
  <si>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</si>
  <si>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</si>
  <si>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</si>
  <si>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</si>
  <si>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</si>
  <si>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</si>
  <si>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</si>
  <si>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</si>
  <si>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</si>
  <si>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</si>
  <si>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</si>
  <si>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</si>
  <si>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</si>
  <si>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</si>
  <si>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</si>
  <si>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</si>
  <si>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</si>
  <si>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</si>
  <si>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</si>
  <si>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</si>
  <si>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</si>
  <si>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</si>
  <si>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</si>
  <si>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</si>
  <si>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</si>
  <si>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</si>
  <si>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</si>
  <si>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</si>
  <si>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</si>
  <si>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</si>
  <si>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</si>
  <si>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</si>
  <si>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</si>
  <si>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</si>
  <si>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</si>
  <si>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</si>
  <si>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</si>
  <si>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</si>
  <si>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</si>
  <si>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</si>
  <si>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</si>
  <si>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</si>
  <si>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</si>
  <si>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</si>
  <si>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</si>
  <si>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</si>
  <si>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</si>
  <si>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</si>
  <si>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</si>
  <si>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</si>
  <si>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</si>
  <si>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</si>
  <si>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</si>
  <si>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</si>
  <si>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</si>
  <si>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</si>
  <si>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</si>
  <si>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</si>
  <si>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</si>
  <si>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</si>
  <si>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</si>
  <si>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</si>
  <si>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</si>
  <si>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</si>
  <si>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</si>
  <si>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</si>
  <si>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</si>
  <si>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</si>
  <si>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</si>
  <si>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</si>
  <si>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</si>
  <si>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</si>
  <si>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</si>
  <si>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</si>
  <si>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</si>
  <si>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</si>
  <si>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</si>
  <si>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</si>
  <si>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</si>
  <si>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</si>
  <si>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</si>
  <si>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</si>
  <si>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</si>
  <si>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</si>
  <si>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</si>
  <si>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</si>
  <si>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</si>
  <si>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</si>
  <si>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</si>
  <si>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</si>
  <si>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</si>
  <si>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</si>
  <si>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</si>
  <si>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</si>
  <si>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</si>
  <si>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</si>
  <si>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</si>
  <si>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</si>
  <si>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</si>
  <si>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</si>
  <si>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</si>
  <si>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</si>
  <si>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</si>
  <si>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</si>
  <si>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</si>
  <si>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</si>
  <si>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</si>
  <si>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</si>
  <si>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</si>
  <si>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</si>
  <si>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</si>
  <si>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</si>
  <si>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</si>
  <si>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</si>
  <si>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</si>
  <si>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</si>
  <si>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</si>
  <si>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</si>
  <si>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</si>
  <si>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</si>
  <si>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</si>
  <si>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</si>
  <si>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</si>
  <si>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</si>
  <si>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</si>
  <si>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</si>
  <si>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</si>
  <si>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</si>
  <si>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</si>
  <si>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</si>
  <si>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</si>
  <si>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</si>
  <si>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</si>
  <si>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</si>
  <si>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</si>
  <si>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</si>
  <si>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</si>
  <si>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</si>
  <si>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</si>
  <si>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</si>
  <si>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</si>
  <si>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</si>
  <si>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</si>
  <si>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</si>
  <si>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</si>
  <si>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</si>
  <si>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</si>
  <si>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</si>
  <si>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</si>
  <si>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</si>
  <si>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</si>
  <si>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</si>
  <si>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</si>
  <si>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</si>
  <si>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</si>
  <si>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</si>
  <si>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</si>
  <si>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</si>
  <si>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</si>
  <si>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</si>
  <si>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</si>
  <si>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</si>
  <si>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</si>
  <si>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</si>
  <si>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</si>
  <si>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</si>
  <si>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</si>
  <si>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</si>
  <si>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</si>
  <si>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</si>
  <si>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</si>
  <si>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</si>
  <si>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</si>
  <si>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</si>
  <si>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</si>
  <si>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</si>
  <si>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</si>
  <si>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</si>
  <si>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</si>
  <si>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</si>
  <si>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</si>
  <si>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</si>
  <si>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</si>
  <si>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</si>
  <si>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</si>
  <si>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</si>
  <si>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</si>
  <si>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</si>
  <si>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</si>
  <si>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</si>
  <si>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</si>
  <si>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</si>
  <si>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</si>
  <si>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</si>
  <si>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</si>
  <si>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</si>
  <si>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</si>
  <si>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</si>
  <si>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</si>
  <si>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</si>
  <si>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</si>
  <si>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</si>
  <si>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</si>
  <si>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</si>
  <si>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</si>
  <si>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</si>
  <si>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</si>
  <si>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</si>
  <si>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</si>
  <si>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</si>
  <si>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</si>
  <si>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</si>
  <si>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</si>
  <si>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</si>
  <si>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</si>
  <si>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</si>
  <si>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</si>
  <si>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</si>
  <si>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</si>
  <si>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</si>
  <si>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</si>
  <si>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</si>
  <si>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</si>
  <si>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</si>
  <si>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</si>
  <si>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</si>
  <si>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</si>
  <si>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</si>
  <si>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</si>
  <si>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</si>
  <si>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</si>
  <si>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</si>
  <si>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</si>
  <si>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</si>
  <si>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</si>
  <si>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</si>
  <si>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</si>
  <si>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</si>
  <si>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</si>
  <si>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</si>
  <si>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</si>
  <si>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</si>
  <si>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</si>
  <si>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</si>
  <si>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</si>
  <si>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</si>
  <si>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</si>
  <si>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</si>
  <si>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</si>
  <si>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</si>
  <si>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</si>
  <si>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</si>
  <si>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</si>
  <si>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</si>
  <si>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</si>
  <si>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</si>
  <si>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</si>
  <si>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</si>
  <si>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</si>
  <si>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</si>
  <si>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</si>
  <si>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</si>
  <si>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</si>
  <si>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</si>
  <si>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</si>
  <si>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</si>
  <si>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</si>
  <si>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</si>
  <si>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</si>
  <si>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</si>
  <si>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</si>
  <si>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</si>
  <si>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</si>
  <si>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</si>
  <si>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</si>
  <si>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</si>
  <si>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</si>
  <si>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</si>
  <si>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</si>
  <si>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</si>
  <si>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</si>
  <si>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</si>
  <si>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</si>
  <si>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</si>
  <si>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</si>
  <si>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</si>
  <si>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</si>
  <si>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</si>
  <si>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</si>
  <si>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</si>
  <si>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</si>
  <si>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</si>
  <si>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</si>
  <si>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</si>
  <si>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</si>
  <si>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</si>
  <si>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</si>
  <si>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</si>
  <si>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</si>
  <si>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</si>
  <si>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</si>
  <si>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</si>
  <si>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</si>
  <si>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</si>
  <si>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</si>
  <si>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</si>
  <si>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</si>
  <si>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</si>
  <si>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</si>
  <si>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</si>
  <si>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</si>
  <si>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</si>
  <si>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</si>
  <si>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</si>
  <si>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</si>
  <si>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</si>
  <si>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</si>
  <si>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</si>
  <si>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</si>
  <si>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</si>
  <si>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</si>
  <si>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</si>
  <si>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</si>
  <si>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</si>
  <si>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</si>
  <si>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</si>
  <si>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</si>
  <si>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</si>
  <si>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</si>
  <si>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</si>
  <si>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</si>
  <si>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</si>
  <si>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</si>
  <si>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</si>
  <si>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</si>
  <si>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</si>
  <si>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</si>
  <si>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</si>
  <si>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</si>
  <si>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</si>
  <si>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</si>
  <si>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</si>
  <si>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</si>
  <si>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</si>
  <si>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</si>
  <si>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</si>
  <si>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</si>
  <si>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</si>
  <si>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</si>
  <si>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</si>
  <si>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</si>
  <si>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</si>
  <si>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</si>
  <si>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</si>
  <si>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</si>
  <si>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</si>
  <si>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</si>
  <si>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</si>
  <si>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</si>
  <si>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</si>
  <si>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</si>
  <si>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</si>
  <si>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</si>
  <si>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</si>
  <si>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</si>
  <si>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</si>
  <si>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</si>
  <si>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</si>
  <si>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</si>
  <si>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</si>
  <si>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</si>
  <si>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</si>
  <si>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</si>
  <si>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</si>
  <si>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</si>
  <si>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</si>
  <si>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</si>
  <si>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</si>
  <si>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</si>
  <si>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</si>
  <si>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</si>
  <si>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</si>
  <si>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</si>
  <si>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</si>
  <si>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</si>
  <si>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</si>
  <si>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</si>
  <si>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</si>
  <si>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</si>
  <si>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</si>
  <si>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</si>
  <si>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</si>
  <si>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</si>
  <si>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</si>
  <si>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</si>
  <si>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</si>
  <si>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</si>
  <si>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</si>
  <si>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</si>
  <si>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</si>
  <si>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</si>
  <si>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</si>
  <si>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</si>
  <si>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</si>
  <si>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</si>
  <si>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</si>
  <si>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</si>
  <si>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</si>
  <si>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</si>
  <si>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</si>
  <si>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</si>
  <si>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</si>
  <si>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</si>
  <si>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</si>
  <si>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</si>
  <si>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</si>
  <si>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</si>
  <si>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</si>
  <si>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</si>
  <si>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</si>
  <si>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</si>
  <si>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</si>
  <si>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</si>
  <si>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</si>
  <si>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</si>
  <si>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</si>
  <si>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</si>
  <si>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</si>
  <si>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</si>
  <si>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</si>
  <si>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</si>
  <si>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</si>
  <si>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</si>
  <si>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</si>
  <si>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</si>
  <si>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</si>
  <si>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</si>
  <si>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</si>
  <si>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</si>
  <si>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</si>
  <si>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</si>
  <si>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</si>
  <si>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</si>
  <si>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</si>
  <si>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</si>
  <si>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</si>
  <si>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</si>
  <si>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</si>
  <si>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</si>
  <si>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</si>
  <si>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</si>
  <si>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</si>
  <si>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</si>
  <si>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</si>
  <si>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</si>
  <si>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</si>
  <si>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</si>
  <si>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</si>
  <si>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</si>
  <si>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</si>
  <si>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</si>
  <si>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</si>
  <si>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</si>
  <si>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</si>
  <si>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</si>
  <si>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</si>
  <si>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</si>
  <si>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</si>
  <si>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</si>
  <si>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</si>
  <si>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</si>
  <si>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</si>
  <si>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</si>
  <si>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</si>
  <si>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</si>
  <si>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</si>
  <si>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</si>
  <si>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</si>
  <si>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</si>
  <si>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</si>
  <si>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</si>
  <si>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</si>
  <si>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</si>
  <si>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</si>
  <si>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</si>
  <si>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</si>
  <si>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</si>
  <si>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</si>
  <si>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</si>
  <si>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</si>
  <si>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</si>
  <si>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</si>
  <si>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</si>
  <si>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</si>
  <si>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</si>
  <si>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</si>
  <si>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</si>
  <si>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</si>
  <si>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</si>
  <si>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</si>
  <si>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</si>
  <si>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</si>
  <si>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</si>
  <si>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</si>
  <si>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</si>
  <si>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</si>
  <si>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</si>
  <si>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</si>
  <si>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</si>
  <si>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</si>
  <si>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</si>
  <si>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</si>
  <si>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</si>
  <si>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</si>
  <si>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</si>
  <si>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</si>
  <si>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</si>
  <si>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</si>
  <si>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</si>
  <si>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</si>
  <si>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</si>
  <si>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</si>
  <si>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</si>
  <si>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</si>
  <si>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</si>
  <si>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</si>
  <si>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</si>
  <si>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</si>
  <si>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</si>
  <si>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</si>
  <si>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</si>
  <si>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</si>
  <si>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</si>
  <si>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</si>
  <si>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</si>
  <si>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</si>
  <si>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</si>
  <si>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</si>
  <si>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</si>
  <si>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</si>
  <si>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</si>
  <si>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</si>
  <si>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</si>
  <si>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</si>
  <si>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</si>
  <si>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</si>
  <si>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</si>
  <si>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</si>
  <si>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</si>
  <si>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</si>
  <si>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</si>
  <si>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</si>
  <si>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</si>
  <si>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</si>
  <si>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</si>
  <si>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</si>
  <si>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</si>
  <si>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</si>
  <si>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</si>
  <si>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</si>
  <si>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</si>
  <si>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</si>
  <si>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</si>
  <si>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</si>
  <si>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</si>
  <si>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</si>
  <si>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</si>
  <si>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</si>
  <si>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</si>
  <si>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</si>
  <si>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</si>
  <si>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</si>
  <si>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</si>
  <si>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</si>
  <si>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</si>
  <si>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</si>
  <si>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</si>
  <si>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</si>
  <si>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</si>
  <si>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</si>
  <si>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</si>
  <si>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</si>
  <si>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</si>
  <si>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</si>
  <si>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</si>
  <si>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</si>
  <si>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</si>
  <si>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</si>
  <si>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</si>
  <si>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</si>
  <si>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</si>
  <si>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</si>
  <si>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</si>
  <si>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</si>
  <si>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</si>
  <si>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</si>
  <si>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</si>
  <si>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</si>
  <si>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</si>
  <si>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</si>
  <si>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</si>
  <si>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</si>
  <si>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</si>
  <si>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</si>
  <si>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</si>
  <si>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</si>
  <si>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</si>
  <si>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</si>
  <si>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</si>
  <si>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</si>
  <si>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</si>
  <si>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</si>
  <si>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</si>
  <si>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</si>
  <si>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</si>
  <si>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</si>
  <si>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</si>
  <si>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</si>
  <si>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</si>
  <si>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</si>
  <si>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</si>
  <si>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</si>
  <si>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</si>
  <si>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</si>
  <si>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</si>
  <si>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</si>
  <si>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</si>
  <si>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</si>
  <si>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</si>
  <si>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</si>
  <si>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</si>
  <si>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</si>
  <si>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</si>
  <si>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</si>
  <si>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</si>
  <si>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</si>
  <si>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</si>
  <si>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</si>
  <si>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</si>
  <si>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</si>
  <si>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</si>
  <si>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</si>
  <si>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</si>
  <si>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</si>
  <si>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</si>
  <si>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</si>
  <si>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</si>
  <si>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</si>
  <si>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</si>
  <si>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</si>
  <si>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</si>
  <si>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</si>
  <si>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</si>
  <si>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</si>
  <si>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</si>
  <si>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</si>
  <si>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</si>
  <si>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</si>
  <si>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</si>
  <si>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</si>
  <si>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</si>
  <si>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</si>
  <si>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</si>
  <si>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</si>
  <si>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</si>
  <si>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</si>
  <si>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</si>
  <si>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</si>
  <si>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</si>
  <si>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</si>
  <si>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</si>
  <si>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</si>
  <si>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</si>
  <si>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</si>
  <si>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</si>
  <si>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</si>
  <si>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</si>
  <si>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</si>
  <si>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</si>
  <si>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</si>
  <si>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</si>
  <si>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</si>
  <si>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</si>
  <si>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</si>
  <si>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</si>
  <si>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</si>
  <si>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</si>
  <si>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</si>
  <si>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</si>
  <si>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</si>
  <si>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</si>
  <si>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</si>
  <si>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</si>
  <si>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</si>
  <si>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</si>
  <si>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</si>
  <si>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</si>
  <si>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</si>
  <si>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</si>
  <si>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</si>
  <si>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</si>
  <si>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</si>
  <si>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</si>
  <si>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</si>
  <si>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</si>
  <si>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</si>
  <si>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</si>
  <si>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</si>
  <si>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</si>
  <si>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</si>
  <si>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</si>
  <si>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</si>
  <si>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</si>
  <si>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</si>
  <si>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</si>
  <si>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</si>
  <si>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</si>
  <si>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</si>
  <si>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</si>
  <si>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</si>
  <si>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</si>
  <si>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</si>
  <si>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</si>
  <si>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</si>
  <si>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</si>
  <si>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</si>
  <si>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</si>
  <si>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</si>
  <si>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</si>
  <si>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</si>
  <si>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</si>
  <si>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</si>
  <si>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</si>
  <si>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</si>
  <si>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</si>
  <si>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</si>
  <si>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</si>
  <si>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</si>
  <si>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</si>
  <si>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</si>
  <si>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</si>
  <si>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</si>
  <si>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</si>
  <si>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</si>
  <si>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</si>
  <si>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</si>
  <si>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</si>
  <si>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</si>
  <si>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</si>
  <si>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</si>
  <si>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</si>
  <si>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</si>
  <si>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</si>
  <si>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</si>
  <si>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</si>
  <si>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</si>
  <si>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</si>
  <si>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</si>
  <si>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</si>
  <si>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</si>
  <si>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</si>
  <si>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</si>
  <si>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</si>
  <si>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</si>
  <si>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</si>
  <si>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</si>
  <si>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</si>
  <si>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</si>
  <si>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</si>
  <si>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</si>
  <si>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</si>
  <si>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</si>
  <si>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</si>
  <si>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</si>
  <si>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</si>
  <si>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</si>
  <si>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</si>
  <si>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</si>
  <si>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</si>
  <si>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</si>
  <si>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</si>
  <si>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</si>
  <si>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</si>
  <si>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</si>
  <si>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</si>
  <si>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</si>
  <si>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</si>
  <si>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</si>
  <si>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</si>
  <si>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</si>
  <si>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</si>
  <si>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</si>
  <si>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</si>
  <si>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</si>
  <si>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</si>
  <si>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</si>
  <si>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</si>
  <si>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</si>
  <si>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</si>
  <si>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</si>
  <si>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</si>
  <si>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</si>
  <si>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</si>
  <si>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</si>
  <si>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</si>
  <si>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</si>
  <si>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</si>
  <si>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</si>
  <si>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</si>
  <si>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</si>
  <si>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</si>
  <si>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</si>
  <si>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</si>
  <si>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</si>
  <si>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</si>
  <si>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</si>
  <si>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</si>
  <si>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</si>
  <si>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</si>
  <si>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</si>
  <si>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</si>
  <si>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</si>
  <si>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</si>
  <si>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</si>
  <si>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</si>
  <si>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</si>
  <si>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</si>
  <si>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</si>
  <si>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</si>
  <si>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</si>
  <si>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</si>
  <si>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</si>
  <si>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</si>
  <si>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</si>
  <si>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</si>
  <si>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</si>
  <si>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</si>
  <si>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</si>
  <si>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</si>
  <si>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</si>
  <si>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</si>
  <si>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</si>
  <si>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</si>
  <si>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</si>
  <si>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</si>
  <si>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</si>
  <si>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</si>
  <si>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</si>
  <si>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</si>
  <si>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</si>
  <si>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</si>
  <si>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</si>
  <si>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</si>
  <si>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</si>
  <si>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</si>
  <si>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</si>
  <si>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</si>
  <si>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</si>
  <si>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</si>
  <si>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</si>
  <si>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</si>
  <si>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</si>
  <si>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</si>
  <si>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</si>
  <si>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</si>
  <si>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</si>
  <si>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</si>
  <si>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</si>
  <si>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</si>
  <si>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</si>
  <si>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</si>
  <si>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</si>
  <si>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</si>
  <si>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</si>
  <si>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</si>
  <si>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</si>
  <si>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</si>
  <si>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</si>
  <si>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</si>
  <si>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</si>
  <si>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</si>
  <si>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</si>
  <si>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</si>
  <si>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</si>
  <si>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</si>
  <si>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</si>
  <si>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</si>
  <si>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</si>
  <si>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</si>
  <si>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</si>
  <si>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</si>
  <si>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</si>
  <si>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</si>
  <si>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</si>
  <si>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</si>
  <si>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</si>
  <si>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</si>
  <si>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</si>
  <si>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</si>
  <si>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</si>
  <si>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</si>
  <si>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</si>
  <si>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</si>
  <si>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</si>
  <si>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</si>
  <si>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</si>
  <si>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</si>
  <si>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</si>
  <si>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</si>
  <si>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</si>
  <si>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</si>
  <si>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</si>
  <si>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</si>
  <si>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</si>
  <si>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</si>
  <si>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</si>
  <si>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</si>
  <si>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</si>
  <si>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</si>
  <si>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</si>
  <si>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</si>
  <si>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</si>
  <si>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</si>
  <si>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</si>
  <si>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</si>
  <si>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</si>
  <si>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</si>
  <si>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</si>
  <si>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</si>
  <si>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</si>
  <si>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</si>
  <si>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</si>
  <si>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</si>
  <si>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</si>
  <si>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</si>
  <si>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</si>
  <si>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</si>
  <si>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</si>
  <si>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</si>
  <si>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</si>
  <si>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</si>
  <si>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</si>
  <si>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</si>
  <si>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</si>
  <si>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</si>
  <si>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</si>
  <si>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</si>
  <si>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</si>
  <si>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</si>
  <si>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</si>
  <si>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</si>
  <si>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</si>
  <si>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</si>
  <si>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</si>
  <si>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</si>
  <si>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</si>
  <si>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</si>
  <si>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</si>
  <si>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</si>
  <si>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</si>
  <si>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</si>
  <si>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</si>
  <si>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</si>
  <si>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</si>
  <si>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</si>
  <si>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</si>
  <si>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</si>
  <si>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</si>
  <si>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</si>
  <si>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</si>
  <si>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</si>
  <si>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</si>
  <si>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</si>
  <si>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</si>
  <si>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</si>
  <si>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</si>
  <si>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</si>
  <si>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</si>
  <si>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</si>
  <si>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</si>
  <si>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</si>
  <si>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</si>
  <si>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</si>
  <si>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</si>
  <si>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</si>
  <si>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</si>
  <si>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</si>
  <si>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</si>
  <si>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</si>
  <si>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</si>
  <si>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</si>
  <si>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</si>
  <si>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</si>
  <si>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</si>
  <si>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</si>
  <si>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</si>
  <si>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</si>
  <si>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</si>
  <si>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</si>
  <si>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</si>
  <si>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</si>
  <si>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</si>
  <si>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</si>
  <si>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</si>
  <si>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</si>
  <si>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</si>
  <si>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</si>
  <si>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</si>
  <si>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</si>
  <si>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</si>
  <si>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</si>
  <si>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</si>
  <si>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</si>
  <si>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</si>
  <si>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</si>
  <si>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</si>
  <si>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</si>
  <si>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</si>
  <si>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</si>
  <si>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</si>
  <si>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</si>
  <si>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</si>
  <si>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</si>
  <si>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</si>
  <si>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</si>
  <si>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</si>
  <si>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</si>
  <si>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</si>
  <si>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</si>
  <si>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</si>
  <si>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</si>
  <si>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</si>
  <si>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</si>
  <si>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</si>
  <si>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</si>
  <si>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</si>
  <si>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</si>
  <si>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</si>
  <si>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</si>
  <si>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</si>
  <si>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</si>
  <si>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</si>
  <si>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</si>
  <si>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</si>
  <si>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</si>
  <si>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</si>
  <si>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</si>
  <si>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</si>
  <si>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</si>
  <si>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</si>
  <si>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</si>
  <si>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</si>
  <si>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</si>
  <si>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</si>
  <si>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</si>
  <si>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</si>
  <si>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</si>
  <si>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</si>
  <si>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</si>
  <si>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</si>
  <si>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</si>
  <si>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</si>
  <si>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</si>
  <si>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</si>
  <si>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</si>
  <si>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</si>
  <si>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</si>
  <si>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</si>
  <si>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</si>
  <si>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</si>
  <si>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</si>
  <si>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</si>
  <si>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</si>
  <si>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</si>
  <si>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</si>
  <si>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</si>
  <si>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</si>
  <si>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</si>
  <si>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</si>
  <si>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</si>
  <si>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</si>
  <si>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</si>
  <si>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</si>
  <si>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</si>
  <si>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</si>
  <si>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</si>
  <si>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</si>
  <si>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</si>
  <si>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</si>
  <si>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</si>
  <si>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</si>
  <si>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</si>
  <si>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</si>
  <si>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</si>
  <si>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</si>
  <si>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</si>
  <si>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</si>
  <si>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</si>
  <si>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</si>
  <si>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</si>
  <si>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</si>
  <si>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</si>
  <si>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</si>
  <si>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</si>
  <si>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</si>
  <si>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</si>
  <si>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</si>
  <si>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</si>
  <si>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</si>
  <si>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</si>
  <si>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</si>
  <si>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</si>
  <si>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</si>
  <si>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</si>
  <si>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</si>
  <si>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</si>
  <si>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</si>
  <si>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</si>
  <si>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</si>
  <si>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</si>
  <si>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</si>
  <si>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</si>
  <si>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</si>
  <si>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</si>
  <si>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</si>
  <si>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</si>
  <si>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</si>
  <si>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</si>
  <si>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</si>
  <si>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</si>
  <si>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</si>
  <si>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</si>
  <si>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</si>
  <si>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</si>
  <si>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</si>
  <si>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</si>
  <si>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</si>
  <si>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</si>
  <si>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</si>
  <si>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</si>
  <si>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</si>
  <si>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</si>
  <si>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</si>
  <si>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</si>
  <si>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</si>
  <si>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</si>
  <si>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</si>
  <si>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</si>
  <si>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</si>
  <si>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</si>
  <si>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</si>
  <si>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</si>
  <si>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</si>
  <si>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</si>
  <si>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</si>
  <si>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</si>
  <si>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</si>
  <si>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</si>
  <si>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</si>
  <si>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</si>
  <si>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</si>
  <si>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</si>
  <si>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</si>
  <si>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</si>
  <si>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</si>
  <si>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</si>
  <si>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</si>
  <si>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</si>
  <si>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</si>
  <si>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</si>
  <si>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</si>
  <si>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</si>
  <si>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</si>
  <si>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</si>
  <si>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</si>
  <si>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</si>
  <si>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</si>
  <si>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</si>
  <si>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</si>
  <si>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</si>
  <si>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</si>
  <si>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</si>
  <si>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</si>
  <si>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</si>
  <si>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</si>
  <si>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</si>
  <si>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</si>
  <si>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</si>
  <si>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</si>
  <si>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</si>
  <si>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</si>
  <si>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</si>
  <si>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</si>
  <si>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</si>
  <si>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</si>
  <si>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</si>
  <si>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</si>
  <si>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</si>
  <si>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</si>
  <si>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</si>
  <si>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</si>
  <si>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</si>
  <si>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</si>
  <si>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</si>
  <si>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</si>
  <si>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</si>
  <si>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</si>
  <si>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</si>
  <si>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</si>
  <si>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</si>
  <si>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</si>
  <si>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</si>
  <si>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</si>
  <si>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</si>
  <si>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</si>
  <si>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</si>
  <si>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</si>
  <si>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</si>
  <si>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</si>
  <si>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</si>
  <si>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</si>
  <si>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</si>
  <si>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</si>
  <si>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</si>
  <si>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</si>
  <si>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</si>
  <si>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</si>
  <si>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</si>
  <si>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</si>
  <si>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</si>
  <si>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</si>
  <si>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</si>
  <si>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</si>
  <si>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</si>
  <si>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</si>
  <si>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</si>
  <si>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</si>
  <si>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</si>
  <si>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</si>
  <si>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</si>
  <si>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</si>
  <si>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</si>
  <si>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</si>
  <si>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</si>
  <si>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</si>
  <si>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</si>
  <si>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</si>
  <si>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</si>
  <si>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</si>
  <si>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</si>
  <si>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</si>
  <si>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</si>
  <si>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</si>
  <si>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</si>
  <si>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</si>
  <si>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</si>
  <si>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</si>
  <si>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</si>
  <si>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</si>
  <si>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</si>
  <si>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</si>
  <si>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</si>
  <si>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</si>
  <si>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</si>
  <si>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</si>
  <si>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</si>
  <si>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</si>
  <si>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</si>
  <si>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</si>
  <si>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</si>
  <si>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</si>
  <si>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</si>
  <si>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</si>
  <si>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</si>
  <si>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</si>
  <si>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</si>
  <si>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</si>
  <si>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</si>
  <si>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</si>
  <si>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</si>
  <si>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</si>
  <si>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</si>
  <si>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</si>
  <si>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</si>
  <si>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</si>
  <si>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</si>
  <si>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</si>
  <si>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</si>
  <si>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</si>
  <si>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</si>
  <si>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</si>
  <si>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</si>
  <si>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</si>
  <si>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</si>
  <si>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</si>
  <si>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</si>
  <si>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</si>
  <si>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</si>
  <si>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</si>
  <si>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</si>
  <si>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</si>
  <si>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</si>
  <si>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</si>
  <si>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</si>
  <si>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</si>
  <si>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</si>
  <si>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</si>
  <si>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</si>
  <si>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</si>
  <si>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</si>
  <si>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</si>
  <si>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</si>
  <si>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</si>
  <si>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</si>
  <si>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</si>
  <si>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</si>
  <si>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</si>
  <si>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</si>
  <si>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</si>
  <si>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</si>
  <si>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</si>
  <si>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</si>
  <si>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</si>
  <si>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</si>
  <si>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</si>
  <si>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</si>
  <si>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</si>
  <si>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</si>
  <si>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</si>
  <si>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</si>
  <si>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</si>
  <si>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</si>
  <si>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</si>
  <si>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</si>
  <si>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</si>
  <si>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</si>
  <si>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</si>
  <si>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</si>
  <si>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</si>
  <si>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</si>
  <si>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</si>
  <si>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</si>
  <si>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</si>
  <si>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</si>
  <si>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</si>
  <si>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</si>
  <si>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</si>
  <si>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</si>
  <si>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</si>
  <si>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</si>
  <si>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</si>
  <si>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</si>
  <si>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</si>
  <si>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</si>
  <si>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</si>
  <si>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</si>
  <si>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</si>
  <si>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</si>
  <si>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</si>
  <si>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</si>
  <si>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</si>
  <si>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</si>
  <si>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</si>
  <si>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</si>
  <si>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</si>
  <si>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</si>
  <si>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</si>
  <si>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</si>
  <si>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</si>
  <si>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</si>
  <si>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</si>
  <si>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</si>
  <si>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</si>
  <si>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</si>
  <si>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</si>
  <si>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</si>
  <si>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</si>
  <si>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</si>
  <si>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001/0015/A</t>
  </si>
  <si>
    <t>CLEUVOCIR PACHECO FERREIRA</t>
  </si>
  <si>
    <t>26.726.183-4</t>
  </si>
  <si>
    <t>652.847.201-72</t>
  </si>
  <si>
    <t xml:space="preserve">INDENIZAÇÃO </t>
  </si>
  <si>
    <t>6014.2025/0008103-6</t>
  </si>
  <si>
    <t>AGUARDANDO</t>
  </si>
  <si>
    <t>001/0033/A</t>
  </si>
  <si>
    <t>FRANCISCO DOS SANTOS CARVALHO</t>
  </si>
  <si>
    <t>_</t>
  </si>
  <si>
    <t>665.497.523-53</t>
  </si>
  <si>
    <t>6014.2025/0008122-2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</si>
  <si>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</si>
  <si>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</si>
  <si>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</si>
  <si>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</si>
  <si>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</si>
  <si>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</si>
  <si>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</si>
  <si>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</si>
  <si>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>001/0035/A</t>
  </si>
  <si>
    <t>MAILSON DE JESUS SANTOS</t>
  </si>
  <si>
    <t>037.614.295-25</t>
  </si>
  <si>
    <t>6014.2025/0008125-7</t>
  </si>
  <si>
    <t>001/0002/B</t>
  </si>
  <si>
    <t xml:space="preserve">FRANCISCA SOARES DOS SANTOS </t>
  </si>
  <si>
    <t>23.458.574-2</t>
  </si>
  <si>
    <t>155.316.448-25</t>
  </si>
  <si>
    <t>SÃO MARTINHO VÁRZEA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</si>
  <si>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</si>
  <si>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</si>
  <si>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</si>
  <si>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</si>
  <si>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</si>
  <si>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</si>
  <si>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</si>
  <si>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</si>
  <si>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</si>
  <si>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</si>
  <si>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003/0003/A</t>
  </si>
  <si>
    <t>CAUÃ VIEIRA LIMA</t>
  </si>
  <si>
    <t>52.327.297-2</t>
  </si>
  <si>
    <t>241.728.608-42</t>
  </si>
  <si>
    <t>6014.2025/0008136-2</t>
  </si>
  <si>
    <t>001/0002/F</t>
  </si>
  <si>
    <t xml:space="preserve">KARINA TENORIO AZEVEDO </t>
  </si>
  <si>
    <t>38.439.503-X</t>
  </si>
  <si>
    <t>447.989.178-18</t>
  </si>
  <si>
    <t xml:space="preserve">TERRA PROMETIDA </t>
  </si>
  <si>
    <t>003/0028/A</t>
  </si>
  <si>
    <t>APOLONIO SANTOS VAZ</t>
  </si>
  <si>
    <t>22.796.869-70</t>
  </si>
  <si>
    <t>152.432.628-38</t>
  </si>
  <si>
    <t>6014.2025/0008154-0</t>
  </si>
  <si>
    <t>AGUARDANDO PUBLICAÇÃO DOC</t>
  </si>
  <si>
    <t>002/0001/A</t>
  </si>
  <si>
    <t>GABRIELA DE LIMA MACEDO</t>
  </si>
  <si>
    <t>36.190.607-9</t>
  </si>
  <si>
    <t>454.674.508-75</t>
  </si>
  <si>
    <t>6014.2025/0008155-9</t>
  </si>
  <si>
    <t>001/0038/A</t>
  </si>
  <si>
    <t>MATEUS JOSE DA ROCHA</t>
  </si>
  <si>
    <t>19.652.528-7</t>
  </si>
  <si>
    <t>142.528.298-95</t>
  </si>
  <si>
    <t>6014.2025/0008126-5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</si>
  <si>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</si>
  <si>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</si>
  <si>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</si>
  <si>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</si>
  <si>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</si>
  <si>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</si>
  <si>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</si>
  <si>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</si>
  <si>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</si>
  <si>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</si>
  <si>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</si>
  <si>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</si>
  <si>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</si>
  <si>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</si>
  <si>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>001/0039/A</t>
  </si>
  <si>
    <t>VALDITE MARIA DE OLIVEIRA</t>
  </si>
  <si>
    <t>28.327.943-6</t>
  </si>
  <si>
    <t>290.029.388-02</t>
  </si>
  <si>
    <t>6014.2025/0008131-1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</si>
  <si>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</si>
  <si>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</si>
  <si>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</si>
  <si>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</si>
  <si>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</si>
  <si>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</si>
  <si>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</si>
  <si>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</si>
  <si>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</si>
  <si>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</si>
  <si>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</si>
  <si>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003/0001/A</t>
  </si>
  <si>
    <t>RUTE DA SILVA FEITOSA</t>
  </si>
  <si>
    <t>68.984.954-0</t>
  </si>
  <si>
    <t>023.773.284-07</t>
  </si>
  <si>
    <t>6014.2025/0008130-3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</si>
  <si>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</si>
  <si>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</si>
  <si>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</si>
  <si>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</si>
  <si>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</si>
  <si>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</si>
  <si>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</si>
  <si>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</si>
  <si>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</si>
  <si>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</si>
  <si>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</si>
  <si>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</si>
  <si>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>003/0005/A</t>
  </si>
  <si>
    <t>LUCIENE GUIMARÃES DOS SANTOS</t>
  </si>
  <si>
    <t>64.697.007-0</t>
  </si>
  <si>
    <t>040.815.465-92</t>
  </si>
  <si>
    <t>6014.2025/0008137-0</t>
  </si>
  <si>
    <t>003/0008/A</t>
  </si>
  <si>
    <t>PAULA RODRIGUES DE SOUZA</t>
  </si>
  <si>
    <t>45.609.343-6</t>
  </si>
  <si>
    <t>354.589.548-31</t>
  </si>
  <si>
    <t>6014.2025/0008138-9</t>
  </si>
  <si>
    <t>003/0018/A</t>
  </si>
  <si>
    <t xml:space="preserve">JEFFERSON ALBERT DA SILVA ALVES </t>
  </si>
  <si>
    <t>32.565.531-5</t>
  </si>
  <si>
    <t>305.751.748-03</t>
  </si>
  <si>
    <t>6014.2025/0008204-0</t>
  </si>
  <si>
    <t xml:space="preserve">DEMOLIDO 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</si>
  <si>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</si>
  <si>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</si>
  <si>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</si>
  <si>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</si>
  <si>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</si>
  <si>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</si>
  <si>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</si>
  <si>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>003/0020/A</t>
  </si>
  <si>
    <t>ROGERIO SILVA SANTOS</t>
  </si>
  <si>
    <t>15.122.128.65</t>
  </si>
  <si>
    <t>065.066.165-63</t>
  </si>
  <si>
    <t>6014.2025/0008161-3</t>
  </si>
  <si>
    <t>001/0008/A</t>
  </si>
  <si>
    <t>MARCOS MARINHO DA SILVA</t>
  </si>
  <si>
    <t> 57.393.306-6</t>
  </si>
  <si>
    <t>023.663.194-28</t>
  </si>
  <si>
    <t>57.393.306-6</t>
  </si>
  <si>
    <t>003/0020/E</t>
  </si>
  <si>
    <t xml:space="preserve">ELISETE SANTOS CARNEIRO </t>
  </si>
  <si>
    <t>63.822.147-X</t>
  </si>
  <si>
    <t>050.428.785-05</t>
  </si>
  <si>
    <t>6014.2025/0008171-0</t>
  </si>
  <si>
    <t>LIBERADO DEMOLIÇÃO</t>
  </si>
  <si>
    <t>003/0023/A</t>
  </si>
  <si>
    <t>MARÍLIA TAILAN NASCIMENTO</t>
  </si>
  <si>
    <t>20.836.498-69</t>
  </si>
  <si>
    <t>026.475.655-03</t>
  </si>
  <si>
    <t>6014.2025/0008318-7</t>
  </si>
  <si>
    <t>001/0009/A</t>
  </si>
  <si>
    <t>ALINE BRITO FEITOSA</t>
  </si>
  <si>
    <t>47.398.253-5</t>
  </si>
  <si>
    <t>416.896.138-90</t>
  </si>
  <si>
    <t>003/0032/A</t>
  </si>
  <si>
    <t>LIDIANE FIRMINO DE OLIVEIRA</t>
  </si>
  <si>
    <t>64.497.123-X</t>
  </si>
  <si>
    <t>073.014.224-82</t>
  </si>
  <si>
    <t>6014.2025/0008158-3</t>
  </si>
  <si>
    <t>003/0043/A</t>
  </si>
  <si>
    <t xml:space="preserve">ANDREIA DA SILVA FERREIRA </t>
  </si>
  <si>
    <t>38.465.226-8</t>
  </si>
  <si>
    <t>353.411.258-00</t>
  </si>
  <si>
    <t>6014.2025/0008162-1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</si>
  <si>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</si>
  <si>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</si>
  <si>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</si>
  <si>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</si>
  <si>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</si>
  <si>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</si>
  <si>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</si>
  <si>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</si>
  <si>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</si>
  <si>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</si>
  <si>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</si>
  <si>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</si>
  <si>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003/0086/B</t>
  </si>
  <si>
    <t xml:space="preserve">JOAQUIM ANTÔNIO DE SOUZA FILHO </t>
  </si>
  <si>
    <t>66.803.231-5</t>
  </si>
  <si>
    <t>070.082.633-50</t>
  </si>
  <si>
    <t>6014.2025/0008184-2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</si>
  <si>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</si>
  <si>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</si>
  <si>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</si>
  <si>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</si>
  <si>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</si>
  <si>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</si>
  <si>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</si>
  <si>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</si>
  <si>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</si>
  <si>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</si>
  <si>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</si>
  <si>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</si>
  <si>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</si>
  <si>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</si>
  <si>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</si>
  <si>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</si>
  <si>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</si>
  <si>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</si>
  <si>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</si>
  <si>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</si>
  <si>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</si>
  <si>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</si>
  <si>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</si>
  <si>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</si>
  <si>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</si>
  <si>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</si>
  <si>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</si>
  <si>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</si>
  <si>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</si>
  <si>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</si>
  <si>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</si>
  <si>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</si>
  <si>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</si>
  <si>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</si>
  <si>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</si>
  <si>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</si>
  <si>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</si>
  <si>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</si>
  <si>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</si>
  <si>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006/0014/A</t>
  </si>
  <si>
    <t>JOÃO MARCOS ALVES  ROCHA</t>
  </si>
  <si>
    <t>32.602.902-3</t>
  </si>
  <si>
    <t>267.248.358-28</t>
  </si>
  <si>
    <t>6014.2025/0008361-6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</si>
  <si>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</si>
  <si>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</si>
  <si>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</si>
  <si>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</si>
  <si>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</si>
  <si>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</si>
  <si>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</si>
  <si>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</si>
  <si>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</si>
  <si>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</si>
  <si>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</si>
  <si>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</si>
  <si>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</si>
  <si>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</si>
  <si>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>006/0022/C</t>
  </si>
  <si>
    <t xml:space="preserve">FRANCISCO DOS SANTOS ARAÚJO </t>
  </si>
  <si>
    <t>377.822.823-49</t>
  </si>
  <si>
    <t>6014.2025/0008365-9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</si>
  <si>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</si>
  <si>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</si>
  <si>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</si>
  <si>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</si>
  <si>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</si>
  <si>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</si>
  <si>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</si>
  <si>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</si>
  <si>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</si>
  <si>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</si>
  <si>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</si>
  <si>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</si>
  <si>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</si>
  <si>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</si>
  <si>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</si>
  <si>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007/0011/A</t>
  </si>
  <si>
    <t xml:space="preserve">ERNESTO LIRA DOS SANTOS </t>
  </si>
  <si>
    <t>27.797.825-7</t>
  </si>
  <si>
    <t>249.465.618-46</t>
  </si>
  <si>
    <t>6014.2025/0008369-1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</si>
  <si>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</si>
  <si>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</si>
  <si>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</si>
  <si>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</si>
  <si>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</si>
  <si>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</si>
  <si>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</si>
  <si>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</si>
  <si>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</si>
  <si>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</si>
  <si>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</si>
  <si>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</si>
  <si>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</si>
  <si>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</si>
  <si>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</si>
  <si>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</si>
  <si>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</si>
  <si>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</si>
  <si>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</si>
  <si>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</si>
  <si>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011/0016/A</t>
  </si>
  <si>
    <t>CRISLAYNE APARECIDA THOMAZ DOS SANTOS</t>
  </si>
  <si>
    <t>56.554.100-6</t>
  </si>
  <si>
    <t>457.226.358-20</t>
  </si>
  <si>
    <t>6014.2025/0008165-6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</si>
  <si>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</si>
  <si>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</si>
  <si>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</si>
  <si>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</si>
  <si>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</si>
  <si>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</si>
  <si>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</si>
  <si>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</si>
  <si>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</si>
  <si>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</si>
  <si>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</si>
  <si>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</si>
  <si>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</si>
  <si>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</si>
  <si>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</si>
  <si>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</si>
  <si>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</si>
  <si>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</si>
  <si>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</si>
  <si>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</si>
  <si>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</si>
  <si>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</si>
  <si>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</si>
  <si>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</si>
  <si>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</si>
  <si>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</si>
  <si>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</si>
  <si>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</si>
  <si>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</si>
  <si>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</si>
  <si>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</si>
  <si>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</si>
  <si>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</si>
  <si>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</si>
  <si>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</si>
  <si>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</si>
  <si>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</si>
  <si>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>003/0021/B</t>
  </si>
  <si>
    <t xml:space="preserve">VANESSA RIBEIRO MACHADO ALVES </t>
  </si>
  <si>
    <t>50.250.904-1</t>
  </si>
  <si>
    <t>385.783.058-17</t>
  </si>
  <si>
    <t>6014.2025/0008391-8</t>
  </si>
  <si>
    <t>001/0036/A</t>
  </si>
  <si>
    <t>CIBELE APARECIDA DA SILVA</t>
  </si>
  <si>
    <t>22.012.369-X</t>
  </si>
  <si>
    <t>285.579.088-30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</si>
  <si>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</si>
  <si>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</si>
  <si>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</si>
  <si>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</si>
  <si>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</si>
  <si>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</si>
  <si>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</si>
  <si>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</si>
  <si>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</si>
  <si>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</si>
  <si>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004/0012/A</t>
  </si>
  <si>
    <t xml:space="preserve">REINIVALDO CARDOSO DE ALMEIDA </t>
  </si>
  <si>
    <t>39.302.479-9</t>
  </si>
  <si>
    <t>469.390.831-20</t>
  </si>
  <si>
    <t>6014.2025/0008174-5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</si>
  <si>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</si>
  <si>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</si>
  <si>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</si>
  <si>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</si>
  <si>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</si>
  <si>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</si>
  <si>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</si>
  <si>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</si>
  <si>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</si>
  <si>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</si>
  <si>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</si>
  <si>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</si>
  <si>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</si>
  <si>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</si>
  <si>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</si>
  <si>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</si>
  <si>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</si>
  <si>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</si>
  <si>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</si>
  <si>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004/0016/A</t>
  </si>
  <si>
    <t xml:space="preserve">SILVANEIDE MARIA DA SILVA  </t>
  </si>
  <si>
    <t>48.275.430-8</t>
  </si>
  <si>
    <t>434.408.068-80</t>
  </si>
  <si>
    <t>6014.2025/0008387-0</t>
  </si>
  <si>
    <t>HENRIQUE DA SILVA ALBUQUERQUE</t>
  </si>
  <si>
    <t>38.148.243-1</t>
  </si>
  <si>
    <t>520.509.058-82</t>
  </si>
  <si>
    <t>6014.2026/0004025-0</t>
  </si>
  <si>
    <t xml:space="preserve">FINALIZADO </t>
  </si>
  <si>
    <t>004/0022/A</t>
  </si>
  <si>
    <t xml:space="preserve">ZITA FERREIRA DE OLIVEIRA  </t>
  </si>
  <si>
    <t>20.153.101-X</t>
  </si>
  <si>
    <t>103.973.068-06</t>
  </si>
  <si>
    <t>6014.2025/0008331-4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</si>
  <si>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</si>
  <si>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</si>
  <si>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</si>
  <si>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</si>
  <si>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</si>
  <si>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</si>
  <si>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</si>
  <si>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</si>
  <si>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</si>
  <si>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</si>
  <si>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</si>
  <si>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</si>
  <si>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</si>
  <si>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</si>
  <si>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</si>
  <si>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</si>
  <si>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</si>
  <si>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</si>
  <si>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</si>
  <si>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</si>
  <si>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</si>
  <si>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</si>
  <si>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</si>
  <si>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</si>
  <si>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</si>
  <si>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</si>
  <si>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</si>
  <si>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</si>
  <si>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</si>
  <si>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</si>
  <si>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</si>
  <si>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</si>
  <si>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</si>
  <si>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</si>
  <si>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</si>
  <si>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</si>
  <si>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</si>
  <si>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</si>
  <si>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</si>
  <si>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</si>
  <si>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</si>
  <si>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</si>
  <si>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</si>
  <si>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</si>
  <si>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</si>
  <si>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</si>
  <si>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</si>
  <si>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</si>
  <si>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</si>
  <si>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</si>
  <si>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</si>
  <si>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</si>
  <si>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</si>
  <si>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</si>
  <si>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>004/0028/A</t>
  </si>
  <si>
    <t xml:space="preserve">RAQUEL DE JESUS CÂMARA DOS SANTOS  </t>
  </si>
  <si>
    <t>59.150.362-1</t>
  </si>
  <si>
    <t>025.518.683-51</t>
  </si>
  <si>
    <t>6014.2025/0008390-0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</si>
  <si>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</si>
  <si>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</si>
  <si>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</si>
  <si>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</si>
  <si>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</si>
  <si>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</si>
  <si>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</si>
  <si>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</si>
  <si>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>004/0029/C</t>
  </si>
  <si>
    <t xml:space="preserve">MARIA BETÂNIA COSTA LIMA </t>
  </si>
  <si>
    <t>66.347.707-4</t>
  </si>
  <si>
    <t>986.191.873-68</t>
  </si>
  <si>
    <t>6014.2025/0008389-6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</si>
  <si>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</si>
  <si>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</si>
  <si>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</si>
  <si>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</si>
  <si>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</si>
  <si>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</si>
  <si>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</si>
  <si>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</si>
  <si>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</si>
  <si>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</si>
  <si>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</si>
  <si>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</si>
  <si>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004/0035/A</t>
  </si>
  <si>
    <t xml:space="preserve">RICHARD RICHELLI DE PAULA  </t>
  </si>
  <si>
    <t>48.379.704-2</t>
  </si>
  <si>
    <t>402.563.978-56</t>
  </si>
  <si>
    <t>6014.2025/0008364-0</t>
  </si>
  <si>
    <t>AGUARDANDO ELABORAÇÃO</t>
  </si>
  <si>
    <t>005/0002/A</t>
  </si>
  <si>
    <t xml:space="preserve">VINÍCIUS COSTA SANTIAGO </t>
  </si>
  <si>
    <t>60.225.823-3</t>
  </si>
  <si>
    <t>512.023.498-46</t>
  </si>
  <si>
    <t>6014.2025/0008329-2</t>
  </si>
  <si>
    <t>005/0010/A</t>
  </si>
  <si>
    <t xml:space="preserve">ADRIANA GOMES BATISTA </t>
  </si>
  <si>
    <t>42.483.304-9</t>
  </si>
  <si>
    <t>342.300.228-08</t>
  </si>
  <si>
    <t>6014.2025/0008366-7</t>
  </si>
  <si>
    <t>007/0010/A</t>
  </si>
  <si>
    <t xml:space="preserve">SARA MACHADO DA SILVA </t>
  </si>
  <si>
    <t>517.998.668-07</t>
  </si>
  <si>
    <t>6014.2025/0008576-7</t>
  </si>
  <si>
    <t>002/0008/A</t>
  </si>
  <si>
    <t>GIULIA MAYRA DA SILVA MONTEIRO</t>
  </si>
  <si>
    <t>53.464.861-7</t>
  </si>
  <si>
    <t>413.396.968-51</t>
  </si>
  <si>
    <t>010/0026/A</t>
  </si>
  <si>
    <t>JULIANA APARECIDA DA SILVA</t>
  </si>
  <si>
    <t>47.545.059-0</t>
  </si>
  <si>
    <t>400.720.548-59</t>
  </si>
  <si>
    <t>6014.2025/0008381-0</t>
  </si>
  <si>
    <t>002/0009/A</t>
  </si>
  <si>
    <t xml:space="preserve">MARIA JUDITE DA SILVA </t>
  </si>
  <si>
    <t>042.869.188-90</t>
  </si>
  <si>
    <t>CIN</t>
  </si>
  <si>
    <t>6014.2026/0004028-5</t>
  </si>
  <si>
    <t>011/0011/A</t>
  </si>
  <si>
    <t>WENDER APARECIDO DE ANDRADE PEREIRA</t>
  </si>
  <si>
    <t>41.639.822-4</t>
  </si>
  <si>
    <t>460.195.678-18</t>
  </si>
  <si>
    <t>6014.2025/0008163-0</t>
  </si>
  <si>
    <t>011/0018/A</t>
  </si>
  <si>
    <t>MIRIAM ALVES DA SILVA</t>
  </si>
  <si>
    <t>33.946.889-0</t>
  </si>
  <si>
    <t>308.479.648-33</t>
  </si>
  <si>
    <t>6014.2025/0008182-6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</si>
  <si>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</si>
  <si>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</si>
  <si>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</si>
  <si>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</si>
  <si>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</si>
  <si>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</si>
  <si>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</si>
  <si>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011/0031/A</t>
  </si>
  <si>
    <t>SIRLÉIA MARIA DA ROCHA</t>
  </si>
  <si>
    <t>43.575.867-6</t>
  </si>
  <si>
    <t>435.407.988-70</t>
  </si>
  <si>
    <t>6014.2025/0008172-9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</si>
  <si>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</si>
  <si>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</si>
  <si>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</si>
  <si>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</si>
  <si>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</si>
  <si>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</si>
  <si>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004/0029/B</t>
  </si>
  <si>
    <t xml:space="preserve">JOSELIO FERREIRA DE OLIVEIRA  </t>
  </si>
  <si>
    <t>37.624.999-5</t>
  </si>
  <si>
    <t>923.429.733-49</t>
  </si>
  <si>
    <t>6014.2025/0008205-9</t>
  </si>
  <si>
    <t>002/0012/A</t>
  </si>
  <si>
    <t>CLARISMUNDO RIBEIRO DE MENDONÇA</t>
  </si>
  <si>
    <t>6.265.588-7</t>
  </si>
  <si>
    <t>649.430.388-91</t>
  </si>
  <si>
    <t>6014.2026/0004024-2</t>
  </si>
  <si>
    <t>010/0004/A</t>
  </si>
  <si>
    <t>JOSÉ ARMANDO DA SILVA</t>
  </si>
  <si>
    <t>69.214.792-5</t>
  </si>
  <si>
    <t>568.824.818-14</t>
  </si>
  <si>
    <t>6014.2025/0008186-9</t>
  </si>
  <si>
    <t>002/0013/A</t>
  </si>
  <si>
    <t>PAULO ARIEL DE JESUS DA SILVA</t>
  </si>
  <si>
    <t>449.728.948-65</t>
  </si>
  <si>
    <t>6014.2026/0003456-0</t>
  </si>
  <si>
    <t>006/0013/A</t>
  </si>
  <si>
    <t xml:space="preserve">ANDRESSA BOTTON FREIRE DE JESUS </t>
  </si>
  <si>
    <t>42.516.825-6</t>
  </si>
  <si>
    <t>370.223.668-61</t>
  </si>
  <si>
    <t>6014.2025/0008575-9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</si>
  <si>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</si>
  <si>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</si>
  <si>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</si>
  <si>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</si>
  <si>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</si>
  <si>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</si>
  <si>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</si>
  <si>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 xml:space="preserve">LUZIANE JESUS DA SILVA </t>
  </si>
  <si>
    <t>237.785.408-74</t>
  </si>
  <si>
    <t>6014.2025/0008616-0</t>
  </si>
  <si>
    <t>001/0002/I</t>
  </si>
  <si>
    <t xml:space="preserve">FRANCISCO CIRILO DA COSTA NETO </t>
  </si>
  <si>
    <t>56.300.779-5</t>
  </si>
  <si>
    <t>042.698.233-99</t>
  </si>
  <si>
    <t>6014.2025/0008621-6</t>
  </si>
  <si>
    <t xml:space="preserve">ADENILSON BATISTA FERREIRA </t>
  </si>
  <si>
    <t>24.743.676-8</t>
  </si>
  <si>
    <t>468.366.675-87</t>
  </si>
  <si>
    <t>6014.2025/0008612-7</t>
  </si>
  <si>
    <t>002/0014/C</t>
  </si>
  <si>
    <t>LUCIANO AGUIAR DOS SANTOS</t>
  </si>
  <si>
    <t>39.090.542-2</t>
  </si>
  <si>
    <t>234.346.628-98</t>
  </si>
  <si>
    <t xml:space="preserve">KARINY SOARES  ALVES </t>
  </si>
  <si>
    <t>48.263.444-3</t>
  </si>
  <si>
    <t>400.738.458-41</t>
  </si>
  <si>
    <t>6014.2025/0008617-8</t>
  </si>
  <si>
    <t>004/0020/A</t>
  </si>
  <si>
    <t xml:space="preserve">ERIVANDY GALDINO </t>
  </si>
  <si>
    <t>50.484.334-5</t>
  </si>
  <si>
    <t>032.165.094-86</t>
  </si>
  <si>
    <t>6014.2025/0008625-9</t>
  </si>
  <si>
    <t>009/0023/A</t>
  </si>
  <si>
    <t>TABATA ROBERTA ROCHA DA SILVA</t>
  </si>
  <si>
    <t>49.147.835-5</t>
  </si>
  <si>
    <t>403.870.188-32</t>
  </si>
  <si>
    <t>6014.2025/0008170-2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</si>
  <si>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</si>
  <si>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</si>
  <si>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</si>
  <si>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</si>
  <si>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</si>
  <si>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</si>
  <si>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</si>
  <si>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</si>
  <si>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</si>
  <si>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</si>
  <si>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</si>
  <si>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</si>
  <si>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</si>
  <si>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</si>
  <si>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</si>
  <si>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</si>
  <si>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011/0023/A</t>
  </si>
  <si>
    <t>SEBASTIÃO DOS SANTOS CASTRO</t>
  </si>
  <si>
    <t>68.334.208-3</t>
  </si>
  <si>
    <t>381.226.978-36</t>
  </si>
  <si>
    <t>6014.2025/0008624-0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</si>
  <si>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</si>
  <si>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</si>
  <si>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</si>
  <si>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</si>
  <si>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</si>
  <si>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</si>
  <si>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002/0017/AF2</t>
  </si>
  <si>
    <t xml:space="preserve">THAYSSA BALTAZAR DOS SANTOS </t>
  </si>
  <si>
    <t>38.966.039-5</t>
  </si>
  <si>
    <t>524.934.888-22</t>
  </si>
  <si>
    <t>002/0023/B</t>
  </si>
  <si>
    <t>DOUGLAS ATAIDE SIMIÃO</t>
  </si>
  <si>
    <t>37.315.118-4</t>
  </si>
  <si>
    <t>473.989.858-60</t>
  </si>
  <si>
    <t>6014.2025/0008573-2</t>
  </si>
  <si>
    <t>002/0018/A</t>
  </si>
  <si>
    <t xml:space="preserve">PATRICIA SOARES DA SILVA </t>
  </si>
  <si>
    <t>43.646.843-8</t>
  </si>
  <si>
    <t>341.267.938-01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</si>
  <si>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</si>
  <si>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</si>
  <si>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</si>
  <si>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</si>
  <si>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</si>
  <si>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</si>
  <si>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</si>
  <si>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002/0018/B</t>
  </si>
  <si>
    <t>RICARDO SOARES DA SILVA</t>
  </si>
  <si>
    <t>29.037.935-0</t>
  </si>
  <si>
    <t>247.001.668-19</t>
  </si>
  <si>
    <t>011/0032/B</t>
  </si>
  <si>
    <t>PABLO MARLEY DOS SANTOS</t>
  </si>
  <si>
    <t>59.007.225-9</t>
  </si>
  <si>
    <t>588.832.018-84</t>
  </si>
  <si>
    <t>6014.2025/0008180-0</t>
  </si>
  <si>
    <t>012/0031/A</t>
  </si>
  <si>
    <t>IVANEIDE DOS SANTOS ARAÚJO</t>
  </si>
  <si>
    <t>56.313.282-6</t>
  </si>
  <si>
    <t>004.293.805-85</t>
  </si>
  <si>
    <t>6014.2025/0008181-8</t>
  </si>
  <si>
    <t>013/0031/A</t>
  </si>
  <si>
    <t>MARIA CELMA DE JESUS SANTOS</t>
  </si>
  <si>
    <t>39.363.904-6</t>
  </si>
  <si>
    <t>322.778.698-21</t>
  </si>
  <si>
    <t>6014.2025/0008189-3</t>
  </si>
  <si>
    <t>014/0027/A</t>
  </si>
  <si>
    <t>GUSTAVO RODRIGUES SAMPAIO</t>
  </si>
  <si>
    <t>546.786.638-94</t>
  </si>
  <si>
    <t>6014.2025/0008177-0</t>
  </si>
  <si>
    <t>003/0045/B</t>
  </si>
  <si>
    <t>JOSÉ PEDRO DA SILVA</t>
  </si>
  <si>
    <t>9.355.210-5</t>
  </si>
  <si>
    <t>904.248.168-49</t>
  </si>
  <si>
    <t>6014.2025/0008157-5</t>
  </si>
  <si>
    <t>011/0028/A</t>
  </si>
  <si>
    <t>ALINE ALVES DAMASCENO</t>
  </si>
  <si>
    <t>63.238.617-4</t>
  </si>
  <si>
    <t>106.535.934-90</t>
  </si>
  <si>
    <t>6014.2025/0008160-5</t>
  </si>
  <si>
    <t>002/0020/B</t>
  </si>
  <si>
    <t xml:space="preserve">LUCAS MENDES DA SILVA </t>
  </si>
  <si>
    <t>47.557.563</t>
  </si>
  <si>
    <t>437.228.508.60</t>
  </si>
  <si>
    <t>002/0023/A</t>
  </si>
  <si>
    <t>JOSEFA DOS SANTOS DO NASCIMENTO</t>
  </si>
  <si>
    <t>39.766.684-6</t>
  </si>
  <si>
    <t>388.923.778-92</t>
  </si>
  <si>
    <t>6014.2025/0008622-4</t>
  </si>
  <si>
    <t>002/0020/B F2</t>
  </si>
  <si>
    <t xml:space="preserve">RAIMUNDO MENDES DA SILVA </t>
  </si>
  <si>
    <t>20.686.612-4</t>
  </si>
  <si>
    <t>103.987.578-52</t>
  </si>
  <si>
    <t>005/0004/A</t>
  </si>
  <si>
    <t xml:space="preserve">ERIK SOUZA MATTOS </t>
  </si>
  <si>
    <t>394.718.872- 2</t>
  </si>
  <si>
    <t>378.125.638-39</t>
  </si>
  <si>
    <t>6014.2025/0008388-8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</si>
  <si>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</si>
  <si>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</si>
  <si>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</si>
  <si>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</si>
  <si>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</si>
  <si>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</si>
  <si>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</si>
  <si>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</si>
  <si>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</si>
  <si>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</si>
  <si>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</si>
  <si>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</si>
  <si>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</si>
  <si>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</si>
  <si>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</si>
  <si>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</si>
  <si>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</si>
  <si>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</si>
  <si>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</si>
  <si>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</si>
  <si>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</si>
  <si>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</si>
  <si>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</si>
  <si>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</si>
  <si>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</si>
  <si>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</si>
  <si>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</si>
  <si>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</si>
  <si>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</si>
  <si>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</si>
  <si>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</si>
  <si>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</si>
  <si>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EMILLYN GONÇALVES CALIXTA DE OLIVEIRA </t>
  </si>
  <si>
    <t>53.832.561.6</t>
  </si>
  <si>
    <t>550.269.568.90</t>
  </si>
  <si>
    <t>6014.2026/0003135-9</t>
  </si>
  <si>
    <t>004/0013/A</t>
  </si>
  <si>
    <t xml:space="preserve">LOHANE RIBEIRO DE ALMEIDA </t>
  </si>
  <si>
    <t>39.012.520-9</t>
  </si>
  <si>
    <t>531.988.848-10</t>
  </si>
  <si>
    <t>6014.2025/0008190-7</t>
  </si>
  <si>
    <t>007/0037/A</t>
  </si>
  <si>
    <t>THIAGO DE SOUZA MANOEL</t>
  </si>
  <si>
    <t>44.485.848-9</t>
  </si>
  <si>
    <t>363.891.988-92</t>
  </si>
  <si>
    <t>6014.2025/0008628-3</t>
  </si>
  <si>
    <t>002/0024/A</t>
  </si>
  <si>
    <t>CARLEILTON MACEDO CORREIA</t>
  </si>
  <si>
    <t>13.249.486</t>
  </si>
  <si>
    <t>077.087.438.00</t>
  </si>
  <si>
    <t>6014.2026/0003137-5</t>
  </si>
  <si>
    <t>009/0030/A</t>
  </si>
  <si>
    <t>ALINE SILVA SOUZA</t>
  </si>
  <si>
    <t>44.862.733-4</t>
  </si>
  <si>
    <t>377.484.518-26</t>
  </si>
  <si>
    <t>6014.2026/0002350-0</t>
  </si>
  <si>
    <t>004/0004/A</t>
  </si>
  <si>
    <t>MARIA DE FÁTIMA SANTOS RODRIGUES</t>
  </si>
  <si>
    <t>64.364.296-01</t>
  </si>
  <si>
    <t>092.714.364-07</t>
  </si>
  <si>
    <t>6014.2025/0008358-6</t>
  </si>
  <si>
    <t>004/0021/A</t>
  </si>
  <si>
    <t xml:space="preserve">FRANCISCA MARCIA PEREIRA LUZ </t>
  </si>
  <si>
    <t>043.745.772.011-4</t>
  </si>
  <si>
    <t>609.809.803-48</t>
  </si>
  <si>
    <t>6014.2025/0008383-7</t>
  </si>
  <si>
    <t>013/0029/A</t>
  </si>
  <si>
    <t>FLORINDO RIBEIRO ROCHA</t>
  </si>
  <si>
    <t>37.386.068-7</t>
  </si>
  <si>
    <t>292.821.011-34</t>
  </si>
  <si>
    <t>6014.2025/0008608-9</t>
  </si>
  <si>
    <t xml:space="preserve">AMANDA OLIVEIRA ROCHA FERREIRA DOS SANTOS </t>
  </si>
  <si>
    <t>39.088.600-2</t>
  </si>
  <si>
    <t>468.091.408-40</t>
  </si>
  <si>
    <t>6014.2026/0000443-2</t>
  </si>
  <si>
    <t>002/0028/A</t>
  </si>
  <si>
    <t xml:space="preserve">ANA MARIA DOS SANTOS </t>
  </si>
  <si>
    <t>57.162.248.3</t>
  </si>
  <si>
    <t>595.893.418.02</t>
  </si>
  <si>
    <t>002/0029/A</t>
  </si>
  <si>
    <t>MARIA DE OLIVEIRA XAVIER</t>
  </si>
  <si>
    <t>20.767.986-1</t>
  </si>
  <si>
    <t>103..999108.40</t>
  </si>
  <si>
    <t>001/0022/A</t>
  </si>
  <si>
    <t>JULIANA CAMILA DOS SANTOS</t>
  </si>
  <si>
    <t>47.871.516-X</t>
  </si>
  <si>
    <t>474.652.078-00</t>
  </si>
  <si>
    <t>6014.2026/0000446-7</t>
  </si>
  <si>
    <t>001/0027/A</t>
  </si>
  <si>
    <t xml:space="preserve">ESEQUIAS TAVARES RODRIGUES </t>
  </si>
  <si>
    <t>21.394.107-7</t>
  </si>
  <si>
    <t>168.906.318-11</t>
  </si>
  <si>
    <t>6014.2026/0000470-0</t>
  </si>
  <si>
    <t>001/0037/A</t>
  </si>
  <si>
    <t xml:space="preserve">MANFLINIS GOMES DE OLIVEIRA </t>
  </si>
  <si>
    <t>29.158.615-6</t>
  </si>
  <si>
    <t>188.012.488-22</t>
  </si>
  <si>
    <t>6014.2026/0000476-9</t>
  </si>
  <si>
    <t>002/0024/B</t>
  </si>
  <si>
    <t xml:space="preserve">MARIA DO SOCORRO GOMES </t>
  </si>
  <si>
    <t>29.511.794-1</t>
  </si>
  <si>
    <t>517.035.644-72</t>
  </si>
  <si>
    <t>6014.2026/0000464-5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</si>
  <si>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</si>
  <si>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</si>
  <si>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</si>
  <si>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</si>
  <si>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</si>
  <si>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</si>
  <si>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</si>
  <si>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</si>
  <si>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</si>
  <si>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</si>
  <si>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</si>
  <si>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</si>
  <si>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</si>
  <si>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</si>
  <si>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</si>
  <si>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</si>
  <si>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</si>
  <si>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</si>
  <si>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</si>
  <si>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</si>
  <si>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</si>
  <si>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003/0009/A</t>
  </si>
  <si>
    <t xml:space="preserve">ANTONIO CESAR DE MELO </t>
  </si>
  <si>
    <t>315.223.298-54</t>
  </si>
  <si>
    <t>6014.2026/0000447-5</t>
  </si>
  <si>
    <t>003/0036/A</t>
  </si>
  <si>
    <t xml:space="preserve">CLEIDE REGINA DE JESUS SOUSA </t>
  </si>
  <si>
    <t>32.459.937-7</t>
  </si>
  <si>
    <t>295.582.368-61</t>
  </si>
  <si>
    <t>6014.2026/0000570-6</t>
  </si>
  <si>
    <t>003/0046/A</t>
  </si>
  <si>
    <t>ANGELICA TUIANE RODRIGUES DE PAIVA</t>
  </si>
  <si>
    <t>46.659.659-5</t>
  </si>
  <si>
    <t>355.263.168-23</t>
  </si>
  <si>
    <t>6014.2026/0000572-2</t>
  </si>
  <si>
    <t>003/0051/A</t>
  </si>
  <si>
    <t xml:space="preserve">MARIA SUELEN GOMES DOS SANTOS </t>
  </si>
  <si>
    <t>38.051.128-9</t>
  </si>
  <si>
    <t>499.571.328-06</t>
  </si>
  <si>
    <t>6014.2026/0000475-0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</si>
  <si>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</si>
  <si>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</si>
  <si>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</si>
  <si>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</si>
  <si>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</si>
  <si>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</si>
  <si>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</si>
  <si>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</si>
  <si>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</si>
  <si>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</si>
  <si>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</si>
  <si>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</si>
  <si>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</si>
  <si>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</si>
  <si>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</si>
  <si>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</si>
  <si>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</si>
  <si>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>003/0054/A</t>
  </si>
  <si>
    <t xml:space="preserve">INQUILINO 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</si>
  <si>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</si>
  <si>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</si>
  <si>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</si>
  <si>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</si>
  <si>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</si>
  <si>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</si>
  <si>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</si>
  <si>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003/0056/A</t>
  </si>
  <si>
    <t>JENNIFER DA SILVA DINIZ</t>
  </si>
  <si>
    <t>48.443.133-X</t>
  </si>
  <si>
    <t>441.927.808-01</t>
  </si>
  <si>
    <t>6014.2026/0000473-4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</si>
  <si>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</si>
  <si>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</si>
  <si>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</si>
  <si>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</si>
  <si>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</si>
  <si>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</si>
  <si>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</si>
  <si>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>004/0017/A</t>
  </si>
  <si>
    <t xml:space="preserve">REIGIANE CARNEIRO RIBEIRO </t>
  </si>
  <si>
    <t>68.924.000-4</t>
  </si>
  <si>
    <t>094.924.395-73</t>
  </si>
  <si>
    <t>6014.2025/0008613-5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</si>
  <si>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</si>
  <si>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</si>
  <si>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</si>
  <si>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</si>
  <si>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</si>
  <si>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</si>
  <si>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</si>
  <si>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</si>
  <si>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>003/0007/A</t>
  </si>
  <si>
    <t>LUCAS SANTOS OLIVEIRA</t>
  </si>
  <si>
    <t>52.445.602-1</t>
  </si>
  <si>
    <t>580.937.918-41</t>
  </si>
  <si>
    <t>003/0057/A</t>
  </si>
  <si>
    <t xml:space="preserve">COSMO ADALGIZO MARIANO DA SILVA </t>
  </si>
  <si>
    <t>53.248.334-0</t>
  </si>
  <si>
    <t>695.012.204-78</t>
  </si>
  <si>
    <t>6014.2026/0000647-8</t>
  </si>
  <si>
    <t>JOSE ANDRE COELHO</t>
  </si>
  <si>
    <t>38.520.790-6</t>
  </si>
  <si>
    <t>689.398.683-15</t>
  </si>
  <si>
    <t>6014.2026/0001005-0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</si>
  <si>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</si>
  <si>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</si>
  <si>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</si>
  <si>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</si>
  <si>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</si>
  <si>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</si>
  <si>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</si>
  <si>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</si>
  <si>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 xml:space="preserve">BEATRIZ SOUZA MORAES DA SILVA  </t>
  </si>
  <si>
    <t>38.726.824-8</t>
  </si>
  <si>
    <t>443.862.368-56</t>
  </si>
  <si>
    <t>6014.2026/0000843-8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</si>
  <si>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</si>
  <si>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</si>
  <si>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</si>
  <si>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</si>
  <si>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</si>
  <si>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</si>
  <si>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</si>
  <si>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JOICE VIEIRA GOMES </t>
  </si>
  <si>
    <t>57.910.911-2</t>
  </si>
  <si>
    <t>087.724.714-50</t>
  </si>
  <si>
    <t>6014.2026/0000981-7</t>
  </si>
  <si>
    <t>003/0011/A</t>
  </si>
  <si>
    <t xml:space="preserve">VALDIR CERQUEIRA DA SILVA </t>
  </si>
  <si>
    <t>59.894.504-0</t>
  </si>
  <si>
    <t>025.834.265-08</t>
  </si>
  <si>
    <t>003/0044/B</t>
  </si>
  <si>
    <t xml:space="preserve">ADINOEL DE OLIVEIRA BATISTA </t>
  </si>
  <si>
    <t>38.117.870-05</t>
  </si>
  <si>
    <t>257.950.758-25</t>
  </si>
  <si>
    <t>6014.2026/0000565-0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</si>
  <si>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</si>
  <si>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</si>
  <si>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</si>
  <si>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</si>
  <si>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</si>
  <si>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</si>
  <si>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</si>
  <si>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</si>
  <si>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011/0008/A</t>
  </si>
  <si>
    <t xml:space="preserve">ARINETE MARIA DA CONCEIÇÃO </t>
  </si>
  <si>
    <t>21.931.578-4</t>
  </si>
  <si>
    <t>111.821.388-29</t>
  </si>
  <si>
    <t>6014.2026/0000644-3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</si>
  <si>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</si>
  <si>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</si>
  <si>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</si>
  <si>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</si>
  <si>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</si>
  <si>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</si>
  <si>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</si>
  <si>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</si>
  <si>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</si>
  <si>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</si>
  <si>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</si>
  <si>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</si>
  <si>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>012/0009/A</t>
  </si>
  <si>
    <t xml:space="preserve">GERONALDO PAULINO DE SOUSA </t>
  </si>
  <si>
    <t>58.851.369-6</t>
  </si>
  <si>
    <t>027.748.825-75</t>
  </si>
  <si>
    <t>6014.2026/0000953-1</t>
  </si>
  <si>
    <t>003/0015/B</t>
  </si>
  <si>
    <t xml:space="preserve">ALEX CORREIA FRANCISCO </t>
  </si>
  <si>
    <t>47.219.824-5</t>
  </si>
  <si>
    <t>400.553.438-48</t>
  </si>
  <si>
    <t>013/0019/A</t>
  </si>
  <si>
    <t xml:space="preserve">EXDRAS HENRIQUE VELOSO DA SILVA </t>
  </si>
  <si>
    <t>44.439.138-1</t>
  </si>
  <si>
    <t>345.349.278-19</t>
  </si>
  <si>
    <t>6014.2026/0000884-5</t>
  </si>
  <si>
    <t>001/0002/G</t>
  </si>
  <si>
    <t xml:space="preserve">OCUPADO </t>
  </si>
  <si>
    <t xml:space="preserve">GILFRAN CARNEIRO VIANA </t>
  </si>
  <si>
    <t>62.458.105-58 </t>
  </si>
  <si>
    <t>6014.2026/0000450-5</t>
  </si>
  <si>
    <t>003/0016/A</t>
  </si>
  <si>
    <t>ALEXSANDRO DA SILVA SANTANA</t>
  </si>
  <si>
    <t>47.902.480-7</t>
  </si>
  <si>
    <t>446.954.988-63</t>
  </si>
  <si>
    <t>003/0042/A</t>
  </si>
  <si>
    <t>LUCIANA MARIA DOS SANTOS</t>
  </si>
  <si>
    <t>26.197.351-4</t>
  </si>
  <si>
    <t>203.966.028-35</t>
  </si>
  <si>
    <t>6014.2026/0000463-7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</si>
  <si>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</si>
  <si>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</si>
  <si>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</si>
  <si>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</si>
  <si>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</si>
  <si>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</si>
  <si>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</si>
  <si>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003/0055/A</t>
  </si>
  <si>
    <t xml:space="preserve">WEVERSON PEIXOTO DE OLIVEIRA </t>
  </si>
  <si>
    <t>57.202.129-x</t>
  </si>
  <si>
    <t>488.858.728-08</t>
  </si>
  <si>
    <t>6014.2026/0000568-4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</si>
  <si>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</si>
  <si>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</si>
  <si>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</si>
  <si>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</si>
  <si>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</si>
  <si>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</si>
  <si>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</si>
  <si>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</si>
  <si>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</si>
  <si>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</si>
  <si>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</si>
  <si>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</si>
  <si>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</si>
  <si>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</si>
  <si>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</si>
  <si>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</si>
  <si>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</si>
  <si>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</si>
  <si>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</si>
  <si>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</si>
  <si>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</si>
  <si>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</si>
  <si>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</si>
  <si>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</si>
  <si>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</si>
  <si>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</si>
  <si>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</si>
  <si>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</si>
  <si>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004/0027/A</t>
  </si>
  <si>
    <t xml:space="preserve">LUANA MARIA DE CARVALHO SILVA </t>
  </si>
  <si>
    <t>38.566.323-7</t>
  </si>
  <si>
    <t>476.273.928-61</t>
  </si>
  <si>
    <t>6014.2026/0000462-9</t>
  </si>
  <si>
    <t xml:space="preserve">JOSÉ LEANDRO FERREIRA DE ARAÚJO </t>
  </si>
  <si>
    <t>58.603.542.4</t>
  </si>
  <si>
    <t>096.664.544-83</t>
  </si>
  <si>
    <t>6014.2026/0000460-2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</si>
  <si>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</si>
  <si>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</si>
  <si>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</si>
  <si>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</si>
  <si>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</si>
  <si>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CREUMILDA DE MELO </t>
  </si>
  <si>
    <t>53.909.369-5</t>
  </si>
  <si>
    <t>442.898.205-49</t>
  </si>
  <si>
    <t>6014.2026/0000848-9</t>
  </si>
  <si>
    <t>011/0032/A</t>
  </si>
  <si>
    <t>VILMA ROSA DOS SANTOS</t>
  </si>
  <si>
    <t>44.264.896-0</t>
  </si>
  <si>
    <t>451.403.818-00</t>
  </si>
  <si>
    <t>6014.2025/0008166-4</t>
  </si>
  <si>
    <t>SIMONE SILVA LINHARES</t>
  </si>
  <si>
    <t>25.017.542-3</t>
  </si>
  <si>
    <t>250.650.878-30</t>
  </si>
  <si>
    <t>6014.2026/0000695-8</t>
  </si>
  <si>
    <t xml:space="preserve">ANTONIO CARLOS PEREIRA DA SILVA </t>
  </si>
  <si>
    <t>25.556.205-6</t>
  </si>
  <si>
    <t>097.939.308-61</t>
  </si>
  <si>
    <t>6014.2026/0000642-7</t>
  </si>
  <si>
    <t>003/0021/A</t>
  </si>
  <si>
    <t xml:space="preserve">LUENE DE SOUZA ALVES </t>
  </si>
  <si>
    <t>52.375.017-1</t>
  </si>
  <si>
    <t>477.863.608-24</t>
  </si>
  <si>
    <t>002/0019/A</t>
  </si>
  <si>
    <t xml:space="preserve">CLEBER CARDOSO PEREIRA </t>
  </si>
  <si>
    <t>62.374.657-8</t>
  </si>
  <si>
    <t>059.325.415-55</t>
  </si>
  <si>
    <t>6014.2026/0001028-9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</si>
  <si>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</si>
  <si>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</si>
  <si>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</si>
  <si>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</si>
  <si>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</si>
  <si>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</si>
  <si>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</si>
  <si>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002/0020/A</t>
  </si>
  <si>
    <t xml:space="preserve">IRENO DA COSTA CARVALHO </t>
  </si>
  <si>
    <t>63.213.769-1</t>
  </si>
  <si>
    <t>994.778.823-72</t>
  </si>
  <si>
    <t>6014.2026/0000973-6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</si>
  <si>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</si>
  <si>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</si>
  <si>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</si>
  <si>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</si>
  <si>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</si>
  <si>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</si>
  <si>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</si>
  <si>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</si>
  <si>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 xml:space="preserve">ELVIS PEREIRA MATOS </t>
  </si>
  <si>
    <t>59.166.408-2</t>
  </si>
  <si>
    <t>505.892.018-24</t>
  </si>
  <si>
    <t>6014.2026/0000879-9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</si>
  <si>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</si>
  <si>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</si>
  <si>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</si>
  <si>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</si>
  <si>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</si>
  <si>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</si>
  <si>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</si>
  <si>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</si>
  <si>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</si>
  <si>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</si>
  <si>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</si>
  <si>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</si>
  <si>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</si>
  <si>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</si>
  <si>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</si>
  <si>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</si>
  <si>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</si>
  <si>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</si>
  <si>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</si>
  <si>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</si>
  <si>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</si>
  <si>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</si>
  <si>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</si>
  <si>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</si>
  <si>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</si>
  <si>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</si>
  <si>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</si>
  <si>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</si>
  <si>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</si>
  <si>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</si>
  <si>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</si>
  <si>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</si>
  <si>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</si>
  <si>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</si>
  <si>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</si>
  <si>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</si>
  <si>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</si>
  <si>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</si>
  <si>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</si>
  <si>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</si>
  <si>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</si>
  <si>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</si>
  <si>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</si>
  <si>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 xml:space="preserve">MARIA GORETE ARAUJO SANTIAGO </t>
  </si>
  <si>
    <t>842.102.733-68</t>
  </si>
  <si>
    <t>6014.2026/0000959-0</t>
  </si>
  <si>
    <t>003/0012/A</t>
  </si>
  <si>
    <t xml:space="preserve">LUIZA HELENA RODRIGUES </t>
  </si>
  <si>
    <t>35.568.519-X</t>
  </si>
  <si>
    <t>278.824.328-65</t>
  </si>
  <si>
    <t>6014.2026/0000965-5</t>
  </si>
  <si>
    <t>003/0033/A</t>
  </si>
  <si>
    <t>CRISTINA DA SILVA</t>
  </si>
  <si>
    <t>24.667.603-6</t>
  </si>
  <si>
    <t>141.962.868-28</t>
  </si>
  <si>
    <t>003/0020/G</t>
  </si>
  <si>
    <t xml:space="preserve">EVANILTON ALVES OLIVEIRA  </t>
  </si>
  <si>
    <t>16.099.787-90</t>
  </si>
  <si>
    <t>048.565.425-32</t>
  </si>
  <si>
    <t>6014.2026/0000882-9</t>
  </si>
  <si>
    <t>003/0034/A</t>
  </si>
  <si>
    <t>MARLENICE NOGUEIRA DA SILVA</t>
  </si>
  <si>
    <t>59.471.138-1</t>
  </si>
  <si>
    <t>070.722.884-06</t>
  </si>
  <si>
    <t>003/0040/A</t>
  </si>
  <si>
    <t xml:space="preserve">LUCIA MARIA DOS SANTOS </t>
  </si>
  <si>
    <t>35.991.252-7</t>
  </si>
  <si>
    <t>697.858.304-97</t>
  </si>
  <si>
    <t>6014.2026/0001011-4</t>
  </si>
  <si>
    <t>003/0035/A</t>
  </si>
  <si>
    <t>PORFIRIO SABINO</t>
  </si>
  <si>
    <t>168.978.568-35</t>
  </si>
  <si>
    <t>003/0084/A</t>
  </si>
  <si>
    <t xml:space="preserve">BRENDA FERREIRA DE OLIVEIRA </t>
  </si>
  <si>
    <t>62.817.689-2</t>
  </si>
  <si>
    <t>859.251.245-02</t>
  </si>
  <si>
    <t>6014.2026/0000846-2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</si>
  <si>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</si>
  <si>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</si>
  <si>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</si>
  <si>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</si>
  <si>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</si>
  <si>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</si>
  <si>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</si>
  <si>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</si>
  <si>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</si>
  <si>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</si>
  <si>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</si>
  <si>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</si>
  <si>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</si>
  <si>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</si>
  <si>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</si>
  <si>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</si>
  <si>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</si>
  <si>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>011/0026/A</t>
  </si>
  <si>
    <t xml:space="preserve">ERENITA MARIA DA SILVA </t>
  </si>
  <si>
    <t>066.954.618-64</t>
  </si>
  <si>
    <t xml:space="preserve">CADASTRADO </t>
  </si>
  <si>
    <t>6014.2026/0000704-0</t>
  </si>
  <si>
    <t>003/0042/B</t>
  </si>
  <si>
    <t xml:space="preserve">SOLANGE DAS NEVES RIBEIRO DE SOUSA </t>
  </si>
  <si>
    <t>275.105.178-26</t>
  </si>
  <si>
    <t xml:space="preserve">6014.2026/0001018-1 </t>
  </si>
  <si>
    <t>003/0039/A</t>
  </si>
  <si>
    <t>LARISSA BATISTA DA SILVA</t>
  </si>
  <si>
    <t>609.517.528-39</t>
  </si>
  <si>
    <t xml:space="preserve">RAFAELA CARDOSO DE SOUZA </t>
  </si>
  <si>
    <t>60.539.394-1</t>
  </si>
  <si>
    <t>525.982.878-00</t>
  </si>
  <si>
    <t>6014.2026/0001049-1</t>
  </si>
  <si>
    <t>003/0039/AF2</t>
  </si>
  <si>
    <t xml:space="preserve">ANTONIO DAS CHAGAS DE SOUSA </t>
  </si>
  <si>
    <t>319.465.838-71</t>
  </si>
  <si>
    <t xml:space="preserve">CARLOS DANIEL ROCHA DA SILVA </t>
  </si>
  <si>
    <t>126.028.364-00</t>
  </si>
  <si>
    <t xml:space="preserve">SIMONE PEREIRA BRITO DA SILVA </t>
  </si>
  <si>
    <t>44.277.830-2</t>
  </si>
  <si>
    <t>330.971.178-14</t>
  </si>
  <si>
    <t>6014.2026/0000590-0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</si>
  <si>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</si>
  <si>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</si>
  <si>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</si>
  <si>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</si>
  <si>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</si>
  <si>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</si>
  <si>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</si>
  <si>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</si>
  <si>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</si>
  <si>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</si>
  <si>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 xml:space="preserve">JENIFER ALINE SANTANA DE ARAUJO </t>
  </si>
  <si>
    <t>49.145.487-9</t>
  </si>
  <si>
    <t>412.301.608-17</t>
  </si>
  <si>
    <t>6014.2026/0001059-9</t>
  </si>
  <si>
    <t xml:space="preserve">JULIA DOMINGUES DA CRUZ </t>
  </si>
  <si>
    <t>54.199.072-X</t>
  </si>
  <si>
    <t>441.105.788-33</t>
  </si>
  <si>
    <t>003/0013/A</t>
  </si>
  <si>
    <t xml:space="preserve">ROBSON SILVA DE LIMA </t>
  </si>
  <si>
    <t>52.001.480-7</t>
  </si>
  <si>
    <t>099.378.595-65</t>
  </si>
  <si>
    <t>6014.2026/0000595-1</t>
  </si>
  <si>
    <t>003/0019/C</t>
  </si>
  <si>
    <t xml:space="preserve">LINSMÁRCIA SOUZA RIBEIRO </t>
  </si>
  <si>
    <t>45.534.335-4</t>
  </si>
  <si>
    <t>399.637.258-21</t>
  </si>
  <si>
    <t>6014.2026/0001009-2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</si>
  <si>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</si>
  <si>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</si>
  <si>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</si>
  <si>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</si>
  <si>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</si>
  <si>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</si>
  <si>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003/0020/F</t>
  </si>
  <si>
    <t xml:space="preserve">ELIENE ALVES DE OLIVEIRA </t>
  </si>
  <si>
    <t>63.801.406-2</t>
  </si>
  <si>
    <t>045.889.655-14</t>
  </si>
  <si>
    <t>6014.2026/0001265-6</t>
  </si>
  <si>
    <t>003/0045/A</t>
  </si>
  <si>
    <t>FELIPE JOSÉ DOS SANTOS</t>
  </si>
  <si>
    <t>42.672.508-6</t>
  </si>
  <si>
    <t>455.729.328-09</t>
  </si>
  <si>
    <t xml:space="preserve">EVALDO SERRA NABAT </t>
  </si>
  <si>
    <t>57.452.476-9</t>
  </si>
  <si>
    <t>961.825.393-72</t>
  </si>
  <si>
    <t>6014.2026/0000921-3</t>
  </si>
  <si>
    <t xml:space="preserve">CRISTIANE MARQUES DE SOUZA ARAUJO </t>
  </si>
  <si>
    <t>33.382.954-2</t>
  </si>
  <si>
    <t>327.368.758-42</t>
  </si>
  <si>
    <t>6014.2026/0001172-2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</si>
  <si>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</si>
  <si>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</si>
  <si>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</si>
  <si>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</si>
  <si>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</si>
  <si>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</si>
  <si>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</si>
  <si>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</si>
  <si>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</si>
  <si>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</si>
  <si>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</si>
  <si>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</si>
  <si>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</si>
  <si>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</si>
  <si>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</si>
  <si>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</si>
  <si>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</si>
  <si>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</si>
  <si>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</si>
  <si>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002/0007/C</t>
  </si>
  <si>
    <t xml:space="preserve">ANA LUCIA KAROLINY COSTA ALMEIDA </t>
  </si>
  <si>
    <t>41.421.741-X</t>
  </si>
  <si>
    <t>354.251.898-00</t>
  </si>
  <si>
    <t>6014.2026/0004018-8</t>
  </si>
  <si>
    <t xml:space="preserve">WERYCLIS SILVA DE ANDRADE  </t>
  </si>
  <si>
    <t>47.819.267-8</t>
  </si>
  <si>
    <t>432.683.038-70</t>
  </si>
  <si>
    <t xml:space="preserve">6014.2026/0000585-4 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</si>
  <si>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</si>
  <si>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</si>
  <si>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</si>
  <si>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</si>
  <si>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</si>
  <si>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</si>
  <si>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</si>
  <si>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</si>
  <si>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004/0009/A</t>
  </si>
  <si>
    <t xml:space="preserve">MARIA DE LOURDES DA SILVA SANTOS </t>
  </si>
  <si>
    <t>066.725.464-13</t>
  </si>
  <si>
    <t>6014.2026/0000700-8</t>
  </si>
  <si>
    <t>008/0022/A</t>
  </si>
  <si>
    <t xml:space="preserve">NADIA BEATRIZ DOS SANTOS LIMA </t>
  </si>
  <si>
    <t>52.784.176-6</t>
  </si>
  <si>
    <t>575.611.638-94</t>
  </si>
  <si>
    <t>6014.2026/0000862-4</t>
  </si>
  <si>
    <t>009/0026/A</t>
  </si>
  <si>
    <t xml:space="preserve">MAURILIO JOSE DE SOUZA </t>
  </si>
  <si>
    <t>38.109.348-7</t>
  </si>
  <si>
    <t>307.524.003-63</t>
  </si>
  <si>
    <t>6014.2026/0000955-8</t>
  </si>
  <si>
    <t>003/0058/A</t>
  </si>
  <si>
    <t>NAJLA DE SOUSA OLIVEIRA</t>
  </si>
  <si>
    <t>43.613..704-5</t>
  </si>
  <si>
    <t>438.400.188-62</t>
  </si>
  <si>
    <t>010/0008/A</t>
  </si>
  <si>
    <t xml:space="preserve">KELLY CRISTINA SILVA TENÓRIO </t>
  </si>
  <si>
    <t>52.220.789.3</t>
  </si>
  <si>
    <t>495.985.288.71</t>
  </si>
  <si>
    <t>6014.2026/0000929-9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</si>
  <si>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</si>
  <si>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</si>
  <si>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</si>
  <si>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</si>
  <si>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</si>
  <si>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</si>
  <si>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</si>
  <si>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</si>
  <si>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ROSELI APARECIDA CARDOSO DOS SANTOS</t>
  </si>
  <si>
    <t>23.553.256-3</t>
  </si>
  <si>
    <t>297.937.398-27</t>
  </si>
  <si>
    <t>6014.2026/0001565-5</t>
  </si>
  <si>
    <t>ALESSANDRA DOS SANTOS OLIVEIRA</t>
  </si>
  <si>
    <t>38.869.459-2</t>
  </si>
  <si>
    <t>387.790.678-83</t>
  </si>
  <si>
    <t>6014.2026/0001182-0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</si>
  <si>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</si>
  <si>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</si>
  <si>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</si>
  <si>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</si>
  <si>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</si>
  <si>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</si>
  <si>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</si>
  <si>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</si>
  <si>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</si>
  <si>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</si>
  <si>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</si>
  <si>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</si>
  <si>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</si>
  <si>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</si>
  <si>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</si>
  <si>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CLEMENS MARTINS DA CRUZ</t>
  </si>
  <si>
    <t>142.323.228/33</t>
  </si>
  <si>
    <t>6014.2026/0002211-2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</si>
  <si>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</si>
  <si>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</si>
  <si>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</si>
  <si>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</si>
  <si>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</si>
  <si>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</si>
  <si>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</si>
  <si>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</si>
  <si>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</si>
  <si>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</si>
  <si>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</si>
  <si>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</si>
  <si>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</si>
  <si>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</si>
  <si>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</si>
  <si>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</si>
  <si>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</si>
  <si>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</si>
  <si>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 xml:space="preserve">THAMYRIS ERNESTO DOS SANTOS </t>
  </si>
  <si>
    <t>34.346.543-7</t>
  </si>
  <si>
    <t>366.046.798-70</t>
  </si>
  <si>
    <t>6014.2026/0001765-8</t>
  </si>
  <si>
    <t>008/0005/B</t>
  </si>
  <si>
    <t xml:space="preserve">DEISE DOS SANTOS TRINDADE </t>
  </si>
  <si>
    <t>55.066.300-9</t>
  </si>
  <si>
    <t>467.546.278-24</t>
  </si>
  <si>
    <t>6014.2026/0002405-0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</si>
  <si>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</si>
  <si>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</si>
  <si>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</si>
  <si>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</si>
  <si>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</si>
  <si>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</si>
  <si>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</si>
  <si>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</si>
  <si>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</si>
  <si>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</si>
  <si>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</si>
  <si>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</si>
  <si>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</si>
  <si>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</si>
  <si>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</si>
  <si>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</si>
  <si>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</si>
  <si>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</si>
  <si>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</si>
  <si>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</si>
  <si>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</si>
  <si>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</si>
  <si>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</si>
  <si>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</si>
  <si>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</si>
  <si>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</si>
  <si>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JUVENITA BARBOSA CORREIA </t>
  </si>
  <si>
    <t>25.942.886-3</t>
  </si>
  <si>
    <t>667.504.314-53</t>
  </si>
  <si>
    <t>6014.2026/0000989-2</t>
  </si>
  <si>
    <t>004/0011/A</t>
  </si>
  <si>
    <t xml:space="preserve">SARA CARLOS DA SILVA </t>
  </si>
  <si>
    <t>57.534.079-4</t>
  </si>
  <si>
    <t>240.477.108-65</t>
  </si>
  <si>
    <t>003/0019/D</t>
  </si>
  <si>
    <t xml:space="preserve">DANIELLY LUZ DE ALMEIDA </t>
  </si>
  <si>
    <t>47.259.920-3</t>
  </si>
  <si>
    <t>467.533.378-81</t>
  </si>
  <si>
    <t>6014.2026/0000849-7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</si>
  <si>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</si>
  <si>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</si>
  <si>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</si>
  <si>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</si>
  <si>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</si>
  <si>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</si>
  <si>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</si>
  <si>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</si>
  <si>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004/0033/A</t>
  </si>
  <si>
    <t xml:space="preserve">INGRID MICHELLE DAMASCENO MARQUES </t>
  </si>
  <si>
    <t>67.336.101-9</t>
  </si>
  <si>
    <t>610.405.893-08</t>
  </si>
  <si>
    <t>6014.2026/0000957-4</t>
  </si>
  <si>
    <t xml:space="preserve">HECTOR NATAN LIMA DA SILVA </t>
  </si>
  <si>
    <t>63.122.464-0</t>
  </si>
  <si>
    <t>900.650.968-00</t>
  </si>
  <si>
    <t>005/0001/A</t>
  </si>
  <si>
    <t>RAQUEL MARIA DE MACEDO</t>
  </si>
  <si>
    <t>64.915.385-6</t>
  </si>
  <si>
    <t>858.261.935-90</t>
  </si>
  <si>
    <t>6014.2026/0000597-8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</si>
  <si>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</si>
  <si>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</si>
  <si>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</si>
  <si>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</si>
  <si>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</si>
  <si>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</si>
  <si>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</si>
  <si>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</si>
  <si>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</si>
  <si>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</si>
  <si>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</si>
  <si>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</si>
  <si>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</si>
  <si>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</si>
  <si>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</si>
  <si>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</si>
  <si>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</si>
  <si>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</si>
  <si>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005/0013/A</t>
  </si>
  <si>
    <t>GUMERCINDO PEREIRA</t>
  </si>
  <si>
    <t>5.583.917-4</t>
  </si>
  <si>
    <t>563.312.158-91</t>
  </si>
  <si>
    <t>6014.2026/0001064-5</t>
  </si>
  <si>
    <t xml:space="preserve">EVERALDO VIEIRA DA SILVA </t>
  </si>
  <si>
    <t>19.536.421-1</t>
  </si>
  <si>
    <t>092.268.628-93</t>
  </si>
  <si>
    <t>007/0007/A</t>
  </si>
  <si>
    <t xml:space="preserve">JOSÉ RIBEIRO DE MOURA </t>
  </si>
  <si>
    <t>38.443.221-9</t>
  </si>
  <si>
    <t>042.681.884-95</t>
  </si>
  <si>
    <t>6014.2026/0001019-0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</si>
  <si>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</si>
  <si>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</si>
  <si>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</si>
  <si>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</si>
  <si>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</si>
  <si>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</si>
  <si>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</si>
  <si>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</si>
  <si>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</si>
  <si>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</si>
  <si>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</si>
  <si>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</si>
  <si>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</si>
  <si>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</si>
  <si>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</si>
  <si>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</si>
  <si>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</si>
  <si>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</si>
  <si>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</si>
  <si>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007/0008/A</t>
  </si>
  <si>
    <t xml:space="preserve"> DORICIO ALVES DE SOUZA </t>
  </si>
  <si>
    <t>28.142.225-4</t>
  </si>
  <si>
    <t>621.790.395-49</t>
  </si>
  <si>
    <t>6014.2026/0000914-0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</si>
  <si>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</si>
  <si>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</si>
  <si>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</si>
  <si>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</si>
  <si>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</si>
  <si>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</si>
  <si>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</si>
  <si>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</si>
  <si>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</si>
  <si>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</si>
  <si>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</si>
  <si>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</si>
  <si>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</si>
  <si>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</si>
  <si>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</si>
  <si>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</si>
  <si>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</si>
  <si>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008/0042/A</t>
  </si>
  <si>
    <t xml:space="preserve">JUCIENE DOS SANTOS SILVA </t>
  </si>
  <si>
    <t>67.511.252-7</t>
  </si>
  <si>
    <t>113.482.394-09</t>
  </si>
  <si>
    <t>6014.2026/0000571-4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</si>
  <si>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</si>
  <si>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</si>
  <si>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</si>
  <si>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</si>
  <si>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</si>
  <si>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</si>
  <si>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</si>
  <si>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</si>
  <si>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011/0007/A</t>
  </si>
  <si>
    <t xml:space="preserve">CONSTRUÇÃO </t>
  </si>
  <si>
    <t xml:space="preserve">ANDRESSA RAMALHO DOS SANTOS </t>
  </si>
  <si>
    <t>57.821.564-0</t>
  </si>
  <si>
    <t>480.715.648-93</t>
  </si>
  <si>
    <t>6014.2026/0000639-7</t>
  </si>
  <si>
    <t>011/0009/A</t>
  </si>
  <si>
    <t xml:space="preserve">EDISON DE JESUS </t>
  </si>
  <si>
    <t>36.975.138-3</t>
  </si>
  <si>
    <t>383.805.365-68</t>
  </si>
  <si>
    <t>6014.2026/0000710-5</t>
  </si>
  <si>
    <t>004/0028/AF2</t>
  </si>
  <si>
    <t xml:space="preserve">GLEYBSON COSTA NEVES </t>
  </si>
  <si>
    <t>67.140.681-4</t>
  </si>
  <si>
    <t>617.377.933-18</t>
  </si>
  <si>
    <t>012/0008/B</t>
  </si>
  <si>
    <t xml:space="preserve">ELIAS RIBEIRO GUIMARÃES </t>
  </si>
  <si>
    <t>48.478.955-7</t>
  </si>
  <si>
    <t>381.229.248-32</t>
  </si>
  <si>
    <t>6014.2026/0000707-5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</si>
  <si>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</si>
  <si>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</si>
  <si>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</si>
  <si>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</si>
  <si>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</si>
  <si>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</si>
  <si>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002/0014/A</t>
  </si>
  <si>
    <t xml:space="preserve">MARINALVA DOS SANTOS </t>
  </si>
  <si>
    <t>63.843.780-5</t>
  </si>
  <si>
    <t>045.174.525-65</t>
  </si>
  <si>
    <t>6014.2026/0000954-0</t>
  </si>
  <si>
    <t xml:space="preserve">JÉSSIKA DE ANDRADE SOUZA </t>
  </si>
  <si>
    <t>56.766.404-1</t>
  </si>
  <si>
    <t>073.054.673-08</t>
  </si>
  <si>
    <t>6014.2026/0000925-6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</si>
  <si>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</si>
  <si>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</si>
  <si>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</si>
  <si>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</si>
  <si>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</si>
  <si>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</si>
  <si>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</si>
  <si>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</si>
  <si>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006/0010/B</t>
  </si>
  <si>
    <t xml:space="preserve">CAMILA DE LIRA FERNANDES </t>
  </si>
  <si>
    <t>55.939.446-9</t>
  </si>
  <si>
    <t>491.200.608-40</t>
  </si>
  <si>
    <t>6014.2026/0000847-0</t>
  </si>
  <si>
    <t>007/0002/A</t>
  </si>
  <si>
    <t xml:space="preserve">DOUGLAS MIRANDA DA SILVA </t>
  </si>
  <si>
    <t>30.170.318-8</t>
  </si>
  <si>
    <t>269.438.568-04</t>
  </si>
  <si>
    <t>6014.2026/0000870-5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</si>
  <si>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</si>
  <si>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</si>
  <si>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</si>
  <si>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</si>
  <si>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</si>
  <si>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</si>
  <si>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</si>
  <si>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>6014.2026/0001767-4</t>
  </si>
  <si>
    <t>002/0022/D</t>
  </si>
  <si>
    <t xml:space="preserve">EMERSON JOSÉ ROCHA SOARES </t>
  </si>
  <si>
    <t>60.510.096.2</t>
  </si>
  <si>
    <t>054.868.845.16</t>
  </si>
  <si>
    <t>6014.2026/0001933-2</t>
  </si>
  <si>
    <t>005/0003/A</t>
  </si>
  <si>
    <t xml:space="preserve">TALITA ARAÚJO DE SOUZA </t>
  </si>
  <si>
    <t>43.187.035-4</t>
  </si>
  <si>
    <t>359.042.098-78</t>
  </si>
  <si>
    <t xml:space="preserve">DANIEL ALVES DA SILVA FILHO </t>
  </si>
  <si>
    <t>53.473.643-9</t>
  </si>
  <si>
    <t>441.747.468-00</t>
  </si>
  <si>
    <t>6014.2026/0001971-5</t>
  </si>
  <si>
    <t>THIAGO PAES CAVALCANTE</t>
  </si>
  <si>
    <t>405.351.638-27</t>
  </si>
  <si>
    <t>6014.2026/0001258-3</t>
  </si>
  <si>
    <t>007/0038/A</t>
  </si>
  <si>
    <t xml:space="preserve">TAYNÁ TAMARA DA SILVA </t>
  </si>
  <si>
    <t>48.710.655-9</t>
  </si>
  <si>
    <t>422.901.008-70</t>
  </si>
  <si>
    <t>6014.2026/0000579-0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</si>
  <si>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</si>
  <si>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</si>
  <si>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</si>
  <si>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</si>
  <si>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</si>
  <si>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</si>
  <si>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</si>
  <si>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</si>
  <si>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</si>
  <si>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 xml:space="preserve">JADILSON DA SILVA PINHEIRO </t>
  </si>
  <si>
    <t>429.143.478-20</t>
  </si>
  <si>
    <t>6014.2026/0000977-9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</si>
  <si>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</si>
  <si>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</si>
  <si>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</si>
  <si>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</si>
  <si>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</si>
  <si>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</si>
  <si>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 xml:space="preserve">LORISVAL JESUS DOS SANTOS </t>
  </si>
  <si>
    <t>66.909.459-6</t>
  </si>
  <si>
    <t>082.624.395-97</t>
  </si>
  <si>
    <t> 6014.2026/0000625-7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</si>
  <si>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</si>
  <si>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</si>
  <si>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</si>
  <si>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</si>
  <si>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</si>
  <si>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</si>
  <si>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</si>
  <si>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</si>
  <si>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 xml:space="preserve">EDMUNDO ESTEVAM DA COSTA </t>
  </si>
  <si>
    <t>26.256.460-9</t>
  </si>
  <si>
    <t>280.533.768-94</t>
  </si>
  <si>
    <t>6014.2026/0000583-8</t>
  </si>
  <si>
    <t xml:space="preserve">ROBERTO FRANCISCO NETO </t>
  </si>
  <si>
    <t>034.705.005-09</t>
  </si>
  <si>
    <t>6014.2026/0002706-8</t>
  </si>
  <si>
    <t xml:space="preserve">JOSENEIDE VIEIRA DA COSTA BATISTA </t>
  </si>
  <si>
    <t>37.761.058-6</t>
  </si>
  <si>
    <t>312.972.528-88</t>
  </si>
  <si>
    <t>6014.2026/0001052-1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</si>
  <si>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</si>
  <si>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</si>
  <si>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</si>
  <si>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</si>
  <si>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</si>
  <si>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</si>
  <si>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</si>
  <si>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</si>
  <si>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002/0011/A</t>
  </si>
  <si>
    <t>EUDES BORGES DOS SANTOS</t>
  </si>
  <si>
    <t>48.195.396-6</t>
  </si>
  <si>
    <t>415.266.718-40</t>
  </si>
  <si>
    <t>6014.2026/0001976-6</t>
  </si>
  <si>
    <t>002/0015/A</t>
  </si>
  <si>
    <t xml:space="preserve">DANILO AQUINO MORENO </t>
  </si>
  <si>
    <t>44.001.742-7</t>
  </si>
  <si>
    <t>403.392.358-61</t>
  </si>
  <si>
    <t>6014.2026/0001338-5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</si>
  <si>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</si>
  <si>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</si>
  <si>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</si>
  <si>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</si>
  <si>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</si>
  <si>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</si>
  <si>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</si>
  <si>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</si>
  <si>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</si>
  <si>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</si>
  <si>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</si>
  <si>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</si>
  <si>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</si>
  <si>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</si>
  <si>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</si>
  <si>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</si>
  <si>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</si>
  <si>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</si>
  <si>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</si>
  <si>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</si>
  <si>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</si>
  <si>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</si>
  <si>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</si>
  <si>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</si>
  <si>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</si>
  <si>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</si>
  <si>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</si>
  <si>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</si>
  <si>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</si>
  <si>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</si>
  <si>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</si>
  <si>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</si>
  <si>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</si>
  <si>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</si>
  <si>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 xml:space="preserve">WESLEY MENDES DA SILVEIRA </t>
  </si>
  <si>
    <t>494.279.318-17</t>
  </si>
  <si>
    <t>6014.2026/0001250-8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</si>
  <si>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</si>
  <si>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</si>
  <si>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</si>
  <si>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</si>
  <si>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</si>
  <si>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</si>
  <si>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</si>
  <si>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</si>
  <si>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</si>
  <si>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</si>
  <si>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</si>
  <si>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</si>
  <si>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</si>
  <si>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</si>
  <si>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</si>
  <si>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</si>
  <si>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</si>
  <si>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</si>
  <si>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</si>
  <si>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</si>
  <si>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</si>
  <si>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</si>
  <si>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</si>
  <si>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</si>
  <si>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</si>
  <si>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</si>
  <si>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</si>
  <si>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</si>
  <si>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</si>
  <si>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</si>
  <si>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</si>
  <si>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</si>
  <si>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</si>
  <si>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</si>
  <si>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</si>
  <si>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</si>
  <si>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</si>
  <si>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</si>
  <si>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</si>
  <si>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</si>
  <si>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</si>
  <si>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</si>
  <si>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</si>
  <si>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</si>
  <si>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</si>
  <si>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</si>
  <si>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002/0018/C</t>
  </si>
  <si>
    <t>CÍCERA DENALVA DE SOUZA</t>
  </si>
  <si>
    <t>35.888.889-X</t>
  </si>
  <si>
    <t>329.957.048-07</t>
  </si>
  <si>
    <t>6014.2026/0001930-8</t>
  </si>
  <si>
    <t>MARCIA SOUZA DA CRUZ</t>
  </si>
  <si>
    <t>46.815.719-0</t>
  </si>
  <si>
    <t>361.455.538-04</t>
  </si>
  <si>
    <t>6014.2026/0002349-6</t>
  </si>
  <si>
    <t>EM BLOCO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</si>
  <si>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</si>
  <si>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</si>
  <si>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</si>
  <si>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</si>
  <si>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</si>
  <si>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</si>
  <si>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</si>
  <si>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</si>
  <si>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</si>
  <si>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</si>
  <si>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006/0011/A</t>
  </si>
  <si>
    <t>FABRICIO DIAS SANTOS</t>
  </si>
  <si>
    <t>63.181.110-2</t>
  </si>
  <si>
    <t>533.751.948-46</t>
  </si>
  <si>
    <t>6014.2026/0003072-7</t>
  </si>
  <si>
    <t>ILMAR SOUSA DA CRUZ</t>
  </si>
  <si>
    <t>30.561.276-1</t>
  </si>
  <si>
    <t>258.158.648-62</t>
  </si>
  <si>
    <t>6014.2026/0001977-4</t>
  </si>
  <si>
    <t>007/0004/B</t>
  </si>
  <si>
    <t xml:space="preserve">MARINA RODRIGUES PERETTA </t>
  </si>
  <si>
    <t>52.813.636-7</t>
  </si>
  <si>
    <t>509.890.798-56</t>
  </si>
  <si>
    <t xml:space="preserve">LUCIANA FERREIRA </t>
  </si>
  <si>
    <t>34.628.277-9</t>
  </si>
  <si>
    <t>318.779.838-10</t>
  </si>
  <si>
    <t>6014.2026/0002407-7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</si>
  <si>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</si>
  <si>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</si>
  <si>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</si>
  <si>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</si>
  <si>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</si>
  <si>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</si>
  <si>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</si>
  <si>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</si>
  <si>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 xml:space="preserve">MARIA JOSEFA ABRANTES </t>
  </si>
  <si>
    <t>37.912.692-8</t>
  </si>
  <si>
    <t>341.913.178-06</t>
  </si>
  <si>
    <t>6014.2026/0002491-3</t>
  </si>
  <si>
    <t>007/0006/B</t>
  </si>
  <si>
    <t xml:space="preserve">WILLIAM LIMA DA SILVA </t>
  </si>
  <si>
    <t>55.132.981-6</t>
  </si>
  <si>
    <t>437.615.768-62</t>
  </si>
  <si>
    <t xml:space="preserve">LEANDRO DOS SANTOS </t>
  </si>
  <si>
    <t>34.838.657-6</t>
  </si>
  <si>
    <t>379.202.498-56</t>
  </si>
  <si>
    <t>6014.2026/0001943-0</t>
  </si>
  <si>
    <t>CRISLANIA MAURA DE SOUZA ARAÚJO</t>
  </si>
  <si>
    <t>43.508.382-X</t>
  </si>
  <si>
    <t>438.570.118-07</t>
  </si>
  <si>
    <t>002/0025/A</t>
  </si>
  <si>
    <t xml:space="preserve">MARIA LUIZA DA SILVA </t>
  </si>
  <si>
    <t>36.583.894-9</t>
  </si>
  <si>
    <t>313.328.558-06</t>
  </si>
  <si>
    <t>6014.2026/0001940-5</t>
  </si>
  <si>
    <t xml:space="preserve">HELOISE NUNES MONTEIRO </t>
  </si>
  <si>
    <t>60.325.880-3</t>
  </si>
  <si>
    <t>505.867.128-01</t>
  </si>
  <si>
    <t>008/0037/A</t>
  </si>
  <si>
    <t>EMILE FARIAS SILVA</t>
  </si>
  <si>
    <t>58.663.032-6</t>
  </si>
  <si>
    <t>542.961.348-76</t>
  </si>
  <si>
    <t>6014.2026/0001626-0</t>
  </si>
  <si>
    <t>011/0008/B</t>
  </si>
  <si>
    <t xml:space="preserve">MARIA CRISTINA RAMALHO </t>
  </si>
  <si>
    <t>35.685.712-8</t>
  </si>
  <si>
    <t>336.853.448-38</t>
  </si>
  <si>
    <t>6014.2026/0001026-2</t>
  </si>
  <si>
    <t>012/0002/A</t>
  </si>
  <si>
    <t>MARLEI NASCIMENTO LEITÃO</t>
  </si>
  <si>
    <t>46.678.036-9</t>
  </si>
  <si>
    <t>361.826.198-56</t>
  </si>
  <si>
    <t>6014.2026/0001332-6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</si>
  <si>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</si>
  <si>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</si>
  <si>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</si>
  <si>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</si>
  <si>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</si>
  <si>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</si>
  <si>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</si>
  <si>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</si>
  <si>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</si>
  <si>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</si>
  <si>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</si>
  <si>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</si>
  <si>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</si>
  <si>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</si>
  <si>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</si>
  <si>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</si>
  <si>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</si>
  <si>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</si>
  <si>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</si>
  <si>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</si>
  <si>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</si>
  <si>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</si>
  <si>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</si>
  <si>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</si>
  <si>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</si>
  <si>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</si>
  <si>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</si>
  <si>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</si>
  <si>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</si>
  <si>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</si>
  <si>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</si>
  <si>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</si>
  <si>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</si>
  <si>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</si>
  <si>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</si>
  <si>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</si>
  <si>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</si>
  <si>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</si>
  <si>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</si>
  <si>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</si>
  <si>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</si>
  <si>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</si>
  <si>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</si>
  <si>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</si>
  <si>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</si>
  <si>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</si>
  <si>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</si>
  <si>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</si>
  <si>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</si>
  <si>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</si>
  <si>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</si>
  <si>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</si>
  <si>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</si>
  <si>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</si>
  <si>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</si>
  <si>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012/0005/B</t>
  </si>
  <si>
    <t xml:space="preserve">ROSIMERE LOURENÇO LOPES </t>
  </si>
  <si>
    <t>37.959.096-7</t>
  </si>
  <si>
    <t>300.520.058-28</t>
  </si>
  <si>
    <t>6014.2026/0001594-9</t>
  </si>
  <si>
    <t>012/0023/A</t>
  </si>
  <si>
    <t>ADILTON DE JESUS NEVES</t>
  </si>
  <si>
    <t>__</t>
  </si>
  <si>
    <t>013.926.275-08</t>
  </si>
  <si>
    <t>6014.2026/0001336-9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</si>
  <si>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</si>
  <si>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</si>
  <si>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</si>
  <si>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</si>
  <si>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</si>
  <si>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</si>
  <si>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</si>
  <si>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</si>
  <si>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</si>
  <si>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</si>
  <si>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</si>
  <si>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</si>
  <si>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</si>
  <si>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</si>
  <si>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</si>
  <si>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</si>
  <si>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</si>
  <si>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</si>
  <si>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</si>
  <si>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</si>
  <si>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</si>
  <si>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</si>
  <si>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014/0048/A</t>
  </si>
  <si>
    <t xml:space="preserve">CAMILA DA SILVA FERREIRA </t>
  </si>
  <si>
    <t>43.787.367-5</t>
  </si>
  <si>
    <t>373.249.578-70</t>
  </si>
  <si>
    <t>6014.2026/0002171-0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</si>
  <si>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</si>
  <si>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</si>
  <si>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</si>
  <si>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</si>
  <si>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</si>
  <si>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</si>
  <si>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</si>
  <si>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</si>
  <si>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</si>
  <si>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</si>
  <si>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</si>
  <si>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</si>
  <si>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</si>
  <si>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</si>
  <si>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</si>
  <si>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</si>
  <si>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</si>
  <si>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</si>
  <si>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</si>
  <si>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</si>
  <si>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</si>
  <si>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</si>
  <si>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</si>
  <si>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</si>
  <si>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</si>
  <si>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</si>
  <si>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</si>
  <si>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</si>
  <si>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</si>
  <si>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</si>
  <si>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</si>
  <si>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</si>
  <si>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</si>
  <si>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</si>
  <si>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</si>
  <si>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</si>
  <si>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</si>
  <si>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</si>
  <si>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</si>
  <si>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</si>
  <si>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</si>
  <si>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</si>
  <si>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</si>
  <si>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</si>
  <si>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</si>
  <si>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</si>
  <si>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</si>
  <si>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</si>
  <si>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</si>
  <si>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</si>
  <si>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</si>
  <si>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</si>
  <si>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</si>
  <si>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>MARIA SANTANA DE SOUZA SANTOS PAIVA</t>
  </si>
  <si>
    <t>22.713.753-X</t>
  </si>
  <si>
    <t>134.774.498-35</t>
  </si>
  <si>
    <t>6014.2026/0002351-8</t>
  </si>
  <si>
    <t>002/0010/B</t>
  </si>
  <si>
    <t xml:space="preserve">MARTA BORGES DOS SANTOS SILVA </t>
  </si>
  <si>
    <t>09.411.726-86</t>
  </si>
  <si>
    <t>325.595.628-55</t>
  </si>
  <si>
    <t>6014.2026/0002492-1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</si>
  <si>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</si>
  <si>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</si>
  <si>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</si>
  <si>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</si>
  <si>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</si>
  <si>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</si>
  <si>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</si>
  <si>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</si>
  <si>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010/0017/B</t>
  </si>
  <si>
    <t>MILENA DOS ANJOS SILVA</t>
  </si>
  <si>
    <t>38.200.212-X</t>
  </si>
  <si>
    <t>339.404.708-05</t>
  </si>
  <si>
    <t>6014.2026/0002375-5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</si>
  <si>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</si>
  <si>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</si>
  <si>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</si>
  <si>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</si>
  <si>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</si>
  <si>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</si>
  <si>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</si>
  <si>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</si>
  <si>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</si>
  <si>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</si>
  <si>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</si>
  <si>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</si>
  <si>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</si>
  <si>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</si>
  <si>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</si>
  <si>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</si>
  <si>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</si>
  <si>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</si>
  <si>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</si>
  <si>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</si>
  <si>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</si>
  <si>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</si>
  <si>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</si>
  <si>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</si>
  <si>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</si>
  <si>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</si>
  <si>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</si>
  <si>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</si>
  <si>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</si>
  <si>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</si>
  <si>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</si>
  <si>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</si>
  <si>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</si>
  <si>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</si>
  <si>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</si>
  <si>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</si>
  <si>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</si>
  <si>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</si>
  <si>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</si>
  <si>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</si>
  <si>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</si>
  <si>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</si>
  <si>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</si>
  <si>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002/0027/A</t>
  </si>
  <si>
    <t>MÁRCIA BATISTA DA SILVA</t>
  </si>
  <si>
    <t>36.401.581.0</t>
  </si>
  <si>
    <t>335.505.698.74</t>
  </si>
  <si>
    <t>6014.2026/0001979-0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</si>
  <si>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</si>
  <si>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</si>
  <si>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</si>
  <si>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</si>
  <si>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</si>
  <si>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</si>
  <si>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</si>
  <si>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</si>
  <si>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</si>
  <si>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</si>
  <si>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</si>
  <si>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</si>
  <si>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</si>
  <si>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</si>
  <si>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</si>
  <si>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</si>
  <si>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</si>
  <si>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</si>
  <si>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</si>
  <si>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</si>
  <si>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</si>
  <si>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</si>
  <si>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</si>
  <si>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</si>
  <si>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</si>
  <si>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</si>
  <si>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</si>
  <si>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</si>
  <si>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</si>
  <si>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</si>
  <si>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</si>
  <si>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006/0010/A</t>
  </si>
  <si>
    <t xml:space="preserve">RAFAELA DE LIRA SOARES </t>
  </si>
  <si>
    <t>53.914.633-X</t>
  </si>
  <si>
    <t>433.977.508-81</t>
  </si>
  <si>
    <t>6014.2026/0002725-4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</si>
  <si>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</si>
  <si>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</si>
  <si>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</si>
  <si>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</si>
  <si>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</si>
  <si>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</si>
  <si>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</si>
  <si>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</si>
  <si>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</si>
  <si>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</si>
  <si>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</si>
  <si>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</si>
  <si>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</si>
  <si>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</si>
  <si>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</si>
  <si>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</si>
  <si>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</si>
  <si>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</si>
  <si>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</si>
  <si>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</si>
  <si>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</si>
  <si>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</si>
  <si>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</si>
  <si>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</si>
  <si>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</si>
  <si>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003/0015/C</t>
  </si>
  <si>
    <t xml:space="preserve">GERIVALDO MARQUES EVANGELISTA </t>
  </si>
  <si>
    <t>18.469.929-0</t>
  </si>
  <si>
    <t>051.133.118-55</t>
  </si>
  <si>
    <t>6014.2026/0001065-3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</si>
  <si>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</si>
  <si>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</si>
  <si>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</si>
  <si>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</si>
  <si>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</si>
  <si>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</si>
  <si>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</si>
  <si>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</si>
  <si>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</si>
  <si>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</si>
  <si>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</si>
  <si>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</si>
  <si>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</si>
  <si>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</si>
  <si>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</si>
  <si>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</si>
  <si>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</si>
  <si>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</si>
  <si>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</si>
  <si>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</si>
  <si>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</si>
  <si>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</si>
  <si>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</si>
  <si>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</si>
  <si>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</si>
  <si>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003/0015/D</t>
  </si>
  <si>
    <t xml:space="preserve">DAYANE ROSA EVANGELISTA </t>
  </si>
  <si>
    <t>46.706.957-8</t>
  </si>
  <si>
    <t>392.999.408-94</t>
  </si>
  <si>
    <t>6014.2026/0001016-5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</si>
  <si>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</si>
  <si>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</si>
  <si>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</si>
  <si>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</si>
  <si>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</si>
  <si>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</si>
  <si>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</si>
  <si>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</si>
  <si>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</si>
  <si>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</si>
  <si>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</si>
  <si>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</si>
  <si>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</si>
  <si>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</si>
  <si>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</si>
  <si>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</si>
  <si>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</si>
  <si>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</si>
  <si>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</si>
  <si>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</si>
  <si>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</si>
  <si>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</si>
  <si>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</si>
  <si>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</si>
  <si>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</si>
  <si>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</si>
  <si>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</si>
  <si>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</si>
  <si>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</si>
  <si>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</si>
  <si>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</si>
  <si>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</si>
  <si>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</si>
  <si>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</si>
  <si>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</si>
  <si>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</si>
  <si>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</si>
  <si>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</si>
  <si>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</si>
  <si>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</si>
  <si>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</si>
  <si>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>003/0020/D</t>
  </si>
  <si>
    <t xml:space="preserve">ERISVALDO ALVES OLIVEIRA </t>
  </si>
  <si>
    <t>62.795.296-3</t>
  </si>
  <si>
    <t>044.462.175-00</t>
  </si>
  <si>
    <t>6014.2026/0001072-6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</si>
  <si>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</si>
  <si>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</si>
  <si>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</si>
  <si>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</si>
  <si>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</si>
  <si>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</si>
  <si>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</si>
  <si>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</si>
  <si>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</si>
  <si>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</si>
  <si>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</si>
  <si>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</si>
  <si>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</si>
  <si>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</si>
  <si>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</si>
  <si>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</si>
  <si>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</si>
  <si>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</si>
  <si>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</si>
  <si>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</si>
  <si>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</si>
  <si>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</si>
  <si>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</si>
  <si>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</si>
  <si>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</si>
  <si>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</si>
  <si>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</si>
  <si>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</si>
  <si>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</si>
  <si>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</si>
  <si>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</si>
  <si>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</si>
  <si>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</si>
  <si>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</si>
  <si>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</si>
  <si>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</si>
  <si>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</si>
  <si>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</si>
  <si>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</si>
  <si>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</si>
  <si>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</si>
  <si>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</si>
  <si>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</si>
  <si>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</si>
  <si>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</si>
  <si>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</si>
  <si>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</si>
  <si>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</si>
  <si>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</si>
  <si>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</si>
  <si>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</si>
  <si>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</si>
  <si>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</si>
  <si>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</si>
  <si>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</si>
  <si>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</si>
  <si>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</si>
  <si>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</si>
  <si>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</si>
  <si>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</si>
  <si>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</si>
  <si>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</si>
  <si>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</si>
  <si>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</si>
  <si>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</si>
  <si>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</si>
  <si>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</si>
  <si>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</si>
  <si>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</si>
  <si>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</si>
  <si>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</si>
  <si>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</si>
  <si>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</si>
  <si>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</si>
  <si>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</si>
  <si>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</si>
  <si>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</si>
  <si>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</si>
  <si>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</si>
  <si>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</si>
  <si>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</si>
  <si>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LAYSA BENTO BORGES BARRETO</t>
  </si>
  <si>
    <t>56.299.061-6</t>
  </si>
  <si>
    <t>529.095.858-40</t>
  </si>
  <si>
    <t>6014.2026/0002028-4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</si>
  <si>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</si>
  <si>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</si>
  <si>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</si>
  <si>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</si>
  <si>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</si>
  <si>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</si>
  <si>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</si>
  <si>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</si>
  <si>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</si>
  <si>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</si>
  <si>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</si>
  <si>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</si>
  <si>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</si>
  <si>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</si>
  <si>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</si>
  <si>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</si>
  <si>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</si>
  <si>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 xml:space="preserve">MICAELE DOS SANTOS DA SILVA </t>
  </si>
  <si>
    <t>10.332.566</t>
  </si>
  <si>
    <t>478.342.168-48</t>
  </si>
  <si>
    <t>6014.2026/0001928-6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</si>
  <si>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</si>
  <si>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</si>
  <si>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</si>
  <si>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</si>
  <si>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</si>
  <si>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</si>
  <si>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</si>
  <si>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</si>
  <si>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</si>
  <si>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</si>
  <si>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</si>
  <si>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</si>
  <si>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</si>
  <si>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</si>
  <si>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</si>
  <si>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</si>
  <si>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</si>
  <si>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</si>
  <si>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</si>
  <si>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</si>
  <si>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</si>
  <si>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</si>
  <si>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</si>
  <si>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</si>
  <si>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</si>
  <si>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</si>
  <si>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</si>
  <si>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</si>
  <si>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</si>
  <si>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</si>
  <si>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</si>
  <si>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</si>
  <si>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</si>
  <si>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015/0001/B</t>
  </si>
  <si>
    <t>RAFAELA QUITERIA DA SILVA</t>
  </si>
  <si>
    <t>67.318.138-8</t>
  </si>
  <si>
    <t>087.977.404-54</t>
  </si>
  <si>
    <t>6014.2026/0002376-3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</si>
  <si>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</si>
  <si>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</si>
  <si>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</si>
  <si>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</si>
  <si>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</si>
  <si>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</si>
  <si>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</si>
  <si>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</si>
  <si>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</si>
  <si>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</si>
  <si>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</si>
  <si>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</si>
  <si>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</si>
  <si>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</si>
  <si>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</si>
  <si>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</si>
  <si>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</si>
  <si>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</si>
  <si>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</si>
  <si>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</si>
  <si>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</si>
  <si>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</si>
  <si>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</si>
  <si>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</si>
  <si>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</si>
  <si>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</si>
  <si>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</si>
  <si>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</si>
  <si>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</si>
  <si>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</si>
  <si>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</si>
  <si>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</si>
  <si>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</si>
  <si>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004/0029/D</t>
  </si>
  <si>
    <t xml:space="preserve">CLAUDIO OLIVEIRA DIAS </t>
  </si>
  <si>
    <t>64.498.184-2</t>
  </si>
  <si>
    <t>084.434.933-05</t>
  </si>
  <si>
    <t>6014.2026/0001015-7</t>
  </si>
  <si>
    <t>015/0001/A</t>
  </si>
  <si>
    <t>RAQUEL QUITERIA DA SILVA</t>
  </si>
  <si>
    <t>084.199.234-78</t>
  </si>
  <si>
    <t>6014.2026/0002487-5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</si>
  <si>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</si>
  <si>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</si>
  <si>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</si>
  <si>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</si>
  <si>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</si>
  <si>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</si>
  <si>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</si>
  <si>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</si>
  <si>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</si>
  <si>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</si>
  <si>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</si>
  <si>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</si>
  <si>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</si>
  <si>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</si>
  <si>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</si>
  <si>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</si>
  <si>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</si>
  <si>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</si>
  <si>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</si>
  <si>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</si>
  <si>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</si>
  <si>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</si>
  <si>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</si>
  <si>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</si>
  <si>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</si>
  <si>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>004/0036/A</t>
  </si>
  <si>
    <t>LUCINEIDE MARIA DOS SANTOS</t>
  </si>
  <si>
    <t>32.554.274-0</t>
  </si>
  <si>
    <t>215.623.638-08</t>
  </si>
  <si>
    <t>6014.2026/0000979-5</t>
  </si>
  <si>
    <t>010/0007/A</t>
  </si>
  <si>
    <t xml:space="preserve">ELISANGELA DA SILVA OLIVEIRA </t>
  </si>
  <si>
    <t>396.896.318-02</t>
  </si>
  <si>
    <t xml:space="preserve">GREICE KELLE SANTOS SILVA </t>
  </si>
  <si>
    <t>49.099.808-2</t>
  </si>
  <si>
    <t>421.459.728-11</t>
  </si>
  <si>
    <t>6014.2026/0001045-9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</si>
  <si>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</si>
  <si>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</si>
  <si>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</si>
  <si>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</si>
  <si>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</si>
  <si>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</si>
  <si>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</si>
  <si>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</si>
  <si>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</si>
  <si>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</si>
  <si>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</si>
  <si>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</si>
  <si>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</si>
  <si>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</si>
  <si>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</si>
  <si>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</si>
  <si>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</si>
  <si>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</si>
  <si>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</si>
  <si>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005/0009/A</t>
  </si>
  <si>
    <t xml:space="preserve">GERALDO BATISTA DOS SANTOS </t>
  </si>
  <si>
    <t>54.359.411-7</t>
  </si>
  <si>
    <t>405.002.846-87</t>
  </si>
  <si>
    <t>6014.2026/0001570-1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</si>
  <si>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</si>
  <si>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</si>
  <si>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</si>
  <si>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</si>
  <si>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</si>
  <si>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</si>
  <si>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</si>
  <si>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</si>
  <si>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</si>
  <si>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</si>
  <si>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</si>
  <si>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</si>
  <si>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</si>
  <si>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</si>
  <si>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</si>
  <si>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</si>
  <si>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</si>
  <si>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</si>
  <si>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</si>
  <si>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</si>
  <si>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</si>
  <si>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</si>
  <si>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</si>
  <si>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</si>
  <si>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</si>
  <si>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</si>
  <si>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</si>
  <si>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</si>
  <si>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</si>
  <si>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</si>
  <si>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</si>
  <si>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</si>
  <si>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</si>
  <si>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</si>
  <si>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</si>
  <si>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</si>
  <si>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</si>
  <si>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</si>
  <si>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</si>
  <si>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</si>
  <si>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</si>
  <si>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</si>
  <si>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</si>
  <si>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</si>
  <si>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</si>
  <si>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</si>
  <si>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</si>
  <si>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</si>
  <si>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</si>
  <si>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</si>
  <si>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</si>
  <si>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</si>
  <si>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</si>
  <si>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</si>
  <si>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</si>
  <si>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</si>
  <si>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</si>
  <si>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</si>
  <si>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</si>
  <si>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</si>
  <si>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</si>
  <si>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006/0010/C</t>
  </si>
  <si>
    <t xml:space="preserve">KARINA DE LIRA FERNANDES </t>
  </si>
  <si>
    <t>53.869.318-6</t>
  </si>
  <si>
    <t>510.825.108-40</t>
  </si>
  <si>
    <t>6014.2026/0000994-9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</si>
  <si>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</si>
  <si>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</si>
  <si>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</si>
  <si>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</si>
  <si>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</si>
  <si>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</si>
  <si>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</si>
  <si>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</si>
  <si>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</si>
  <si>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</si>
  <si>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</si>
  <si>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</si>
  <si>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</si>
  <si>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</si>
  <si>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</si>
  <si>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</si>
  <si>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</si>
  <si>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</si>
  <si>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</si>
  <si>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</si>
  <si>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</si>
  <si>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</si>
  <si>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</si>
  <si>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</si>
  <si>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</si>
  <si>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</si>
  <si>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</si>
  <si>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</si>
  <si>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</si>
  <si>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</si>
  <si>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</si>
  <si>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</si>
  <si>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</si>
  <si>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</si>
  <si>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</si>
  <si>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</si>
  <si>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</si>
  <si>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</si>
  <si>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</si>
  <si>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</si>
  <si>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</si>
  <si>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</si>
  <si>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</si>
  <si>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</si>
  <si>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</si>
  <si>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</si>
  <si>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</si>
  <si>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</si>
  <si>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</si>
  <si>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</si>
  <si>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</si>
  <si>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</si>
  <si>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</si>
  <si>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</si>
  <si>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</si>
  <si>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</si>
  <si>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</si>
  <si>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</si>
  <si>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</si>
  <si>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</si>
  <si>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</si>
  <si>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</si>
  <si>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 xml:space="preserve">BIANCA NASCIMENTO DE SOUZA </t>
  </si>
  <si>
    <t>58.570.936-1</t>
  </si>
  <si>
    <t>486.349.508-08</t>
  </si>
  <si>
    <t>6014.2026/0000711-3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</si>
  <si>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</si>
  <si>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</si>
  <si>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</si>
  <si>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</si>
  <si>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</si>
  <si>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</si>
  <si>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</si>
  <si>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</si>
  <si>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</si>
  <si>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</si>
  <si>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</si>
  <si>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</si>
  <si>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</si>
  <si>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</si>
  <si>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</si>
  <si>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</si>
  <si>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</si>
  <si>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010/0010/C</t>
  </si>
  <si>
    <t xml:space="preserve">GABRIEL JOSE DOS SANTOS </t>
  </si>
  <si>
    <t>68.850.189-8</t>
  </si>
  <si>
    <t>137.371.864-13</t>
  </si>
  <si>
    <t>6014.2026/0001017-3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</si>
  <si>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</si>
  <si>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</si>
  <si>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</si>
  <si>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</si>
  <si>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</si>
  <si>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</si>
  <si>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</si>
  <si>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</si>
  <si>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</si>
  <si>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</si>
  <si>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</si>
  <si>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</si>
  <si>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</si>
  <si>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</si>
  <si>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</si>
  <si>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</si>
  <si>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</si>
  <si>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</si>
  <si>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</si>
  <si>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002/0026/A</t>
  </si>
  <si>
    <t>JANAINA FERREIRA ROMÃO</t>
  </si>
  <si>
    <t>34.169.077-6</t>
  </si>
  <si>
    <t>308.584.918-18</t>
  </si>
  <si>
    <t>6014.2026/0001939-1</t>
  </si>
  <si>
    <t>011/0017/A</t>
  </si>
  <si>
    <t>DOJIVAL SPINA LUCAS</t>
  </si>
  <si>
    <t>182.372.988-61</t>
  </si>
  <si>
    <t>001/0002/E</t>
  </si>
  <si>
    <t xml:space="preserve">GIVALDO TAVARES DE SOUZA </t>
  </si>
  <si>
    <t>62.620.783-6</t>
  </si>
  <si>
    <t>093.716.044-09</t>
  </si>
  <si>
    <t>6014.2026/0001162-5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</si>
  <si>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</si>
  <si>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</si>
  <si>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</si>
  <si>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</si>
  <si>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</si>
  <si>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</si>
  <si>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</si>
  <si>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</si>
  <si>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</si>
  <si>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</si>
  <si>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</si>
  <si>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 xml:space="preserve">VANESSA RODRIGUES DA SILVA </t>
  </si>
  <si>
    <t>46.908.498-4</t>
  </si>
  <si>
    <t>323.751.018-12</t>
  </si>
  <si>
    <t>6014.2026/0001991-0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</si>
  <si>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</si>
  <si>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</si>
  <si>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</si>
  <si>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</si>
  <si>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</si>
  <si>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</si>
  <si>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</si>
  <si>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</si>
  <si>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 xml:space="preserve">REGIANE DE JESUS COSTA MENDES </t>
  </si>
  <si>
    <t>65.785.090-1</t>
  </si>
  <si>
    <t>604.814.853-41</t>
  </si>
  <si>
    <t>6014.2026/0000596-0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</si>
  <si>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</si>
  <si>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</si>
  <si>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</si>
  <si>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</si>
  <si>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</si>
  <si>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</si>
  <si>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</si>
  <si>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</si>
  <si>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</si>
  <si>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</si>
  <si>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</si>
  <si>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</si>
  <si>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</si>
  <si>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</si>
  <si>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</si>
  <si>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</si>
  <si>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</si>
  <si>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</si>
  <si>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011/0027/A</t>
  </si>
  <si>
    <t>MIRIAN MARQUES CORREIA</t>
  </si>
  <si>
    <t>40.662.922-5</t>
  </si>
  <si>
    <t>346.020.508-32</t>
  </si>
  <si>
    <t>DIMAS FERREIRA DOURADO</t>
  </si>
  <si>
    <t>36.160.896-2</t>
  </si>
  <si>
    <t>259.100.945-72</t>
  </si>
  <si>
    <t>6014.2026/0001261-3</t>
  </si>
  <si>
    <t>011/0029/A</t>
  </si>
  <si>
    <t>CLAUDENICE FRÓES SILVA</t>
  </si>
  <si>
    <t>63.946.279-0</t>
  </si>
  <si>
    <t>031.645.753-19</t>
  </si>
  <si>
    <t>GISELE BASÍLIO DOS SANTOS PANTALEÃO</t>
  </si>
  <si>
    <t>34.317.821-7</t>
  </si>
  <si>
    <t>353.515.148-18</t>
  </si>
  <si>
    <t>6014.2026/0002143-4</t>
  </si>
  <si>
    <t>GEOVANA DE SOUZA BORGES</t>
  </si>
  <si>
    <t>55.755.614-4</t>
  </si>
  <si>
    <t>241.015.158-24</t>
  </si>
  <si>
    <t>6014.2026/0001067-0</t>
  </si>
  <si>
    <t xml:space="preserve">IASMIN DOS SANTOS SILVA </t>
  </si>
  <si>
    <t>12.187.058</t>
  </si>
  <si>
    <t>478.341.738-55</t>
  </si>
  <si>
    <t xml:space="preserve">6014.2026/0001925-1 </t>
  </si>
  <si>
    <t>008/0011/B</t>
  </si>
  <si>
    <t xml:space="preserve">HUGO GUILHERME DUTRA BARRENSE </t>
  </si>
  <si>
    <t>38.214.153-2</t>
  </si>
  <si>
    <t>459.354.488-23</t>
  </si>
  <si>
    <t>6014.2026/0000858-6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</si>
  <si>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</si>
  <si>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</si>
  <si>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</si>
  <si>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</si>
  <si>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</si>
  <si>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</si>
  <si>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</si>
  <si>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</si>
  <si>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</si>
  <si>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</si>
  <si>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</si>
  <si>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</si>
  <si>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</si>
  <si>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</si>
  <si>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</si>
  <si>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</si>
  <si>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</si>
  <si>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</si>
  <si>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</si>
  <si>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</si>
  <si>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</si>
  <si>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</si>
  <si>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</si>
  <si>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</si>
  <si>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</si>
  <si>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</si>
  <si>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</si>
  <si>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</si>
  <si>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</si>
  <si>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</si>
  <si>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</si>
  <si>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</si>
  <si>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</si>
  <si>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</si>
  <si>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</si>
  <si>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</si>
  <si>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</si>
  <si>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</si>
  <si>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</si>
  <si>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</si>
  <si>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</si>
  <si>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</si>
  <si>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</si>
  <si>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</si>
  <si>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 xml:space="preserve">FLÁVIO EDUARDO DA SILVA SANTOS </t>
  </si>
  <si>
    <t>43.298.429-X</t>
  </si>
  <si>
    <t>345.964.958-58</t>
  </si>
  <si>
    <t>6014.2026/0000923-0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</si>
  <si>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</si>
  <si>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</si>
  <si>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</si>
  <si>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</si>
  <si>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</si>
  <si>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</si>
  <si>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</si>
  <si>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</si>
  <si>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012/0006/A</t>
  </si>
  <si>
    <t xml:space="preserve">MARIA SELMA NICÁCIO SANTOS </t>
  </si>
  <si>
    <t>19.194.432-4</t>
  </si>
  <si>
    <t>113.484.228-74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</si>
  <si>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</si>
  <si>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</si>
  <si>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</si>
  <si>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</si>
  <si>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</si>
  <si>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</si>
  <si>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</si>
  <si>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</si>
  <si>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012/0007/A</t>
  </si>
  <si>
    <t xml:space="preserve">JOSINO BARBOSA NEVES </t>
  </si>
  <si>
    <t>50.236.571-7</t>
  </si>
  <si>
    <t>920.585.905-20</t>
  </si>
  <si>
    <t>002/0018/D</t>
  </si>
  <si>
    <t xml:space="preserve">ERICLES DE SOUSA SILVA </t>
  </si>
  <si>
    <t>39.963.644-4</t>
  </si>
  <si>
    <t>238.839.638-79</t>
  </si>
  <si>
    <t>6014.2026/0001938-3</t>
  </si>
  <si>
    <t>LUANA KELLY DA SILVA SOUSA</t>
  </si>
  <si>
    <t>50.829.275-X</t>
  </si>
  <si>
    <t>034.502.993-36</t>
  </si>
  <si>
    <t>6014.2026/0001329-6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</si>
  <si>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</si>
  <si>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</si>
  <si>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</si>
  <si>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</si>
  <si>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</si>
  <si>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</si>
  <si>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</si>
  <si>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</si>
  <si>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</si>
  <si>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</si>
  <si>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</si>
  <si>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 xml:space="preserve">LUCILENE LUZIA DE OLIVEIRA FIGUEIREDO </t>
  </si>
  <si>
    <t>59.015.499-0</t>
  </si>
  <si>
    <t>380.912.818-03</t>
  </si>
  <si>
    <t>6014.2026/0000988-4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</si>
  <si>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</si>
  <si>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</si>
  <si>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</si>
  <si>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</si>
  <si>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</si>
  <si>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</si>
  <si>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</si>
  <si>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</si>
  <si>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</si>
  <si>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</si>
  <si>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</si>
  <si>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</si>
  <si>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</si>
  <si>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</si>
  <si>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</si>
  <si>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</si>
  <si>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</si>
  <si>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</si>
  <si>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</si>
  <si>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</si>
  <si>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</si>
  <si>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</si>
  <si>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</si>
  <si>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</si>
  <si>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</si>
  <si>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</si>
  <si>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</si>
  <si>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</si>
  <si>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</si>
  <si>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 xml:space="preserve">MARIA DAS DORES BASTOS DA SILVA </t>
  </si>
  <si>
    <t>168.852.338-38</t>
  </si>
  <si>
    <t>SEM PENDÊNCIAS</t>
  </si>
  <si>
    <t>6014.2026/0002717-3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</si>
  <si>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</si>
  <si>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</si>
  <si>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</si>
  <si>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</si>
  <si>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</si>
  <si>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</si>
  <si>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</si>
  <si>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</si>
  <si>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</si>
  <si>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</si>
  <si>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</si>
  <si>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</si>
  <si>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</si>
  <si>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</si>
  <si>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</si>
  <si>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</si>
  <si>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</si>
  <si>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</si>
  <si>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</si>
  <si>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</si>
  <si>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</si>
  <si>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</si>
  <si>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</si>
  <si>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</si>
  <si>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</si>
  <si>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</si>
  <si>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</si>
  <si>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</si>
  <si>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</si>
  <si>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</si>
  <si>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</si>
  <si>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</si>
  <si>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</si>
  <si>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</si>
  <si>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</si>
  <si>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001/0001/B</t>
  </si>
  <si>
    <t xml:space="preserve">KLEINY SIRLANE DA ROCHA </t>
  </si>
  <si>
    <t>260.215.948-43</t>
  </si>
  <si>
    <t>6014.2026/0001975-8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</si>
  <si>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</si>
  <si>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</si>
  <si>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</si>
  <si>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</si>
  <si>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</si>
  <si>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</si>
  <si>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</si>
  <si>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</si>
  <si>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</si>
  <si>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</si>
  <si>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</si>
  <si>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</si>
  <si>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</si>
  <si>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</si>
  <si>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</si>
  <si>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</si>
  <si>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</si>
  <si>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</si>
  <si>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</si>
  <si>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</si>
  <si>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</si>
  <si>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</si>
  <si>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</si>
  <si>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</si>
  <si>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</si>
  <si>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</si>
  <si>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</si>
  <si>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</si>
  <si>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</si>
  <si>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</si>
  <si>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</si>
  <si>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</si>
  <si>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</si>
  <si>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</si>
  <si>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</si>
  <si>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</si>
  <si>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</si>
  <si>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</si>
  <si>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</si>
  <si>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</si>
  <si>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</si>
  <si>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</si>
  <si>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</si>
  <si>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</si>
  <si>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</si>
  <si>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</si>
  <si>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</si>
  <si>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</si>
  <si>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</si>
  <si>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</si>
  <si>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</si>
  <si>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</si>
  <si>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</si>
  <si>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</si>
  <si>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</si>
  <si>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</si>
  <si>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</si>
  <si>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</si>
  <si>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VANUZA VANDETE LIMA DE ALMEIDA</t>
  </si>
  <si>
    <t>62.555.375-5</t>
  </si>
  <si>
    <t>006.731.315-99</t>
  </si>
  <si>
    <t>6014.2026/0002030-6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</si>
  <si>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</si>
  <si>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</si>
  <si>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</si>
  <si>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</si>
  <si>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</si>
  <si>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</si>
  <si>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</si>
  <si>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</si>
  <si>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</si>
  <si>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</si>
  <si>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</si>
  <si>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</si>
  <si>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</si>
  <si>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</si>
  <si>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</si>
  <si>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</si>
  <si>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</si>
  <si>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</si>
  <si>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</si>
  <si>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</si>
  <si>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</si>
  <si>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</si>
  <si>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</si>
  <si>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</si>
  <si>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</si>
  <si>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</si>
  <si>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</si>
  <si>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</si>
  <si>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</si>
  <si>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</si>
  <si>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</si>
  <si>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</si>
  <si>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</si>
  <si>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</si>
  <si>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</si>
  <si>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</si>
  <si>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</si>
  <si>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</si>
  <si>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</si>
  <si>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</si>
  <si>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</si>
  <si>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</si>
  <si>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</si>
  <si>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</si>
  <si>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</si>
  <si>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</si>
  <si>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</si>
  <si>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</si>
  <si>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</si>
  <si>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</si>
  <si>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</si>
  <si>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</si>
  <si>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</si>
  <si>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</si>
  <si>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</si>
  <si>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</si>
  <si>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</si>
  <si>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</si>
  <si>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</si>
  <si>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</si>
  <si>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</si>
  <si>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</si>
  <si>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</si>
  <si>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</si>
  <si>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</si>
  <si>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</si>
  <si>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</si>
  <si>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</si>
  <si>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</si>
  <si>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</si>
  <si>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</si>
  <si>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</si>
  <si>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</si>
  <si>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</si>
  <si>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002/0007/A</t>
  </si>
  <si>
    <t xml:space="preserve">JULIANY CRISTINA COSTA </t>
  </si>
  <si>
    <t>409.986.678-54</t>
  </si>
  <si>
    <t>6014.2026/0002403-4</t>
  </si>
  <si>
    <t xml:space="preserve">ANA LÚCIA DOS SANTOS </t>
  </si>
  <si>
    <t>24.375.490-5</t>
  </si>
  <si>
    <t>170.158.758-02</t>
  </si>
  <si>
    <t>6014.2026/0002404-2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</si>
  <si>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</si>
  <si>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</si>
  <si>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</si>
  <si>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</si>
  <si>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</si>
  <si>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</si>
  <si>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</si>
  <si>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</si>
  <si>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</si>
  <si>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</si>
  <si>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</si>
  <si>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</si>
  <si>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</si>
  <si>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</si>
  <si>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</si>
  <si>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</si>
  <si>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</si>
  <si>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</si>
  <si>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FABIANA DE SOUZA LINS DELLALIBERA</t>
  </si>
  <si>
    <t>58.296.862-8</t>
  </si>
  <si>
    <t>065.727.734-77</t>
  </si>
  <si>
    <t>6014.2026/0002406-9</t>
  </si>
  <si>
    <t>013/0030/A</t>
  </si>
  <si>
    <t>DANIEL BITENCOURT BISPO</t>
  </si>
  <si>
    <t>44.429.040</t>
  </si>
  <si>
    <t>433.642.998-70</t>
  </si>
  <si>
    <t xml:space="preserve">LUCILENE DOS SANTOS GERALDO </t>
  </si>
  <si>
    <t>49.794.987-8</t>
  </si>
  <si>
    <t>424.164.198-97</t>
  </si>
  <si>
    <t>6014.2026/0001324-5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</si>
  <si>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</si>
  <si>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</si>
  <si>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</si>
  <si>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</si>
  <si>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</si>
  <si>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</si>
  <si>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</si>
  <si>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</si>
  <si>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</si>
  <si>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</si>
  <si>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</si>
  <si>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</si>
  <si>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</si>
  <si>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</si>
  <si>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</si>
  <si>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</si>
  <si>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</si>
  <si>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</si>
  <si>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</si>
  <si>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</si>
  <si>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</si>
  <si>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</si>
  <si>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</si>
  <si>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</si>
  <si>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</si>
  <si>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</si>
  <si>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</si>
  <si>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</si>
  <si>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</si>
  <si>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</si>
  <si>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</si>
  <si>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</si>
  <si>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</si>
  <si>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</si>
  <si>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</si>
  <si>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</si>
  <si>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</si>
  <si>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</si>
  <si>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</si>
  <si>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</si>
  <si>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</si>
  <si>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</si>
  <si>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</si>
  <si>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</si>
  <si>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</si>
  <si>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</si>
  <si>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</si>
  <si>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</si>
  <si>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</si>
  <si>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</si>
  <si>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</si>
  <si>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</si>
  <si>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</si>
  <si>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</si>
  <si>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</si>
  <si>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</si>
  <si>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</si>
  <si>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</si>
  <si>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</si>
  <si>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</si>
  <si>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</si>
  <si>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</si>
  <si>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</si>
  <si>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</si>
  <si>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</si>
  <si>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</si>
  <si>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</si>
  <si>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</si>
  <si>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</si>
  <si>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</si>
  <si>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</si>
  <si>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</si>
  <si>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</si>
  <si>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</si>
  <si>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</si>
  <si>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</si>
  <si>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</si>
  <si>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</si>
  <si>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</si>
  <si>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</si>
  <si>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</si>
  <si>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</si>
  <si>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</si>
  <si>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</si>
  <si>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</si>
  <si>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</si>
  <si>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</si>
  <si>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</si>
  <si>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</si>
  <si>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</si>
  <si>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</si>
  <si>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</si>
  <si>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</si>
  <si>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</si>
  <si>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</si>
  <si>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</si>
  <si>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</si>
  <si>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</si>
  <si>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</si>
  <si>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</si>
  <si>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</si>
  <si>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</si>
  <si>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</si>
  <si>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</si>
  <si>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</si>
  <si>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</si>
  <si>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</si>
  <si>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</si>
  <si>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</si>
  <si>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</si>
  <si>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</si>
  <si>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</si>
  <si>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</si>
  <si>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</si>
  <si>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</si>
  <si>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</si>
  <si>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</si>
  <si>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</si>
  <si>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</si>
  <si>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</si>
  <si>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</si>
  <si>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</si>
  <si>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</si>
  <si>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</si>
  <si>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</si>
  <si>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</si>
  <si>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</si>
  <si>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</si>
  <si>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</si>
  <si>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</si>
  <si>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</si>
  <si>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</si>
  <si>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</si>
  <si>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</si>
  <si>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</si>
  <si>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</si>
  <si>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</si>
  <si>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</si>
  <si>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</si>
  <si>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</si>
  <si>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</si>
  <si>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</si>
  <si>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</si>
  <si>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</si>
  <si>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</si>
  <si>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</si>
  <si>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</si>
  <si>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</si>
  <si>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</si>
  <si>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</si>
  <si>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</si>
  <si>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</si>
  <si>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</si>
  <si>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</si>
  <si>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</si>
  <si>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</si>
  <si>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</si>
  <si>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</si>
  <si>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</si>
  <si>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</si>
  <si>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002/0007/B</t>
  </si>
  <si>
    <t>MARIA CRISTINA COSTA</t>
  </si>
  <si>
    <t>099.596.988-40</t>
  </si>
  <si>
    <t>6014.2026/0002203-1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</si>
  <si>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</si>
  <si>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</si>
  <si>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</si>
  <si>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</si>
  <si>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</si>
  <si>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</si>
  <si>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</si>
  <si>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</si>
  <si>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</si>
  <si>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</si>
  <si>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</si>
  <si>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</si>
  <si>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</si>
  <si>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</si>
  <si>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</si>
  <si>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</si>
  <si>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</si>
  <si>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</si>
  <si>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</si>
  <si>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</si>
  <si>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</si>
  <si>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</si>
  <si>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</si>
  <si>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</si>
  <si>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</si>
  <si>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</si>
  <si>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</si>
  <si>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</si>
  <si>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</si>
  <si>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</si>
  <si>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</si>
  <si>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</si>
  <si>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</si>
  <si>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</si>
  <si>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</si>
  <si>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</si>
  <si>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</si>
  <si>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</si>
  <si>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</si>
  <si>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</si>
  <si>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</si>
  <si>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</si>
  <si>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</si>
  <si>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</si>
  <si>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</si>
  <si>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</si>
  <si>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</si>
  <si>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</si>
  <si>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</si>
  <si>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</si>
  <si>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</si>
  <si>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</si>
  <si>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</si>
  <si>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</si>
  <si>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</si>
  <si>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</si>
  <si>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</si>
  <si>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</si>
  <si>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</si>
  <si>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</si>
  <si>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</si>
  <si>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</si>
  <si>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</si>
  <si>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</si>
  <si>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</si>
  <si>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</si>
  <si>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</si>
  <si>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</si>
  <si>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</si>
  <si>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</si>
  <si>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</si>
  <si>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</si>
  <si>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</si>
  <si>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</si>
  <si>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</si>
  <si>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</si>
  <si>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</si>
  <si>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</si>
  <si>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</si>
  <si>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</si>
  <si>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</si>
  <si>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003/0052/A</t>
  </si>
  <si>
    <t xml:space="preserve">WALTEMIRA DE JESUS SANTOS </t>
  </si>
  <si>
    <t>19.614.374-3</t>
  </si>
  <si>
    <t>275.443.928-56</t>
  </si>
  <si>
    <t>6014.2026/0000867-5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</si>
  <si>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</si>
  <si>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</si>
  <si>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</si>
  <si>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</si>
  <si>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</si>
  <si>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</si>
  <si>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</si>
  <si>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</si>
  <si>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</si>
  <si>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</si>
  <si>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</si>
  <si>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</si>
  <si>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</si>
  <si>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</si>
  <si>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</si>
  <si>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</si>
  <si>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</si>
  <si>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</si>
  <si>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</si>
  <si>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</si>
  <si>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</si>
  <si>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</si>
  <si>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</si>
  <si>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</si>
  <si>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</si>
  <si>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</si>
  <si>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</si>
  <si>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</si>
  <si>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</si>
  <si>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</si>
  <si>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</si>
  <si>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</si>
  <si>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</si>
  <si>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</si>
  <si>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</si>
  <si>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</si>
  <si>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</si>
  <si>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</si>
  <si>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</si>
  <si>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</si>
  <si>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</si>
  <si>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</si>
  <si>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</si>
  <si>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</si>
  <si>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</si>
  <si>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</si>
  <si>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</si>
  <si>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</si>
  <si>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</si>
  <si>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</si>
  <si>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</si>
  <si>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</si>
  <si>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</si>
  <si>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</si>
  <si>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</si>
  <si>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</si>
  <si>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</si>
  <si>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</si>
  <si>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</si>
  <si>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</si>
  <si>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</si>
  <si>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</si>
  <si>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</si>
  <si>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</si>
  <si>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</si>
  <si>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</si>
  <si>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</si>
  <si>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</si>
  <si>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</si>
  <si>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</si>
  <si>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008/0014/A</t>
  </si>
  <si>
    <t xml:space="preserve">SEVERINO BELARMINO DA SILVA </t>
  </si>
  <si>
    <t>52.186.143-3</t>
  </si>
  <si>
    <t>450.407.294-72</t>
  </si>
  <si>
    <t>6014.2026/0002493-0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</si>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</sst>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35" fillId="21" borderId="26" xfId="0" applyFont="1" applyFill="1" applyBorder="1" applyAlignment="1">
      <alignment horizontal="center" vertical="center"/>
    </xf>
    <xf numFmtId="0" fontId="35" fillId="0" borderId="26" xfId="0" applyFont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5" t="s">
        <v>101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7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4" t="s">
        <v>197</v>
      </c>
      <c r="P51" s="304"/>
      <c r="Q51" s="304"/>
      <c r="R51" s="304"/>
      <c r="S51" s="304"/>
      <c r="T51" s="304"/>
      <c r="U51" s="304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0" priority="5" stopIfTrue="1"/>
  </conditionalFormatting>
  <conditionalFormatting sqref="A3:A128">
    <cfRule type="duplicateValues" dxfId="289" priority="4" stopIfTrue="1"/>
  </conditionalFormatting>
  <conditionalFormatting sqref="A3:A626">
    <cfRule type="duplicateValues" dxfId="288" priority="1" stopIfTrue="1"/>
  </conditionalFormatting>
  <conditionalFormatting sqref="B2684">
    <cfRule type="duplicateValues" dxfId="287" priority="3" stopIfTrue="1"/>
  </conditionalFormatting>
  <conditionalFormatting sqref="C689">
    <cfRule type="duplicateValues" dxfId="28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AB100" activePane="bottomRight" state="frozen"/>
      <selection pane="topRight"/>
      <selection pane="bottomLeft"/>
      <selection pane="bottomRight" activeCell="AB119" sqref="AB119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8" t="s">
        <v>4369</v>
      </c>
      <c r="B8" s="299"/>
      <c r="C8" s="299"/>
      <c r="D8" s="299"/>
      <c r="E8" s="299"/>
      <c r="F8" s="299"/>
      <c r="G8" s="299"/>
      <c r="H8" s="299"/>
      <c r="I8" s="299"/>
      <c r="J8" s="300"/>
      <c r="K8" s="299"/>
      <c r="L8" s="299"/>
      <c r="M8" s="299"/>
      <c r="N8" s="299"/>
      <c r="O8" s="301"/>
      <c r="P8" s="294" t="s">
        <v>4370</v>
      </c>
      <c r="Q8" s="294"/>
      <c r="R8" s="294"/>
      <c r="S8" s="294"/>
      <c r="T8" s="294"/>
      <c r="U8" s="295"/>
      <c r="V8" s="294"/>
      <c r="W8" s="294"/>
      <c r="X8" s="296"/>
      <c r="Y8" s="295"/>
      <c r="Z8" s="294"/>
      <c r="AA8" s="297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2" t="s">
        <v>4372</v>
      </c>
      <c r="BC8" s="303"/>
      <c r="BD8" s="292"/>
      <c r="BE8" s="293"/>
      <c r="BF8" s="293"/>
      <c r="BG8" s="293"/>
      <c r="BH8" s="293"/>
      <c r="BI8" s="293"/>
      <c r="BJ8" s="293"/>
      <c r="BK8" s="293"/>
      <c r="BL8" s="293"/>
      <c r="BM8" s="293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4448</v>
      </c>
      <c r="G12" s="103" t="s">
        <v>4330</v>
      </c>
      <c r="H12" s="103" t="s">
        <v>4331</v>
      </c>
      <c r="I12" s="246" t="s">
        <v>4343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4452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4449</v>
      </c>
      <c r="AC12" s="150"/>
      <c r="AD12" s="104" t="s">
        <v>4451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4453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4454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42" t="s">
        <v>4343</v>
      </c>
      <c r="J13" s="114" t="s">
        <v>4456</v>
      </c>
      <c r="K13" s="104" t="s">
        <v>4457</v>
      </c>
      <c r="L13" s="104" t="s">
        <v>4458</v>
      </c>
      <c r="M13" s="165" t="s">
        <v>4333</v>
      </c>
      <c r="N13" s="165" t="s">
        <v>4452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4456</v>
      </c>
      <c r="AC13" s="104" t="s">
        <v>4432</v>
      </c>
      <c r="AD13" s="104" t="s">
        <v>4458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4459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4454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4460</v>
      </c>
      <c r="G14" s="103" t="s">
        <v>4330</v>
      </c>
      <c r="H14" s="103" t="s">
        <v>4461</v>
      </c>
      <c r="I14" s="151" t="s">
        <v>4332</v>
      </c>
      <c r="J14" s="149" t="s">
        <v>4462</v>
      </c>
      <c r="K14" s="149" t="s">
        <v>4463</v>
      </c>
      <c r="L14" s="149" t="s">
        <v>4464</v>
      </c>
      <c r="M14" s="165" t="s">
        <v>4333</v>
      </c>
      <c r="N14" s="103" t="s">
        <v>4452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4462</v>
      </c>
      <c r="AC14" s="149" t="s">
        <v>4463</v>
      </c>
      <c r="AD14" s="149" t="s">
        <v>4464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4460</v>
      </c>
      <c r="G15" s="103" t="s">
        <v>4330</v>
      </c>
      <c r="H15" s="103" t="s">
        <v>4331</v>
      </c>
      <c r="I15" s="142" t="s">
        <v>4343</v>
      </c>
      <c r="J15" s="149" t="s">
        <v>4465</v>
      </c>
      <c r="K15" s="104" t="s">
        <v>4466</v>
      </c>
      <c r="L15" s="104" t="s">
        <v>4467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4465</v>
      </c>
      <c r="AC15" s="149" t="s">
        <v>4466</v>
      </c>
      <c r="AD15" s="149" t="s">
        <v>4467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4468</v>
      </c>
      <c r="G16" s="103" t="s">
        <v>4330</v>
      </c>
      <c r="H16" s="103" t="s">
        <v>4331</v>
      </c>
      <c r="I16" s="142" t="s">
        <v>4343</v>
      </c>
      <c r="J16" s="114" t="s">
        <v>4469</v>
      </c>
      <c r="K16" s="149" t="s">
        <v>4432</v>
      </c>
      <c r="L16" s="104" t="s">
        <v>4470</v>
      </c>
      <c r="M16" s="165" t="s">
        <v>4333</v>
      </c>
      <c r="N16" s="103" t="s">
        <v>4452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4469</v>
      </c>
      <c r="AC16" s="104" t="s">
        <v>4432</v>
      </c>
      <c r="AD16" s="104" t="s">
        <v>4470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4471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4454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4472</v>
      </c>
      <c r="G17" s="103" t="s">
        <v>4330</v>
      </c>
      <c r="H17" s="103" t="s">
        <v>4331</v>
      </c>
      <c r="I17" s="142" t="s">
        <v>4343</v>
      </c>
      <c r="J17" s="149" t="s">
        <v>4473</v>
      </c>
      <c r="K17" s="149" t="s">
        <v>4474</v>
      </c>
      <c r="L17" s="149" t="s">
        <v>4475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4473</v>
      </c>
      <c r="AC17" s="149" t="s">
        <v>4474</v>
      </c>
      <c r="AD17" s="149" t="s">
        <v>4475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4476</v>
      </c>
      <c r="D18" s="103">
        <v>1</v>
      </c>
      <c r="E18" s="103" t="s">
        <v>4432</v>
      </c>
      <c r="F18" s="104" t="s">
        <v>4472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4476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4452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4476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49" t="s">
        <v>4489</v>
      </c>
      <c r="L21" s="149" t="s">
        <v>4490</v>
      </c>
      <c r="M21" s="165" t="s">
        <v>4333</v>
      </c>
      <c r="N21" s="165" t="s">
        <v>4452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4454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4476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4496</v>
      </c>
      <c r="D23" s="103">
        <v>1</v>
      </c>
      <c r="E23" s="103" t="s">
        <v>4432</v>
      </c>
      <c r="F23" s="104" t="s">
        <v>4497</v>
      </c>
      <c r="G23" s="103" t="s">
        <v>4330</v>
      </c>
      <c r="H23" s="103" t="s">
        <v>4331</v>
      </c>
      <c r="I23" s="142" t="s">
        <v>4343</v>
      </c>
      <c r="J23" s="114" t="s">
        <v>4498</v>
      </c>
      <c r="K23" s="149" t="s">
        <v>4499</v>
      </c>
      <c r="L23" s="149" t="s">
        <v>4500</v>
      </c>
      <c r="M23" s="165" t="s">
        <v>4333</v>
      </c>
      <c r="N23" s="165" t="s">
        <v>4452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4498</v>
      </c>
      <c r="AC23" s="104" t="s">
        <v>4499</v>
      </c>
      <c r="AD23" s="104" t="s">
        <v>4500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4501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4502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4503</v>
      </c>
      <c r="G24" s="103" t="s">
        <v>4330</v>
      </c>
      <c r="H24" s="103" t="s">
        <v>4331</v>
      </c>
      <c r="I24" s="142" t="s">
        <v>4343</v>
      </c>
      <c r="J24" s="149" t="s">
        <v>4504</v>
      </c>
      <c r="K24" s="104" t="s">
        <v>4505</v>
      </c>
      <c r="L24" s="104" t="s">
        <v>4506</v>
      </c>
      <c r="M24" s="165" t="s">
        <v>4333</v>
      </c>
      <c r="N24" s="165" t="s">
        <v>4452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4504</v>
      </c>
      <c r="AC24" s="104" t="s">
        <v>4505</v>
      </c>
      <c r="AD24" s="104" t="s">
        <v>4506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4454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4508</v>
      </c>
      <c r="G25" s="103" t="s">
        <v>4330</v>
      </c>
      <c r="H25" s="103" t="s">
        <v>4331</v>
      </c>
      <c r="I25" s="246" t="s">
        <v>4343</v>
      </c>
      <c r="J25" s="149" t="s">
        <v>4509</v>
      </c>
      <c r="K25" s="104" t="s">
        <v>4510</v>
      </c>
      <c r="L25" s="104" t="s">
        <v>4511</v>
      </c>
      <c r="M25" s="165" t="s">
        <v>4333</v>
      </c>
      <c r="N25" s="103" t="s">
        <v>4452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4509</v>
      </c>
      <c r="AC25" s="104" t="s">
        <v>4510</v>
      </c>
      <c r="AD25" s="104" t="s">
        <v>4511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4512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4454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4513</v>
      </c>
      <c r="G26" s="103" t="s">
        <v>4330</v>
      </c>
      <c r="H26" s="103" t="s">
        <v>4461</v>
      </c>
      <c r="I26" s="151" t="s">
        <v>4332</v>
      </c>
      <c r="J26" s="149" t="s">
        <v>4514</v>
      </c>
      <c r="K26" s="149" t="s">
        <v>4515</v>
      </c>
      <c r="L26" s="149" t="s">
        <v>4516</v>
      </c>
      <c r="M26" s="165" t="s">
        <v>4333</v>
      </c>
      <c r="N26" s="103" t="s">
        <v>4452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4476</v>
      </c>
      <c r="D27" s="103">
        <v>1</v>
      </c>
      <c r="E27" s="103" t="s">
        <v>4432</v>
      </c>
      <c r="F27" s="104" t="s">
        <v>4513</v>
      </c>
      <c r="G27" s="103" t="s">
        <v>4330</v>
      </c>
      <c r="H27" s="103" t="s">
        <v>4331</v>
      </c>
      <c r="I27" s="142" t="s">
        <v>4343</v>
      </c>
      <c r="J27" s="149" t="s">
        <v>4517</v>
      </c>
      <c r="K27" s="149" t="s">
        <v>4518</v>
      </c>
      <c r="L27" s="149" t="s">
        <v>4519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4517</v>
      </c>
      <c r="AC27" s="149" t="s">
        <v>4518</v>
      </c>
      <c r="AD27" s="149" t="s">
        <v>4519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4513</v>
      </c>
      <c r="G28" s="103" t="s">
        <v>4330</v>
      </c>
      <c r="H28" s="103" t="s">
        <v>4331</v>
      </c>
      <c r="I28" s="142" t="s">
        <v>4343</v>
      </c>
      <c r="J28" s="149" t="s">
        <v>4520</v>
      </c>
      <c r="K28" s="104" t="s">
        <v>4521</v>
      </c>
      <c r="L28" s="104" t="s">
        <v>4522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4520</v>
      </c>
      <c r="AC28" s="149" t="s">
        <v>4521</v>
      </c>
      <c r="AD28" s="149" t="s">
        <v>4522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4523</v>
      </c>
      <c r="G29" s="103" t="s">
        <v>4330</v>
      </c>
      <c r="H29" s="103" t="s">
        <v>4331</v>
      </c>
      <c r="I29" s="142" t="s">
        <v>4343</v>
      </c>
      <c r="J29" s="149" t="s">
        <v>4524</v>
      </c>
      <c r="K29" s="104" t="s">
        <v>4525</v>
      </c>
      <c r="L29" s="104" t="s">
        <v>4526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4524</v>
      </c>
      <c r="AC29" s="149" t="s">
        <v>4525</v>
      </c>
      <c r="AD29" s="149" t="s">
        <v>4526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4527</v>
      </c>
      <c r="G30" s="103" t="s">
        <v>4330</v>
      </c>
      <c r="H30" s="103" t="s">
        <v>4331</v>
      </c>
      <c r="I30" s="142" t="s">
        <v>4343</v>
      </c>
      <c r="J30" s="149" t="s">
        <v>4528</v>
      </c>
      <c r="K30" s="104" t="s">
        <v>4529</v>
      </c>
      <c r="L30" s="104" t="s">
        <v>4530</v>
      </c>
      <c r="M30" s="165" t="s">
        <v>4333</v>
      </c>
      <c r="N30" s="103" t="s">
        <v>4452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4528</v>
      </c>
      <c r="AC30" s="104" t="s">
        <v>4529</v>
      </c>
      <c r="AD30" s="104" t="s">
        <v>4530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4531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4454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4532</v>
      </c>
      <c r="G31" s="103" t="s">
        <v>4330</v>
      </c>
      <c r="H31" s="103" t="s">
        <v>4331</v>
      </c>
      <c r="I31" s="142" t="s">
        <v>4343</v>
      </c>
      <c r="J31" s="149" t="s">
        <v>4533</v>
      </c>
      <c r="K31" s="149" t="s">
        <v>4534</v>
      </c>
      <c r="L31" s="149" t="s">
        <v>4535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4533</v>
      </c>
      <c r="AC31" s="149" t="s">
        <v>4534</v>
      </c>
      <c r="AD31" s="149" t="s">
        <v>4535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4536</v>
      </c>
      <c r="G32" s="103" t="s">
        <v>4330</v>
      </c>
      <c r="H32" s="103" t="s">
        <v>4331</v>
      </c>
      <c r="I32" s="142" t="s">
        <v>4343</v>
      </c>
      <c r="J32" s="149" t="s">
        <v>4537</v>
      </c>
      <c r="K32" s="149" t="s">
        <v>4538</v>
      </c>
      <c r="L32" s="149" t="s">
        <v>4539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4537</v>
      </c>
      <c r="AC32" s="149" t="s">
        <v>4538</v>
      </c>
      <c r="AD32" s="149" t="s">
        <v>4539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4536</v>
      </c>
      <c r="G33" s="103" t="s">
        <v>4330</v>
      </c>
      <c r="H33" s="103" t="s">
        <v>4331</v>
      </c>
      <c r="I33" s="142" t="s">
        <v>4343</v>
      </c>
      <c r="J33" s="114" t="s">
        <v>4540</v>
      </c>
      <c r="K33" s="139" t="s">
        <v>4541</v>
      </c>
      <c r="L33" s="139" t="s">
        <v>4542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4540</v>
      </c>
      <c r="AC33" s="149" t="s">
        <v>4541</v>
      </c>
      <c r="AD33" s="149" t="s">
        <v>4542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4543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49" t="s">
        <v>4545</v>
      </c>
      <c r="L34" s="149" t="s">
        <v>4546</v>
      </c>
      <c r="M34" s="165" t="s">
        <v>4333</v>
      </c>
      <c r="N34" s="103" t="s">
        <v>4452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4454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4560</v>
      </c>
      <c r="G38" s="98" t="s">
        <v>4330</v>
      </c>
      <c r="H38" s="103" t="s">
        <v>4331</v>
      </c>
      <c r="I38" s="246" t="s">
        <v>4343</v>
      </c>
      <c r="J38" s="149" t="s">
        <v>4561</v>
      </c>
      <c r="K38" s="149" t="s">
        <v>4562</v>
      </c>
      <c r="L38" s="149" t="s">
        <v>4563</v>
      </c>
      <c r="M38" s="165" t="s">
        <v>4333</v>
      </c>
      <c r="N38" s="103" t="s">
        <v>4452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4561</v>
      </c>
      <c r="AC38" s="104" t="s">
        <v>4562</v>
      </c>
      <c r="AD38" s="104" t="s">
        <v>4563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4564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4454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4496</v>
      </c>
      <c r="D39" s="103">
        <v>1</v>
      </c>
      <c r="E39" s="103" t="s">
        <v>4432</v>
      </c>
      <c r="F39" s="104" t="s">
        <v>4565</v>
      </c>
      <c r="G39" s="103" t="s">
        <v>4330</v>
      </c>
      <c r="H39" s="103" t="s">
        <v>4331</v>
      </c>
      <c r="I39" s="142" t="s">
        <v>4343</v>
      </c>
      <c r="J39" s="149" t="s">
        <v>4566</v>
      </c>
      <c r="K39" s="149" t="s">
        <v>4567</v>
      </c>
      <c r="L39" s="149" t="s">
        <v>4568</v>
      </c>
      <c r="M39" s="165" t="s">
        <v>4333</v>
      </c>
      <c r="N39" s="103" t="s">
        <v>4452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4566</v>
      </c>
      <c r="AC39" s="104" t="s">
        <v>4567</v>
      </c>
      <c r="AD39" s="104" t="s">
        <v>4568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4569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4454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4496</v>
      </c>
      <c r="D40" s="103">
        <v>1</v>
      </c>
      <c r="E40" s="103" t="s">
        <v>4432</v>
      </c>
      <c r="F40" s="104" t="s">
        <v>4570</v>
      </c>
      <c r="G40" s="103" t="s">
        <v>4351</v>
      </c>
      <c r="H40" s="103" t="s">
        <v>4331</v>
      </c>
      <c r="I40" s="153" t="s">
        <v>4332</v>
      </c>
      <c r="J40" s="149" t="s">
        <v>4571</v>
      </c>
      <c r="K40" s="149" t="s">
        <v>4572</v>
      </c>
      <c r="L40" s="149" t="s">
        <v>4573</v>
      </c>
      <c r="M40" s="165" t="s">
        <v>4333</v>
      </c>
      <c r="N40" s="103" t="s">
        <v>4452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4571</v>
      </c>
      <c r="AC40" s="104" t="s">
        <v>4572</v>
      </c>
      <c r="AD40" s="104" t="s">
        <v>4573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4574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4575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4502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4496</v>
      </c>
      <c r="D43" s="103">
        <v>1</v>
      </c>
      <c r="E43" s="103" t="s">
        <v>4432</v>
      </c>
      <c r="F43" s="104" t="s">
        <v>4583</v>
      </c>
      <c r="G43" s="103" t="s">
        <v>4330</v>
      </c>
      <c r="H43" s="103" t="s">
        <v>4331</v>
      </c>
      <c r="I43" s="142" t="s">
        <v>4343</v>
      </c>
      <c r="J43" s="149" t="s">
        <v>4584</v>
      </c>
      <c r="K43" s="149" t="s">
        <v>4585</v>
      </c>
      <c r="L43" s="149" t="s">
        <v>4586</v>
      </c>
      <c r="M43" s="165" t="s">
        <v>4333</v>
      </c>
      <c r="N43" s="103" t="s">
        <v>4452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4584</v>
      </c>
      <c r="AC43" s="149" t="s">
        <v>4585</v>
      </c>
      <c r="AD43" s="149" t="s">
        <v>4586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4587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4502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4588</v>
      </c>
      <c r="G44" s="103" t="s">
        <v>4330</v>
      </c>
      <c r="H44" s="103" t="s">
        <v>4331</v>
      </c>
      <c r="I44" s="142" t="s">
        <v>4343</v>
      </c>
      <c r="J44" s="149" t="s">
        <v>4589</v>
      </c>
      <c r="K44" s="104" t="s">
        <v>4590</v>
      </c>
      <c r="L44" s="104" t="s">
        <v>4591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4589</v>
      </c>
      <c r="AC44" s="149" t="s">
        <v>4592</v>
      </c>
      <c r="AD44" s="149" t="s">
        <v>4591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4476</v>
      </c>
      <c r="D45" s="103">
        <v>1</v>
      </c>
      <c r="E45" s="103" t="s">
        <v>4432</v>
      </c>
      <c r="F45" s="104" t="s">
        <v>4593</v>
      </c>
      <c r="G45" s="103" t="s">
        <v>4330</v>
      </c>
      <c r="H45" s="103" t="s">
        <v>4331</v>
      </c>
      <c r="I45" s="142" t="s">
        <v>4343</v>
      </c>
      <c r="J45" s="149" t="s">
        <v>4594</v>
      </c>
      <c r="K45" s="149" t="s">
        <v>4595</v>
      </c>
      <c r="L45" s="149" t="s">
        <v>4596</v>
      </c>
      <c r="M45" s="165" t="s">
        <v>4333</v>
      </c>
      <c r="N45" s="103" t="s">
        <v>4452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4594</v>
      </c>
      <c r="AC45" s="104" t="s">
        <v>4595</v>
      </c>
      <c r="AD45" s="104" t="s">
        <v>4596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4597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4454</v>
      </c>
      <c r="BA45" s="174" t="s">
        <v>4598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4502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4496</v>
      </c>
      <c r="D46" s="103">
        <v>1</v>
      </c>
      <c r="E46" s="103" t="s">
        <v>4432</v>
      </c>
      <c r="F46" s="104" t="s">
        <v>4599</v>
      </c>
      <c r="G46" s="103" t="s">
        <v>4330</v>
      </c>
      <c r="H46" s="103" t="s">
        <v>4331</v>
      </c>
      <c r="I46" s="142" t="s">
        <v>4343</v>
      </c>
      <c r="J46" s="114" t="s">
        <v>4600</v>
      </c>
      <c r="K46" s="149" t="s">
        <v>4601</v>
      </c>
      <c r="L46" s="149" t="s">
        <v>4602</v>
      </c>
      <c r="M46" s="165" t="s">
        <v>4333</v>
      </c>
      <c r="N46" s="103" t="s">
        <v>4452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4600</v>
      </c>
      <c r="AC46" s="104" t="s">
        <v>4601</v>
      </c>
      <c r="AD46" s="114" t="s">
        <v>4602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4603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4502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4604</v>
      </c>
      <c r="G47" s="103" t="s">
        <v>4330</v>
      </c>
      <c r="H47" s="103" t="s">
        <v>4331</v>
      </c>
      <c r="I47" s="142" t="s">
        <v>4343</v>
      </c>
      <c r="J47" s="149" t="s">
        <v>4605</v>
      </c>
      <c r="K47" s="104" t="s">
        <v>4606</v>
      </c>
      <c r="L47" s="104" t="s">
        <v>4607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4605</v>
      </c>
      <c r="AC47" s="149" t="s">
        <v>4606</v>
      </c>
      <c r="AD47" s="149" t="s">
        <v>4607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4608</v>
      </c>
      <c r="G48" s="103" t="s">
        <v>4351</v>
      </c>
      <c r="H48" s="103" t="s">
        <v>4351</v>
      </c>
      <c r="I48" s="153" t="s">
        <v>4332</v>
      </c>
      <c r="J48" s="149" t="s">
        <v>4609</v>
      </c>
      <c r="K48" s="149" t="s">
        <v>4610</v>
      </c>
      <c r="L48" s="149" t="s">
        <v>4611</v>
      </c>
      <c r="M48" s="165" t="s">
        <v>4333</v>
      </c>
      <c r="N48" s="103" t="s">
        <v>4452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4609</v>
      </c>
      <c r="AC48" s="104" t="s">
        <v>4610</v>
      </c>
      <c r="AD48" s="104" t="s">
        <v>4611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4612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4575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4502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4476</v>
      </c>
      <c r="D49" s="103">
        <v>1</v>
      </c>
      <c r="E49" s="103" t="s">
        <v>4432</v>
      </c>
      <c r="F49" s="104" t="s">
        <v>4613</v>
      </c>
      <c r="G49" s="103" t="s">
        <v>4330</v>
      </c>
      <c r="H49" s="103" t="s">
        <v>4331</v>
      </c>
      <c r="I49" s="142" t="s">
        <v>4343</v>
      </c>
      <c r="J49" s="149" t="s">
        <v>4614</v>
      </c>
      <c r="K49" s="149" t="s">
        <v>4615</v>
      </c>
      <c r="L49" s="149" t="s">
        <v>4616</v>
      </c>
      <c r="M49" s="165" t="s">
        <v>4333</v>
      </c>
      <c r="N49" s="103" t="s">
        <v>4452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4614</v>
      </c>
      <c r="AC49" s="104" t="s">
        <v>4615</v>
      </c>
      <c r="AD49" s="104" t="s">
        <v>4616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4617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4454</v>
      </c>
      <c r="BA49" s="107" t="s">
        <v>4598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4502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4618</v>
      </c>
      <c r="G50" s="103" t="s">
        <v>4330</v>
      </c>
      <c r="H50" s="103" t="s">
        <v>4331</v>
      </c>
      <c r="I50" s="142" t="s">
        <v>4343</v>
      </c>
      <c r="J50" s="149" t="s">
        <v>4619</v>
      </c>
      <c r="K50" s="104" t="s">
        <v>4620</v>
      </c>
      <c r="L50" s="104" t="s">
        <v>4621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4619</v>
      </c>
      <c r="AC50" s="104" t="s">
        <v>4621</v>
      </c>
      <c r="AD50" s="149" t="s">
        <v>4622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4623</v>
      </c>
      <c r="G51" s="103" t="s">
        <v>4330</v>
      </c>
      <c r="H51" s="103" t="s">
        <v>4331</v>
      </c>
      <c r="I51" s="142" t="s">
        <v>4343</v>
      </c>
      <c r="J51" s="149" t="s">
        <v>4624</v>
      </c>
      <c r="K51" s="149" t="s">
        <v>4432</v>
      </c>
      <c r="L51" s="104" t="s">
        <v>4625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4624</v>
      </c>
      <c r="AC51" s="149" t="s">
        <v>4626</v>
      </c>
      <c r="AD51" s="149" t="s">
        <v>4625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4627</v>
      </c>
      <c r="G52" s="103" t="s">
        <v>4330</v>
      </c>
      <c r="H52" s="103" t="s">
        <v>4331</v>
      </c>
      <c r="I52" s="142" t="s">
        <v>4343</v>
      </c>
      <c r="J52" s="149" t="s">
        <v>4628</v>
      </c>
      <c r="K52" s="104" t="s">
        <v>4457</v>
      </c>
      <c r="L52" s="104" t="s">
        <v>4629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4628</v>
      </c>
      <c r="AC52" s="104" t="s">
        <v>4457</v>
      </c>
      <c r="AD52" s="104" t="s">
        <v>4629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4476</v>
      </c>
      <c r="D53" s="103">
        <v>1</v>
      </c>
      <c r="E53" s="103" t="s">
        <v>4432</v>
      </c>
      <c r="F53" s="104" t="s">
        <v>4630</v>
      </c>
      <c r="G53" s="103" t="s">
        <v>4330</v>
      </c>
      <c r="H53" s="103" t="s">
        <v>4331</v>
      </c>
      <c r="I53" s="142" t="s">
        <v>4343</v>
      </c>
      <c r="J53" s="149" t="s">
        <v>4631</v>
      </c>
      <c r="K53" s="149" t="s">
        <v>4632</v>
      </c>
      <c r="L53" s="149" t="s">
        <v>4633</v>
      </c>
      <c r="M53" s="165" t="s">
        <v>4333</v>
      </c>
      <c r="N53" s="103" t="s">
        <v>4452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4631</v>
      </c>
      <c r="AC53" s="104" t="s">
        <v>4632</v>
      </c>
      <c r="AD53" s="104" t="s">
        <v>4633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4634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4454</v>
      </c>
      <c r="BA53" s="174" t="s">
        <v>4598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4502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4635</v>
      </c>
      <c r="G54" s="103" t="s">
        <v>4330</v>
      </c>
      <c r="H54" s="103" t="s">
        <v>4361</v>
      </c>
      <c r="I54" s="142" t="s">
        <v>4361</v>
      </c>
      <c r="J54" s="149" t="s">
        <v>4636</v>
      </c>
      <c r="K54" s="149" t="s">
        <v>4637</v>
      </c>
      <c r="L54" s="149" t="s">
        <v>4638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4636</v>
      </c>
      <c r="AC54" s="149" t="s">
        <v>4637</v>
      </c>
      <c r="AD54" s="149" t="s">
        <v>4638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4639</v>
      </c>
      <c r="G55" s="103" t="s">
        <v>4330</v>
      </c>
      <c r="H55" s="103" t="s">
        <v>4331</v>
      </c>
      <c r="I55" s="142" t="s">
        <v>4343</v>
      </c>
      <c r="J55" s="149" t="s">
        <v>4640</v>
      </c>
      <c r="K55" s="104" t="s">
        <v>4641</v>
      </c>
      <c r="L55" s="104" t="s">
        <v>4642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4640</v>
      </c>
      <c r="AC55" s="149" t="s">
        <v>4641</v>
      </c>
      <c r="AD55" s="149" t="s">
        <v>4642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4643</v>
      </c>
      <c r="D56" s="103">
        <v>1</v>
      </c>
      <c r="E56" s="103" t="s">
        <v>4432</v>
      </c>
      <c r="F56" s="104" t="s">
        <v>4639</v>
      </c>
      <c r="G56" s="103" t="s">
        <v>4351</v>
      </c>
      <c r="H56" s="103" t="s">
        <v>4351</v>
      </c>
      <c r="I56" s="153" t="s">
        <v>4332</v>
      </c>
      <c r="J56" s="149" t="s">
        <v>4644</v>
      </c>
      <c r="K56" s="149" t="s">
        <v>4645</v>
      </c>
      <c r="L56" s="149" t="s">
        <v>4646</v>
      </c>
      <c r="M56" s="165" t="s">
        <v>4333</v>
      </c>
      <c r="N56" s="103" t="s">
        <v>4452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4647</v>
      </c>
      <c r="AC56" s="149" t="s">
        <v>4432</v>
      </c>
      <c r="AD56" s="149" t="s">
        <v>4648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4649</v>
      </c>
      <c r="G57" s="103" t="s">
        <v>4330</v>
      </c>
      <c r="H57" s="103" t="s">
        <v>4331</v>
      </c>
      <c r="I57" s="246" t="s">
        <v>4343</v>
      </c>
      <c r="J57" s="114" t="s">
        <v>4650</v>
      </c>
      <c r="K57" s="104" t="s">
        <v>4651</v>
      </c>
      <c r="L57" s="104" t="s">
        <v>4652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4650</v>
      </c>
      <c r="AC57" s="149" t="s">
        <v>4651</v>
      </c>
      <c r="AD57" s="149" t="s">
        <v>4652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4649</v>
      </c>
      <c r="G58" s="103" t="s">
        <v>4330</v>
      </c>
      <c r="H58" s="103" t="s">
        <v>4331</v>
      </c>
      <c r="I58" s="142" t="s">
        <v>4343</v>
      </c>
      <c r="J58" s="149" t="s">
        <v>4653</v>
      </c>
      <c r="K58" s="149" t="s">
        <v>4654</v>
      </c>
      <c r="L58" s="149" t="s">
        <v>4655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4653</v>
      </c>
      <c r="AC58" s="149" t="s">
        <v>4654</v>
      </c>
      <c r="AD58" s="149" t="s">
        <v>4655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4656</v>
      </c>
      <c r="G59" s="103" t="s">
        <v>4330</v>
      </c>
      <c r="H59" s="103" t="s">
        <v>4331</v>
      </c>
      <c r="I59" s="142" t="s">
        <v>4343</v>
      </c>
      <c r="J59" s="149" t="s">
        <v>4657</v>
      </c>
      <c r="K59" s="104" t="s">
        <v>4658</v>
      </c>
      <c r="L59" s="104" t="s">
        <v>4659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4657</v>
      </c>
      <c r="AC59" s="149" t="s">
        <v>4658</v>
      </c>
      <c r="AD59" s="149" t="s">
        <v>4659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4660</v>
      </c>
      <c r="G60" s="103" t="s">
        <v>4330</v>
      </c>
      <c r="H60" s="103" t="s">
        <v>4331</v>
      </c>
      <c r="I60" s="142" t="s">
        <v>4343</v>
      </c>
      <c r="J60" s="149" t="s">
        <v>4661</v>
      </c>
      <c r="K60" s="104" t="s">
        <v>4662</v>
      </c>
      <c r="L60" s="104" t="s">
        <v>4663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4661</v>
      </c>
      <c r="AC60" s="104" t="s">
        <v>4662</v>
      </c>
      <c r="AD60" s="104" t="s">
        <v>4663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4660</v>
      </c>
      <c r="G61" s="103" t="s">
        <v>4330</v>
      </c>
      <c r="H61" s="103" t="s">
        <v>4331</v>
      </c>
      <c r="I61" s="142" t="s">
        <v>4343</v>
      </c>
      <c r="J61" s="149" t="s">
        <v>4664</v>
      </c>
      <c r="K61" s="149" t="s">
        <v>4665</v>
      </c>
      <c r="L61" s="149" t="s">
        <v>4666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4664</v>
      </c>
      <c r="AC61" s="149" t="s">
        <v>4665</v>
      </c>
      <c r="AD61" s="149" t="s">
        <v>4666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4667</v>
      </c>
      <c r="G62" s="103" t="s">
        <v>4330</v>
      </c>
      <c r="H62" s="103" t="s">
        <v>4331</v>
      </c>
      <c r="I62" s="142" t="s">
        <v>4343</v>
      </c>
      <c r="J62" s="114" t="s">
        <v>4668</v>
      </c>
      <c r="K62" s="104" t="s">
        <v>4669</v>
      </c>
      <c r="L62" s="104" t="s">
        <v>4670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4668</v>
      </c>
      <c r="AC62" s="149" t="s">
        <v>4669</v>
      </c>
      <c r="AD62" s="149" t="s">
        <v>4670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4667</v>
      </c>
      <c r="G63" s="103" t="s">
        <v>4330</v>
      </c>
      <c r="H63" s="103" t="s">
        <v>4331</v>
      </c>
      <c r="I63" s="142" t="s">
        <v>4343</v>
      </c>
      <c r="J63" s="149" t="s">
        <v>4671</v>
      </c>
      <c r="K63" s="149" t="s">
        <v>4672</v>
      </c>
      <c r="L63" s="149" t="s">
        <v>4673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4671</v>
      </c>
      <c r="AC63" s="149" t="s">
        <v>4672</v>
      </c>
      <c r="AD63" s="149" t="s">
        <v>4673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4476</v>
      </c>
      <c r="D64" s="103">
        <v>1</v>
      </c>
      <c r="E64" s="103" t="s">
        <v>4432</v>
      </c>
      <c r="F64" s="104" t="s">
        <v>4674</v>
      </c>
      <c r="G64" s="103" t="s">
        <v>4330</v>
      </c>
      <c r="H64" s="103" t="s">
        <v>4331</v>
      </c>
      <c r="I64" s="142" t="s">
        <v>4343</v>
      </c>
      <c r="J64" s="149" t="s">
        <v>4675</v>
      </c>
      <c r="K64" s="149" t="s">
        <v>4676</v>
      </c>
      <c r="L64" s="149" t="s">
        <v>4677</v>
      </c>
      <c r="M64" s="165" t="s">
        <v>4333</v>
      </c>
      <c r="N64" s="103" t="s">
        <v>4452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4675</v>
      </c>
      <c r="AC64" s="149" t="s">
        <v>4676</v>
      </c>
      <c r="AD64" s="149" t="s">
        <v>4677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4678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4454</v>
      </c>
      <c r="BA64" s="107" t="s">
        <v>4598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4502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4448</v>
      </c>
      <c r="G65" s="103" t="s">
        <v>4330</v>
      </c>
      <c r="H65" s="103" t="s">
        <v>4331</v>
      </c>
      <c r="I65" s="142" t="s">
        <v>4343</v>
      </c>
      <c r="J65" s="149" t="s">
        <v>4679</v>
      </c>
      <c r="K65" s="149" t="s">
        <v>4680</v>
      </c>
      <c r="L65" s="149" t="s">
        <v>4681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4679</v>
      </c>
      <c r="AC65" s="149" t="s">
        <v>4680</v>
      </c>
      <c r="AD65" s="149" t="s">
        <v>4681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4682</v>
      </c>
      <c r="G66" s="103" t="s">
        <v>4330</v>
      </c>
      <c r="H66" s="103" t="s">
        <v>4331</v>
      </c>
      <c r="I66" s="142" t="s">
        <v>4343</v>
      </c>
      <c r="J66" s="149" t="s">
        <v>4683</v>
      </c>
      <c r="K66" s="104" t="s">
        <v>4684</v>
      </c>
      <c r="L66" s="104" t="s">
        <v>4685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4683</v>
      </c>
      <c r="AC66" s="149" t="s">
        <v>4684</v>
      </c>
      <c r="AD66" s="149" t="s">
        <v>4685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4682</v>
      </c>
      <c r="G67" s="103" t="s">
        <v>4330</v>
      </c>
      <c r="H67" s="103" t="s">
        <v>4352</v>
      </c>
      <c r="I67" s="142" t="s">
        <v>4343</v>
      </c>
      <c r="J67" s="149" t="s">
        <v>4686</v>
      </c>
      <c r="K67" s="149" t="s">
        <v>4687</v>
      </c>
      <c r="L67" s="149" t="s">
        <v>4688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4686</v>
      </c>
      <c r="AC67" s="149" t="s">
        <v>4687</v>
      </c>
      <c r="AD67" s="149" t="s">
        <v>4688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4689</v>
      </c>
      <c r="G68" s="103" t="s">
        <v>4330</v>
      </c>
      <c r="H68" s="103" t="s">
        <v>4331</v>
      </c>
      <c r="I68" s="142" t="s">
        <v>4343</v>
      </c>
      <c r="J68" s="149" t="s">
        <v>4690</v>
      </c>
      <c r="K68" s="104" t="s">
        <v>4691</v>
      </c>
      <c r="L68" s="104" t="s">
        <v>4692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4690</v>
      </c>
      <c r="AC68" s="149" t="s">
        <v>4691</v>
      </c>
      <c r="AD68" s="149" t="s">
        <v>4692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4476</v>
      </c>
      <c r="D69" s="103">
        <v>1</v>
      </c>
      <c r="E69" s="103" t="s">
        <v>4432</v>
      </c>
      <c r="F69" s="104" t="s">
        <v>4693</v>
      </c>
      <c r="G69" s="103" t="s">
        <v>4330</v>
      </c>
      <c r="H69" s="103" t="s">
        <v>4331</v>
      </c>
      <c r="I69" s="142" t="s">
        <v>4343</v>
      </c>
      <c r="J69" s="149" t="s">
        <v>4694</v>
      </c>
      <c r="K69" s="149">
        <v>33837673</v>
      </c>
      <c r="L69" s="149" t="s">
        <v>4695</v>
      </c>
      <c r="M69" s="165" t="s">
        <v>4333</v>
      </c>
      <c r="N69" s="103" t="s">
        <v>4452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4694</v>
      </c>
      <c r="AC69" s="149">
        <v>33837673</v>
      </c>
      <c r="AD69" s="149" t="s">
        <v>4695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4696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4454</v>
      </c>
      <c r="BA69" s="174" t="s">
        <v>4598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4502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4697</v>
      </c>
      <c r="G70" s="103" t="s">
        <v>4330</v>
      </c>
      <c r="H70" s="103" t="s">
        <v>4331</v>
      </c>
      <c r="I70" s="246" t="s">
        <v>4343</v>
      </c>
      <c r="J70" s="149" t="s">
        <v>4698</v>
      </c>
      <c r="K70" s="104" t="s">
        <v>4699</v>
      </c>
      <c r="L70" s="104" t="s">
        <v>4700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4698</v>
      </c>
      <c r="AC70" s="149" t="s">
        <v>4699</v>
      </c>
      <c r="AD70" s="149" t="s">
        <v>4700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4701</v>
      </c>
      <c r="G71" s="103" t="s">
        <v>4330</v>
      </c>
      <c r="H71" s="103" t="s">
        <v>4331</v>
      </c>
      <c r="I71" s="142" t="s">
        <v>4343</v>
      </c>
      <c r="J71" s="114" t="s">
        <v>4702</v>
      </c>
      <c r="K71" s="104" t="s">
        <v>4703</v>
      </c>
      <c r="L71" s="104" t="s">
        <v>4704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4702</v>
      </c>
      <c r="AC71" s="149" t="s">
        <v>4703</v>
      </c>
      <c r="AD71" s="149" t="s">
        <v>4704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4705</v>
      </c>
      <c r="G72" s="103" t="s">
        <v>4330</v>
      </c>
      <c r="H72" s="103" t="s">
        <v>4331</v>
      </c>
      <c r="I72" s="142" t="s">
        <v>4343</v>
      </c>
      <c r="J72" s="149" t="s">
        <v>4706</v>
      </c>
      <c r="K72" s="104" t="s">
        <v>4707</v>
      </c>
      <c r="L72" s="104" t="s">
        <v>4708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4706</v>
      </c>
      <c r="AC72" s="149" t="s">
        <v>4707</v>
      </c>
      <c r="AD72" s="149" t="s">
        <v>4708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4709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4710</v>
      </c>
      <c r="L73" s="104" t="s">
        <v>4711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4710</v>
      </c>
      <c r="AD73" s="149" t="s">
        <v>4711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4476</v>
      </c>
      <c r="D74" s="103">
        <v>1</v>
      </c>
      <c r="E74" s="103" t="s">
        <v>4432</v>
      </c>
      <c r="F74" s="104" t="s">
        <v>4712</v>
      </c>
      <c r="G74" s="103" t="s">
        <v>4330</v>
      </c>
      <c r="H74" s="103" t="s">
        <v>4331</v>
      </c>
      <c r="I74" s="142" t="s">
        <v>4343</v>
      </c>
      <c r="J74" s="149" t="s">
        <v>4713</v>
      </c>
      <c r="K74" s="149" t="s">
        <v>4714</v>
      </c>
      <c r="L74" s="149" t="s">
        <v>4715</v>
      </c>
      <c r="M74" s="165" t="s">
        <v>4333</v>
      </c>
      <c r="N74" s="103" t="s">
        <v>4452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4713</v>
      </c>
      <c r="AC74" s="149" t="s">
        <v>4714</v>
      </c>
      <c r="AD74" s="149" t="s">
        <v>4715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4716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4454</v>
      </c>
      <c r="BA74" s="174" t="s">
        <v>4598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4502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4717</v>
      </c>
      <c r="G75" s="103" t="s">
        <v>4330</v>
      </c>
      <c r="H75" s="103" t="s">
        <v>4331</v>
      </c>
      <c r="I75" s="142" t="s">
        <v>4343</v>
      </c>
      <c r="J75" s="149" t="s">
        <v>4718</v>
      </c>
      <c r="K75" s="104" t="s">
        <v>4719</v>
      </c>
      <c r="L75" s="104" t="s">
        <v>4720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4718</v>
      </c>
      <c r="AC75" s="149" t="s">
        <v>4719</v>
      </c>
      <c r="AD75" s="149" t="s">
        <v>4720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4721</v>
      </c>
      <c r="G76" s="103" t="s">
        <v>4330</v>
      </c>
      <c r="H76" s="103" t="s">
        <v>4331</v>
      </c>
      <c r="I76" s="142" t="s">
        <v>4343</v>
      </c>
      <c r="J76" s="149" t="s">
        <v>4722</v>
      </c>
      <c r="K76" s="104" t="s">
        <v>4723</v>
      </c>
      <c r="L76" s="104" t="s">
        <v>4724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4722</v>
      </c>
      <c r="AC76" s="104" t="s">
        <v>4723</v>
      </c>
      <c r="AD76" s="104" t="s">
        <v>4724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4725</v>
      </c>
      <c r="G77" s="103" t="s">
        <v>4330</v>
      </c>
      <c r="H77" s="103" t="s">
        <v>4331</v>
      </c>
      <c r="I77" s="142" t="s">
        <v>4343</v>
      </c>
      <c r="J77" s="149" t="s">
        <v>4726</v>
      </c>
      <c r="K77" s="104" t="s">
        <v>4727</v>
      </c>
      <c r="L77" s="104" t="s">
        <v>4728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4726</v>
      </c>
      <c r="AC77" s="149" t="s">
        <v>4727</v>
      </c>
      <c r="AD77" s="149" t="s">
        <v>4728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4729</v>
      </c>
      <c r="G78" s="103" t="s">
        <v>4330</v>
      </c>
      <c r="H78" s="103" t="s">
        <v>4331</v>
      </c>
      <c r="I78" s="142" t="s">
        <v>4343</v>
      </c>
      <c r="J78" s="149" t="s">
        <v>4730</v>
      </c>
      <c r="K78" s="104" t="s">
        <v>4731</v>
      </c>
      <c r="L78" s="104" t="s">
        <v>4732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4730</v>
      </c>
      <c r="AC78" s="149" t="s">
        <v>4731</v>
      </c>
      <c r="AD78" s="149" t="s">
        <v>4732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4733</v>
      </c>
      <c r="G79" s="103" t="s">
        <v>4330</v>
      </c>
      <c r="H79" s="103" t="s">
        <v>4331</v>
      </c>
      <c r="I79" s="142" t="s">
        <v>4343</v>
      </c>
      <c r="J79" s="149" t="s">
        <v>4734</v>
      </c>
      <c r="K79" s="104" t="s">
        <v>4735</v>
      </c>
      <c r="L79" s="104" t="s">
        <v>4736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4734</v>
      </c>
      <c r="AC79" s="149" t="s">
        <v>4735</v>
      </c>
      <c r="AD79" s="149" t="s">
        <v>4736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4476</v>
      </c>
      <c r="D80" s="103">
        <v>1</v>
      </c>
      <c r="E80" s="103" t="s">
        <v>4432</v>
      </c>
      <c r="F80" s="104" t="s">
        <v>4737</v>
      </c>
      <c r="G80" s="103" t="s">
        <v>4330</v>
      </c>
      <c r="H80" s="103" t="s">
        <v>4331</v>
      </c>
      <c r="I80" s="142" t="s">
        <v>4343</v>
      </c>
      <c r="J80" s="149" t="s">
        <v>4738</v>
      </c>
      <c r="K80" s="149" t="s">
        <v>4739</v>
      </c>
      <c r="L80" s="149" t="s">
        <v>4740</v>
      </c>
      <c r="M80" s="165" t="s">
        <v>4333</v>
      </c>
      <c r="N80" s="103" t="s">
        <v>4452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4738</v>
      </c>
      <c r="AC80" s="149" t="s">
        <v>4739</v>
      </c>
      <c r="AD80" s="149" t="s">
        <v>4740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4741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4454</v>
      </c>
      <c r="BA80" s="174" t="s">
        <v>4598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4502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4742</v>
      </c>
      <c r="G81" s="103" t="s">
        <v>4330</v>
      </c>
      <c r="H81" s="103" t="s">
        <v>4331</v>
      </c>
      <c r="I81" s="142" t="s">
        <v>4343</v>
      </c>
      <c r="J81" s="149" t="s">
        <v>4743</v>
      </c>
      <c r="K81" s="104" t="s">
        <v>4744</v>
      </c>
      <c r="L81" s="104" t="s">
        <v>4745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4743</v>
      </c>
      <c r="AC81" s="149" t="s">
        <v>4744</v>
      </c>
      <c r="AD81" s="149" t="s">
        <v>4745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4746</v>
      </c>
      <c r="G82" s="103" t="s">
        <v>4330</v>
      </c>
      <c r="H82" s="103" t="s">
        <v>4331</v>
      </c>
      <c r="I82" s="142" t="s">
        <v>4343</v>
      </c>
      <c r="J82" s="114" t="s">
        <v>4747</v>
      </c>
      <c r="K82" s="104" t="s">
        <v>4748</v>
      </c>
      <c r="L82" s="104" t="s">
        <v>4749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4747</v>
      </c>
      <c r="AC82" s="149" t="s">
        <v>4748</v>
      </c>
      <c r="AD82" s="149" t="s">
        <v>4749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4750</v>
      </c>
      <c r="G83" s="103" t="s">
        <v>4330</v>
      </c>
      <c r="H83" s="103" t="s">
        <v>4331</v>
      </c>
      <c r="I83" s="142" t="s">
        <v>4343</v>
      </c>
      <c r="J83" s="149" t="s">
        <v>4751</v>
      </c>
      <c r="K83" s="104" t="s">
        <v>4752</v>
      </c>
      <c r="L83" s="104" t="s">
        <v>4753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4751</v>
      </c>
      <c r="AC83" s="149" t="s">
        <v>4752</v>
      </c>
      <c r="AD83" s="149" t="s">
        <v>4753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4754</v>
      </c>
      <c r="G84" s="103" t="s">
        <v>4330</v>
      </c>
      <c r="H84" s="103" t="s">
        <v>4331</v>
      </c>
      <c r="I84" s="142" t="s">
        <v>4343</v>
      </c>
      <c r="J84" s="149" t="s">
        <v>4755</v>
      </c>
      <c r="K84" s="104" t="s">
        <v>4756</v>
      </c>
      <c r="L84" s="104" t="s">
        <v>4757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4755</v>
      </c>
      <c r="AC84" s="149" t="s">
        <v>4756</v>
      </c>
      <c r="AD84" s="149" t="s">
        <v>4757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4758</v>
      </c>
      <c r="G85" s="103" t="s">
        <v>4330</v>
      </c>
      <c r="H85" s="103" t="s">
        <v>4331</v>
      </c>
      <c r="I85" s="142" t="s">
        <v>4343</v>
      </c>
      <c r="J85" s="149" t="s">
        <v>4759</v>
      </c>
      <c r="K85" s="104" t="s">
        <v>4760</v>
      </c>
      <c r="L85" s="104" t="s">
        <v>4761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4759</v>
      </c>
      <c r="AC85" s="149" t="s">
        <v>4760</v>
      </c>
      <c r="AD85" s="149" t="s">
        <v>4761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4762</v>
      </c>
      <c r="G86" s="103" t="s">
        <v>4330</v>
      </c>
      <c r="H86" s="103" t="s">
        <v>4331</v>
      </c>
      <c r="I86" s="142" t="s">
        <v>4343</v>
      </c>
      <c r="J86" s="149" t="s">
        <v>4763</v>
      </c>
      <c r="K86" s="104" t="s">
        <v>4764</v>
      </c>
      <c r="L86" s="104" t="s">
        <v>4765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4763</v>
      </c>
      <c r="AC86" s="149" t="s">
        <v>4764</v>
      </c>
      <c r="AD86" s="149" t="s">
        <v>4765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4476</v>
      </c>
      <c r="D87" s="103">
        <v>1</v>
      </c>
      <c r="E87" s="103" t="s">
        <v>4432</v>
      </c>
      <c r="F87" s="104" t="s">
        <v>4766</v>
      </c>
      <c r="G87" s="103" t="s">
        <v>4330</v>
      </c>
      <c r="H87" s="103" t="s">
        <v>4331</v>
      </c>
      <c r="I87" s="142" t="s">
        <v>4343</v>
      </c>
      <c r="J87" s="114" t="s">
        <v>4767</v>
      </c>
      <c r="K87" s="149" t="s">
        <v>4768</v>
      </c>
      <c r="L87" s="149" t="s">
        <v>4769</v>
      </c>
      <c r="M87" s="165" t="s">
        <v>4333</v>
      </c>
      <c r="N87" s="103" t="s">
        <v>4452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4770</v>
      </c>
      <c r="AC87" s="149" t="s">
        <v>4768</v>
      </c>
      <c r="AD87" s="149" t="s">
        <v>4769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4771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4454</v>
      </c>
      <c r="BA87" s="174" t="s">
        <v>4598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4502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4772</v>
      </c>
      <c r="G88" s="103" t="s">
        <v>4330</v>
      </c>
      <c r="H88" s="103" t="s">
        <v>4331</v>
      </c>
      <c r="I88" s="142" t="s">
        <v>4440</v>
      </c>
      <c r="J88" s="114" t="s">
        <v>4773</v>
      </c>
      <c r="K88" s="149" t="s">
        <v>4432</v>
      </c>
      <c r="L88" s="149" t="s">
        <v>4774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4775</v>
      </c>
      <c r="AC88" s="104" t="s">
        <v>4776</v>
      </c>
      <c r="AD88" s="104" t="s">
        <v>4777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4778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4575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4454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4476</v>
      </c>
      <c r="D89" s="103">
        <v>1</v>
      </c>
      <c r="E89" s="103" t="s">
        <v>4432</v>
      </c>
      <c r="F89" s="104" t="s">
        <v>4779</v>
      </c>
      <c r="G89" s="103" t="s">
        <v>4330</v>
      </c>
      <c r="H89" s="103" t="s">
        <v>4331</v>
      </c>
      <c r="I89" s="142" t="s">
        <v>4343</v>
      </c>
      <c r="J89" s="149" t="s">
        <v>4780</v>
      </c>
      <c r="K89" s="149" t="s">
        <v>4781</v>
      </c>
      <c r="L89" s="149" t="s">
        <v>4782</v>
      </c>
      <c r="M89" s="165" t="s">
        <v>4333</v>
      </c>
      <c r="N89" s="103" t="s">
        <v>4452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4780</v>
      </c>
      <c r="AC89" s="149" t="s">
        <v>4781</v>
      </c>
      <c r="AD89" s="149" t="s">
        <v>4782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4783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4454</v>
      </c>
      <c r="BA89" s="107" t="s">
        <v>4598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4502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4784</v>
      </c>
      <c r="G90" s="103" t="s">
        <v>4330</v>
      </c>
      <c r="H90" s="103" t="s">
        <v>4331</v>
      </c>
      <c r="I90" s="142" t="s">
        <v>4343</v>
      </c>
      <c r="J90" s="149" t="s">
        <v>4785</v>
      </c>
      <c r="K90" s="104" t="s">
        <v>4786</v>
      </c>
      <c r="L90" s="104" t="s">
        <v>4787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4785</v>
      </c>
      <c r="AC90" s="149" t="s">
        <v>4786</v>
      </c>
      <c r="AD90" s="149" t="s">
        <v>4787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4476</v>
      </c>
      <c r="D91" s="103">
        <v>1</v>
      </c>
      <c r="E91" s="103" t="s">
        <v>4432</v>
      </c>
      <c r="F91" s="104" t="s">
        <v>4788</v>
      </c>
      <c r="G91" s="103" t="s">
        <v>4330</v>
      </c>
      <c r="H91" s="103" t="s">
        <v>4331</v>
      </c>
      <c r="I91" s="142" t="s">
        <v>4343</v>
      </c>
      <c r="J91" s="149" t="s">
        <v>4789</v>
      </c>
      <c r="K91" s="149" t="s">
        <v>4790</v>
      </c>
      <c r="L91" s="149" t="s">
        <v>4791</v>
      </c>
      <c r="M91" s="165" t="s">
        <v>4333</v>
      </c>
      <c r="N91" s="103" t="s">
        <v>4452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4789</v>
      </c>
      <c r="AC91" s="104" t="s">
        <v>4790</v>
      </c>
      <c r="AD91" s="104" t="s">
        <v>4791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4792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4454</v>
      </c>
      <c r="BA91" s="174" t="s">
        <v>4598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4502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4476</v>
      </c>
      <c r="D92" s="103">
        <v>1</v>
      </c>
      <c r="E92" s="103" t="s">
        <v>4432</v>
      </c>
      <c r="F92" s="104" t="s">
        <v>4793</v>
      </c>
      <c r="G92" s="103" t="s">
        <v>4330</v>
      </c>
      <c r="H92" s="103" t="s">
        <v>4331</v>
      </c>
      <c r="I92" s="142" t="s">
        <v>4343</v>
      </c>
      <c r="J92" s="149" t="s">
        <v>4794</v>
      </c>
      <c r="K92" s="149" t="s">
        <v>4795</v>
      </c>
      <c r="L92" s="149" t="s">
        <v>4796</v>
      </c>
      <c r="M92" s="165" t="s">
        <v>4333</v>
      </c>
      <c r="N92" s="103" t="s">
        <v>4452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4794</v>
      </c>
      <c r="AC92" s="104" t="s">
        <v>4432</v>
      </c>
      <c r="AD92" s="104" t="s">
        <v>4796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4797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4454</v>
      </c>
      <c r="BA92" s="174" t="s">
        <v>4598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4502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4476</v>
      </c>
      <c r="D93" s="103">
        <v>1</v>
      </c>
      <c r="E93" s="103" t="s">
        <v>4432</v>
      </c>
      <c r="F93" s="104" t="s">
        <v>4798</v>
      </c>
      <c r="G93" s="103" t="s">
        <v>4330</v>
      </c>
      <c r="H93" s="103" t="s">
        <v>4331</v>
      </c>
      <c r="I93" s="142" t="s">
        <v>4343</v>
      </c>
      <c r="J93" s="149" t="s">
        <v>4799</v>
      </c>
      <c r="K93" s="149" t="s">
        <v>4800</v>
      </c>
      <c r="L93" s="149" t="s">
        <v>4801</v>
      </c>
      <c r="M93" s="165" t="s">
        <v>4333</v>
      </c>
      <c r="N93" s="103" t="s">
        <v>4452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4799</v>
      </c>
      <c r="AC93" s="149" t="s">
        <v>4800</v>
      </c>
      <c r="AD93" s="149" t="s">
        <v>4801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4802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4454</v>
      </c>
      <c r="BA93" s="174" t="s">
        <v>4598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4502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4803</v>
      </c>
      <c r="G94" s="103" t="s">
        <v>4330</v>
      </c>
      <c r="H94" s="103" t="s">
        <v>4331</v>
      </c>
      <c r="I94" s="142" t="s">
        <v>4343</v>
      </c>
      <c r="J94" s="149" t="s">
        <v>4804</v>
      </c>
      <c r="K94" s="104" t="s">
        <v>4805</v>
      </c>
      <c r="L94" s="104" t="s">
        <v>4806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4804</v>
      </c>
      <c r="AC94" s="149" t="s">
        <v>4805</v>
      </c>
      <c r="AD94" s="149" t="s">
        <v>4806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4807</v>
      </c>
      <c r="G95" s="103" t="s">
        <v>4330</v>
      </c>
      <c r="H95" s="103" t="s">
        <v>4331</v>
      </c>
      <c r="I95" s="142" t="s">
        <v>4343</v>
      </c>
      <c r="J95" s="104" t="s">
        <v>4808</v>
      </c>
      <c r="K95" s="104" t="s">
        <v>4809</v>
      </c>
      <c r="L95" s="104" t="s">
        <v>4810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4808</v>
      </c>
      <c r="AC95" s="149" t="s">
        <v>4809</v>
      </c>
      <c r="AD95" s="149" t="s">
        <v>4810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4811</v>
      </c>
      <c r="G96" s="103" t="s">
        <v>4330</v>
      </c>
      <c r="H96" s="103" t="s">
        <v>4331</v>
      </c>
      <c r="I96" s="142" t="s">
        <v>4343</v>
      </c>
      <c r="J96" s="149" t="s">
        <v>4812</v>
      </c>
      <c r="K96" s="104" t="s">
        <v>4813</v>
      </c>
      <c r="L96" s="104" t="s">
        <v>4814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4812</v>
      </c>
      <c r="AC96" s="149" t="s">
        <v>4813</v>
      </c>
      <c r="AD96" s="149" t="s">
        <v>4814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4815</v>
      </c>
      <c r="G97" s="103" t="s">
        <v>4330</v>
      </c>
      <c r="H97" s="103" t="s">
        <v>4331</v>
      </c>
      <c r="I97" s="142" t="s">
        <v>4343</v>
      </c>
      <c r="J97" s="149" t="s">
        <v>4816</v>
      </c>
      <c r="K97" s="104" t="s">
        <v>4817</v>
      </c>
      <c r="L97" s="104" t="s">
        <v>4818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4816</v>
      </c>
      <c r="AC97" s="149" t="s">
        <v>4817</v>
      </c>
      <c r="AD97" s="149" t="s">
        <v>4818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4819</v>
      </c>
      <c r="G98" s="103" t="s">
        <v>4330</v>
      </c>
      <c r="H98" s="103" t="s">
        <v>4331</v>
      </c>
      <c r="I98" s="142" t="s">
        <v>4343</v>
      </c>
      <c r="J98" s="149" t="s">
        <v>4820</v>
      </c>
      <c r="K98" s="149" t="s">
        <v>4432</v>
      </c>
      <c r="L98" s="104" t="s">
        <v>4821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4820</v>
      </c>
      <c r="AC98" s="149" t="s">
        <v>4432</v>
      </c>
      <c r="AD98" s="149" t="s">
        <v>4821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4476</v>
      </c>
      <c r="D99" s="103">
        <v>1</v>
      </c>
      <c r="E99" s="103" t="s">
        <v>4432</v>
      </c>
      <c r="F99" s="104" t="s">
        <v>4822</v>
      </c>
      <c r="G99" s="103" t="s">
        <v>4330</v>
      </c>
      <c r="H99" s="103" t="s">
        <v>4331</v>
      </c>
      <c r="I99" s="142" t="s">
        <v>4343</v>
      </c>
      <c r="J99" s="149" t="s">
        <v>4823</v>
      </c>
      <c r="K99" s="149" t="s">
        <v>4824</v>
      </c>
      <c r="L99" s="149" t="s">
        <v>4825</v>
      </c>
      <c r="M99" s="165" t="s">
        <v>4333</v>
      </c>
      <c r="N99" s="103" t="s">
        <v>4452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4823</v>
      </c>
      <c r="AC99" s="149" t="s">
        <v>4824</v>
      </c>
      <c r="AD99" s="149" t="s">
        <v>4825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4826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4454</v>
      </c>
      <c r="BA99" s="174" t="s">
        <v>4598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4502</v>
      </c>
      <c r="BM99" s="237"/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6666</v>
      </c>
      <c r="G100" s="103" t="s">
        <v>4330</v>
      </c>
      <c r="H100" s="103" t="s">
        <v>4331</v>
      </c>
      <c r="I100" s="103" t="s">
        <v>4343</v>
      </c>
      <c r="J100" s="149" t="s">
        <v>6667</v>
      </c>
      <c r="K100" s="149" t="s">
        <v>6668</v>
      </c>
      <c r="L100" s="149" t="s">
        <v>6669</v>
      </c>
      <c r="M100" s="165" t="s">
        <v>4333</v>
      </c>
      <c r="N100" s="103" t="s">
        <v>4334</v>
      </c>
      <c r="O100" s="108">
        <v>46188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8"/>
      <c r="AA100" s="112"/>
      <c r="AB100" s="149" t="s">
        <v>6667</v>
      </c>
      <c r="AC100" s="149" t="s">
        <v>6668</v>
      </c>
      <c r="AD100" s="149" t="s">
        <v>6669</v>
      </c>
      <c r="AE100" s="142" t="s">
        <v>4343</v>
      </c>
      <c r="AF100" s="103" t="s">
        <v>4333</v>
      </c>
      <c r="AG100" s="194">
        <v>48241.26</v>
      </c>
      <c r="AH100" s="194">
        <v>60000</v>
      </c>
      <c r="AI100" s="103" t="s">
        <v>4447</v>
      </c>
      <c r="AJ100" s="104" t="s">
        <v>4438</v>
      </c>
      <c r="AK100" s="103">
        <v>158037812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6670</v>
      </c>
      <c r="AQ100" s="165" t="s">
        <v>4338</v>
      </c>
      <c r="AR100" s="103" t="s">
        <v>4338</v>
      </c>
      <c r="AS100" s="103" t="s">
        <v>4831</v>
      </c>
      <c r="AT100" s="103" t="s">
        <v>4831</v>
      </c>
      <c r="AU100" s="105">
        <v>46233</v>
      </c>
      <c r="AV100" s="103" t="s">
        <v>4831</v>
      </c>
      <c r="AW100" s="103" t="s">
        <v>4831</v>
      </c>
      <c r="AX100" s="105">
        <v>46234</v>
      </c>
      <c r="AY100" s="106" t="s">
        <v>4454</v>
      </c>
      <c r="AZ100" s="157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4476</v>
      </c>
      <c r="D101" s="103">
        <v>1</v>
      </c>
      <c r="E101" s="103" t="s">
        <v>4432</v>
      </c>
      <c r="F101" s="104" t="s">
        <v>4832</v>
      </c>
      <c r="G101" s="103" t="s">
        <v>4330</v>
      </c>
      <c r="H101" s="103" t="s">
        <v>4331</v>
      </c>
      <c r="I101" s="142" t="s">
        <v>4343</v>
      </c>
      <c r="J101" s="149" t="s">
        <v>4833</v>
      </c>
      <c r="K101" s="149" t="s">
        <v>4834</v>
      </c>
      <c r="L101" s="149" t="s">
        <v>4835</v>
      </c>
      <c r="M101" s="165" t="s">
        <v>4333</v>
      </c>
      <c r="N101" s="103" t="s">
        <v>4452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4833</v>
      </c>
      <c r="AC101" s="149" t="s">
        <v>4834</v>
      </c>
      <c r="AD101" s="149" t="s">
        <v>4835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4836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4454</v>
      </c>
      <c r="BA101" s="107" t="s">
        <v>4598</v>
      </c>
      <c r="BB101" s="136" t="s">
        <v>4338</v>
      </c>
      <c r="BC101" s="220">
        <f>IF(AY101-KD101=0,"",AY101-O101)</f>
        <v>23</v>
      </c>
      <c r="BD101" s="103" t="str">
        <f>IF(AND(AI101&lt;&gt;"SIM",AI101="UH"),"AA","INDENIZAÇÃO")</f>
        <v>INDENIZAÇÃO</v>
      </c>
      <c r="BE101" s="103" t="str">
        <f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4502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4837</v>
      </c>
      <c r="G102" s="103" t="s">
        <v>4330</v>
      </c>
      <c r="H102" s="103" t="s">
        <v>4331</v>
      </c>
      <c r="I102" s="103" t="s">
        <v>4440</v>
      </c>
      <c r="J102" s="149" t="s">
        <v>4838</v>
      </c>
      <c r="K102" s="149" t="s">
        <v>4839</v>
      </c>
      <c r="L102" s="149" t="s">
        <v>4840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4841</v>
      </c>
      <c r="AC102" s="149" t="s">
        <v>4842</v>
      </c>
      <c r="AD102" s="149" t="s">
        <v>4843</v>
      </c>
      <c r="AE102" s="280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>IF(AY102-KD102=0,"",AY102-O102)</f>
        <v/>
      </c>
      <c r="BD102" s="103" t="str">
        <f>IF(AND(AI102&lt;&gt;"SIM",AI102="UH"),"AA","INDENIZAÇÃO")</f>
        <v>INDENIZAÇÃO</v>
      </c>
      <c r="BE102" s="103" t="str">
        <f>IF(AND(AY102&lt;&gt;"AGUARDANDO",AY102&lt;&gt;"",N102="AUXÍLIO ALUGUEL ATÉ INDENIZAÇÃO"),"SIM","NÃO")</f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5188</v>
      </c>
      <c r="G103" s="103" t="s">
        <v>4330</v>
      </c>
      <c r="H103" s="103" t="s">
        <v>4331</v>
      </c>
      <c r="I103" s="103" t="s">
        <v>4343</v>
      </c>
      <c r="J103" s="149" t="s">
        <v>5189</v>
      </c>
      <c r="K103" s="149" t="s">
        <v>5190</v>
      </c>
      <c r="L103" s="149" t="s">
        <v>5191</v>
      </c>
      <c r="M103" s="165" t="s">
        <v>4333</v>
      </c>
      <c r="N103" s="103" t="s">
        <v>4452</v>
      </c>
      <c r="O103" s="105">
        <v>46189</v>
      </c>
      <c r="P103" s="105" t="s">
        <v>4356</v>
      </c>
      <c r="Q103" s="105" t="s">
        <v>4356</v>
      </c>
      <c r="R103" s="105" t="s">
        <v>4356</v>
      </c>
      <c r="S103" s="105" t="s">
        <v>4356</v>
      </c>
      <c r="T103" s="105" t="s">
        <v>4356</v>
      </c>
      <c r="U103" s="105" t="s">
        <v>4356</v>
      </c>
      <c r="V103" s="105" t="s">
        <v>4356</v>
      </c>
      <c r="W103" s="105" t="s">
        <v>4356</v>
      </c>
      <c r="X103" s="105" t="s">
        <v>4356</v>
      </c>
      <c r="Y103" s="105" t="s">
        <v>4356</v>
      </c>
      <c r="Z103" s="105"/>
      <c r="AA103" s="105"/>
      <c r="AB103" s="149" t="s">
        <v>5189</v>
      </c>
      <c r="AC103" s="149" t="s">
        <v>5190</v>
      </c>
      <c r="AD103" s="149" t="s">
        <v>5191</v>
      </c>
      <c r="AE103" s="103" t="s">
        <v>4343</v>
      </c>
      <c r="AF103" s="103" t="s">
        <v>4333</v>
      </c>
      <c r="AG103" s="208">
        <v>83292.070000000007</v>
      </c>
      <c r="AH103" s="208">
        <v>83292.070000000007</v>
      </c>
      <c r="AI103" s="103" t="s">
        <v>4447</v>
      </c>
      <c r="AJ103" s="104" t="s">
        <v>4438</v>
      </c>
      <c r="AK103" s="103">
        <v>152696098</v>
      </c>
      <c r="AL103" s="103" t="s">
        <v>4338</v>
      </c>
      <c r="AM103" s="103" t="s">
        <v>4338</v>
      </c>
      <c r="AN103" s="103" t="s">
        <v>4339</v>
      </c>
      <c r="AO103" s="153"/>
      <c r="AP103" s="171" t="s">
        <v>5192</v>
      </c>
      <c r="AQ103" s="165" t="s">
        <v>4831</v>
      </c>
      <c r="AR103" s="103" t="s">
        <v>4831</v>
      </c>
      <c r="AS103" s="103" t="s">
        <v>4831</v>
      </c>
      <c r="AT103" s="103" t="s">
        <v>4831</v>
      </c>
      <c r="AU103" s="105">
        <v>46233</v>
      </c>
      <c r="AV103" s="103" t="s">
        <v>4831</v>
      </c>
      <c r="AW103" s="106" t="s">
        <v>4454</v>
      </c>
      <c r="AX103" s="105">
        <v>46237</v>
      </c>
      <c r="AY103" s="157"/>
      <c r="AZ103" s="157"/>
      <c r="BA103" s="107" t="s">
        <v>4330</v>
      </c>
      <c r="BB103" s="112"/>
      <c r="BC103" s="220" t="str">
        <f>IF(AY103-KD103=0,"",AY103-O103)</f>
        <v/>
      </c>
      <c r="BD103" s="103" t="str">
        <f>IF(AND(AI103&lt;&gt;"SIM",AI103="UH"),"AA","INDENIZAÇÃO")</f>
        <v>INDENIZAÇÃO</v>
      </c>
      <c r="BE103" s="103" t="str">
        <f>IF(AND(AY103&lt;&gt;"AGUARDANDO",AY103&lt;&gt;"",N103="AUXÍLIO ALUGUEL ATÉ INDENIZAÇÃO"),"SIM","NÃO")</f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4852</v>
      </c>
      <c r="G104" s="103" t="s">
        <v>4330</v>
      </c>
      <c r="H104" s="103" t="s">
        <v>4352</v>
      </c>
      <c r="I104" s="103" t="s">
        <v>4440</v>
      </c>
      <c r="J104" s="149" t="s">
        <v>4853</v>
      </c>
      <c r="K104" s="149" t="s">
        <v>4854</v>
      </c>
      <c r="L104" s="149" t="s">
        <v>4855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4856</v>
      </c>
      <c r="AC104" s="114" t="s">
        <v>4457</v>
      </c>
      <c r="AD104" s="114" t="s">
        <v>4857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>IF(AY104-KD104=0,"",AY104-O104)</f>
        <v/>
      </c>
      <c r="BD104" s="103" t="str">
        <f>IF(AND(AI104&lt;&gt;"SIM",AI104="UH"),"AA","INDENIZAÇÃO")</f>
        <v>INDENIZAÇÃO</v>
      </c>
      <c r="BE104" s="103" t="str">
        <f>IF(AND(AY104&lt;&gt;"AGUARDANDO",AY104&lt;&gt;"",N104="AUXÍLIO ALUGUEL ATÉ INDENIZAÇÃO"),"SIM","NÃO")</f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4852</v>
      </c>
      <c r="G105" s="103" t="s">
        <v>4330</v>
      </c>
      <c r="H105" s="103" t="s">
        <v>4331</v>
      </c>
      <c r="I105" s="142" t="s">
        <v>4343</v>
      </c>
      <c r="J105" s="114" t="s">
        <v>4858</v>
      </c>
      <c r="K105" s="104" t="s">
        <v>4859</v>
      </c>
      <c r="L105" s="104" t="s">
        <v>4860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4858</v>
      </c>
      <c r="AC105" s="149" t="s">
        <v>4859</v>
      </c>
      <c r="AD105" s="149" t="s">
        <v>4860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>IF(AY105-KD105=0,"",AY105-O105)</f>
        <v/>
      </c>
      <c r="BD105" s="103" t="str">
        <f>IF(AND(AI105&lt;&gt;"SIM",AI105="UH"),"AA","INDENIZAÇÃO")</f>
        <v>AA</v>
      </c>
      <c r="BE105" s="103" t="str">
        <f>IF(AND(AY105&lt;&gt;"AGUARDANDO",AY105&lt;&gt;"",N105="AUXÍLIO ALUGUEL ATÉ INDENIZAÇÃO"),"SIM","NÃO")</f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4476</v>
      </c>
      <c r="D106" s="103">
        <v>1</v>
      </c>
      <c r="E106" s="103" t="s">
        <v>4432</v>
      </c>
      <c r="F106" s="104" t="s">
        <v>4861</v>
      </c>
      <c r="G106" s="103" t="s">
        <v>4330</v>
      </c>
      <c r="H106" s="103" t="s">
        <v>4331</v>
      </c>
      <c r="I106" s="142" t="s">
        <v>4440</v>
      </c>
      <c r="J106" s="149" t="s">
        <v>4862</v>
      </c>
      <c r="K106" s="149" t="s">
        <v>4863</v>
      </c>
      <c r="L106" s="149" t="s">
        <v>4864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4865</v>
      </c>
      <c r="AC106" s="149" t="s">
        <v>4866</v>
      </c>
      <c r="AD106" s="149" t="s">
        <v>4867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4868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4454</v>
      </c>
      <c r="BA106" s="174" t="s">
        <v>4598</v>
      </c>
      <c r="BB106" s="136" t="s">
        <v>4338</v>
      </c>
      <c r="BC106" s="220">
        <f>IF(AY106-KD106=0,"",AY106-O106)</f>
        <v>38</v>
      </c>
      <c r="BD106" s="103" t="str">
        <f>IF(AND(AI106&lt;&gt;"SIM",AI106="UH"),"AA","INDENIZAÇÃO")</f>
        <v>INDENIZAÇÃO</v>
      </c>
      <c r="BE106" s="103" t="str">
        <f>IF(AND(AY106&lt;&gt;"AGUARDANDO",AY106&lt;&gt;"",N106="AUXÍLIO ALUGUEL ATÉ INDENIZAÇÃO"),"SIM","NÃO")</f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4454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4869</v>
      </c>
      <c r="G107" s="103" t="s">
        <v>4330</v>
      </c>
      <c r="H107" s="103" t="s">
        <v>4331</v>
      </c>
      <c r="I107" s="98" t="s">
        <v>4440</v>
      </c>
      <c r="J107" s="149" t="s">
        <v>4870</v>
      </c>
      <c r="K107" s="149" t="s">
        <v>4432</v>
      </c>
      <c r="L107" s="149" t="s">
        <v>4871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4872</v>
      </c>
      <c r="AC107" s="114" t="s">
        <v>4873</v>
      </c>
      <c r="AD107" s="114" t="s">
        <v>4874</v>
      </c>
      <c r="AE107" s="212" t="s">
        <v>4875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>IF(AY107-KD107=0,"",AY107-O107)</f>
        <v/>
      </c>
      <c r="BD107" s="103" t="str">
        <f>IF(AND(AI107&lt;&gt;"SIM",AI107="UH"),"AA","INDENIZAÇÃO")</f>
        <v>INDENIZAÇÃO</v>
      </c>
      <c r="BE107" s="103" t="str">
        <f>IF(AND(AY107&lt;&gt;"AGUARDANDO",AY107&lt;&gt;"",N107="AUXÍLIO ALUGUEL ATÉ INDENIZAÇÃO"),"SIM","NÃO")</f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4869</v>
      </c>
      <c r="G108" s="103" t="s">
        <v>4330</v>
      </c>
      <c r="H108" s="103" t="s">
        <v>4331</v>
      </c>
      <c r="I108" s="142" t="s">
        <v>4343</v>
      </c>
      <c r="J108" s="114" t="s">
        <v>4876</v>
      </c>
      <c r="K108" s="104" t="s">
        <v>4877</v>
      </c>
      <c r="L108" s="104" t="s">
        <v>4878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4876</v>
      </c>
      <c r="AC108" s="149" t="s">
        <v>4877</v>
      </c>
      <c r="AD108" s="149" t="s">
        <v>4878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>IF(AY108-KD108=0,"",AY108-O108)</f>
        <v/>
      </c>
      <c r="BD108" s="103" t="str">
        <f>IF(AND(AI108&lt;&gt;"SIM",AI108="UH"),"AA","INDENIZAÇÃO")</f>
        <v>AA</v>
      </c>
      <c r="BE108" s="103" t="str">
        <f>IF(AND(AY108&lt;&gt;"AGUARDANDO",AY108&lt;&gt;"",N108="AUXÍLIO ALUGUEL ATÉ INDENIZAÇÃO"),"SIM","NÃO")</f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4869</v>
      </c>
      <c r="G109" s="103" t="s">
        <v>4330</v>
      </c>
      <c r="H109" s="103" t="s">
        <v>4331</v>
      </c>
      <c r="I109" s="142" t="s">
        <v>4343</v>
      </c>
      <c r="J109" s="149" t="s">
        <v>4879</v>
      </c>
      <c r="K109" s="149" t="s">
        <v>4880</v>
      </c>
      <c r="L109" s="149" t="s">
        <v>4881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4879</v>
      </c>
      <c r="AC109" s="149" t="s">
        <v>4880</v>
      </c>
      <c r="AD109" s="149" t="s">
        <v>4881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>IF(AY109-KD109=0,"",AY109-O109)</f>
        <v/>
      </c>
      <c r="BD109" s="103" t="str">
        <f>IF(AND(AI109&lt;&gt;"SIM",AI109="UH"),"AA","INDENIZAÇÃO")</f>
        <v>AA</v>
      </c>
      <c r="BE109" s="103" t="str">
        <f>IF(AND(AY109&lt;&gt;"AGUARDANDO",AY109&lt;&gt;"",N109="AUXÍLIO ALUGUEL ATÉ INDENIZAÇÃO"),"SIM","NÃO")</f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4882</v>
      </c>
      <c r="G110" s="103" t="s">
        <v>4330</v>
      </c>
      <c r="H110" s="103" t="s">
        <v>4331</v>
      </c>
      <c r="I110" s="142" t="s">
        <v>4343</v>
      </c>
      <c r="J110" s="114" t="s">
        <v>4883</v>
      </c>
      <c r="K110" s="149" t="s">
        <v>4432</v>
      </c>
      <c r="L110" s="104" t="s">
        <v>4884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4883</v>
      </c>
      <c r="AC110" s="149" t="s">
        <v>4432</v>
      </c>
      <c r="AD110" s="149" t="s">
        <v>4884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>IF(AY110-KD110=0,"",AY110-O110)</f>
        <v/>
      </c>
      <c r="BD110" s="103" t="str">
        <f>IF(AND(AI110&lt;&gt;"SIM",AI110="UH"),"AA","INDENIZAÇÃO")</f>
        <v>AA</v>
      </c>
      <c r="BE110" s="103" t="str">
        <f>IF(AND(AY110&lt;&gt;"AGUARDANDO",AY110&lt;&gt;"",N110="AUXÍLIO ALUGUEL ATÉ INDENIZAÇÃO"),"SIM","NÃO")</f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4882</v>
      </c>
      <c r="G111" s="103" t="s">
        <v>4330</v>
      </c>
      <c r="H111" s="103" t="s">
        <v>4331</v>
      </c>
      <c r="I111" s="142" t="s">
        <v>4343</v>
      </c>
      <c r="J111" s="149" t="s">
        <v>4885</v>
      </c>
      <c r="K111" s="149" t="s">
        <v>4886</v>
      </c>
      <c r="L111" s="149" t="s">
        <v>4887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4885</v>
      </c>
      <c r="AC111" s="149" t="s">
        <v>4886</v>
      </c>
      <c r="AD111" s="149" t="s">
        <v>4887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>IF(AY111-KD111=0,"",AY111-O111)</f>
        <v/>
      </c>
      <c r="BD111" s="103" t="str">
        <f>IF(AND(AI111&lt;&gt;"SIM",AI111="UH"),"AA","INDENIZAÇÃO")</f>
        <v>AA</v>
      </c>
      <c r="BE111" s="103" t="str">
        <f>IF(AND(AY111&lt;&gt;"AGUARDANDO",AY111&lt;&gt;"",N111="AUXÍLIO ALUGUEL ATÉ INDENIZAÇÃO"),"SIM","NÃO")</f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4888</v>
      </c>
      <c r="G112" s="103" t="s">
        <v>4330</v>
      </c>
      <c r="H112" s="103" t="s">
        <v>4331</v>
      </c>
      <c r="I112" s="142" t="s">
        <v>4343</v>
      </c>
      <c r="J112" s="114" t="s">
        <v>4889</v>
      </c>
      <c r="K112" s="149" t="s">
        <v>4432</v>
      </c>
      <c r="L112" s="139" t="s">
        <v>4890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4889</v>
      </c>
      <c r="AC112" s="149" t="s">
        <v>4432</v>
      </c>
      <c r="AD112" s="149" t="s">
        <v>4890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>IF(AY112-KD112=0,"",AY112-O112)</f>
        <v/>
      </c>
      <c r="BD112" s="103" t="str">
        <f>IF(AND(AI112&lt;&gt;"SIM",AI112="UH"),"AA","INDENIZAÇÃO")</f>
        <v>AA</v>
      </c>
      <c r="BE112" s="103" t="str">
        <f>IF(AND(AY112&lt;&gt;"AGUARDANDO",AY112&lt;&gt;"",N112="AUXÍLIO ALUGUEL ATÉ INDENIZAÇÃO"),"SIM","NÃO")</f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4476</v>
      </c>
      <c r="D113" s="103">
        <v>1</v>
      </c>
      <c r="E113" s="103" t="s">
        <v>4432</v>
      </c>
      <c r="F113" s="104" t="s">
        <v>4891</v>
      </c>
      <c r="G113" s="103" t="s">
        <v>4330</v>
      </c>
      <c r="H113" s="103" t="s">
        <v>4331</v>
      </c>
      <c r="I113" s="142" t="s">
        <v>4343</v>
      </c>
      <c r="J113" s="149" t="s">
        <v>4892</v>
      </c>
      <c r="K113" s="149" t="s">
        <v>4893</v>
      </c>
      <c r="L113" s="149" t="s">
        <v>4894</v>
      </c>
      <c r="M113" s="103" t="s">
        <v>4333</v>
      </c>
      <c r="N113" s="103" t="s">
        <v>4452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4892</v>
      </c>
      <c r="AC113" s="149" t="s">
        <v>4893</v>
      </c>
      <c r="AD113" s="149" t="s">
        <v>4894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4895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4454</v>
      </c>
      <c r="BA113" s="174" t="s">
        <v>4598</v>
      </c>
      <c r="BB113" s="136" t="s">
        <v>4338</v>
      </c>
      <c r="BC113" s="220">
        <f>IF(AY113-KD113=0,"",AY113-O113)</f>
        <v>23</v>
      </c>
      <c r="BD113" s="103" t="str">
        <f>IF(AND(AI113&lt;&gt;"SIM",AI113="UH"),"AA","INDENIZAÇÃO")</f>
        <v>INDENIZAÇÃO</v>
      </c>
      <c r="BE113" s="103" t="str">
        <f>IF(AND(AY113&lt;&gt;"AGUARDANDO",AY113&lt;&gt;"",N113="AUXÍLIO ALUGUEL ATÉ INDENIZAÇÃO"),"SIM","NÃO")</f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4502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4896</v>
      </c>
      <c r="G114" s="103" t="s">
        <v>4330</v>
      </c>
      <c r="H114" s="103" t="s">
        <v>4331</v>
      </c>
      <c r="I114" s="142" t="s">
        <v>4343</v>
      </c>
      <c r="J114" s="149" t="s">
        <v>4897</v>
      </c>
      <c r="K114" s="104" t="s">
        <v>4898</v>
      </c>
      <c r="L114" s="104" t="s">
        <v>4899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4897</v>
      </c>
      <c r="AC114" s="149" t="s">
        <v>4898</v>
      </c>
      <c r="AD114" s="149" t="s">
        <v>4899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>IF(AY114-KD114=0,"",AY114-O114)</f>
        <v/>
      </c>
      <c r="BD114" s="103" t="str">
        <f>IF(AND(AI114&lt;&gt;"SIM",AI114="UH"),"AA","INDENIZAÇÃO")</f>
        <v>AA</v>
      </c>
      <c r="BE114" s="103" t="str">
        <f>IF(AND(AY114&lt;&gt;"AGUARDANDO",AY114&lt;&gt;"",N114="AUXÍLIO ALUGUEL ATÉ INDENIZAÇÃO"),"SIM","NÃO")</f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4900</v>
      </c>
      <c r="G115" s="103" t="s">
        <v>4330</v>
      </c>
      <c r="H115" s="103" t="s">
        <v>4331</v>
      </c>
      <c r="I115" s="142" t="s">
        <v>4343</v>
      </c>
      <c r="J115" s="149" t="s">
        <v>4901</v>
      </c>
      <c r="K115" s="149" t="s">
        <v>4902</v>
      </c>
      <c r="L115" s="149" t="s">
        <v>4903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4901</v>
      </c>
      <c r="AC115" s="149" t="s">
        <v>4902</v>
      </c>
      <c r="AD115" s="149" t="s">
        <v>4903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>IF(AY115-KD115=0,"",AY115-O115)</f>
        <v/>
      </c>
      <c r="BD115" s="103" t="str">
        <f>IF(AND(AI115&lt;&gt;"SIM",AI115="UH"),"AA","INDENIZAÇÃO")</f>
        <v>AA</v>
      </c>
      <c r="BE115" s="103" t="str">
        <f>IF(AND(AY115&lt;&gt;"AGUARDANDO",AY115&lt;&gt;"",N115="AUXÍLIO ALUGUEL ATÉ INDENIZAÇÃO"),"SIM","NÃO")</f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4476</v>
      </c>
      <c r="D116" s="103">
        <v>1</v>
      </c>
      <c r="E116" s="103" t="s">
        <v>4432</v>
      </c>
      <c r="F116" s="104" t="s">
        <v>4904</v>
      </c>
      <c r="G116" s="103" t="s">
        <v>4330</v>
      </c>
      <c r="H116" s="103" t="s">
        <v>4331</v>
      </c>
      <c r="I116" s="142" t="s">
        <v>4343</v>
      </c>
      <c r="J116" s="149" t="s">
        <v>4905</v>
      </c>
      <c r="K116" s="149" t="s">
        <v>4906</v>
      </c>
      <c r="L116" s="149" t="s">
        <v>4907</v>
      </c>
      <c r="M116" s="103" t="s">
        <v>4333</v>
      </c>
      <c r="N116" s="103" t="s">
        <v>4452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4905</v>
      </c>
      <c r="AC116" s="149" t="s">
        <v>4906</v>
      </c>
      <c r="AD116" s="149" t="s">
        <v>4907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4908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4454</v>
      </c>
      <c r="BA116" s="107" t="s">
        <v>4598</v>
      </c>
      <c r="BB116" s="136" t="s">
        <v>4338</v>
      </c>
      <c r="BC116" s="220">
        <f>IF(AY116-KD116=0,"",AY116-O116)</f>
        <v>23</v>
      </c>
      <c r="BD116" s="103" t="str">
        <f>IF(AND(AI116&lt;&gt;"SIM",AI116="UH"),"AA","INDENIZAÇÃO")</f>
        <v>INDENIZAÇÃO</v>
      </c>
      <c r="BE116" s="103" t="str">
        <f>IF(AND(AY116&lt;&gt;"AGUARDANDO",AY116&lt;&gt;"",N116="AUXÍLIO ALUGUEL ATÉ INDENIZAÇÃO"),"SIM","NÃO")</f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4502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4909</v>
      </c>
      <c r="G117" s="103" t="s">
        <v>4330</v>
      </c>
      <c r="H117" s="103" t="s">
        <v>4361</v>
      </c>
      <c r="I117" s="142" t="s">
        <v>4361</v>
      </c>
      <c r="J117" s="149" t="s">
        <v>4910</v>
      </c>
      <c r="K117" s="149" t="s">
        <v>4911</v>
      </c>
      <c r="L117" s="149" t="s">
        <v>4912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4910</v>
      </c>
      <c r="AC117" s="149" t="s">
        <v>4911</v>
      </c>
      <c r="AD117" s="149" t="s">
        <v>4912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>IF(AY117-KD117=0,"",AY117-O117)</f>
        <v/>
      </c>
      <c r="BD117" s="103" t="str">
        <f>IF(AND(AI117&lt;&gt;"SIM",AI117="UH"),"AA","INDENIZAÇÃO")</f>
        <v>AA</v>
      </c>
      <c r="BE117" s="103" t="str">
        <f>IF(AND(AY117&lt;&gt;"AGUARDANDO",AY117&lt;&gt;"",N117="AUXÍLIO ALUGUEL ATÉ INDENIZAÇÃO"),"SIM","NÃO")</f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4913</v>
      </c>
      <c r="G118" s="103" t="s">
        <v>4330</v>
      </c>
      <c r="H118" s="103" t="s">
        <v>4331</v>
      </c>
      <c r="I118" s="142" t="s">
        <v>4343</v>
      </c>
      <c r="J118" s="149" t="s">
        <v>4914</v>
      </c>
      <c r="K118" s="149" t="s">
        <v>4915</v>
      </c>
      <c r="L118" s="149" t="s">
        <v>4916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4914</v>
      </c>
      <c r="AC118" s="149" t="s">
        <v>4915</v>
      </c>
      <c r="AD118" s="149" t="s">
        <v>4916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>IF(AY118-KD118=0,"",AY118-O118)</f>
        <v/>
      </c>
      <c r="BD118" s="103" t="str">
        <f>IF(AND(AI118&lt;&gt;"SIM",AI118="UH"),"AA","INDENIZAÇÃO")</f>
        <v>AA</v>
      </c>
      <c r="BE118" s="103" t="str">
        <f>IF(AND(AY118&lt;&gt;"AGUARDANDO",AY118&lt;&gt;"",N118="AUXÍLIO ALUGUEL ATÉ INDENIZAÇÃO"),"SIM","NÃO")</f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4988</v>
      </c>
      <c r="G119" s="103" t="s">
        <v>4330</v>
      </c>
      <c r="H119" s="103" t="s">
        <v>4331</v>
      </c>
      <c r="I119" s="142" t="s">
        <v>4343</v>
      </c>
      <c r="J119" s="114" t="s">
        <v>4989</v>
      </c>
      <c r="K119" s="149" t="s">
        <v>4990</v>
      </c>
      <c r="L119" s="149" t="s">
        <v>4991</v>
      </c>
      <c r="M119" s="103" t="s">
        <v>4333</v>
      </c>
      <c r="N119" s="103" t="s">
        <v>4334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14" t="s">
        <v>4989</v>
      </c>
      <c r="AC119" s="149" t="s">
        <v>4990</v>
      </c>
      <c r="AD119" s="149" t="s">
        <v>4991</v>
      </c>
      <c r="AE119" s="103" t="s">
        <v>4343</v>
      </c>
      <c r="AF119" s="103" t="s">
        <v>4333</v>
      </c>
      <c r="AG119" s="194">
        <v>95009.72</v>
      </c>
      <c r="AH119" s="194">
        <v>95009.72</v>
      </c>
      <c r="AI119" s="103" t="s">
        <v>4447</v>
      </c>
      <c r="AJ119" s="104" t="s">
        <v>4438</v>
      </c>
      <c r="AK119" s="103">
        <v>158035014</v>
      </c>
      <c r="AL119" s="103" t="s">
        <v>4338</v>
      </c>
      <c r="AM119" s="103" t="s">
        <v>4338</v>
      </c>
      <c r="AN119" s="103" t="s">
        <v>4339</v>
      </c>
      <c r="AO119" s="103"/>
      <c r="AP119" s="171" t="s">
        <v>4992</v>
      </c>
      <c r="AQ119" s="165" t="s">
        <v>4831</v>
      </c>
      <c r="AR119" s="103" t="s">
        <v>4831</v>
      </c>
      <c r="AS119" s="103" t="s">
        <v>4831</v>
      </c>
      <c r="AT119" s="103" t="s">
        <v>4831</v>
      </c>
      <c r="AU119" s="105">
        <v>46233</v>
      </c>
      <c r="AV119" s="103" t="s">
        <v>4831</v>
      </c>
      <c r="AW119" s="106" t="s">
        <v>4454</v>
      </c>
      <c r="AX119" s="106"/>
      <c r="AY119" s="157"/>
      <c r="AZ119" s="106"/>
      <c r="BA119" s="107" t="s">
        <v>4330</v>
      </c>
      <c r="BB119" s="136"/>
      <c r="BC119" s="220"/>
      <c r="BD119" s="103"/>
      <c r="BE119" s="103"/>
      <c r="BF119" s="140"/>
      <c r="BG119" s="140"/>
      <c r="BH119" s="140"/>
      <c r="BI119" s="103"/>
      <c r="BJ119" s="103"/>
      <c r="BK119" s="105"/>
      <c r="BL119" s="103"/>
      <c r="BM119" s="258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4476</v>
      </c>
      <c r="D120" s="103">
        <v>1</v>
      </c>
      <c r="E120" s="103" t="s">
        <v>4432</v>
      </c>
      <c r="F120" s="104" t="s">
        <v>4921</v>
      </c>
      <c r="G120" s="103" t="s">
        <v>4330</v>
      </c>
      <c r="H120" s="103" t="s">
        <v>4352</v>
      </c>
      <c r="I120" s="142" t="s">
        <v>4343</v>
      </c>
      <c r="J120" s="149" t="s">
        <v>4922</v>
      </c>
      <c r="K120" s="149" t="s">
        <v>4923</v>
      </c>
      <c r="L120" s="149" t="s">
        <v>4924</v>
      </c>
      <c r="M120" s="103" t="s">
        <v>4333</v>
      </c>
      <c r="N120" s="103" t="s">
        <v>4452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4922</v>
      </c>
      <c r="AC120" s="149" t="s">
        <v>4923</v>
      </c>
      <c r="AD120" s="149" t="s">
        <v>4924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4925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4454</v>
      </c>
      <c r="BA120" s="174" t="s">
        <v>4598</v>
      </c>
      <c r="BB120" s="136" t="s">
        <v>4338</v>
      </c>
      <c r="BC120" s="220">
        <f>IF(AY120-KD120=0,"",AY120-O120)</f>
        <v>28</v>
      </c>
      <c r="BD120" s="103" t="str">
        <f>IF(AND(AI120&lt;&gt;"SIM",AI120="UH"),"AA","INDENIZAÇÃO")</f>
        <v>INDENIZAÇÃO</v>
      </c>
      <c r="BE120" s="103" t="str">
        <f>IF(AND(AY120&lt;&gt;"AGUARDANDO",AY120&lt;&gt;"",N120="AUXÍLIO ALUGUEL ATÉ INDENIZAÇÃO"),"SIM","NÃO")</f>
        <v>NÃO</v>
      </c>
      <c r="BF120" s="140" t="s">
        <v>4357</v>
      </c>
      <c r="BG120" s="140" t="s">
        <v>4357</v>
      </c>
      <c r="BH120" s="140" t="s">
        <v>4357</v>
      </c>
      <c r="BI120" s="154" t="s">
        <v>4926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4476</v>
      </c>
      <c r="D121" s="103">
        <v>1</v>
      </c>
      <c r="E121" s="103" t="s">
        <v>4432</v>
      </c>
      <c r="F121" s="104" t="s">
        <v>4927</v>
      </c>
      <c r="G121" s="103" t="s">
        <v>4330</v>
      </c>
      <c r="H121" s="103" t="s">
        <v>4331</v>
      </c>
      <c r="I121" s="142" t="s">
        <v>4343</v>
      </c>
      <c r="J121" s="149" t="s">
        <v>4928</v>
      </c>
      <c r="K121" s="149" t="s">
        <v>4929</v>
      </c>
      <c r="L121" s="149" t="s">
        <v>4930</v>
      </c>
      <c r="M121" s="103" t="s">
        <v>4333</v>
      </c>
      <c r="N121" s="103" t="s">
        <v>4452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4928</v>
      </c>
      <c r="AC121" s="149" t="s">
        <v>4929</v>
      </c>
      <c r="AD121" s="149" t="s">
        <v>4930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4931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4454</v>
      </c>
      <c r="BA121" s="107" t="s">
        <v>4598</v>
      </c>
      <c r="BB121" s="136" t="s">
        <v>4338</v>
      </c>
      <c r="BC121" s="220">
        <f>IF(AY121-KD121=0,"",AY121-O121)</f>
        <v>23</v>
      </c>
      <c r="BD121" s="103" t="str">
        <f>IF(AND(AI121&lt;&gt;"SIM",AI121="UH"),"AA","INDENIZAÇÃO")</f>
        <v>INDENIZAÇÃO</v>
      </c>
      <c r="BE121" s="103" t="str">
        <f>IF(AND(AY121&lt;&gt;"AGUARDANDO",AY121&lt;&gt;"",N121="AUXÍLIO ALUGUEL ATÉ INDENIZAÇÃO"),"SIM","NÃO")</f>
        <v>NÃO</v>
      </c>
      <c r="BF121" s="140" t="s">
        <v>4357</v>
      </c>
      <c r="BG121" s="140" t="s">
        <v>4357</v>
      </c>
      <c r="BH121" s="140" t="s">
        <v>4357</v>
      </c>
      <c r="BI121" s="154" t="s">
        <v>4926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4476</v>
      </c>
      <c r="D122" s="103">
        <v>1</v>
      </c>
      <c r="E122" s="103" t="s">
        <v>4432</v>
      </c>
      <c r="F122" s="104" t="s">
        <v>4932</v>
      </c>
      <c r="G122" s="103" t="s">
        <v>4330</v>
      </c>
      <c r="H122" s="103" t="s">
        <v>4331</v>
      </c>
      <c r="I122" s="142" t="s">
        <v>4343</v>
      </c>
      <c r="J122" s="149" t="s">
        <v>4933</v>
      </c>
      <c r="K122" s="149" t="s">
        <v>4934</v>
      </c>
      <c r="L122" s="149" t="s">
        <v>4935</v>
      </c>
      <c r="M122" s="103" t="s">
        <v>4333</v>
      </c>
      <c r="N122" s="103" t="s">
        <v>4452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4933</v>
      </c>
      <c r="AC122" s="149" t="s">
        <v>4934</v>
      </c>
      <c r="AD122" s="149" t="s">
        <v>4935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4936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4454</v>
      </c>
      <c r="BA122" s="107" t="s">
        <v>4598</v>
      </c>
      <c r="BB122" s="136" t="s">
        <v>4338</v>
      </c>
      <c r="BC122" s="220">
        <f>IF(AY122-KD122=0,"",AY122-O122)</f>
        <v>23</v>
      </c>
      <c r="BD122" s="103" t="str">
        <f>IF(AND(AI122&lt;&gt;"SIM",AI122="UH"),"AA","INDENIZAÇÃO")</f>
        <v>INDENIZAÇÃO</v>
      </c>
      <c r="BE122" s="103" t="str">
        <f>IF(AND(AY122&lt;&gt;"AGUARDANDO",AY122&lt;&gt;"",N122="AUXÍLIO ALUGUEL ATÉ INDENIZAÇÃO"),"SIM","NÃO")</f>
        <v>NÃO</v>
      </c>
      <c r="BF122" s="140" t="s">
        <v>4357</v>
      </c>
      <c r="BG122" s="140" t="s">
        <v>4357</v>
      </c>
      <c r="BH122" s="140" t="s">
        <v>4357</v>
      </c>
      <c r="BI122" s="154" t="s">
        <v>4926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4476</v>
      </c>
      <c r="D123" s="103">
        <v>1</v>
      </c>
      <c r="E123" s="103" t="s">
        <v>4432</v>
      </c>
      <c r="F123" s="104" t="s">
        <v>4937</v>
      </c>
      <c r="G123" s="103" t="s">
        <v>4330</v>
      </c>
      <c r="H123" s="103" t="s">
        <v>4331</v>
      </c>
      <c r="I123" s="142" t="s">
        <v>4343</v>
      </c>
      <c r="J123" s="149" t="s">
        <v>4938</v>
      </c>
      <c r="K123" s="149" t="s">
        <v>4432</v>
      </c>
      <c r="L123" s="149" t="s">
        <v>4939</v>
      </c>
      <c r="M123" s="103" t="s">
        <v>4333</v>
      </c>
      <c r="N123" s="103" t="s">
        <v>4452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4938</v>
      </c>
      <c r="AC123" s="149" t="s">
        <v>4432</v>
      </c>
      <c r="AD123" s="149" t="s">
        <v>4939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4940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4454</v>
      </c>
      <c r="BA123" s="107" t="s">
        <v>4598</v>
      </c>
      <c r="BB123" s="136" t="s">
        <v>4338</v>
      </c>
      <c r="BC123" s="220">
        <f>IF(AY123-KD123=0,"",AY123-O123)</f>
        <v>23</v>
      </c>
      <c r="BD123" s="103" t="str">
        <f>IF(AND(AI123&lt;&gt;"SIM",AI123="UH"),"AA","INDENIZAÇÃO")</f>
        <v>INDENIZAÇÃO</v>
      </c>
      <c r="BE123" s="103" t="str">
        <f>IF(AND(AY123&lt;&gt;"AGUARDANDO",AY123&lt;&gt;"",N123="AUXÍLIO ALUGUEL ATÉ INDENIZAÇÃO"),"SIM","NÃO")</f>
        <v>NÃO</v>
      </c>
      <c r="BF123" s="140" t="s">
        <v>4357</v>
      </c>
      <c r="BG123" s="140" t="s">
        <v>4357</v>
      </c>
      <c r="BH123" s="140" t="s">
        <v>4357</v>
      </c>
      <c r="BI123" s="154" t="s">
        <v>4926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4941</v>
      </c>
      <c r="G124" s="103" t="s">
        <v>4330</v>
      </c>
      <c r="H124" s="103" t="s">
        <v>4331</v>
      </c>
      <c r="I124" s="103" t="s">
        <v>4343</v>
      </c>
      <c r="J124" s="149" t="s">
        <v>4942</v>
      </c>
      <c r="K124" s="149" t="s">
        <v>4943</v>
      </c>
      <c r="L124" s="149" t="s">
        <v>4944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4942</v>
      </c>
      <c r="AC124" s="149" t="s">
        <v>4943</v>
      </c>
      <c r="AD124" s="149" t="s">
        <v>4944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>IF(AY124-KD124=0,"",AY124-O124)</f>
        <v/>
      </c>
      <c r="BD124" s="103" t="str">
        <f>IF(AND(AI124&lt;&gt;"SIM",AI124="UH"),"AA","INDENIZAÇÃO")</f>
        <v>AA</v>
      </c>
      <c r="BE124" s="103" t="str">
        <f>IF(AND(AY124&lt;&gt;"AGUARDANDO",AY124&lt;&gt;"",N124="AUXÍLIO ALUGUEL ATÉ INDENIZAÇÃO"),"SIM","NÃO")</f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4476</v>
      </c>
      <c r="D125" s="103">
        <v>1</v>
      </c>
      <c r="E125" s="103" t="s">
        <v>4432</v>
      </c>
      <c r="F125" s="104" t="s">
        <v>4945</v>
      </c>
      <c r="G125" s="103" t="s">
        <v>4330</v>
      </c>
      <c r="H125" s="103" t="s">
        <v>4331</v>
      </c>
      <c r="I125" s="142" t="s">
        <v>4343</v>
      </c>
      <c r="J125" s="149" t="s">
        <v>4946</v>
      </c>
      <c r="K125" s="149" t="s">
        <v>4947</v>
      </c>
      <c r="L125" s="149" t="s">
        <v>4948</v>
      </c>
      <c r="M125" s="103" t="s">
        <v>4333</v>
      </c>
      <c r="N125" s="103" t="s">
        <v>4452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4946</v>
      </c>
      <c r="AC125" s="149" t="s">
        <v>4947</v>
      </c>
      <c r="AD125" s="149" t="s">
        <v>4948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4949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4454</v>
      </c>
      <c r="BA125" s="107" t="s">
        <v>4598</v>
      </c>
      <c r="BB125" s="136" t="s">
        <v>4338</v>
      </c>
      <c r="BC125" s="220">
        <f>IF(AY125-KD125=0,"",AY125-O125)</f>
        <v>23</v>
      </c>
      <c r="BD125" s="103" t="str">
        <f>IF(AND(AI125&lt;&gt;"SIM",AI125="UH"),"AA","INDENIZAÇÃO")</f>
        <v>INDENIZAÇÃO</v>
      </c>
      <c r="BE125" s="103" t="str">
        <f>IF(AND(AY125&lt;&gt;"AGUARDANDO",AY125&lt;&gt;"",N125="AUXÍLIO ALUGUEL ATÉ INDENIZAÇÃO"),"SIM","NÃO")</f>
        <v>NÃO</v>
      </c>
      <c r="BF125" s="140" t="s">
        <v>4357</v>
      </c>
      <c r="BG125" s="140" t="s">
        <v>4357</v>
      </c>
      <c r="BH125" s="140" t="s">
        <v>4357</v>
      </c>
      <c r="BI125" s="154" t="s">
        <v>4926</v>
      </c>
      <c r="BJ125" s="154"/>
      <c r="BK125" s="154"/>
      <c r="BL125" s="154"/>
      <c r="BM125" s="237"/>
    </row>
    <row r="126" spans="1:67" s="232" customFormat="1" ht="29.25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5052</v>
      </c>
      <c r="G126" s="103" t="s">
        <v>4330</v>
      </c>
      <c r="H126" s="103" t="s">
        <v>4331</v>
      </c>
      <c r="I126" s="103" t="s">
        <v>4440</v>
      </c>
      <c r="J126" s="149" t="s">
        <v>5053</v>
      </c>
      <c r="K126" s="149" t="s">
        <v>5054</v>
      </c>
      <c r="L126" s="149" t="s">
        <v>5055</v>
      </c>
      <c r="M126" s="103" t="s">
        <v>4333</v>
      </c>
      <c r="N126" s="103" t="s">
        <v>4345</v>
      </c>
      <c r="O126" s="105">
        <v>46188</v>
      </c>
      <c r="P126" s="105">
        <v>46217</v>
      </c>
      <c r="Q126" s="105" t="s">
        <v>4436</v>
      </c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5056</v>
      </c>
      <c r="AC126" s="149" t="s">
        <v>5057</v>
      </c>
      <c r="AD126" s="149" t="s">
        <v>5058</v>
      </c>
      <c r="AE126" s="142" t="s">
        <v>4332</v>
      </c>
      <c r="AF126" s="103" t="s">
        <v>4333</v>
      </c>
      <c r="AG126" s="194">
        <v>65997.289999999994</v>
      </c>
      <c r="AH126" s="194">
        <v>65997.289999999994</v>
      </c>
      <c r="AI126" s="103" t="s">
        <v>4447</v>
      </c>
      <c r="AJ126" s="104" t="s">
        <v>4438</v>
      </c>
      <c r="AK126" s="103">
        <v>158035317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5059</v>
      </c>
      <c r="AQ126" s="165" t="s">
        <v>4831</v>
      </c>
      <c r="AR126" s="103" t="s">
        <v>4831</v>
      </c>
      <c r="AS126" s="103" t="s">
        <v>4831</v>
      </c>
      <c r="AT126" s="103" t="s">
        <v>4831</v>
      </c>
      <c r="AU126" s="105">
        <v>46233</v>
      </c>
      <c r="AV126" s="103" t="s">
        <v>4831</v>
      </c>
      <c r="AW126" s="106" t="s">
        <v>4454</v>
      </c>
      <c r="AX126" s="106"/>
      <c r="AY126" s="157"/>
      <c r="AZ126" s="106"/>
      <c r="BA126" s="107" t="s">
        <v>4330</v>
      </c>
      <c r="BB126" s="112"/>
      <c r="BC126" s="220" t="str">
        <f>IF(AY126-KD126=0,"",AY126-O126)</f>
        <v/>
      </c>
      <c r="BD126" s="103" t="str">
        <f>IF(AND(AI126&lt;&gt;"SIM",AI126="UH"),"AA","INDENIZAÇÃO")</f>
        <v>INDENIZAÇÃO</v>
      </c>
      <c r="BE126" s="103" t="str">
        <f>IF(AND(AY126&lt;&gt;"AGUARDANDO",AY126&lt;&gt;"",N126="AUXÍLIO ALUGUEL ATÉ INDENIZAÇÃO"),"SIM","NÃO")</f>
        <v>NÃO</v>
      </c>
      <c r="BF126" s="112"/>
      <c r="BG126" s="147"/>
      <c r="BH126" s="147"/>
      <c r="BI126" s="112"/>
      <c r="BJ126" s="112"/>
      <c r="BK126" s="112"/>
      <c r="BL126" s="112"/>
      <c r="BM126" s="236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4476</v>
      </c>
      <c r="D127" s="103">
        <v>1</v>
      </c>
      <c r="E127" s="103" t="s">
        <v>4432</v>
      </c>
      <c r="F127" s="104" t="s">
        <v>4955</v>
      </c>
      <c r="G127" s="103" t="s">
        <v>4330</v>
      </c>
      <c r="H127" s="103" t="s">
        <v>4331</v>
      </c>
      <c r="I127" s="142" t="s">
        <v>4343</v>
      </c>
      <c r="J127" s="149" t="s">
        <v>4956</v>
      </c>
      <c r="K127" s="149" t="s">
        <v>4957</v>
      </c>
      <c r="L127" s="149" t="s">
        <v>4958</v>
      </c>
      <c r="M127" s="103" t="s">
        <v>4333</v>
      </c>
      <c r="N127" s="103" t="s">
        <v>4452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4956</v>
      </c>
      <c r="AC127" s="149" t="s">
        <v>4957</v>
      </c>
      <c r="AD127" s="149" t="s">
        <v>4958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4959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4454</v>
      </c>
      <c r="BA127" s="107" t="s">
        <v>4598</v>
      </c>
      <c r="BB127" s="136" t="s">
        <v>4338</v>
      </c>
      <c r="BC127" s="220">
        <f>IF(AY127-KD127=0,"",AY127-O127)</f>
        <v>44</v>
      </c>
      <c r="BD127" s="103" t="str">
        <f>IF(AND(AI127&lt;&gt;"SIM",AI127="UH"),"AA","INDENIZAÇÃO")</f>
        <v>INDENIZAÇÃO</v>
      </c>
      <c r="BE127" s="103" t="str">
        <f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4926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4476</v>
      </c>
      <c r="D128" s="103">
        <v>1</v>
      </c>
      <c r="E128" s="103" t="s">
        <v>4432</v>
      </c>
      <c r="F128" s="104" t="s">
        <v>4960</v>
      </c>
      <c r="G128" s="103" t="s">
        <v>4330</v>
      </c>
      <c r="H128" s="103" t="s">
        <v>4331</v>
      </c>
      <c r="I128" s="142" t="s">
        <v>4343</v>
      </c>
      <c r="J128" s="149" t="s">
        <v>4961</v>
      </c>
      <c r="K128" s="149" t="s">
        <v>4962</v>
      </c>
      <c r="L128" s="149" t="s">
        <v>4963</v>
      </c>
      <c r="M128" s="103" t="s">
        <v>4333</v>
      </c>
      <c r="N128" s="103" t="s">
        <v>4452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4961</v>
      </c>
      <c r="AC128" s="149" t="s">
        <v>4962</v>
      </c>
      <c r="AD128" s="149" t="s">
        <v>4963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4964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4454</v>
      </c>
      <c r="BA128" s="107" t="s">
        <v>4598</v>
      </c>
      <c r="BB128" s="136" t="s">
        <v>4338</v>
      </c>
      <c r="BC128" s="220">
        <f>IF(AY128-KD128=0,"",AY128-O128)</f>
        <v>44</v>
      </c>
      <c r="BD128" s="103" t="str">
        <f>IF(AND(AI128&lt;&gt;"SIM",AI128="UH"),"AA","INDENIZAÇÃO")</f>
        <v>INDENIZAÇÃO</v>
      </c>
      <c r="BE128" s="103" t="str">
        <f>IF(AND(AY128&lt;&gt;"AGUARDANDO",AY128&lt;&gt;"",N128="AUXÍLIO ALUGUEL ATÉ INDENIZAÇÃO"),"SIM","NÃO")</f>
        <v>NÃO</v>
      </c>
      <c r="BF128" s="140" t="s">
        <v>4357</v>
      </c>
      <c r="BG128" s="140" t="s">
        <v>4357</v>
      </c>
      <c r="BH128" s="140" t="s">
        <v>4357</v>
      </c>
      <c r="BI128" s="154" t="s">
        <v>4926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4476</v>
      </c>
      <c r="D129" s="103">
        <v>1</v>
      </c>
      <c r="E129" s="103" t="s">
        <v>4432</v>
      </c>
      <c r="F129" s="104" t="s">
        <v>4965</v>
      </c>
      <c r="G129" s="103" t="s">
        <v>4330</v>
      </c>
      <c r="H129" s="103" t="s">
        <v>4331</v>
      </c>
      <c r="I129" s="142" t="s">
        <v>4440</v>
      </c>
      <c r="J129" s="114" t="s">
        <v>4966</v>
      </c>
      <c r="K129" s="149" t="s">
        <v>4967</v>
      </c>
      <c r="L129" s="149" t="s">
        <v>4968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4969</v>
      </c>
      <c r="AC129" s="149" t="s">
        <v>4432</v>
      </c>
      <c r="AD129" s="149" t="s">
        <v>4970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4971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4454</v>
      </c>
      <c r="BA129" s="107" t="s">
        <v>4598</v>
      </c>
      <c r="BB129" s="136" t="s">
        <v>4338</v>
      </c>
      <c r="BC129" s="220">
        <f>IF(AY129-KD129=0,"",AY129-O129)</f>
        <v>44</v>
      </c>
      <c r="BD129" s="103" t="str">
        <f>IF(AND(AI129&lt;&gt;"SIM",AI129="UH"),"AA","INDENIZAÇÃO")</f>
        <v>INDENIZAÇÃO</v>
      </c>
      <c r="BE129" s="103" t="str">
        <f>IF(AND(AY129&lt;&gt;"AGUARDANDO",AY129&lt;&gt;"",N129="AUXÍLIO ALUGUEL ATÉ INDENIZAÇÃO"),"SIM","NÃO")</f>
        <v>NÃO</v>
      </c>
      <c r="BF129" s="140" t="s">
        <v>4357</v>
      </c>
      <c r="BG129" s="140" t="s">
        <v>4357</v>
      </c>
      <c r="BH129" s="140" t="s">
        <v>4357</v>
      </c>
      <c r="BI129" s="154" t="s">
        <v>4926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4476</v>
      </c>
      <c r="D130" s="103">
        <v>1</v>
      </c>
      <c r="E130" s="103" t="s">
        <v>4432</v>
      </c>
      <c r="F130" s="104" t="s">
        <v>4972</v>
      </c>
      <c r="G130" s="103" t="s">
        <v>4330</v>
      </c>
      <c r="H130" s="103" t="s">
        <v>4331</v>
      </c>
      <c r="I130" s="142" t="s">
        <v>4343</v>
      </c>
      <c r="J130" s="114" t="s">
        <v>4973</v>
      </c>
      <c r="K130" s="149" t="s">
        <v>4974</v>
      </c>
      <c r="L130" s="149" t="s">
        <v>4975</v>
      </c>
      <c r="M130" s="103" t="s">
        <v>4333</v>
      </c>
      <c r="N130" s="103" t="s">
        <v>4452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4973</v>
      </c>
      <c r="AC130" s="149" t="s">
        <v>4974</v>
      </c>
      <c r="AD130" s="149" t="s">
        <v>4975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4976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4454</v>
      </c>
      <c r="BA130" s="107" t="s">
        <v>4598</v>
      </c>
      <c r="BB130" s="136" t="s">
        <v>4338</v>
      </c>
      <c r="BC130" s="220">
        <f>IF(AY130-KD130=0,"",AY130-O130)</f>
        <v>44</v>
      </c>
      <c r="BD130" s="103" t="str">
        <f>IF(AND(AI130&lt;&gt;"SIM",AI130="UH"),"AA","INDENIZAÇÃO")</f>
        <v>INDENIZAÇÃO</v>
      </c>
      <c r="BE130" s="103" t="str">
        <f>IF(AND(AY130&lt;&gt;"AGUARDANDO",AY130&lt;&gt;"",N130="AUXÍLIO ALUGUEL ATÉ INDENIZAÇÃO"),"SIM","NÃO")</f>
        <v>NÃO</v>
      </c>
      <c r="BF130" s="140" t="s">
        <v>4357</v>
      </c>
      <c r="BG130" s="140" t="s">
        <v>4357</v>
      </c>
      <c r="BH130" s="140" t="s">
        <v>4357</v>
      </c>
      <c r="BI130" s="154" t="s">
        <v>4926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4977</v>
      </c>
      <c r="G131" s="112" t="s">
        <v>4330</v>
      </c>
      <c r="H131" s="112" t="s">
        <v>4331</v>
      </c>
      <c r="I131" s="112" t="s">
        <v>4343</v>
      </c>
      <c r="J131" s="150" t="s">
        <v>4978</v>
      </c>
      <c r="K131" s="150" t="s">
        <v>4979</v>
      </c>
      <c r="L131" s="141" t="s">
        <v>4980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4978</v>
      </c>
      <c r="AC131" s="150" t="s">
        <v>4979</v>
      </c>
      <c r="AD131" s="141" t="s">
        <v>4980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4981</v>
      </c>
      <c r="AQ131" s="103" t="s">
        <v>4338</v>
      </c>
      <c r="AR131" s="103" t="s">
        <v>4338</v>
      </c>
      <c r="AS131" s="103" t="s">
        <v>4338</v>
      </c>
      <c r="AT131" s="281" t="s">
        <v>4982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>IF(AY131-KD131=0,"",AY131-O131)</f>
        <v/>
      </c>
      <c r="BD131" s="103" t="str">
        <f>IF(AND(AI131&lt;&gt;"SIM",AI131="UH"),"AA","INDENIZAÇÃO")</f>
        <v>INDENIZAÇÃO</v>
      </c>
      <c r="BE131" s="103" t="str">
        <f>IF(AND(AY131&lt;&gt;"AGUARDANDO",AY131&lt;&gt;"",N131="AUXÍLIO ALUGUEL ATÉ INDENIZAÇÃO"),"SIM","NÃO")</f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4476</v>
      </c>
      <c r="D132" s="103">
        <v>1</v>
      </c>
      <c r="E132" s="103" t="s">
        <v>4432</v>
      </c>
      <c r="F132" s="104" t="s">
        <v>4983</v>
      </c>
      <c r="G132" s="103" t="s">
        <v>4330</v>
      </c>
      <c r="H132" s="103" t="s">
        <v>4331</v>
      </c>
      <c r="I132" s="142" t="s">
        <v>4343</v>
      </c>
      <c r="J132" s="149" t="s">
        <v>4984</v>
      </c>
      <c r="K132" s="149" t="s">
        <v>4985</v>
      </c>
      <c r="L132" s="149" t="s">
        <v>4986</v>
      </c>
      <c r="M132" s="103" t="s">
        <v>4333</v>
      </c>
      <c r="N132" s="103" t="s">
        <v>4452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4984</v>
      </c>
      <c r="AC132" s="149" t="s">
        <v>4985</v>
      </c>
      <c r="AD132" s="149" t="s">
        <v>4986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4987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4454</v>
      </c>
      <c r="BA132" s="107" t="s">
        <v>4598</v>
      </c>
      <c r="BB132" s="136" t="s">
        <v>4338</v>
      </c>
      <c r="BC132" s="220">
        <f>IF(AY132-KD132=0,"",AY132-O132)</f>
        <v>41</v>
      </c>
      <c r="BD132" s="103" t="str">
        <f>IF(AND(AI132&lt;&gt;"SIM",AI132="UH"),"AA","INDENIZAÇÃO")</f>
        <v>INDENIZAÇÃO</v>
      </c>
      <c r="BE132" s="103" t="str">
        <f>IF(AND(AY132&lt;&gt;"AGUARDANDO",AY132&lt;&gt;"",N132="AUXÍLIO ALUGUEL ATÉ INDENIZAÇÃO"),"SIM","NÃO")</f>
        <v>NÃO</v>
      </c>
      <c r="BF132" s="140" t="s">
        <v>4357</v>
      </c>
      <c r="BG132" s="140" t="s">
        <v>4357</v>
      </c>
      <c r="BH132" s="140" t="s">
        <v>4357</v>
      </c>
      <c r="BI132" s="154" t="s">
        <v>4926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6483</v>
      </c>
      <c r="G133" s="103" t="s">
        <v>4330</v>
      </c>
      <c r="H133" s="103" t="s">
        <v>4331</v>
      </c>
      <c r="I133" s="103" t="s">
        <v>4343</v>
      </c>
      <c r="J133" s="149" t="s">
        <v>6484</v>
      </c>
      <c r="K133" s="149" t="s">
        <v>6485</v>
      </c>
      <c r="L133" s="149" t="s">
        <v>6486</v>
      </c>
      <c r="M133" s="103" t="s">
        <v>4333</v>
      </c>
      <c r="N133" s="103" t="s">
        <v>4334</v>
      </c>
      <c r="O133" s="105">
        <v>46188</v>
      </c>
      <c r="P133" s="105" t="s">
        <v>6487</v>
      </c>
      <c r="Q133" s="105" t="s">
        <v>6487</v>
      </c>
      <c r="R133" s="105" t="s">
        <v>6487</v>
      </c>
      <c r="S133" s="105" t="s">
        <v>6487</v>
      </c>
      <c r="T133" s="105" t="s">
        <v>6487</v>
      </c>
      <c r="U133" s="105" t="s">
        <v>6487</v>
      </c>
      <c r="V133" s="105" t="s">
        <v>6487</v>
      </c>
      <c r="W133" s="105" t="s">
        <v>6487</v>
      </c>
      <c r="X133" s="105" t="s">
        <v>6487</v>
      </c>
      <c r="Y133" s="105" t="s">
        <v>6487</v>
      </c>
      <c r="Z133" s="105"/>
      <c r="AA133" s="105" t="s">
        <v>6487</v>
      </c>
      <c r="AB133" s="149" t="s">
        <v>6484</v>
      </c>
      <c r="AC133" s="149" t="s">
        <v>6485</v>
      </c>
      <c r="AD133" s="149" t="s">
        <v>6486</v>
      </c>
      <c r="AE133" s="142" t="s">
        <v>4343</v>
      </c>
      <c r="AF133" s="103" t="s">
        <v>4333</v>
      </c>
      <c r="AG133" s="194">
        <v>15842.03</v>
      </c>
      <c r="AH133" s="194">
        <v>45842.03</v>
      </c>
      <c r="AI133" s="103" t="s">
        <v>4447</v>
      </c>
      <c r="AJ133" s="104" t="s">
        <v>4438</v>
      </c>
      <c r="AK133" s="103">
        <v>153981462</v>
      </c>
      <c r="AL133" s="103" t="s">
        <v>4338</v>
      </c>
      <c r="AM133" s="103" t="s">
        <v>4338</v>
      </c>
      <c r="AN133" s="103" t="s">
        <v>4339</v>
      </c>
      <c r="AO133" s="112"/>
      <c r="AP133" s="171" t="s">
        <v>6488</v>
      </c>
      <c r="AQ133" s="165" t="s">
        <v>4338</v>
      </c>
      <c r="AR133" s="103" t="s">
        <v>4338</v>
      </c>
      <c r="AS133" s="103" t="s">
        <v>4831</v>
      </c>
      <c r="AT133" s="103" t="s">
        <v>4831</v>
      </c>
      <c r="AU133" s="105">
        <v>46233</v>
      </c>
      <c r="AV133" s="103" t="s">
        <v>4831</v>
      </c>
      <c r="AW133" s="106" t="s">
        <v>4454</v>
      </c>
      <c r="AX133" s="109"/>
      <c r="AY133" s="157"/>
      <c r="AZ133" s="157"/>
      <c r="BA133" s="107" t="s">
        <v>4330</v>
      </c>
      <c r="BB133" s="112"/>
      <c r="BC133" s="220" t="str">
        <f>IF(AY133-KD133=0,"",AY133-O133)</f>
        <v/>
      </c>
      <c r="BD133" s="103" t="str">
        <f>IF(AND(AI133&lt;&gt;"SIM",AI133="UH"),"AA","INDENIZAÇÃO")</f>
        <v>INDENIZAÇÃO</v>
      </c>
      <c r="BE133" s="103" t="str">
        <f>IF(AND(AY133&lt;&gt;"AGUARDANDO",AY133&lt;&gt;"",N133="AUXÍLIO ALUGUEL ATÉ INDENIZAÇÃO"),"SIM","NÃO")</f>
        <v>NÃO</v>
      </c>
      <c r="BF133" s="112"/>
      <c r="BG133" s="147"/>
      <c r="BH133" s="147"/>
      <c r="BI133" s="112"/>
      <c r="BJ133" s="112"/>
      <c r="BK133" s="112"/>
      <c r="BL133" s="112"/>
      <c r="BM133" s="236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4476</v>
      </c>
      <c r="D134" s="103">
        <v>1</v>
      </c>
      <c r="E134" s="103" t="s">
        <v>4432</v>
      </c>
      <c r="F134" s="104" t="s">
        <v>4993</v>
      </c>
      <c r="G134" s="103" t="s">
        <v>4330</v>
      </c>
      <c r="H134" s="103" t="s">
        <v>4331</v>
      </c>
      <c r="I134" s="142" t="s">
        <v>4343</v>
      </c>
      <c r="J134" s="149" t="s">
        <v>4994</v>
      </c>
      <c r="K134" s="149" t="s">
        <v>4995</v>
      </c>
      <c r="L134" s="149" t="s">
        <v>4996</v>
      </c>
      <c r="M134" s="103" t="s">
        <v>4333</v>
      </c>
      <c r="N134" s="103" t="s">
        <v>4452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4994</v>
      </c>
      <c r="AC134" s="149" t="s">
        <v>4995</v>
      </c>
      <c r="AD134" s="149" t="s">
        <v>4996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4997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4454</v>
      </c>
      <c r="BA134" s="107" t="s">
        <v>4598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4926</v>
      </c>
      <c r="BJ134" s="154"/>
      <c r="BK134" s="154"/>
      <c r="BL134" s="154"/>
      <c r="BM134" s="237"/>
    </row>
    <row r="135" spans="1:107" s="232" customFormat="1" ht="29.25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5128</v>
      </c>
      <c r="G135" s="103" t="s">
        <v>4330</v>
      </c>
      <c r="H135" s="103" t="s">
        <v>4331</v>
      </c>
      <c r="I135" s="103" t="s">
        <v>4343</v>
      </c>
      <c r="J135" s="149" t="s">
        <v>5174</v>
      </c>
      <c r="K135" s="149" t="s">
        <v>5175</v>
      </c>
      <c r="L135" s="149" t="s">
        <v>5176</v>
      </c>
      <c r="M135" s="103" t="s">
        <v>4333</v>
      </c>
      <c r="N135" s="103" t="s">
        <v>4452</v>
      </c>
      <c r="O135" s="105">
        <v>46188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49" t="s">
        <v>5174</v>
      </c>
      <c r="AC135" s="149" t="s">
        <v>5175</v>
      </c>
      <c r="AD135" s="149" t="s">
        <v>5176</v>
      </c>
      <c r="AE135" s="103" t="s">
        <v>4343</v>
      </c>
      <c r="AF135" s="103" t="s">
        <v>4333</v>
      </c>
      <c r="AG135" s="194">
        <v>54328.45</v>
      </c>
      <c r="AH135" s="194">
        <v>60000</v>
      </c>
      <c r="AI135" s="103" t="s">
        <v>4336</v>
      </c>
      <c r="AJ135" s="104" t="s">
        <v>4438</v>
      </c>
      <c r="AK135" s="103">
        <v>152696742</v>
      </c>
      <c r="AL135" s="103" t="s">
        <v>4338</v>
      </c>
      <c r="AM135" s="103" t="s">
        <v>4338</v>
      </c>
      <c r="AN135" s="103" t="s">
        <v>4339</v>
      </c>
      <c r="AO135" s="112"/>
      <c r="AP135" s="171" t="s">
        <v>5177</v>
      </c>
      <c r="AQ135" s="165" t="s">
        <v>4831</v>
      </c>
      <c r="AR135" s="103" t="s">
        <v>4831</v>
      </c>
      <c r="AS135" s="103" t="s">
        <v>4831</v>
      </c>
      <c r="AT135" s="103" t="s">
        <v>4831</v>
      </c>
      <c r="AU135" s="105">
        <v>46233</v>
      </c>
      <c r="AV135" s="103" t="s">
        <v>4831</v>
      </c>
      <c r="AW135" s="106" t="s">
        <v>4454</v>
      </c>
      <c r="AX135" s="109"/>
      <c r="AY135" s="157"/>
      <c r="AZ135" s="157"/>
      <c r="BA135" s="107" t="s">
        <v>4330</v>
      </c>
      <c r="BB135" s="112"/>
      <c r="BC135" s="220" t="str">
        <f>IF(AY135-KD135=0,"",AY135-O135)</f>
        <v/>
      </c>
      <c r="BD135" s="103" t="str">
        <f>IF(AND(AI135&lt;&gt;"SIM",AI135="UH"),"AA","INDENIZAÇÃO")</f>
        <v>INDENIZAÇÃO</v>
      </c>
      <c r="BE135" s="103" t="str">
        <f>IF(AND(AY135&lt;&gt;"AGUARDANDO",AY135&lt;&gt;"",N135="AUXÍLIO ALUGUEL ATÉ INDENIZAÇÃO"),"SIM","NÃO")</f>
        <v>NÃO</v>
      </c>
      <c r="BF135" s="112"/>
      <c r="BG135" s="147"/>
      <c r="BH135" s="147"/>
      <c r="BI135" s="112"/>
      <c r="BJ135" s="112"/>
      <c r="BK135" s="112"/>
      <c r="BL135" s="112"/>
      <c r="BM135" s="236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4476</v>
      </c>
      <c r="D136" s="103">
        <v>1</v>
      </c>
      <c r="E136" s="103" t="s">
        <v>4432</v>
      </c>
      <c r="F136" s="104" t="s">
        <v>5002</v>
      </c>
      <c r="G136" s="103" t="s">
        <v>4330</v>
      </c>
      <c r="H136" s="103" t="s">
        <v>4331</v>
      </c>
      <c r="I136" s="142" t="s">
        <v>4343</v>
      </c>
      <c r="J136" s="149" t="s">
        <v>5003</v>
      </c>
      <c r="K136" s="149" t="s">
        <v>5004</v>
      </c>
      <c r="L136" s="149" t="s">
        <v>5005</v>
      </c>
      <c r="M136" s="103" t="s">
        <v>4333</v>
      </c>
      <c r="N136" s="103" t="s">
        <v>4452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5003</v>
      </c>
      <c r="AC136" s="149" t="s">
        <v>5004</v>
      </c>
      <c r="AD136" s="149" t="s">
        <v>5005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5006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4454</v>
      </c>
      <c r="BA136" s="107" t="s">
        <v>4598</v>
      </c>
      <c r="BB136" s="136" t="s">
        <v>4338</v>
      </c>
      <c r="BC136" s="220">
        <f>IF(AY136-KD136=0,"",AY136-O136)</f>
        <v>65</v>
      </c>
      <c r="BD136" s="103" t="str">
        <f>IF(AND(AI136&lt;&gt;"SIM",AI136="UH"),"AA","INDENIZAÇÃO")</f>
        <v>INDENIZAÇÃO</v>
      </c>
      <c r="BE136" s="103" t="str">
        <f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4926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4476</v>
      </c>
      <c r="D137" s="103">
        <v>1</v>
      </c>
      <c r="E137" s="103" t="s">
        <v>4432</v>
      </c>
      <c r="F137" s="104" t="s">
        <v>5007</v>
      </c>
      <c r="G137" s="103" t="s">
        <v>4330</v>
      </c>
      <c r="H137" s="103" t="s">
        <v>4331</v>
      </c>
      <c r="I137" s="142" t="s">
        <v>4440</v>
      </c>
      <c r="J137" s="114" t="s">
        <v>5008</v>
      </c>
      <c r="K137" s="149" t="s">
        <v>5009</v>
      </c>
      <c r="L137" s="149" t="s">
        <v>5010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5011</v>
      </c>
      <c r="AC137" s="114" t="s">
        <v>5012</v>
      </c>
      <c r="AD137" s="114" t="s">
        <v>5013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>IF(AY137-KD137=0,"",AY137-O137)</f>
        <v/>
      </c>
      <c r="BD137" s="103" t="str">
        <f>IF(AND(AI137&lt;&gt;"SIM",AI137="UH"),"AA","INDENIZAÇÃO")</f>
        <v>INDENIZAÇÃO</v>
      </c>
      <c r="BE137" s="103" t="str">
        <f>IF(AND(AY137&lt;&gt;"AGUARDANDO",AY137&lt;&gt;"",N137="AUXÍLIO ALUGUEL ATÉ INDENIZAÇÃO"),"SIM","NÃO")</f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4476</v>
      </c>
      <c r="D138" s="103">
        <v>1</v>
      </c>
      <c r="E138" s="103" t="s">
        <v>4432</v>
      </c>
      <c r="F138" s="104" t="s">
        <v>4460</v>
      </c>
      <c r="G138" s="103" t="s">
        <v>4330</v>
      </c>
      <c r="H138" s="103" t="s">
        <v>4331</v>
      </c>
      <c r="I138" s="142" t="s">
        <v>4343</v>
      </c>
      <c r="J138" s="149" t="s">
        <v>5014</v>
      </c>
      <c r="K138" s="104" t="s">
        <v>4432</v>
      </c>
      <c r="L138" s="104" t="s">
        <v>5015</v>
      </c>
      <c r="M138" s="103" t="s">
        <v>4333</v>
      </c>
      <c r="N138" s="103" t="s">
        <v>4452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5014</v>
      </c>
      <c r="AC138" s="104" t="s">
        <v>4432</v>
      </c>
      <c r="AD138" s="104" t="s">
        <v>5015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5016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4454</v>
      </c>
      <c r="BA138" s="107" t="s">
        <v>4598</v>
      </c>
      <c r="BB138" s="136" t="s">
        <v>4338</v>
      </c>
      <c r="BC138" s="220">
        <f>IF(AY138-KD138=0,"",AY138-O138)</f>
        <v>36</v>
      </c>
      <c r="BD138" s="103" t="str">
        <f>IF(AND(AI138&lt;&gt;"SIM",AI138="UH"),"AA","INDENIZAÇÃO")</f>
        <v>INDENIZAÇÃO</v>
      </c>
      <c r="BE138" s="103" t="str">
        <f>IF(AND(AY138&lt;&gt;"AGUARDANDO",AY138&lt;&gt;"",N138="AUXÍLIO ALUGUEL ATÉ INDENIZAÇÃO"),"SIM","NÃO")</f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4454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4476</v>
      </c>
      <c r="D139" s="103">
        <v>1</v>
      </c>
      <c r="E139" s="103" t="s">
        <v>4432</v>
      </c>
      <c r="F139" s="104" t="s">
        <v>5017</v>
      </c>
      <c r="G139" s="103" t="s">
        <v>4330</v>
      </c>
      <c r="H139" s="103" t="s">
        <v>4331</v>
      </c>
      <c r="I139" s="153" t="s">
        <v>4332</v>
      </c>
      <c r="J139" s="149" t="s">
        <v>5018</v>
      </c>
      <c r="K139" s="104" t="s">
        <v>5019</v>
      </c>
      <c r="L139" s="104" t="s">
        <v>5020</v>
      </c>
      <c r="M139" s="103" t="s">
        <v>4333</v>
      </c>
      <c r="N139" s="103" t="s">
        <v>4452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5018</v>
      </c>
      <c r="AC139" s="104" t="s">
        <v>5019</v>
      </c>
      <c r="AD139" s="104" t="s">
        <v>5020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5021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4454</v>
      </c>
      <c r="BA139" s="107" t="s">
        <v>4598</v>
      </c>
      <c r="BB139" s="136" t="s">
        <v>4338</v>
      </c>
      <c r="BC139" s="220">
        <f>IF(AY139-KD139=0,"",AY139-O139)</f>
        <v>36</v>
      </c>
      <c r="BD139" s="103" t="str">
        <f>IF(AND(AI139&lt;&gt;"SIM",AI139="UH"),"AA","INDENIZAÇÃO")</f>
        <v>INDENIZAÇÃO</v>
      </c>
      <c r="BE139" s="103" t="str">
        <f>IF(AND(AY139&lt;&gt;"AGUARDANDO",AY139&lt;&gt;"",N139="AUXÍLIO ALUGUEL ATÉ INDENIZAÇÃO"),"SIM","NÃO")</f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4454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4476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5022</v>
      </c>
      <c r="K140" s="104" t="s">
        <v>5023</v>
      </c>
      <c r="L140" s="104" t="s">
        <v>5024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5022</v>
      </c>
      <c r="AC140" s="104" t="s">
        <v>5023</v>
      </c>
      <c r="AD140" s="104" t="s">
        <v>5024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5025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4454</v>
      </c>
      <c r="BA140" s="107" t="s">
        <v>4598</v>
      </c>
      <c r="BB140" s="136" t="s">
        <v>4338</v>
      </c>
      <c r="BC140" s="220">
        <f>IF(AY140-KD140=0,"",AY140-O140)</f>
        <v>50</v>
      </c>
      <c r="BD140" s="103" t="str">
        <f>IF(AND(AI140&lt;&gt;"SIM",AI140="UH"),"AA","INDENIZAÇÃO")</f>
        <v>INDENIZAÇÃO</v>
      </c>
      <c r="BE140" s="103" t="str">
        <f>IF(AND(AY140&lt;&gt;"AGUARDANDO",AY140&lt;&gt;"",N140="AUXÍLIO ALUGUEL ATÉ INDENIZAÇÃO"),"SIM","NÃO")</f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4454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5026</v>
      </c>
      <c r="G141" s="103" t="s">
        <v>4330</v>
      </c>
      <c r="H141" s="103" t="s">
        <v>4331</v>
      </c>
      <c r="I141" s="103" t="s">
        <v>4343</v>
      </c>
      <c r="J141" s="149" t="s">
        <v>5027</v>
      </c>
      <c r="K141" s="149" t="s">
        <v>5028</v>
      </c>
      <c r="L141" s="149" t="s">
        <v>5029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5027</v>
      </c>
      <c r="AC141" s="149" t="s">
        <v>5028</v>
      </c>
      <c r="AD141" s="149" t="s">
        <v>5029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>IF(AY141-KD141=0,"",AY141-O141)</f>
        <v/>
      </c>
      <c r="BD141" s="103" t="str">
        <f>IF(AND(AI141&lt;&gt;"SIM",AI141="UH"),"AA","INDENIZAÇÃO")</f>
        <v>AA</v>
      </c>
      <c r="BE141" s="103" t="str">
        <f>IF(AND(AY141&lt;&gt;"AGUARDANDO",AY141&lt;&gt;"",N141="AUXÍLIO ALUGUEL ATÉ INDENIZAÇÃO"),"SIM","NÃO")</f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4476</v>
      </c>
      <c r="D142" s="103">
        <v>1</v>
      </c>
      <c r="E142" s="103" t="s">
        <v>4432</v>
      </c>
      <c r="F142" s="104" t="s">
        <v>4523</v>
      </c>
      <c r="G142" s="103" t="s">
        <v>4330</v>
      </c>
      <c r="H142" s="103" t="s">
        <v>4331</v>
      </c>
      <c r="I142" s="142" t="s">
        <v>4343</v>
      </c>
      <c r="J142" s="149" t="s">
        <v>5030</v>
      </c>
      <c r="K142" s="104" t="s">
        <v>5031</v>
      </c>
      <c r="L142" s="104" t="s">
        <v>5032</v>
      </c>
      <c r="M142" s="103" t="s">
        <v>4333</v>
      </c>
      <c r="N142" s="103" t="s">
        <v>4452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5030</v>
      </c>
      <c r="AC142" s="104" t="s">
        <v>5031</v>
      </c>
      <c r="AD142" s="104" t="s">
        <v>5032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5033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4454</v>
      </c>
      <c r="BA142" s="107" t="s">
        <v>4598</v>
      </c>
      <c r="BB142" s="136" t="s">
        <v>4338</v>
      </c>
      <c r="BC142" s="220">
        <f>IF(AY142-KD142=0,"",AY142-O142)</f>
        <v>43</v>
      </c>
      <c r="BD142" s="103" t="str">
        <f>IF(AND(AI142&lt;&gt;"SIM",AI142="UH"),"AA","INDENIZAÇÃO")</f>
        <v>INDENIZAÇÃO</v>
      </c>
      <c r="BE142" s="103" t="str">
        <f>IF(AND(AY142&lt;&gt;"AGUARDANDO",AY142&lt;&gt;"",N142="AUXÍLIO ALUGUEL ATÉ INDENIZAÇÃO"),"SIM","NÃO")</f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4454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4476</v>
      </c>
      <c r="D143" s="103">
        <v>1</v>
      </c>
      <c r="E143" s="103" t="s">
        <v>4432</v>
      </c>
      <c r="F143" s="104" t="s">
        <v>5034</v>
      </c>
      <c r="G143" s="103" t="s">
        <v>4330</v>
      </c>
      <c r="H143" s="103" t="s">
        <v>4331</v>
      </c>
      <c r="I143" s="142" t="s">
        <v>4343</v>
      </c>
      <c r="J143" s="149" t="s">
        <v>5035</v>
      </c>
      <c r="K143" s="149" t="s">
        <v>5036</v>
      </c>
      <c r="L143" s="149" t="s">
        <v>5037</v>
      </c>
      <c r="M143" s="103" t="s">
        <v>4333</v>
      </c>
      <c r="N143" s="103" t="s">
        <v>4452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5035</v>
      </c>
      <c r="AC143" s="149" t="s">
        <v>5036</v>
      </c>
      <c r="AD143" s="149" t="s">
        <v>5037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5038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4454</v>
      </c>
      <c r="BA143" s="107" t="s">
        <v>4598</v>
      </c>
      <c r="BB143" s="136" t="s">
        <v>4338</v>
      </c>
      <c r="BC143" s="220">
        <f>IF(AY143-KD143=0,"",AY143-O143)</f>
        <v>37</v>
      </c>
      <c r="BD143" s="103" t="str">
        <f>IF(AND(AI143&lt;&gt;"SIM",AI143="UH"),"AA","INDENIZAÇÃO")</f>
        <v>INDENIZAÇÃO</v>
      </c>
      <c r="BE143" s="103" t="str">
        <f>IF(AND(AY143&lt;&gt;"AGUARDANDO",AY143&lt;&gt;"",N143="AUXÍLIO ALUGUEL ATÉ INDENIZAÇÃO"),"SIM","NÃO")</f>
        <v>NÃO</v>
      </c>
      <c r="BF143" s="140" t="s">
        <v>4357</v>
      </c>
      <c r="BG143" s="140" t="s">
        <v>4357</v>
      </c>
      <c r="BH143" s="140" t="s">
        <v>4357</v>
      </c>
      <c r="BI143" s="154" t="s">
        <v>4926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4476</v>
      </c>
      <c r="D144" s="103">
        <v>1</v>
      </c>
      <c r="E144" s="103" t="s">
        <v>4432</v>
      </c>
      <c r="F144" s="104" t="s">
        <v>5039</v>
      </c>
      <c r="G144" s="103" t="s">
        <v>4330</v>
      </c>
      <c r="H144" s="103" t="s">
        <v>4331</v>
      </c>
      <c r="I144" s="142" t="s">
        <v>4343</v>
      </c>
      <c r="J144" s="149" t="s">
        <v>5040</v>
      </c>
      <c r="K144" s="149" t="s">
        <v>5041</v>
      </c>
      <c r="L144" s="149" t="s">
        <v>5042</v>
      </c>
      <c r="M144" s="103" t="s">
        <v>4333</v>
      </c>
      <c r="N144" s="103" t="s">
        <v>4452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5040</v>
      </c>
      <c r="AC144" s="149" t="s">
        <v>5041</v>
      </c>
      <c r="AD144" s="149" t="s">
        <v>5042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5043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4454</v>
      </c>
      <c r="BA144" s="107" t="s">
        <v>4598</v>
      </c>
      <c r="BB144" s="136" t="s">
        <v>4338</v>
      </c>
      <c r="BC144" s="220">
        <f>IF(AY144-KD144=0,"",AY144-O144)</f>
        <v>58</v>
      </c>
      <c r="BD144" s="103" t="str">
        <f>IF(AND(AI144&lt;&gt;"SIM",AI144="UH"),"AA","INDENIZAÇÃO")</f>
        <v>INDENIZAÇÃO</v>
      </c>
      <c r="BE144" s="103" t="str">
        <f>IF(AND(AY144&lt;&gt;"AGUARDANDO",AY144&lt;&gt;"",N144="AUXÍLIO ALUGUEL ATÉ INDENIZAÇÃO"),"SIM","NÃO")</f>
        <v>NÃO</v>
      </c>
      <c r="BF144" s="140" t="s">
        <v>4357</v>
      </c>
      <c r="BG144" s="140" t="s">
        <v>4357</v>
      </c>
      <c r="BH144" s="140" t="s">
        <v>4357</v>
      </c>
      <c r="BI144" s="154" t="s">
        <v>4926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5044</v>
      </c>
      <c r="G145" s="103" t="s">
        <v>4330</v>
      </c>
      <c r="H145" s="103" t="s">
        <v>4331</v>
      </c>
      <c r="I145" s="142" t="s">
        <v>4343</v>
      </c>
      <c r="J145" s="149" t="s">
        <v>5045</v>
      </c>
      <c r="K145" s="149" t="s">
        <v>5046</v>
      </c>
      <c r="L145" s="149" t="s">
        <v>5047</v>
      </c>
      <c r="M145" s="103" t="s">
        <v>4333</v>
      </c>
      <c r="N145" s="103" t="s">
        <v>4452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5045</v>
      </c>
      <c r="AC145" s="149" t="s">
        <v>5048</v>
      </c>
      <c r="AD145" s="149" t="s">
        <v>5047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>IF(AY145-KD145=0,"",AY145-O145)</f>
        <v/>
      </c>
      <c r="BD145" s="103" t="str">
        <f>IF(AND(AI145&lt;&gt;"SIM",AI145="UH"),"AA","INDENIZAÇÃO")</f>
        <v>INDENIZAÇÃO</v>
      </c>
      <c r="BE145" s="103" t="str">
        <f>IF(AND(AY145&lt;&gt;"AGUARDANDO",AY145&lt;&gt;"",N145="AUXÍLIO ALUGUEL ATÉ INDENIZAÇÃO"),"SIM","NÃO")</f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4476</v>
      </c>
      <c r="D146" s="103">
        <v>1</v>
      </c>
      <c r="E146" s="103" t="s">
        <v>4432</v>
      </c>
      <c r="F146" s="144" t="s">
        <v>5044</v>
      </c>
      <c r="G146" s="103" t="s">
        <v>4330</v>
      </c>
      <c r="H146" s="103" t="s">
        <v>4331</v>
      </c>
      <c r="I146" s="142" t="s">
        <v>4343</v>
      </c>
      <c r="J146" s="114" t="s">
        <v>5049</v>
      </c>
      <c r="K146" s="149" t="s">
        <v>5050</v>
      </c>
      <c r="L146" s="149" t="s">
        <v>5051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5049</v>
      </c>
      <c r="AC146" s="149" t="s">
        <v>5050</v>
      </c>
      <c r="AD146" s="149" t="s">
        <v>5051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>IF(AY146-KD146=0,"",AY146-O146)</f>
        <v/>
      </c>
      <c r="BD146" s="103" t="str">
        <f>IF(AND(AI146&lt;&gt;"SIM",AI146="UH"),"AA","INDENIZAÇÃO")</f>
        <v>AA</v>
      </c>
      <c r="BE146" s="103" t="str">
        <f>IF(AND(AY146&lt;&gt;"AGUARDANDO",AY146&lt;&gt;"",N146="AUXÍLIO ALUGUEL ATÉ INDENIZAÇÃO"),"SIM","NÃO")</f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 x14ac:dyDescent="0.25">
      <c r="A147" s="165">
        <v>138</v>
      </c>
      <c r="B147" s="103" t="s">
        <v>4431</v>
      </c>
      <c r="C147" s="103" t="s">
        <v>4476</v>
      </c>
      <c r="D147" s="103">
        <v>1</v>
      </c>
      <c r="E147" s="103" t="s">
        <v>4432</v>
      </c>
      <c r="F147" s="104" t="s">
        <v>6935</v>
      </c>
      <c r="G147" s="103" t="s">
        <v>4330</v>
      </c>
      <c r="H147" s="103" t="s">
        <v>4331</v>
      </c>
      <c r="I147" s="142" t="s">
        <v>4343</v>
      </c>
      <c r="J147" s="149" t="s">
        <v>6936</v>
      </c>
      <c r="K147" s="149" t="s">
        <v>6937</v>
      </c>
      <c r="L147" s="149" t="s">
        <v>6938</v>
      </c>
      <c r="M147" s="103" t="s">
        <v>4333</v>
      </c>
      <c r="N147" s="103" t="s">
        <v>4452</v>
      </c>
      <c r="O147" s="105">
        <v>46129</v>
      </c>
      <c r="P147" s="105" t="s">
        <v>4356</v>
      </c>
      <c r="Q147" s="105" t="s">
        <v>4356</v>
      </c>
      <c r="R147" s="105" t="s">
        <v>4356</v>
      </c>
      <c r="S147" s="105" t="s">
        <v>4356</v>
      </c>
      <c r="T147" s="105" t="s">
        <v>4356</v>
      </c>
      <c r="U147" s="105" t="s">
        <v>4356</v>
      </c>
      <c r="V147" s="105" t="s">
        <v>4356</v>
      </c>
      <c r="W147" s="105" t="s">
        <v>4356</v>
      </c>
      <c r="X147" s="105" t="s">
        <v>4356</v>
      </c>
      <c r="Y147" s="105" t="s">
        <v>4356</v>
      </c>
      <c r="Z147" s="105"/>
      <c r="AA147" s="105"/>
      <c r="AB147" s="149" t="s">
        <v>6936</v>
      </c>
      <c r="AC147" s="149" t="s">
        <v>6937</v>
      </c>
      <c r="AD147" s="149" t="s">
        <v>6938</v>
      </c>
      <c r="AE147" s="142" t="s">
        <v>4343</v>
      </c>
      <c r="AF147" s="103" t="s">
        <v>4333</v>
      </c>
      <c r="AG147" s="194">
        <v>17507.61</v>
      </c>
      <c r="AH147" s="194">
        <v>47507.61</v>
      </c>
      <c r="AI147" s="103" t="s">
        <v>4336</v>
      </c>
      <c r="AJ147" s="104" t="s">
        <v>4438</v>
      </c>
      <c r="AK147" s="103">
        <v>153982636</v>
      </c>
      <c r="AL147" s="103" t="s">
        <v>4338</v>
      </c>
      <c r="AM147" s="103" t="s">
        <v>4338</v>
      </c>
      <c r="AN147" s="103" t="s">
        <v>4339</v>
      </c>
      <c r="AO147" s="103"/>
      <c r="AP147" s="171" t="s">
        <v>6939</v>
      </c>
      <c r="AQ147" s="224" t="s">
        <v>4338</v>
      </c>
      <c r="AR147" s="103" t="s">
        <v>4338</v>
      </c>
      <c r="AS147" s="103" t="s">
        <v>4831</v>
      </c>
      <c r="AT147" s="103" t="s">
        <v>4831</v>
      </c>
      <c r="AU147" s="105">
        <v>46233</v>
      </c>
      <c r="AV147" s="103" t="s">
        <v>4831</v>
      </c>
      <c r="AW147" s="106" t="s">
        <v>4454</v>
      </c>
      <c r="AX147" s="106"/>
      <c r="AY147" s="157"/>
      <c r="AZ147" s="106"/>
      <c r="BA147" s="107" t="s">
        <v>4330</v>
      </c>
      <c r="BB147" s="136"/>
      <c r="BC147" s="220" t="str">
        <f>IF(AY147-KD147=0,"",AY147-O147)</f>
        <v/>
      </c>
      <c r="BD147" s="103" t="str">
        <f>IF(AND(AI147&lt;&gt;"SIM",AI147="UH"),"AA","INDENIZAÇÃO")</f>
        <v>INDENIZAÇÃO</v>
      </c>
      <c r="BE147" s="103" t="str">
        <f>IF(AND(AY147&lt;&gt;"AGUARDANDO",AY147&lt;&gt;"",N147="AUXÍLIO ALUGUEL ATÉ INDENIZAÇÃO"),"SIM","NÃO")</f>
        <v>NÃO</v>
      </c>
      <c r="BF147" s="140"/>
      <c r="BG147" s="140"/>
      <c r="BH147" s="140"/>
      <c r="BI147" s="140"/>
      <c r="BJ147" s="140"/>
      <c r="BK147" s="140"/>
      <c r="BL147" s="140"/>
      <c r="BM147" s="238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4476</v>
      </c>
      <c r="D148" s="103">
        <v>1</v>
      </c>
      <c r="E148" s="103" t="s">
        <v>4432</v>
      </c>
      <c r="F148" s="104" t="s">
        <v>5060</v>
      </c>
      <c r="G148" s="103" t="s">
        <v>4330</v>
      </c>
      <c r="H148" s="103" t="s">
        <v>4331</v>
      </c>
      <c r="I148" s="142" t="s">
        <v>4343</v>
      </c>
      <c r="J148" s="149" t="s">
        <v>5061</v>
      </c>
      <c r="K148" s="149" t="s">
        <v>5062</v>
      </c>
      <c r="L148" s="149" t="s">
        <v>5063</v>
      </c>
      <c r="M148" s="103" t="s">
        <v>4333</v>
      </c>
      <c r="N148" s="103" t="s">
        <v>4452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5061</v>
      </c>
      <c r="AC148" s="149" t="s">
        <v>5062</v>
      </c>
      <c r="AD148" s="149" t="s">
        <v>5063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5064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4454</v>
      </c>
      <c r="BA148" s="107" t="s">
        <v>4598</v>
      </c>
      <c r="BB148" s="136" t="s">
        <v>4338</v>
      </c>
      <c r="BC148" s="220">
        <f>IF(AY148-KD148=0,"",AY148-O148)</f>
        <v>37</v>
      </c>
      <c r="BD148" s="103" t="str">
        <f>IF(AND(AI148&lt;&gt;"SIM",AI148="UH"),"AA","INDENIZAÇÃO")</f>
        <v>INDENIZAÇÃO</v>
      </c>
      <c r="BE148" s="103" t="str">
        <f>IF(AND(AY148&lt;&gt;"AGUARDANDO",AY148&lt;&gt;"",N148="AUXÍLIO ALUGUEL ATÉ INDENIZAÇÃO"),"SIM","NÃO")</f>
        <v>NÃO</v>
      </c>
      <c r="BF148" s="140" t="s">
        <v>4357</v>
      </c>
      <c r="BG148" s="140" t="s">
        <v>4357</v>
      </c>
      <c r="BH148" s="140" t="s">
        <v>4357</v>
      </c>
      <c r="BI148" s="154" t="s">
        <v>4926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4476</v>
      </c>
      <c r="D149" s="103">
        <v>1</v>
      </c>
      <c r="E149" s="103" t="s">
        <v>4432</v>
      </c>
      <c r="F149" s="104" t="s">
        <v>5065</v>
      </c>
      <c r="G149" s="103" t="s">
        <v>4330</v>
      </c>
      <c r="H149" s="103" t="s">
        <v>4331</v>
      </c>
      <c r="I149" s="142" t="s">
        <v>4343</v>
      </c>
      <c r="J149" s="149" t="s">
        <v>5066</v>
      </c>
      <c r="K149" s="149" t="s">
        <v>5067</v>
      </c>
      <c r="L149" s="149" t="s">
        <v>5068</v>
      </c>
      <c r="M149" s="103" t="s">
        <v>4333</v>
      </c>
      <c r="N149" s="103" t="s">
        <v>4452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5069</v>
      </c>
      <c r="AC149" s="149" t="s">
        <v>5067</v>
      </c>
      <c r="AD149" s="149" t="s">
        <v>5068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5070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4454</v>
      </c>
      <c r="BA149" s="107" t="s">
        <v>4598</v>
      </c>
      <c r="BB149" s="136" t="s">
        <v>4338</v>
      </c>
      <c r="BC149" s="220">
        <f>IF(AY149-KD149=0,"",AY149-O149)</f>
        <v>37</v>
      </c>
      <c r="BD149" s="103" t="str">
        <f>IF(AND(AI149&lt;&gt;"SIM",AI149="UH"),"AA","INDENIZAÇÃO")</f>
        <v>INDENIZAÇÃO</v>
      </c>
      <c r="BE149" s="103" t="str">
        <f>IF(AND(AY149&lt;&gt;"AGUARDANDO",AY149&lt;&gt;"",N149="AUXÍLIO ALUGUEL ATÉ INDENIZAÇÃO"),"SIM","NÃO")</f>
        <v>NÃO</v>
      </c>
      <c r="BF149" s="140" t="s">
        <v>4357</v>
      </c>
      <c r="BG149" s="140" t="s">
        <v>4357</v>
      </c>
      <c r="BH149" s="140" t="s">
        <v>4357</v>
      </c>
      <c r="BI149" s="154" t="s">
        <v>4926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4476</v>
      </c>
      <c r="D150" s="103">
        <v>1</v>
      </c>
      <c r="E150" s="103" t="s">
        <v>4432</v>
      </c>
      <c r="F150" s="104" t="s">
        <v>5071</v>
      </c>
      <c r="G150" s="103" t="s">
        <v>4330</v>
      </c>
      <c r="H150" s="103" t="s">
        <v>4331</v>
      </c>
      <c r="I150" s="142" t="s">
        <v>4361</v>
      </c>
      <c r="J150" s="114" t="s">
        <v>5072</v>
      </c>
      <c r="K150" s="149" t="s">
        <v>5073</v>
      </c>
      <c r="L150" s="149" t="s">
        <v>5074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5072</v>
      </c>
      <c r="AC150" s="149" t="s">
        <v>5073</v>
      </c>
      <c r="AD150" s="149" t="s">
        <v>5074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>IF(AY150-KD150=0,"",AY150-O150)</f>
        <v/>
      </c>
      <c r="BD150" s="103" t="str">
        <f>IF(AND(AI150&lt;&gt;"SIM",AI150="UH"),"AA","INDENIZAÇÃO")</f>
        <v>AA</v>
      </c>
      <c r="BE150" s="103" t="str">
        <f>IF(AND(AY150&lt;&gt;"AGUARDANDO",AY150&lt;&gt;"",N150="AUXÍLIO ALUGUEL ATÉ INDENIZAÇÃO"),"SIM","NÃO")</f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4476</v>
      </c>
      <c r="D151" s="103">
        <v>1</v>
      </c>
      <c r="E151" s="103" t="s">
        <v>4432</v>
      </c>
      <c r="F151" s="104" t="s">
        <v>5075</v>
      </c>
      <c r="G151" s="103" t="s">
        <v>4330</v>
      </c>
      <c r="H151" s="103" t="s">
        <v>4331</v>
      </c>
      <c r="I151" s="142" t="s">
        <v>4343</v>
      </c>
      <c r="J151" s="149" t="s">
        <v>5076</v>
      </c>
      <c r="K151" s="149" t="s">
        <v>5077</v>
      </c>
      <c r="L151" s="149" t="s">
        <v>5078</v>
      </c>
      <c r="M151" s="103" t="s">
        <v>4333</v>
      </c>
      <c r="N151" s="103" t="s">
        <v>4452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5076</v>
      </c>
      <c r="AC151" s="104" t="s">
        <v>5077</v>
      </c>
      <c r="AD151" s="104" t="s">
        <v>5078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5079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4454</v>
      </c>
      <c r="BA151" s="107" t="s">
        <v>4598</v>
      </c>
      <c r="BB151" s="136" t="s">
        <v>4338</v>
      </c>
      <c r="BC151" s="220">
        <f>IF(AY151-KD151=0,"",AY151-O151)</f>
        <v>40</v>
      </c>
      <c r="BD151" s="103" t="str">
        <f>IF(AND(AI151&lt;&gt;"SIM",AI151="UH"),"AA","INDENIZAÇÃO")</f>
        <v>INDENIZAÇÃO</v>
      </c>
      <c r="BE151" s="103" t="str">
        <f>IF(AND(AY151&lt;&gt;"AGUARDANDO",AY151&lt;&gt;"",N151="AUXÍLIO ALUGUEL ATÉ INDENIZAÇÃO"),"SIM","NÃO")</f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4454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5080</v>
      </c>
      <c r="G152" s="103" t="s">
        <v>4330</v>
      </c>
      <c r="H152" s="103" t="s">
        <v>4331</v>
      </c>
      <c r="I152" s="142" t="s">
        <v>4343</v>
      </c>
      <c r="J152" s="114" t="s">
        <v>5081</v>
      </c>
      <c r="K152" s="149" t="s">
        <v>5082</v>
      </c>
      <c r="L152" s="149" t="s">
        <v>5083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4476</v>
      </c>
      <c r="D153" s="103">
        <v>1</v>
      </c>
      <c r="E153" s="103" t="s">
        <v>4432</v>
      </c>
      <c r="F153" s="104" t="s">
        <v>5084</v>
      </c>
      <c r="G153" s="103" t="s">
        <v>4330</v>
      </c>
      <c r="H153" s="103" t="s">
        <v>4331</v>
      </c>
      <c r="I153" s="142" t="s">
        <v>4440</v>
      </c>
      <c r="J153" s="149" t="s">
        <v>5085</v>
      </c>
      <c r="K153" s="149" t="s">
        <v>5086</v>
      </c>
      <c r="L153" s="149" t="s">
        <v>5087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5088</v>
      </c>
      <c r="AC153" s="149">
        <v>50431772</v>
      </c>
      <c r="AD153" s="149" t="s">
        <v>5089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5090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4454</v>
      </c>
      <c r="BA153" s="107" t="s">
        <v>4598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4454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5091</v>
      </c>
      <c r="G154" s="103" t="s">
        <v>4330</v>
      </c>
      <c r="H154" s="103" t="s">
        <v>4331</v>
      </c>
      <c r="I154" s="142" t="s">
        <v>4343</v>
      </c>
      <c r="J154" s="149" t="s">
        <v>5092</v>
      </c>
      <c r="K154" s="149" t="s">
        <v>5093</v>
      </c>
      <c r="L154" s="149" t="s">
        <v>5094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5092</v>
      </c>
      <c r="AC154" s="149" t="s">
        <v>5093</v>
      </c>
      <c r="AD154" s="149" t="s">
        <v>5094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4476</v>
      </c>
      <c r="D155" s="103">
        <v>1</v>
      </c>
      <c r="E155" s="103" t="s">
        <v>4432</v>
      </c>
      <c r="F155" s="104" t="s">
        <v>5095</v>
      </c>
      <c r="G155" s="103" t="s">
        <v>4330</v>
      </c>
      <c r="H155" s="103" t="s">
        <v>4331</v>
      </c>
      <c r="I155" s="142" t="s">
        <v>4343</v>
      </c>
      <c r="J155" s="149" t="s">
        <v>5096</v>
      </c>
      <c r="K155" s="149" t="s">
        <v>5097</v>
      </c>
      <c r="L155" s="149" t="s">
        <v>5098</v>
      </c>
      <c r="M155" s="103" t="s">
        <v>4333</v>
      </c>
      <c r="N155" s="103" t="s">
        <v>4452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5096</v>
      </c>
      <c r="AC155" s="149" t="s">
        <v>5097</v>
      </c>
      <c r="AD155" s="149" t="s">
        <v>5098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5099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4454</v>
      </c>
      <c r="BA155" s="107" t="s">
        <v>4598</v>
      </c>
      <c r="BB155" s="136" t="s">
        <v>4338</v>
      </c>
      <c r="BC155" s="220">
        <f>IF(AY155-KD155=0,"",AY155-O155)</f>
        <v>40</v>
      </c>
      <c r="BD155" s="103" t="str">
        <f>IF(AND(AI155&lt;&gt;"SIM",AI155="UH"),"AA","INDENIZAÇÃO")</f>
        <v>INDENIZAÇÃO</v>
      </c>
      <c r="BE155" s="103" t="str">
        <f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4926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4476</v>
      </c>
      <c r="D156" s="103">
        <v>1</v>
      </c>
      <c r="E156" s="103" t="s">
        <v>4432</v>
      </c>
      <c r="F156" s="104" t="s">
        <v>5100</v>
      </c>
      <c r="G156" s="103" t="s">
        <v>4330</v>
      </c>
      <c r="H156" s="103" t="s">
        <v>4352</v>
      </c>
      <c r="I156" s="142" t="s">
        <v>4343</v>
      </c>
      <c r="J156" s="149" t="s">
        <v>5101</v>
      </c>
      <c r="K156" s="149" t="s">
        <v>5102</v>
      </c>
      <c r="L156" s="149" t="s">
        <v>5103</v>
      </c>
      <c r="M156" s="103" t="s">
        <v>4333</v>
      </c>
      <c r="N156" s="103" t="s">
        <v>4452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5101</v>
      </c>
      <c r="AC156" s="149" t="s">
        <v>5102</v>
      </c>
      <c r="AD156" s="149" t="s">
        <v>5103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5104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4454</v>
      </c>
      <c r="BA156" s="107" t="s">
        <v>4598</v>
      </c>
      <c r="BB156" s="136" t="s">
        <v>4338</v>
      </c>
      <c r="BC156" s="220">
        <f>IF(AY156-KD156=0,"",AY156-O156)</f>
        <v>61</v>
      </c>
      <c r="BD156" s="103" t="str">
        <f>IF(AND(AI156&lt;&gt;"SIM",AI156="UH"),"AA","INDENIZAÇÃO")</f>
        <v>INDENIZAÇÃO</v>
      </c>
      <c r="BE156" s="103" t="str">
        <f>IF(AND(AY156&lt;&gt;"AGUARDANDO",AY156&lt;&gt;"",N156="AUXÍLIO ALUGUEL ATÉ INDENIZAÇÃO"),"SIM","NÃO")</f>
        <v>NÃO</v>
      </c>
      <c r="BF156" s="140" t="s">
        <v>4357</v>
      </c>
      <c r="BG156" s="140" t="s">
        <v>4357</v>
      </c>
      <c r="BH156" s="140" t="s">
        <v>4357</v>
      </c>
      <c r="BI156" s="154" t="s">
        <v>4926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4476</v>
      </c>
      <c r="D157" s="103">
        <v>1</v>
      </c>
      <c r="E157" s="103" t="s">
        <v>4432</v>
      </c>
      <c r="F157" s="104" t="s">
        <v>5105</v>
      </c>
      <c r="G157" s="103" t="s">
        <v>4330</v>
      </c>
      <c r="H157" s="103" t="s">
        <v>4331</v>
      </c>
      <c r="I157" s="142" t="s">
        <v>4343</v>
      </c>
      <c r="J157" s="149" t="s">
        <v>5106</v>
      </c>
      <c r="K157" s="149" t="s">
        <v>5107</v>
      </c>
      <c r="L157" s="149" t="s">
        <v>5108</v>
      </c>
      <c r="M157" s="103" t="s">
        <v>4333</v>
      </c>
      <c r="N157" s="103" t="s">
        <v>4452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5106</v>
      </c>
      <c r="AC157" s="149" t="s">
        <v>5107</v>
      </c>
      <c r="AD157" s="149" t="s">
        <v>5108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5109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4454</v>
      </c>
      <c r="BA157" s="107" t="s">
        <v>4598</v>
      </c>
      <c r="BB157" s="136" t="s">
        <v>4338</v>
      </c>
      <c r="BC157" s="220">
        <f>IF(AY157-KD157=0,"",AY157-O157)</f>
        <v>61</v>
      </c>
      <c r="BD157" s="103" t="str">
        <f>IF(AND(AI157&lt;&gt;"SIM",AI157="UH"),"AA","INDENIZAÇÃO")</f>
        <v>INDENIZAÇÃO</v>
      </c>
      <c r="BE157" s="103" t="str">
        <f>IF(AND(AY157&lt;&gt;"AGUARDANDO",AY157&lt;&gt;"",N157="AUXÍLIO ALUGUEL ATÉ INDENIZAÇÃO"),"SIM","NÃO")</f>
        <v>NÃO</v>
      </c>
      <c r="BF157" s="140" t="s">
        <v>4357</v>
      </c>
      <c r="BG157" s="140" t="s">
        <v>4357</v>
      </c>
      <c r="BH157" s="140" t="s">
        <v>4357</v>
      </c>
      <c r="BI157" s="154" t="s">
        <v>4926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4476</v>
      </c>
      <c r="D158" s="103">
        <v>1</v>
      </c>
      <c r="E158" s="103" t="s">
        <v>4432</v>
      </c>
      <c r="F158" s="104" t="s">
        <v>5110</v>
      </c>
      <c r="G158" s="103" t="s">
        <v>4330</v>
      </c>
      <c r="H158" s="103" t="s">
        <v>4331</v>
      </c>
      <c r="I158" s="142" t="s">
        <v>4343</v>
      </c>
      <c r="J158" s="149" t="s">
        <v>5111</v>
      </c>
      <c r="K158" s="149" t="s">
        <v>4457</v>
      </c>
      <c r="L158" s="149" t="s">
        <v>5112</v>
      </c>
      <c r="M158" s="103" t="s">
        <v>4333</v>
      </c>
      <c r="N158" s="103" t="s">
        <v>4452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5111</v>
      </c>
      <c r="AC158" s="149" t="s">
        <v>4432</v>
      </c>
      <c r="AD158" s="149" t="s">
        <v>5112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5113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4454</v>
      </c>
      <c r="BA158" s="107" t="s">
        <v>4598</v>
      </c>
      <c r="BB158" s="136" t="s">
        <v>4338</v>
      </c>
      <c r="BC158" s="220">
        <f>IF(AY158-KD158=0,"",AY158-O158)</f>
        <v>45</v>
      </c>
      <c r="BD158" s="103" t="str">
        <f>IF(AND(AI158&lt;&gt;"SIM",AI158="UH"),"AA","INDENIZAÇÃO")</f>
        <v>INDENIZAÇÃO</v>
      </c>
      <c r="BE158" s="103" t="str">
        <f>IF(AND(AY158&lt;&gt;"AGUARDANDO",AY158&lt;&gt;"",N158="AUXÍLIO ALUGUEL ATÉ INDENIZAÇÃO"),"SIM","NÃO")</f>
        <v>NÃO</v>
      </c>
      <c r="BF158" s="140" t="s">
        <v>4357</v>
      </c>
      <c r="BG158" s="140" t="s">
        <v>4357</v>
      </c>
      <c r="BH158" s="140" t="s">
        <v>4357</v>
      </c>
      <c r="BI158" s="154" t="s">
        <v>4926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5114</v>
      </c>
      <c r="G159" s="103" t="s">
        <v>4330</v>
      </c>
      <c r="H159" s="103" t="s">
        <v>4331</v>
      </c>
      <c r="I159" s="246" t="s">
        <v>4343</v>
      </c>
      <c r="J159" s="149" t="s">
        <v>5115</v>
      </c>
      <c r="K159" s="149" t="s">
        <v>5116</v>
      </c>
      <c r="L159" s="149" t="s">
        <v>5117</v>
      </c>
      <c r="M159" s="103" t="s">
        <v>4333</v>
      </c>
      <c r="N159" s="103" t="s">
        <v>4452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5115</v>
      </c>
      <c r="AC159" s="104" t="s">
        <v>5116</v>
      </c>
      <c r="AD159" s="139" t="s">
        <v>5117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5118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>IF(AY159-KD159=0,"",AY159-O159)</f>
        <v>63</v>
      </c>
      <c r="BD159" s="103" t="str">
        <f>IF(AND(AI159&lt;&gt;"SIM",AI159="UH"),"AA","INDENIZAÇÃO")</f>
        <v>INDENIZAÇÃO</v>
      </c>
      <c r="BE159" s="103" t="str">
        <f>IF(AND(AY159&lt;&gt;"AGUARDANDO",AY159&lt;&gt;"",N159="AUXÍLIO ALUGUEL ATÉ INDENIZAÇÃO"),"SIM","NÃO")</f>
        <v>NÃO</v>
      </c>
      <c r="BF159" s="140" t="s">
        <v>4357</v>
      </c>
      <c r="BG159" s="140" t="s">
        <v>4357</v>
      </c>
      <c r="BH159" s="140" t="s">
        <v>4357</v>
      </c>
      <c r="BI159" s="154" t="s">
        <v>4926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4476</v>
      </c>
      <c r="D160" s="103">
        <v>1</v>
      </c>
      <c r="E160" s="103" t="s">
        <v>4432</v>
      </c>
      <c r="F160" s="104" t="s">
        <v>5119</v>
      </c>
      <c r="G160" s="103" t="s">
        <v>4330</v>
      </c>
      <c r="H160" s="103" t="s">
        <v>4331</v>
      </c>
      <c r="I160" s="142" t="s">
        <v>4343</v>
      </c>
      <c r="J160" s="149" t="s">
        <v>5120</v>
      </c>
      <c r="K160" s="149" t="s">
        <v>5121</v>
      </c>
      <c r="L160" s="149" t="s">
        <v>5122</v>
      </c>
      <c r="M160" s="103" t="s">
        <v>4333</v>
      </c>
      <c r="N160" s="103" t="s">
        <v>4452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5120</v>
      </c>
      <c r="AC160" s="149" t="s">
        <v>5121</v>
      </c>
      <c r="AD160" s="149" t="s">
        <v>5122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5123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4454</v>
      </c>
      <c r="BA160" s="107" t="s">
        <v>4598</v>
      </c>
      <c r="BB160" s="136" t="s">
        <v>4338</v>
      </c>
      <c r="BC160" s="220">
        <f>IF(AY160-KD160=0,"",AY160-O160)</f>
        <v>69</v>
      </c>
      <c r="BD160" s="103" t="str">
        <f>IF(AND(AI160&lt;&gt;"SIM",AI160="UH"),"AA","INDENIZAÇÃO")</f>
        <v>INDENIZAÇÃO</v>
      </c>
      <c r="BE160" s="103" t="str">
        <f>IF(AND(AY160&lt;&gt;"AGUARDANDO",AY160&lt;&gt;"",N160="AUXÍLIO ALUGUEL ATÉ INDENIZAÇÃO"),"SIM","NÃO")</f>
        <v>NÃO</v>
      </c>
      <c r="BF160" s="140" t="s">
        <v>4357</v>
      </c>
      <c r="BG160" s="140" t="s">
        <v>4357</v>
      </c>
      <c r="BH160" s="140" t="s">
        <v>4357</v>
      </c>
      <c r="BI160" s="154" t="s">
        <v>4926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5124</v>
      </c>
      <c r="G161" s="103" t="s">
        <v>4330</v>
      </c>
      <c r="H161" s="103" t="s">
        <v>4331</v>
      </c>
      <c r="I161" s="103" t="s">
        <v>4343</v>
      </c>
      <c r="J161" s="149" t="s">
        <v>5125</v>
      </c>
      <c r="K161" s="149" t="s">
        <v>5126</v>
      </c>
      <c r="L161" s="149" t="s">
        <v>5127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5125</v>
      </c>
      <c r="AC161" s="149" t="s">
        <v>5126</v>
      </c>
      <c r="AD161" s="149" t="s">
        <v>5127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>IF(AY161-KD161=0,"",AY161-O161)</f>
        <v/>
      </c>
      <c r="BD161" s="103" t="str">
        <f>IF(AND(AI161&lt;&gt;"SIM",AI161="UH"),"AA","INDENIZAÇÃO")</f>
        <v>AA</v>
      </c>
      <c r="BE161" s="103" t="str">
        <f>IF(AND(AY161&lt;&gt;"AGUARDANDO",AY161&lt;&gt;"",N161="AUXÍLIO ALUGUEL ATÉ INDENIZAÇÃO"),"SIM","NÃO")</f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4476</v>
      </c>
      <c r="D162" s="103">
        <v>1</v>
      </c>
      <c r="E162" s="103" t="s">
        <v>4432</v>
      </c>
      <c r="F162" s="104" t="s">
        <v>5128</v>
      </c>
      <c r="G162" s="103" t="s">
        <v>4330</v>
      </c>
      <c r="H162" s="103" t="s">
        <v>4331</v>
      </c>
      <c r="I162" s="142" t="s">
        <v>4343</v>
      </c>
      <c r="J162" s="114" t="s">
        <v>5129</v>
      </c>
      <c r="K162" s="104" t="s">
        <v>5130</v>
      </c>
      <c r="L162" s="114" t="s">
        <v>5131</v>
      </c>
      <c r="M162" s="103" t="s">
        <v>4333</v>
      </c>
      <c r="N162" s="103" t="s">
        <v>4452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5129</v>
      </c>
      <c r="AC162" s="104" t="s">
        <v>5130</v>
      </c>
      <c r="AD162" s="114" t="s">
        <v>5131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5132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4454</v>
      </c>
      <c r="BA162" s="107" t="s">
        <v>4598</v>
      </c>
      <c r="BB162" s="136" t="s">
        <v>4338</v>
      </c>
      <c r="BC162" s="220">
        <f>IF(AY162-KD162=0,"",AY162-O162)</f>
        <v>56</v>
      </c>
      <c r="BD162" s="103" t="str">
        <f>IF(AND(AI162&lt;&gt;"SIM",AI162="UH"),"AA","INDENIZAÇÃO")</f>
        <v>INDENIZAÇÃO</v>
      </c>
      <c r="BE162" s="103" t="str">
        <f>IF(AND(AY162&lt;&gt;"AGUARDANDO",AY162&lt;&gt;"",N162="AUXÍLIO ALUGUEL ATÉ INDENIZAÇÃO"),"SIM","NÃO")</f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4454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5133</v>
      </c>
      <c r="G163" s="103" t="s">
        <v>4330</v>
      </c>
      <c r="H163" s="103" t="s">
        <v>4361</v>
      </c>
      <c r="I163" s="103" t="s">
        <v>4361</v>
      </c>
      <c r="J163" s="149" t="s">
        <v>5134</v>
      </c>
      <c r="K163" s="149" t="s">
        <v>5135</v>
      </c>
      <c r="L163" s="149" t="s">
        <v>5136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5134</v>
      </c>
      <c r="AC163" s="149" t="s">
        <v>5135</v>
      </c>
      <c r="AD163" s="149" t="s">
        <v>5136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>IF(AY163-KD163=0,"",AY163-O163)</f>
        <v/>
      </c>
      <c r="BD163" s="103" t="str">
        <f>IF(AND(AI163&lt;&gt;"SIM",AI163="UH"),"AA","INDENIZAÇÃO")</f>
        <v>AA</v>
      </c>
      <c r="BE163" s="103" t="str">
        <f>IF(AND(AY163&lt;&gt;"AGUARDANDO",AY163&lt;&gt;"",N163="AUXÍLIO ALUGUEL ATÉ INDENIZAÇÃO"),"SIM","NÃO")</f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4476</v>
      </c>
      <c r="D164" s="103">
        <v>1</v>
      </c>
      <c r="E164" s="103" t="s">
        <v>4432</v>
      </c>
      <c r="F164" s="104" t="s">
        <v>5137</v>
      </c>
      <c r="G164" s="103" t="s">
        <v>4330</v>
      </c>
      <c r="H164" s="103" t="s">
        <v>4331</v>
      </c>
      <c r="I164" s="142" t="s">
        <v>4343</v>
      </c>
      <c r="J164" s="149" t="s">
        <v>5138</v>
      </c>
      <c r="K164" s="149" t="s">
        <v>5139</v>
      </c>
      <c r="L164" s="149" t="s">
        <v>5140</v>
      </c>
      <c r="M164" s="103" t="s">
        <v>4333</v>
      </c>
      <c r="N164" s="103" t="s">
        <v>4452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5138</v>
      </c>
      <c r="AC164" s="149" t="s">
        <v>5139</v>
      </c>
      <c r="AD164" s="149" t="s">
        <v>5140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5141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4454</v>
      </c>
      <c r="BA164" s="107" t="s">
        <v>4598</v>
      </c>
      <c r="BB164" s="136" t="s">
        <v>4338</v>
      </c>
      <c r="BC164" s="220">
        <f>IF(AY164-KD164=0,"",AY164-O164)</f>
        <v>61</v>
      </c>
      <c r="BD164" s="103" t="str">
        <f>IF(AND(AI164&lt;&gt;"SIM",AI164="UH"),"AA","INDENIZAÇÃO")</f>
        <v>INDENIZAÇÃO</v>
      </c>
      <c r="BE164" s="103" t="str">
        <f>IF(AND(AY164&lt;&gt;"AGUARDANDO",AY164&lt;&gt;"",N164="AUXÍLIO ALUGUEL ATÉ INDENIZAÇÃO"),"SIM","NÃO")</f>
        <v>NÃO</v>
      </c>
      <c r="BF164" s="140" t="s">
        <v>4357</v>
      </c>
      <c r="BG164" s="140" t="s">
        <v>4357</v>
      </c>
      <c r="BH164" s="140" t="s">
        <v>4357</v>
      </c>
      <c r="BI164" s="154" t="s">
        <v>4926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5142</v>
      </c>
      <c r="G165" s="103" t="s">
        <v>4330</v>
      </c>
      <c r="H165" s="103" t="s">
        <v>4331</v>
      </c>
      <c r="I165" s="142" t="s">
        <v>4343</v>
      </c>
      <c r="J165" s="114" t="s">
        <v>5143</v>
      </c>
      <c r="K165" s="149" t="s">
        <v>5144</v>
      </c>
      <c r="L165" s="149" t="s">
        <v>5145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5146</v>
      </c>
      <c r="AC165" s="104" t="s">
        <v>5144</v>
      </c>
      <c r="AD165" s="139" t="s">
        <v>5145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5147</v>
      </c>
      <c r="G166" s="103" t="s">
        <v>4330</v>
      </c>
      <c r="H166" s="103" t="s">
        <v>4331</v>
      </c>
      <c r="I166" s="98" t="s">
        <v>4343</v>
      </c>
      <c r="J166" s="149" t="s">
        <v>5148</v>
      </c>
      <c r="K166" s="149" t="s">
        <v>5149</v>
      </c>
      <c r="L166" s="149" t="s">
        <v>5150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5148</v>
      </c>
      <c r="AC166" s="149" t="s">
        <v>5149</v>
      </c>
      <c r="AD166" s="149" t="s">
        <v>5150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>IF(AY166-KD166=0,"",AY166-O166)</f>
        <v/>
      </c>
      <c r="BD166" s="103" t="str">
        <f>IF(AND(AI166&lt;&gt;"SIM",AI166="UH"),"AA","INDENIZAÇÃO")</f>
        <v>AA</v>
      </c>
      <c r="BE166" s="103" t="str">
        <f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4476</v>
      </c>
      <c r="D167" s="103">
        <v>1</v>
      </c>
      <c r="E167" s="103" t="s">
        <v>4432</v>
      </c>
      <c r="F167" s="104" t="s">
        <v>5147</v>
      </c>
      <c r="G167" s="103" t="s">
        <v>4330</v>
      </c>
      <c r="H167" s="103" t="s">
        <v>4331</v>
      </c>
      <c r="I167" s="142" t="s">
        <v>4343</v>
      </c>
      <c r="J167" s="114" t="s">
        <v>5151</v>
      </c>
      <c r="K167" s="149" t="s">
        <v>4432</v>
      </c>
      <c r="L167" s="149" t="s">
        <v>5152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5151</v>
      </c>
      <c r="AC167" s="149" t="s">
        <v>4432</v>
      </c>
      <c r="AD167" s="149" t="s">
        <v>5152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>IF(AY167-KD167=0,"",AY167-O167)</f>
        <v/>
      </c>
      <c r="BD167" s="103" t="str">
        <f>IF(AND(AI167&lt;&gt;"SIM",AI167="UH"),"AA","INDENIZAÇÃO")</f>
        <v>AA</v>
      </c>
      <c r="BE167" s="103" t="str">
        <f>IF(AND(AY167&lt;&gt;"AGUARDANDO",AY167&lt;&gt;"",N167="AUXÍLIO ALUGUEL ATÉ INDENIZAÇÃO"),"SIM","NÃO")</f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5153</v>
      </c>
      <c r="G168" s="103" t="s">
        <v>4330</v>
      </c>
      <c r="H168" s="103" t="s">
        <v>4331</v>
      </c>
      <c r="I168" s="103" t="s">
        <v>4440</v>
      </c>
      <c r="J168" s="149" t="s">
        <v>5154</v>
      </c>
      <c r="K168" s="149" t="s">
        <v>5155</v>
      </c>
      <c r="L168" s="149" t="s">
        <v>5156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5157</v>
      </c>
      <c r="AC168" s="141" t="s">
        <v>5158</v>
      </c>
      <c r="AD168" s="141" t="s">
        <v>5159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>IF(AY168-KD168=0,"",AY168-O168)</f>
        <v/>
      </c>
      <c r="BD168" s="103" t="str">
        <f>IF(AND(AI168&lt;&gt;"SIM",AI168="UH"),"AA","INDENIZAÇÃO")</f>
        <v>INDENIZAÇÃO</v>
      </c>
      <c r="BE168" s="103" t="str">
        <f>IF(AND(AY168&lt;&gt;"AGUARDANDO",AY168&lt;&gt;"",N168="AUXÍLIO ALUGUEL ATÉ INDENIZAÇÃO"),"SIM","NÃO")</f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5743</v>
      </c>
      <c r="G169" s="103" t="s">
        <v>4330</v>
      </c>
      <c r="H169" s="103" t="s">
        <v>4331</v>
      </c>
      <c r="I169" s="142" t="s">
        <v>4343</v>
      </c>
      <c r="J169" s="149" t="s">
        <v>5846</v>
      </c>
      <c r="K169" s="149"/>
      <c r="L169" s="149" t="s">
        <v>5847</v>
      </c>
      <c r="M169" s="103" t="s">
        <v>4333</v>
      </c>
      <c r="N169" s="103" t="s">
        <v>4334</v>
      </c>
      <c r="O169" s="105">
        <v>46188</v>
      </c>
      <c r="P169" s="105"/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8"/>
      <c r="AA169" s="112"/>
      <c r="AB169" s="149" t="s">
        <v>5846</v>
      </c>
      <c r="AC169" s="149"/>
      <c r="AD169" s="149" t="s">
        <v>5847</v>
      </c>
      <c r="AE169" s="142" t="s">
        <v>4343</v>
      </c>
      <c r="AF169" s="103" t="s">
        <v>4333</v>
      </c>
      <c r="AG169" s="194">
        <v>58404.87</v>
      </c>
      <c r="AH169" s="194">
        <v>60000</v>
      </c>
      <c r="AI169" s="103" t="s">
        <v>4336</v>
      </c>
      <c r="AJ169" s="104" t="s">
        <v>4438</v>
      </c>
      <c r="AK169" s="103">
        <v>158037280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5848</v>
      </c>
      <c r="AQ169" s="165" t="s">
        <v>4338</v>
      </c>
      <c r="AR169" s="103" t="s">
        <v>4338</v>
      </c>
      <c r="AS169" s="103" t="s">
        <v>4831</v>
      </c>
      <c r="AT169" s="103" t="s">
        <v>4831</v>
      </c>
      <c r="AU169" s="105">
        <v>46233</v>
      </c>
      <c r="AV169" s="103" t="s">
        <v>4831</v>
      </c>
      <c r="AW169" s="106" t="s">
        <v>4454</v>
      </c>
      <c r="AX169" s="109"/>
      <c r="AY169" s="157"/>
      <c r="AZ169" s="157"/>
      <c r="BA169" s="107" t="s">
        <v>4330</v>
      </c>
      <c r="BB169" s="112"/>
      <c r="BC169" s="220"/>
      <c r="BD169" s="103"/>
      <c r="BE169" s="103"/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5166</v>
      </c>
      <c r="G170" s="103" t="s">
        <v>4330</v>
      </c>
      <c r="H170" s="103" t="s">
        <v>4331</v>
      </c>
      <c r="I170" s="142" t="s">
        <v>4440</v>
      </c>
      <c r="J170" s="149" t="s">
        <v>5167</v>
      </c>
      <c r="K170" s="149" t="s">
        <v>5168</v>
      </c>
      <c r="L170" s="149" t="s">
        <v>5169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5170</v>
      </c>
      <c r="AC170" s="104" t="s">
        <v>5171</v>
      </c>
      <c r="AD170" s="104" t="s">
        <v>5172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5173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4575</v>
      </c>
      <c r="BB170" s="289" t="s">
        <v>4338</v>
      </c>
      <c r="BC170" s="220">
        <f>IF(AY170-KD170=0,"",AY170-O170)</f>
        <v>84</v>
      </c>
      <c r="BD170" s="103" t="str">
        <f>IF(AND(AI170&lt;&gt;"SIM",AI170="UH"),"AA","INDENIZAÇÃO")</f>
        <v>INDENIZAÇÃO</v>
      </c>
      <c r="BE170" s="103" t="str">
        <f>IF(AND(AY170&lt;&gt;"AGUARDANDO",AY170&lt;&gt;"",N170="AUXÍLIO ALUGUEL ATÉ INDENIZAÇÃO"),"SIM","NÃO")</f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4454</v>
      </c>
    </row>
    <row r="171" spans="1:68" s="232" customFormat="1" ht="29.25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4503</v>
      </c>
      <c r="G171" s="103" t="s">
        <v>4341</v>
      </c>
      <c r="H171" s="103"/>
      <c r="I171" s="142" t="s">
        <v>4332</v>
      </c>
      <c r="J171" s="149" t="s">
        <v>4827</v>
      </c>
      <c r="K171" s="149" t="s">
        <v>4828</v>
      </c>
      <c r="L171" s="149" t="s">
        <v>4829</v>
      </c>
      <c r="M171" s="103" t="s">
        <v>4333</v>
      </c>
      <c r="N171" s="103" t="s">
        <v>4452</v>
      </c>
      <c r="O171" s="105">
        <v>46185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 t="s">
        <v>4356</v>
      </c>
      <c r="AA171" s="112"/>
      <c r="AB171" s="149" t="s">
        <v>4827</v>
      </c>
      <c r="AC171" s="149" t="s">
        <v>4828</v>
      </c>
      <c r="AD171" s="149" t="s">
        <v>4829</v>
      </c>
      <c r="AE171" s="103" t="s">
        <v>4332</v>
      </c>
      <c r="AF171" s="103" t="s">
        <v>4333</v>
      </c>
      <c r="AG171" s="194">
        <v>28264.6</v>
      </c>
      <c r="AH171" s="194">
        <v>58264.6</v>
      </c>
      <c r="AI171" s="103" t="s">
        <v>4336</v>
      </c>
      <c r="AJ171" s="104" t="s">
        <v>4438</v>
      </c>
      <c r="AK171" s="103">
        <v>158033452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4830</v>
      </c>
      <c r="AQ171" s="165" t="s">
        <v>4831</v>
      </c>
      <c r="AR171" s="103" t="s">
        <v>4831</v>
      </c>
      <c r="AS171" s="103" t="s">
        <v>4831</v>
      </c>
      <c r="AT171" s="103" t="s">
        <v>4831</v>
      </c>
      <c r="AU171" s="105">
        <v>46233</v>
      </c>
      <c r="AV171" s="103" t="s">
        <v>4831</v>
      </c>
      <c r="AW171" s="106" t="s">
        <v>4454</v>
      </c>
      <c r="AX171" s="106"/>
      <c r="AY171" s="157"/>
      <c r="AZ171" s="106"/>
      <c r="BA171" s="107" t="s">
        <v>4330</v>
      </c>
      <c r="BB171" s="112"/>
      <c r="BC171" s="220"/>
      <c r="BD171" s="103"/>
      <c r="BE171" s="103"/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4476</v>
      </c>
      <c r="D172" s="103">
        <v>1</v>
      </c>
      <c r="E172" s="103" t="s">
        <v>4432</v>
      </c>
      <c r="F172" s="104" t="s">
        <v>5178</v>
      </c>
      <c r="G172" s="103" t="s">
        <v>4330</v>
      </c>
      <c r="H172" s="103" t="s">
        <v>4331</v>
      </c>
      <c r="I172" s="142" t="s">
        <v>4343</v>
      </c>
      <c r="J172" s="149" t="s">
        <v>5179</v>
      </c>
      <c r="K172" s="149" t="s">
        <v>5180</v>
      </c>
      <c r="L172" s="149" t="s">
        <v>5181</v>
      </c>
      <c r="M172" s="103" t="s">
        <v>4333</v>
      </c>
      <c r="N172" s="103" t="s">
        <v>4452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5179</v>
      </c>
      <c r="AC172" s="149" t="s">
        <v>5180</v>
      </c>
      <c r="AD172" s="149" t="s">
        <v>5181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5182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4454</v>
      </c>
      <c r="BA172" s="107" t="s">
        <v>4598</v>
      </c>
      <c r="BB172" s="136" t="s">
        <v>4338</v>
      </c>
      <c r="BC172" s="220">
        <f>IF(AY172-KD172=0,"",AY172-O172)</f>
        <v>77</v>
      </c>
      <c r="BD172" s="103" t="str">
        <f>IF(AND(AI172&lt;&gt;"SIM",AI172="UH"),"AA","INDENIZAÇÃO")</f>
        <v>INDENIZAÇÃO</v>
      </c>
      <c r="BE172" s="103" t="str">
        <f>IF(AND(AY172&lt;&gt;"AGUARDANDO",AY172&lt;&gt;"",N172="AUXÍLIO ALUGUEL ATÉ INDENIZAÇÃO"),"SIM","NÃO")</f>
        <v>NÃO</v>
      </c>
      <c r="BF172" s="140" t="s">
        <v>4357</v>
      </c>
      <c r="BG172" s="140" t="s">
        <v>4357</v>
      </c>
      <c r="BH172" s="140" t="s">
        <v>4357</v>
      </c>
      <c r="BI172" s="154" t="s">
        <v>4926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4476</v>
      </c>
      <c r="D173" s="103">
        <v>1</v>
      </c>
      <c r="E173" s="103" t="s">
        <v>4432</v>
      </c>
      <c r="F173" s="104" t="s">
        <v>5183</v>
      </c>
      <c r="G173" s="103" t="s">
        <v>4330</v>
      </c>
      <c r="H173" s="103" t="s">
        <v>4331</v>
      </c>
      <c r="I173" s="142" t="s">
        <v>4343</v>
      </c>
      <c r="J173" s="114" t="s">
        <v>5184</v>
      </c>
      <c r="K173" s="149" t="s">
        <v>5185</v>
      </c>
      <c r="L173" s="149" t="s">
        <v>5186</v>
      </c>
      <c r="M173" s="103" t="s">
        <v>4333</v>
      </c>
      <c r="N173" s="103" t="s">
        <v>4452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5184</v>
      </c>
      <c r="AC173" s="149" t="s">
        <v>5185</v>
      </c>
      <c r="AD173" s="149" t="s">
        <v>5186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5187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4454</v>
      </c>
      <c r="BA173" s="107" t="s">
        <v>4598</v>
      </c>
      <c r="BB173" s="136" t="s">
        <v>4338</v>
      </c>
      <c r="BC173" s="220">
        <f>IF(AY173-KD173=0,"",AY173-O173)</f>
        <v>62</v>
      </c>
      <c r="BD173" s="103" t="str">
        <f>IF(AND(AI173&lt;&gt;"SIM",AI173="UH"),"AA","INDENIZAÇÃO")</f>
        <v>INDENIZAÇÃO</v>
      </c>
      <c r="BE173" s="103" t="str">
        <f>IF(AND(AY173&lt;&gt;"AGUARDANDO",AY173&lt;&gt;"",N173="AUXÍLIO ALUGUEL ATÉ INDENIZAÇÃO"),"SIM","NÃO")</f>
        <v>NÃO</v>
      </c>
      <c r="BF173" s="140" t="s">
        <v>4357</v>
      </c>
      <c r="BG173" s="140" t="s">
        <v>4357</v>
      </c>
      <c r="BH173" s="140" t="s">
        <v>4357</v>
      </c>
      <c r="BI173" s="154" t="s">
        <v>4926</v>
      </c>
      <c r="BJ173" s="154"/>
      <c r="BK173" s="154"/>
      <c r="BL173" s="154"/>
      <c r="BM173" s="237"/>
    </row>
    <row r="174" spans="1:68" s="232" customFormat="1" ht="29.25" customHeight="1" x14ac:dyDescent="0.25">
      <c r="A174" s="103">
        <v>165</v>
      </c>
      <c r="B174" s="103" t="s">
        <v>4431</v>
      </c>
      <c r="C174" s="103" t="s">
        <v>4476</v>
      </c>
      <c r="D174" s="103">
        <v>1</v>
      </c>
      <c r="E174" s="103" t="s">
        <v>4432</v>
      </c>
      <c r="F174" s="104" t="s">
        <v>4487</v>
      </c>
      <c r="G174" s="103" t="s">
        <v>4330</v>
      </c>
      <c r="H174" s="103" t="s">
        <v>4331</v>
      </c>
      <c r="I174" s="142" t="s">
        <v>4343</v>
      </c>
      <c r="J174" s="149" t="s">
        <v>5291</v>
      </c>
      <c r="K174" s="149" t="s">
        <v>4432</v>
      </c>
      <c r="L174" s="149" t="s">
        <v>5292</v>
      </c>
      <c r="M174" s="103" t="s">
        <v>4333</v>
      </c>
      <c r="N174" s="103" t="s">
        <v>4452</v>
      </c>
      <c r="O174" s="111">
        <v>46142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43"/>
      <c r="AB174" s="169" t="s">
        <v>5291</v>
      </c>
      <c r="AC174" s="104" t="s">
        <v>4432</v>
      </c>
      <c r="AD174" s="144" t="s">
        <v>5292</v>
      </c>
      <c r="AE174" s="103" t="s">
        <v>4343</v>
      </c>
      <c r="AF174" s="103" t="s">
        <v>4333</v>
      </c>
      <c r="AG174" s="194">
        <v>70863.649999999994</v>
      </c>
      <c r="AH174" s="194">
        <v>70863.649999999994</v>
      </c>
      <c r="AI174" s="103" t="s">
        <v>4336</v>
      </c>
      <c r="AJ174" s="104" t="s">
        <v>4438</v>
      </c>
      <c r="AK174" s="103">
        <v>149646375</v>
      </c>
      <c r="AL174" s="103" t="s">
        <v>4338</v>
      </c>
      <c r="AM174" s="103" t="s">
        <v>4338</v>
      </c>
      <c r="AN174" s="103" t="s">
        <v>4339</v>
      </c>
      <c r="AO174" s="143"/>
      <c r="AP174" s="171" t="s">
        <v>5293</v>
      </c>
      <c r="AQ174" s="224" t="s">
        <v>4338</v>
      </c>
      <c r="AR174" s="103" t="s">
        <v>4338</v>
      </c>
      <c r="AS174" s="103" t="s">
        <v>4831</v>
      </c>
      <c r="AT174" s="103" t="s">
        <v>4831</v>
      </c>
      <c r="AU174" s="105">
        <v>46233</v>
      </c>
      <c r="AV174" s="103" t="s">
        <v>4831</v>
      </c>
      <c r="AW174" s="106" t="s">
        <v>4454</v>
      </c>
      <c r="AX174" s="106"/>
      <c r="AY174" s="157"/>
      <c r="AZ174" s="106"/>
      <c r="BA174" s="107" t="s">
        <v>4330</v>
      </c>
      <c r="BB174" s="136"/>
      <c r="BC174" s="220" t="str">
        <f>IF(AY174-KD174=0,"",AY174-O174)</f>
        <v/>
      </c>
      <c r="BD174" s="103" t="str">
        <f>IF(AND(AI174&lt;&gt;"SIM",AI174="UH"),"AA","INDENIZAÇÃO")</f>
        <v>INDENIZAÇÃO</v>
      </c>
      <c r="BE174" s="103" t="str">
        <f>IF(AND(AY174&lt;&gt;"AGUARDANDO",AY174&lt;&gt;"",N174="AUXÍLIO ALUGUEL ATÉ INDENIZAÇÃO"),"SIM","NÃO")</f>
        <v>NÃO</v>
      </c>
      <c r="BF174" s="140"/>
      <c r="BG174" s="140"/>
      <c r="BH174" s="140"/>
      <c r="BI174" s="140"/>
      <c r="BJ174" s="140"/>
      <c r="BK174" s="140"/>
      <c r="BL174" s="140"/>
      <c r="BM174" s="238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5193</v>
      </c>
      <c r="G175" s="112" t="s">
        <v>4330</v>
      </c>
      <c r="H175" s="112" t="s">
        <v>4331</v>
      </c>
      <c r="I175" s="112" t="s">
        <v>4343</v>
      </c>
      <c r="J175" s="150" t="s">
        <v>5194</v>
      </c>
      <c r="K175" s="150" t="s">
        <v>5195</v>
      </c>
      <c r="L175" s="150" t="s">
        <v>5196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5194</v>
      </c>
      <c r="AC175" s="150" t="s">
        <v>5195</v>
      </c>
      <c r="AD175" s="150" t="s">
        <v>5196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2" t="s">
        <v>5197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4454</v>
      </c>
      <c r="AZ175" s="157"/>
      <c r="BA175" s="109" t="s">
        <v>4330</v>
      </c>
      <c r="BB175" s="112"/>
      <c r="BC175" s="220" t="e">
        <f>IF(AY175-KD175=0,"",AY175-O175)</f>
        <v>#VALUE!</v>
      </c>
      <c r="BD175" s="103" t="str">
        <f>IF(AND(AI175&lt;&gt;"SIM",AI175="UH"),"AA","INDENIZAÇÃO")</f>
        <v>INDENIZAÇÃO</v>
      </c>
      <c r="BE175" s="103" t="str">
        <f>IF(AND(AY175&lt;&gt;"AGUARDANDO",AY175&lt;&gt;"",N175="AUXÍLIO ALUGUEL ATÉ INDENIZAÇÃO"),"SIM","NÃO")</f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4476</v>
      </c>
      <c r="D176" s="103">
        <v>1</v>
      </c>
      <c r="E176" s="103" t="s">
        <v>4432</v>
      </c>
      <c r="F176" s="104" t="s">
        <v>5198</v>
      </c>
      <c r="G176" s="103" t="s">
        <v>4330</v>
      </c>
      <c r="H176" s="103" t="s">
        <v>4331</v>
      </c>
      <c r="I176" s="142" t="s">
        <v>4343</v>
      </c>
      <c r="J176" s="149" t="s">
        <v>5199</v>
      </c>
      <c r="K176" s="149" t="s">
        <v>5200</v>
      </c>
      <c r="L176" s="149" t="s">
        <v>5201</v>
      </c>
      <c r="M176" s="103" t="s">
        <v>4333</v>
      </c>
      <c r="N176" s="103" t="s">
        <v>4452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5199</v>
      </c>
      <c r="AC176" s="104" t="s">
        <v>5200</v>
      </c>
      <c r="AD176" s="104" t="s">
        <v>5201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5202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4454</v>
      </c>
      <c r="BA176" s="107" t="s">
        <v>4598</v>
      </c>
      <c r="BB176" s="136" t="s">
        <v>4338</v>
      </c>
      <c r="BC176" s="220">
        <f>IF(AY176-KD176=0,"",AY176-O176)</f>
        <v>63</v>
      </c>
      <c r="BD176" s="103" t="str">
        <f>IF(AND(AI176&lt;&gt;"SIM",AI176="UH"),"AA","INDENIZAÇÃO")</f>
        <v>INDENIZAÇÃO</v>
      </c>
      <c r="BE176" s="103" t="str">
        <f>IF(AND(AY176&lt;&gt;"AGUARDANDO",AY176&lt;&gt;"",N176="AUXÍLIO ALUGUEL ATÉ INDENIZAÇÃO"),"SIM","NÃO")</f>
        <v>NÃO</v>
      </c>
      <c r="BF176" s="140" t="s">
        <v>4357</v>
      </c>
      <c r="BG176" s="140" t="s">
        <v>4357</v>
      </c>
      <c r="BH176" s="140" t="s">
        <v>4357</v>
      </c>
      <c r="BI176" s="154" t="s">
        <v>4926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4476</v>
      </c>
      <c r="D177" s="103">
        <v>1</v>
      </c>
      <c r="E177" s="103" t="s">
        <v>4432</v>
      </c>
      <c r="F177" s="104" t="s">
        <v>5203</v>
      </c>
      <c r="G177" s="103" t="s">
        <v>4330</v>
      </c>
      <c r="H177" s="103" t="s">
        <v>4331</v>
      </c>
      <c r="I177" s="142" t="s">
        <v>4343</v>
      </c>
      <c r="J177" s="149" t="s">
        <v>5204</v>
      </c>
      <c r="K177" s="149" t="s">
        <v>5205</v>
      </c>
      <c r="L177" s="149" t="s">
        <v>5206</v>
      </c>
      <c r="M177" s="103" t="s">
        <v>4333</v>
      </c>
      <c r="N177" s="103" t="s">
        <v>4452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5204</v>
      </c>
      <c r="AC177" s="149" t="s">
        <v>4432</v>
      </c>
      <c r="AD177" s="149" t="s">
        <v>5206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5207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4454</v>
      </c>
      <c r="BA177" s="107" t="s">
        <v>4598</v>
      </c>
      <c r="BB177" s="136" t="s">
        <v>4338</v>
      </c>
      <c r="BC177" s="220">
        <f>IF(AY177-KD177=0,"",AY177-O177)</f>
        <v>64</v>
      </c>
      <c r="BD177" s="103" t="str">
        <f>IF(AND(AI177&lt;&gt;"SIM",AI177="UH"),"AA","INDENIZAÇÃO")</f>
        <v>INDENIZAÇÃO</v>
      </c>
      <c r="BE177" s="103" t="str">
        <f>IF(AND(AY177&lt;&gt;"AGUARDANDO",AY177&lt;&gt;"",N177="AUXÍLIO ALUGUEL ATÉ INDENIZAÇÃO"),"SIM","NÃO")</f>
        <v>NÃO</v>
      </c>
      <c r="BF177" s="140" t="s">
        <v>4357</v>
      </c>
      <c r="BG177" s="140" t="s">
        <v>4357</v>
      </c>
      <c r="BH177" s="140" t="s">
        <v>4357</v>
      </c>
      <c r="BI177" s="154" t="s">
        <v>4926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4476</v>
      </c>
      <c r="D178" s="103">
        <v>1</v>
      </c>
      <c r="E178" s="103" t="s">
        <v>4432</v>
      </c>
      <c r="F178" s="104" t="s">
        <v>5208</v>
      </c>
      <c r="G178" s="103" t="s">
        <v>4330</v>
      </c>
      <c r="H178" s="103" t="s">
        <v>4331</v>
      </c>
      <c r="I178" s="142" t="s">
        <v>4343</v>
      </c>
      <c r="J178" s="149" t="s">
        <v>5209</v>
      </c>
      <c r="K178" s="149" t="s">
        <v>5210</v>
      </c>
      <c r="L178" s="149" t="s">
        <v>5211</v>
      </c>
      <c r="M178" s="103" t="s">
        <v>4333</v>
      </c>
      <c r="N178" s="103" t="s">
        <v>4452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5209</v>
      </c>
      <c r="AC178" s="149" t="s">
        <v>5210</v>
      </c>
      <c r="AD178" s="149" t="s">
        <v>5211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5212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4454</v>
      </c>
      <c r="BA178" s="107" t="s">
        <v>4598</v>
      </c>
      <c r="BB178" s="136" t="s">
        <v>4338</v>
      </c>
      <c r="BC178" s="220">
        <f>IF(AY178-KD178=0,"",AY178-O178)</f>
        <v>85</v>
      </c>
      <c r="BD178" s="103" t="str">
        <f>IF(AND(AI178&lt;&gt;"SIM",AI178="UH"),"AA","INDENIZAÇÃO")</f>
        <v>INDENIZAÇÃO</v>
      </c>
      <c r="BE178" s="103" t="str">
        <f>IF(AND(AY178&lt;&gt;"AGUARDANDO",AY178&lt;&gt;"",N178="AUXÍLIO ALUGUEL ATÉ INDENIZAÇÃO"),"SIM","NÃO")</f>
        <v>NÃO</v>
      </c>
      <c r="BF178" s="140" t="s">
        <v>4357</v>
      </c>
      <c r="BG178" s="140" t="s">
        <v>4357</v>
      </c>
      <c r="BH178" s="140" t="s">
        <v>4357</v>
      </c>
      <c r="BI178" s="154" t="s">
        <v>4926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4476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5213</v>
      </c>
      <c r="K179" s="139" t="s">
        <v>5214</v>
      </c>
      <c r="L179" s="139" t="s">
        <v>5215</v>
      </c>
      <c r="M179" s="103" t="s">
        <v>4333</v>
      </c>
      <c r="N179" s="103" t="s">
        <v>4452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5213</v>
      </c>
      <c r="AC179" s="139" t="s">
        <v>5214</v>
      </c>
      <c r="AD179" s="139" t="s">
        <v>5215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5216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4454</v>
      </c>
      <c r="BA179" s="107" t="s">
        <v>4598</v>
      </c>
      <c r="BB179" s="136" t="s">
        <v>4338</v>
      </c>
      <c r="BC179" s="220">
        <f>IF(AY179-KD179=0,"",AY179-O179)</f>
        <v>72</v>
      </c>
      <c r="BD179" s="103" t="str">
        <f>IF(AND(AI179&lt;&gt;"SIM",AI179="UH"),"AA","INDENIZAÇÃO")</f>
        <v>INDENIZAÇÃO</v>
      </c>
      <c r="BE179" s="103" t="str">
        <f>IF(AND(AY179&lt;&gt;"AGUARDANDO",AY179&lt;&gt;"",N179="AUXÍLIO ALUGUEL ATÉ INDENIZAÇÃO"),"SIM","NÃO")</f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4454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5217</v>
      </c>
      <c r="G180" s="103" t="s">
        <v>4330</v>
      </c>
      <c r="H180" s="103" t="s">
        <v>4331</v>
      </c>
      <c r="I180" s="103" t="s">
        <v>4343</v>
      </c>
      <c r="J180" s="149" t="s">
        <v>5218</v>
      </c>
      <c r="K180" s="149" t="s">
        <v>5219</v>
      </c>
      <c r="L180" s="149" t="s">
        <v>5220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5218</v>
      </c>
      <c r="AC180" s="149" t="s">
        <v>5219</v>
      </c>
      <c r="AD180" s="149" t="s">
        <v>5220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>IF(AY180-KD180=0,"",AY180-O180)</f>
        <v/>
      </c>
      <c r="BD180" s="103" t="str">
        <f>IF(AND(AI180&lt;&gt;"SIM",AI180="UH"),"AA","INDENIZAÇÃO")</f>
        <v>AA</v>
      </c>
      <c r="BE180" s="103" t="str">
        <f>IF(AND(AY180&lt;&gt;"AGUARDANDO",AY180&lt;&gt;"",N180="AUXÍLIO ALUGUEL ATÉ INDENIZAÇÃO"),"SIM","NÃO")</f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5221</v>
      </c>
      <c r="G181" s="103" t="s">
        <v>4330</v>
      </c>
      <c r="H181" s="103" t="s">
        <v>4331</v>
      </c>
      <c r="I181" s="142" t="s">
        <v>4343</v>
      </c>
      <c r="J181" s="149" t="s">
        <v>5222</v>
      </c>
      <c r="K181" s="149" t="s">
        <v>5223</v>
      </c>
      <c r="L181" s="149" t="s">
        <v>5224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5222</v>
      </c>
      <c r="AC181" s="149" t="s">
        <v>5223</v>
      </c>
      <c r="AD181" s="149" t="s">
        <v>5224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>IF(AY181-KD181=0,"",AY181-O181)</f>
        <v/>
      </c>
      <c r="BD181" s="103" t="str">
        <f>IF(AND(AI181&lt;&gt;"SIM",AI181="UH"),"AA","INDENIZAÇÃO")</f>
        <v>AA</v>
      </c>
      <c r="BE181" s="103" t="str">
        <f>IF(AND(AY181&lt;&gt;"AGUARDANDO",AY181&lt;&gt;"",N181="AUXÍLIO ALUGUEL ATÉ INDENIZAÇÃO"),"SIM","NÃO")</f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5225</v>
      </c>
      <c r="G182" s="103" t="s">
        <v>4330</v>
      </c>
      <c r="H182" s="103" t="s">
        <v>4331</v>
      </c>
      <c r="I182" s="142" t="s">
        <v>4343</v>
      </c>
      <c r="J182" s="114" t="s">
        <v>5226</v>
      </c>
      <c r="K182" s="104" t="s">
        <v>5227</v>
      </c>
      <c r="L182" s="104" t="s">
        <v>5228</v>
      </c>
      <c r="M182" s="103" t="s">
        <v>4333</v>
      </c>
      <c r="N182" s="103" t="s">
        <v>4452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5226</v>
      </c>
      <c r="AC182" s="104" t="s">
        <v>5227</v>
      </c>
      <c r="AD182" s="104" t="s">
        <v>5228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5229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>IF(AY182-KD182=0,"",AY182-O182)</f>
        <v>28</v>
      </c>
      <c r="BD182" s="103" t="str">
        <f>IF(AND(AI182&lt;&gt;"SIM",AI182="UH"),"AA","INDENIZAÇÃO")</f>
        <v>INDENIZAÇÃO</v>
      </c>
      <c r="BE182" s="103" t="str">
        <f>IF(AND(AY182&lt;&gt;"AGUARDANDO",AY182&lt;&gt;"",N182="AUXÍLIO ALUGUEL ATÉ INDENIZAÇÃO"),"SIM","NÃO")</f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4454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5230</v>
      </c>
      <c r="G183" s="103" t="s">
        <v>4330</v>
      </c>
      <c r="H183" s="103" t="s">
        <v>4331</v>
      </c>
      <c r="I183" s="246" t="s">
        <v>4343</v>
      </c>
      <c r="J183" s="149" t="s">
        <v>5231</v>
      </c>
      <c r="K183" s="104" t="s">
        <v>5232</v>
      </c>
      <c r="L183" s="104" t="s">
        <v>5233</v>
      </c>
      <c r="M183" s="103" t="s">
        <v>4333</v>
      </c>
      <c r="N183" s="103" t="s">
        <v>4452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5231</v>
      </c>
      <c r="AC183" s="104" t="s">
        <v>5232</v>
      </c>
      <c r="AD183" s="104" t="s">
        <v>5233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5234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>IF(AY183-KD183=0,"",AY183-O183)</f>
        <v>21</v>
      </c>
      <c r="BD183" s="103" t="str">
        <f>IF(AND(AI183&lt;&gt;"SIM",AI183="UH"),"AA","INDENIZAÇÃO")</f>
        <v>INDENIZAÇÃO</v>
      </c>
      <c r="BE183" s="103" t="str">
        <f>IF(AND(AY183&lt;&gt;"AGUARDANDO",AY183&lt;&gt;"",N183="AUXÍLIO ALUGUEL ATÉ INDENIZAÇÃO"),"SIM","NÃO")</f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4454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5235</v>
      </c>
      <c r="G184" s="103" t="s">
        <v>4330</v>
      </c>
      <c r="H184" s="103" t="s">
        <v>4331</v>
      </c>
      <c r="I184" s="142" t="s">
        <v>4343</v>
      </c>
      <c r="J184" s="149" t="s">
        <v>5236</v>
      </c>
      <c r="K184" s="104" t="s">
        <v>5237</v>
      </c>
      <c r="L184" s="104" t="s">
        <v>5238</v>
      </c>
      <c r="M184" s="103" t="s">
        <v>4333</v>
      </c>
      <c r="N184" s="103" t="s">
        <v>4452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5236</v>
      </c>
      <c r="AC184" s="104" t="s">
        <v>5237</v>
      </c>
      <c r="AD184" s="104" t="s">
        <v>5238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5239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>IF(AY184-KD184=0,"",AY184-O184)</f>
        <v>21</v>
      </c>
      <c r="BD184" s="103" t="str">
        <f>IF(AND(AI184&lt;&gt;"SIM",AI184="UH"),"AA","INDENIZAÇÃO")</f>
        <v>INDENIZAÇÃO</v>
      </c>
      <c r="BE184" s="103" t="str">
        <f>IF(AND(AY184&lt;&gt;"AGUARDANDO",AY184&lt;&gt;"",N184="AUXÍLIO ALUGUEL ATÉ INDENIZAÇÃO"),"SIM","NÃO")</f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4454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4476</v>
      </c>
      <c r="D185" s="103">
        <v>1</v>
      </c>
      <c r="E185" s="103" t="s">
        <v>4432</v>
      </c>
      <c r="F185" s="104" t="s">
        <v>5240</v>
      </c>
      <c r="G185" s="103" t="s">
        <v>4330</v>
      </c>
      <c r="H185" s="103" t="s">
        <v>4331</v>
      </c>
      <c r="I185" s="142" t="s">
        <v>4343</v>
      </c>
      <c r="J185" s="114" t="s">
        <v>5241</v>
      </c>
      <c r="K185" s="149" t="s">
        <v>5242</v>
      </c>
      <c r="L185" s="149" t="s">
        <v>5243</v>
      </c>
      <c r="M185" s="103" t="s">
        <v>4333</v>
      </c>
      <c r="N185" s="103" t="s">
        <v>4452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5241</v>
      </c>
      <c r="AC185" s="104" t="s">
        <v>5242</v>
      </c>
      <c r="AD185" s="139" t="s">
        <v>5243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5244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4454</v>
      </c>
      <c r="BA185" s="107" t="s">
        <v>4598</v>
      </c>
      <c r="BB185" s="136" t="s">
        <v>4338</v>
      </c>
      <c r="BC185" s="220">
        <f>IF(AY185-KD185=0,"",AY185-O185)</f>
        <v>28</v>
      </c>
      <c r="BD185" s="103" t="str">
        <f>IF(AND(AI185&lt;&gt;"SIM",AI185="UH"),"AA","INDENIZAÇÃO")</f>
        <v>INDENIZAÇÃO</v>
      </c>
      <c r="BE185" s="103" t="str">
        <f>IF(AND(AY185&lt;&gt;"AGUARDANDO",AY185&lt;&gt;"",N185="AUXÍLIO ALUGUEL ATÉ INDENIZAÇÃO"),"SIM","NÃO")</f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4454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5245</v>
      </c>
      <c r="G186" s="103" t="s">
        <v>4330</v>
      </c>
      <c r="H186" s="103" t="s">
        <v>4331</v>
      </c>
      <c r="I186" s="103" t="s">
        <v>4343</v>
      </c>
      <c r="J186" s="149" t="s">
        <v>5246</v>
      </c>
      <c r="K186" s="149" t="s">
        <v>5247</v>
      </c>
      <c r="L186" s="149" t="s">
        <v>5248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5246</v>
      </c>
      <c r="AC186" s="149" t="s">
        <v>5247</v>
      </c>
      <c r="AD186" s="149" t="s">
        <v>5248</v>
      </c>
      <c r="AE186" s="103" t="s">
        <v>5249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5250</v>
      </c>
      <c r="G187" s="103" t="s">
        <v>4330</v>
      </c>
      <c r="H187" s="103" t="s">
        <v>4331</v>
      </c>
      <c r="I187" s="103" t="s">
        <v>4343</v>
      </c>
      <c r="J187" s="149" t="s">
        <v>5251</v>
      </c>
      <c r="K187" s="149" t="s">
        <v>4457</v>
      </c>
      <c r="L187" s="149" t="s">
        <v>5252</v>
      </c>
      <c r="M187" s="103" t="s">
        <v>4333</v>
      </c>
      <c r="N187" s="103" t="s">
        <v>4452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5251</v>
      </c>
      <c r="AC187" s="149" t="s">
        <v>4457</v>
      </c>
      <c r="AD187" s="149" t="s">
        <v>5252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5253</v>
      </c>
      <c r="AQ187" s="165" t="s">
        <v>4831</v>
      </c>
      <c r="AR187" s="103" t="s">
        <v>4831</v>
      </c>
      <c r="AS187" s="103" t="s">
        <v>4831</v>
      </c>
      <c r="AT187" s="103" t="s">
        <v>4831</v>
      </c>
      <c r="AU187" s="105">
        <v>46233</v>
      </c>
      <c r="AV187" s="103" t="s">
        <v>4831</v>
      </c>
      <c r="AW187" s="106" t="s">
        <v>4454</v>
      </c>
      <c r="AX187" s="109"/>
      <c r="AY187" s="157"/>
      <c r="AZ187" s="157"/>
      <c r="BA187" s="107" t="s">
        <v>4330</v>
      </c>
      <c r="BB187" s="112"/>
      <c r="BC187" s="220" t="str">
        <f>IF(AY187-KD187=0,"",AY187-O187)</f>
        <v/>
      </c>
      <c r="BD187" s="103" t="str">
        <f>IF(AND(AI187&lt;&gt;"SIM",AI187="UH"),"AA","INDENIZAÇÃO")</f>
        <v>INDENIZAÇÃO</v>
      </c>
      <c r="BE187" s="103" t="str">
        <f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5254</v>
      </c>
      <c r="G188" s="103" t="s">
        <v>4330</v>
      </c>
      <c r="H188" s="103" t="s">
        <v>4331</v>
      </c>
      <c r="I188" s="103" t="s">
        <v>4343</v>
      </c>
      <c r="J188" s="149" t="s">
        <v>5255</v>
      </c>
      <c r="K188" s="149" t="s">
        <v>5256</v>
      </c>
      <c r="L188" s="149" t="s">
        <v>5257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5255</v>
      </c>
      <c r="AC188" s="149" t="s">
        <v>5256</v>
      </c>
      <c r="AD188" s="149" t="s">
        <v>5257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>IF(AY188-KD188=0,"",AY188-O188)</f>
        <v/>
      </c>
      <c r="BD188" s="103" t="str">
        <f>IF(AND(AI188&lt;&gt;"SIM",AI188="UH"),"AA","INDENIZAÇÃO")</f>
        <v>AA</v>
      </c>
      <c r="BE188" s="103" t="str">
        <f>IF(AND(AY188&lt;&gt;"AGUARDANDO",AY188&lt;&gt;"",N188="AUXÍLIO ALUGUEL ATÉ INDENIZAÇÃO"),"SIM","NÃO")</f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5258</v>
      </c>
      <c r="G189" s="103" t="s">
        <v>4330</v>
      </c>
      <c r="H189" s="103" t="s">
        <v>4331</v>
      </c>
      <c r="I189" s="103" t="s">
        <v>4343</v>
      </c>
      <c r="J189" s="149" t="s">
        <v>5259</v>
      </c>
      <c r="K189" s="149" t="s">
        <v>5260</v>
      </c>
      <c r="L189" s="149" t="s">
        <v>5261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5259</v>
      </c>
      <c r="AC189" s="149" t="s">
        <v>5260</v>
      </c>
      <c r="AD189" s="149" t="s">
        <v>5261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>IF(AY189-KD189=0,"",AY189-O189)</f>
        <v/>
      </c>
      <c r="BD189" s="103" t="str">
        <f>IF(AND(AI189&lt;&gt;"SIM",AI189="UH"),"AA","INDENIZAÇÃO")</f>
        <v>AA</v>
      </c>
      <c r="BE189" s="103" t="str">
        <f>IF(AND(AY189&lt;&gt;"AGUARDANDO",AY189&lt;&gt;"",N189="AUXÍLIO ALUGUEL ATÉ INDENIZAÇÃO"),"SIM","NÃO")</f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5262</v>
      </c>
      <c r="G190" s="103" t="s">
        <v>4330</v>
      </c>
      <c r="H190" s="103" t="s">
        <v>4331</v>
      </c>
      <c r="I190" s="103" t="s">
        <v>4343</v>
      </c>
      <c r="J190" s="149" t="s">
        <v>5263</v>
      </c>
      <c r="K190" s="149" t="s">
        <v>5264</v>
      </c>
      <c r="L190" s="149" t="s">
        <v>5265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5263</v>
      </c>
      <c r="AC190" s="149" t="s">
        <v>5264</v>
      </c>
      <c r="AD190" s="149" t="s">
        <v>5265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>IF(AY190-KD190=0,"",AY190-O190)</f>
        <v/>
      </c>
      <c r="BD190" s="103" t="str">
        <f>IF(AND(AI190&lt;&gt;"SIM",AI190="UH"),"AA","INDENIZAÇÃO")</f>
        <v>AA</v>
      </c>
      <c r="BE190" s="103" t="str">
        <f>IF(AND(AY190&lt;&gt;"AGUARDANDO",AY190&lt;&gt;"",N190="AUXÍLIO ALUGUEL ATÉ INDENIZAÇÃO"),"SIM","NÃO")</f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4476</v>
      </c>
      <c r="D191" s="103">
        <v>1</v>
      </c>
      <c r="E191" s="103" t="s">
        <v>4432</v>
      </c>
      <c r="F191" s="104" t="s">
        <v>5266</v>
      </c>
      <c r="G191" s="103" t="s">
        <v>4330</v>
      </c>
      <c r="H191" s="103" t="s">
        <v>4331</v>
      </c>
      <c r="I191" s="142" t="s">
        <v>4343</v>
      </c>
      <c r="J191" s="149" t="s">
        <v>5267</v>
      </c>
      <c r="K191" s="149" t="s">
        <v>4432</v>
      </c>
      <c r="L191" s="149" t="s">
        <v>5268</v>
      </c>
      <c r="M191" s="103" t="s">
        <v>4333</v>
      </c>
      <c r="N191" s="103" t="s">
        <v>4452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5267</v>
      </c>
      <c r="AC191" s="104" t="s">
        <v>4432</v>
      </c>
      <c r="AD191" s="104" t="s">
        <v>5268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5269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4454</v>
      </c>
      <c r="BA191" s="107" t="s">
        <v>4598</v>
      </c>
      <c r="BB191" s="136" t="s">
        <v>4338</v>
      </c>
      <c r="BC191" s="220">
        <f>IF(AY191-KD191=0,"",AY191-O191)</f>
        <v>28</v>
      </c>
      <c r="BD191" s="103" t="str">
        <f>IF(AND(AI191&lt;&gt;"SIM",AI191="UH"),"AA","INDENIZAÇÃO")</f>
        <v>INDENIZAÇÃO</v>
      </c>
      <c r="BE191" s="103" t="str">
        <f>IF(AND(AY191&lt;&gt;"AGUARDANDO",AY191&lt;&gt;"",N191="AUXÍLIO ALUGUEL ATÉ INDENIZAÇÃO"),"SIM","NÃO")</f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4454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5270</v>
      </c>
      <c r="G192" s="103" t="s">
        <v>4330</v>
      </c>
      <c r="H192" s="103" t="s">
        <v>4331</v>
      </c>
      <c r="I192" s="142" t="s">
        <v>4343</v>
      </c>
      <c r="J192" s="114" t="s">
        <v>5271</v>
      </c>
      <c r="K192" s="149" t="s">
        <v>5272</v>
      </c>
      <c r="L192" s="149" t="s">
        <v>5273</v>
      </c>
      <c r="M192" s="103" t="s">
        <v>4333</v>
      </c>
      <c r="N192" s="103" t="s">
        <v>4452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5271</v>
      </c>
      <c r="AC192" s="104" t="s">
        <v>5272</v>
      </c>
      <c r="AD192" s="139" t="s">
        <v>5273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5274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>IF(AY192-KD192=0,"",AY192-O192)</f>
        <v>70</v>
      </c>
      <c r="BD192" s="103" t="str">
        <f>IF(AND(AI192&lt;&gt;"SIM",AI192="UH"),"AA","INDENIZAÇÃO")</f>
        <v>INDENIZAÇÃO</v>
      </c>
      <c r="BE192" s="103" t="str">
        <f>IF(AND(AY192&lt;&gt;"AGUARDANDO",AY192&lt;&gt;"",N192="AUXÍLIO ALUGUEL ATÉ INDENIZAÇÃO"),"SIM","NÃO")</f>
        <v>NÃO</v>
      </c>
      <c r="BF192" s="140" t="s">
        <v>4357</v>
      </c>
      <c r="BG192" s="140" t="s">
        <v>4357</v>
      </c>
      <c r="BH192" s="140" t="s">
        <v>4357</v>
      </c>
      <c r="BI192" s="154" t="s">
        <v>4926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5275</v>
      </c>
      <c r="G193" s="103" t="s">
        <v>4330</v>
      </c>
      <c r="H193" s="103" t="s">
        <v>4331</v>
      </c>
      <c r="I193" s="142" t="s">
        <v>4343</v>
      </c>
      <c r="J193" s="114" t="s">
        <v>5276</v>
      </c>
      <c r="K193" s="149" t="s">
        <v>5277</v>
      </c>
      <c r="L193" s="149" t="s">
        <v>5278</v>
      </c>
      <c r="M193" s="103" t="s">
        <v>4333</v>
      </c>
      <c r="N193" s="103" t="s">
        <v>4452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5276</v>
      </c>
      <c r="AC193" s="114" t="s">
        <v>5277</v>
      </c>
      <c r="AD193" s="114" t="s">
        <v>5278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5279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>IF(AY193-KD193=0,"",AY193-O193)</f>
        <v>14</v>
      </c>
      <c r="BD193" s="103" t="str">
        <f>IF(AND(AI193&lt;&gt;"SIM",AI193="UH"),"AA","INDENIZAÇÃO")</f>
        <v>INDENIZAÇÃO</v>
      </c>
      <c r="BE193" s="103" t="str">
        <f>IF(AND(AY193&lt;&gt;"AGUARDANDO",AY193&lt;&gt;"",N193="AUXÍLIO ALUGUEL ATÉ INDENIZAÇÃO"),"SIM","NÃO")</f>
        <v>NÃO</v>
      </c>
      <c r="BF193" s="140" t="s">
        <v>4357</v>
      </c>
      <c r="BG193" s="140" t="s">
        <v>4357</v>
      </c>
      <c r="BH193" s="140" t="s">
        <v>4357</v>
      </c>
      <c r="BI193" s="154" t="s">
        <v>4926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5280</v>
      </c>
      <c r="G194" s="103" t="s">
        <v>4330</v>
      </c>
      <c r="H194" s="103" t="s">
        <v>4331</v>
      </c>
      <c r="I194" s="142" t="s">
        <v>4343</v>
      </c>
      <c r="J194" s="149" t="s">
        <v>5281</v>
      </c>
      <c r="K194" s="149" t="s">
        <v>5282</v>
      </c>
      <c r="L194" s="149" t="s">
        <v>5283</v>
      </c>
      <c r="M194" s="103" t="s">
        <v>4333</v>
      </c>
      <c r="N194" s="103" t="s">
        <v>4452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5281</v>
      </c>
      <c r="AC194" s="149" t="s">
        <v>5282</v>
      </c>
      <c r="AD194" s="149" t="s">
        <v>5283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5284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>IF(AY194-KD194=0,"",AY194-O194)</f>
        <v>25</v>
      </c>
      <c r="BD194" s="103" t="str">
        <f>IF(AND(AI194&lt;&gt;"SIM",AI194="UH"),"AA","INDENIZAÇÃO")</f>
        <v>INDENIZAÇÃO</v>
      </c>
      <c r="BE194" s="103" t="str">
        <f>IF(AND(AY194&lt;&gt;"AGUARDANDO",AY194&lt;&gt;"",N194="AUXÍLIO ALUGUEL ATÉ INDENIZAÇÃO"),"SIM","NÃO")</f>
        <v>NÃO</v>
      </c>
      <c r="BF194" s="140" t="s">
        <v>4357</v>
      </c>
      <c r="BG194" s="140" t="s">
        <v>4357</v>
      </c>
      <c r="BH194" s="140" t="s">
        <v>4357</v>
      </c>
      <c r="BI194" s="154" t="s">
        <v>4926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5285</v>
      </c>
      <c r="G195" s="103" t="s">
        <v>4330</v>
      </c>
      <c r="H195" s="103" t="s">
        <v>4331</v>
      </c>
      <c r="I195" s="142" t="s">
        <v>4343</v>
      </c>
      <c r="J195" s="149" t="s">
        <v>5286</v>
      </c>
      <c r="K195" s="149" t="s">
        <v>5287</v>
      </c>
      <c r="L195" s="149" t="s">
        <v>5288</v>
      </c>
      <c r="M195" s="103" t="s">
        <v>4333</v>
      </c>
      <c r="N195" s="103" t="s">
        <v>4452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5289</v>
      </c>
      <c r="AB195" s="149" t="s">
        <v>5286</v>
      </c>
      <c r="AC195" s="149" t="s">
        <v>5287</v>
      </c>
      <c r="AD195" s="149" t="s">
        <v>5288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5290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>IF(AY195-KD195=0,"",AY195-O195)</f>
        <v>58</v>
      </c>
      <c r="BD195" s="103" t="str">
        <f>IF(AND(AI195&lt;&gt;"SIM",AI195="UH"),"AA","INDENIZAÇÃO")</f>
        <v>INDENIZAÇÃO</v>
      </c>
      <c r="BE195" s="103" t="str">
        <f>IF(AND(AY195&lt;&gt;"AGUARDANDO",AY195&lt;&gt;"",N195="AUXÍLIO ALUGUEL ATÉ INDENIZAÇÃO"),"SIM","NÃO")</f>
        <v>NÃO</v>
      </c>
      <c r="BF195" s="140" t="s">
        <v>4357</v>
      </c>
      <c r="BG195" s="140" t="s">
        <v>4357</v>
      </c>
      <c r="BH195" s="140" t="s">
        <v>4357</v>
      </c>
      <c r="BI195" s="154" t="s">
        <v>4926</v>
      </c>
      <c r="BJ195" s="154"/>
      <c r="BK195" s="154"/>
      <c r="BL195" s="154"/>
      <c r="BM195" s="237"/>
    </row>
    <row r="196" spans="1:68" s="232" customFormat="1" ht="29.25" customHeight="1" x14ac:dyDescent="0.25">
      <c r="A196" s="165">
        <v>187</v>
      </c>
      <c r="B196" s="103" t="s">
        <v>4431</v>
      </c>
      <c r="C196" s="103" t="s">
        <v>4439</v>
      </c>
      <c r="D196" s="103">
        <v>1</v>
      </c>
      <c r="E196" s="103" t="s">
        <v>4432</v>
      </c>
      <c r="F196" s="104" t="s">
        <v>6182</v>
      </c>
      <c r="G196" s="103" t="s">
        <v>4330</v>
      </c>
      <c r="H196" s="103" t="s">
        <v>4342</v>
      </c>
      <c r="I196" s="103" t="s">
        <v>4332</v>
      </c>
      <c r="J196" s="149" t="s">
        <v>6183</v>
      </c>
      <c r="K196" s="149" t="s">
        <v>6184</v>
      </c>
      <c r="L196" s="149" t="s">
        <v>6185</v>
      </c>
      <c r="M196" s="103" t="s">
        <v>4333</v>
      </c>
      <c r="N196" s="103" t="s">
        <v>4334</v>
      </c>
      <c r="O196" s="105">
        <v>46188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05"/>
      <c r="AB196" s="149" t="s">
        <v>6186</v>
      </c>
      <c r="AC196" s="149" t="s">
        <v>6184</v>
      </c>
      <c r="AD196" s="149" t="s">
        <v>6185</v>
      </c>
      <c r="AE196" s="103" t="s">
        <v>4332</v>
      </c>
      <c r="AF196" s="103" t="s">
        <v>4333</v>
      </c>
      <c r="AG196" s="194">
        <v>53425.95</v>
      </c>
      <c r="AH196" s="194">
        <v>60000</v>
      </c>
      <c r="AI196" s="103" t="s">
        <v>4447</v>
      </c>
      <c r="AJ196" s="104" t="s">
        <v>4438</v>
      </c>
      <c r="AK196" s="103">
        <v>158037398</v>
      </c>
      <c r="AL196" s="103" t="s">
        <v>4338</v>
      </c>
      <c r="AM196" s="103" t="s">
        <v>4338</v>
      </c>
      <c r="AN196" s="103" t="s">
        <v>4339</v>
      </c>
      <c r="AO196" s="112"/>
      <c r="AP196" s="171" t="s">
        <v>6187</v>
      </c>
      <c r="AQ196" s="103" t="s">
        <v>4831</v>
      </c>
      <c r="AR196" s="103" t="s">
        <v>4831</v>
      </c>
      <c r="AS196" s="103" t="s">
        <v>4831</v>
      </c>
      <c r="AT196" s="103" t="s">
        <v>4831</v>
      </c>
      <c r="AU196" s="105">
        <v>46233</v>
      </c>
      <c r="AV196" s="103" t="s">
        <v>4831</v>
      </c>
      <c r="AW196" s="106" t="s">
        <v>4454</v>
      </c>
      <c r="AX196" s="109"/>
      <c r="AY196" s="157"/>
      <c r="AZ196" s="157"/>
      <c r="BA196" s="107" t="s">
        <v>4330</v>
      </c>
      <c r="BB196" s="112"/>
      <c r="BC196" s="220"/>
      <c r="BD196" s="103"/>
      <c r="BE196" s="103"/>
      <c r="BF196" s="112"/>
      <c r="BG196" s="147"/>
      <c r="BH196" s="147"/>
      <c r="BI196" s="112"/>
      <c r="BJ196" s="112"/>
      <c r="BK196" s="112"/>
      <c r="BL196" s="112"/>
      <c r="BM196" s="236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4476</v>
      </c>
      <c r="D197" s="103">
        <v>1</v>
      </c>
      <c r="E197" s="103" t="s">
        <v>4432</v>
      </c>
      <c r="F197" s="104" t="s">
        <v>5294</v>
      </c>
      <c r="G197" s="103" t="s">
        <v>4330</v>
      </c>
      <c r="H197" s="103" t="s">
        <v>4331</v>
      </c>
      <c r="I197" s="142" t="s">
        <v>4343</v>
      </c>
      <c r="J197" s="149" t="s">
        <v>5295</v>
      </c>
      <c r="K197" s="149" t="s">
        <v>5296</v>
      </c>
      <c r="L197" s="149" t="s">
        <v>5297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5295</v>
      </c>
      <c r="AC197" s="149" t="s">
        <v>5296</v>
      </c>
      <c r="AD197" s="149" t="s">
        <v>5297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>IF(AY197-KD197=0,"",AY197-O197)</f>
        <v/>
      </c>
      <c r="BD197" s="103" t="str">
        <f>IF(AND(AI197&lt;&gt;"SIM",AI197="UH"),"AA","INDENIZAÇÃO")</f>
        <v>AA</v>
      </c>
      <c r="BE197" s="103" t="str">
        <f>IF(AND(AY197&lt;&gt;"AGUARDANDO",AY197&lt;&gt;"",N197="AUXÍLIO ALUGUEL ATÉ INDENIZAÇÃO"),"SIM","NÃO")</f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5298</v>
      </c>
      <c r="G198" s="103" t="s">
        <v>4330</v>
      </c>
      <c r="H198" s="103" t="s">
        <v>4331</v>
      </c>
      <c r="I198" s="142" t="s">
        <v>4343</v>
      </c>
      <c r="J198" s="149" t="s">
        <v>5299</v>
      </c>
      <c r="K198" s="149" t="s">
        <v>5300</v>
      </c>
      <c r="L198" s="149" t="s">
        <v>5301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5299</v>
      </c>
      <c r="AC198" s="149" t="s">
        <v>5300</v>
      </c>
      <c r="AD198" s="149" t="s">
        <v>5301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>IF(AY198-KD198=0,"",AY198-O198)</f>
        <v/>
      </c>
      <c r="BD198" s="103" t="str">
        <f>IF(AND(AI198&lt;&gt;"SIM",AI198="UH"),"AA","INDENIZAÇÃO")</f>
        <v>AA</v>
      </c>
      <c r="BE198" s="103" t="str">
        <f>IF(AND(AY198&lt;&gt;"AGUARDANDO",AY198&lt;&gt;"",N198="AUXÍLIO ALUGUEL ATÉ INDENIZAÇÃO"),"SIM","NÃO")</f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5302</v>
      </c>
      <c r="G199" s="103" t="s">
        <v>4330</v>
      </c>
      <c r="H199" s="103" t="s">
        <v>4331</v>
      </c>
      <c r="I199" s="142" t="s">
        <v>5303</v>
      </c>
      <c r="J199" s="149" t="s">
        <v>5304</v>
      </c>
      <c r="K199" s="149" t="s">
        <v>5305</v>
      </c>
      <c r="L199" s="149" t="s">
        <v>5306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5307</v>
      </c>
      <c r="AC199" s="149" t="s">
        <v>5308</v>
      </c>
      <c r="AD199" s="149" t="s">
        <v>5309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5310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4575</v>
      </c>
      <c r="BB199" s="136" t="s">
        <v>4338</v>
      </c>
      <c r="BC199" s="220">
        <f>IF(AY199-KD199=0,"",AY199-O199)</f>
        <v>18</v>
      </c>
      <c r="BD199" s="103" t="str">
        <f>IF(AND(AI199&lt;&gt;"SIM",AI199="UH"),"AA","INDENIZAÇÃO")</f>
        <v>INDENIZAÇÃO</v>
      </c>
      <c r="BE199" s="103" t="str">
        <f>IF(AND(AY199&lt;&gt;"AGUARDANDO",AY199&lt;&gt;"",N199="AUXÍLIO ALUGUEL ATÉ INDENIZAÇÃO"),"SIM","NÃO")</f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4454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5311</v>
      </c>
      <c r="G200" s="103" t="s">
        <v>4330</v>
      </c>
      <c r="H200" s="103" t="s">
        <v>4331</v>
      </c>
      <c r="I200" s="142" t="s">
        <v>4343</v>
      </c>
      <c r="J200" s="149" t="s">
        <v>5312</v>
      </c>
      <c r="K200" s="149" t="s">
        <v>5313</v>
      </c>
      <c r="L200" s="149" t="s">
        <v>5314</v>
      </c>
      <c r="M200" s="103" t="s">
        <v>4333</v>
      </c>
      <c r="N200" s="103" t="s">
        <v>4452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5312</v>
      </c>
      <c r="AC200" s="149" t="s">
        <v>5313</v>
      </c>
      <c r="AD200" s="149" t="s">
        <v>5314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5315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>IF(AY200-KD200=0,"",AY200-O200)</f>
        <v>25</v>
      </c>
      <c r="BD200" s="103" t="str">
        <f>IF(AND(AI200&lt;&gt;"SIM",AI200="UH"),"AA","INDENIZAÇÃO")</f>
        <v>INDENIZAÇÃO</v>
      </c>
      <c r="BE200" s="103" t="str">
        <f>IF(AND(AY200&lt;&gt;"AGUARDANDO",AY200&lt;&gt;"",N200="AUXÍLIO ALUGUEL ATÉ INDENIZAÇÃO"),"SIM","NÃO")</f>
        <v>NÃO</v>
      </c>
      <c r="BF200" s="140" t="s">
        <v>4357</v>
      </c>
      <c r="BG200" s="140" t="s">
        <v>4357</v>
      </c>
      <c r="BH200" s="140" t="s">
        <v>4357</v>
      </c>
      <c r="BI200" s="154" t="s">
        <v>4926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4476</v>
      </c>
      <c r="D201" s="103">
        <v>1</v>
      </c>
      <c r="E201" s="103" t="s">
        <v>4432</v>
      </c>
      <c r="F201" s="104" t="s">
        <v>4560</v>
      </c>
      <c r="G201" s="103" t="s">
        <v>4330</v>
      </c>
      <c r="H201" s="103" t="s">
        <v>4331</v>
      </c>
      <c r="I201" s="142" t="s">
        <v>4343</v>
      </c>
      <c r="J201" s="149" t="s">
        <v>5316</v>
      </c>
      <c r="K201" s="149" t="s">
        <v>5317</v>
      </c>
      <c r="L201" s="149" t="s">
        <v>5318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5316</v>
      </c>
      <c r="AC201" s="149" t="s">
        <v>5317</v>
      </c>
      <c r="AD201" s="149" t="s">
        <v>5318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>IF(AY201-KD201=0,"",AY201-O201)</f>
        <v/>
      </c>
      <c r="BD201" s="103" t="str">
        <f>IF(AND(AI201&lt;&gt;"SIM",AI201="UH"),"AA","INDENIZAÇÃO")</f>
        <v>AA</v>
      </c>
      <c r="BE201" s="103" t="str">
        <f>IF(AND(AY201&lt;&gt;"AGUARDANDO",AY201&lt;&gt;"",N201="AUXÍLIO ALUGUEL ATÉ INDENIZAÇÃO"),"SIM","NÃO")</f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5319</v>
      </c>
      <c r="G202" s="103" t="s">
        <v>4330</v>
      </c>
      <c r="H202" s="103" t="s">
        <v>4331</v>
      </c>
      <c r="I202" s="142" t="s">
        <v>4343</v>
      </c>
      <c r="J202" s="149" t="s">
        <v>5320</v>
      </c>
      <c r="K202" s="149" t="s">
        <v>5321</v>
      </c>
      <c r="L202" s="149" t="s">
        <v>5322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5320</v>
      </c>
      <c r="AC202" s="149" t="s">
        <v>5321</v>
      </c>
      <c r="AD202" s="149" t="s">
        <v>5322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>IF(AY202-KD202=0,"",AY202-O202)</f>
        <v/>
      </c>
      <c r="BD202" s="103" t="str">
        <f>IF(AND(AI202&lt;&gt;"SIM",AI202="UH"),"AA","INDENIZAÇÃO")</f>
        <v>AA</v>
      </c>
      <c r="BE202" s="103" t="str">
        <f>IF(AND(AY202&lt;&gt;"AGUARDANDO",AY202&lt;&gt;"",N202="AUXÍLIO ALUGUEL ATÉ INDENIZAÇÃO"),"SIM","NÃO")</f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4476</v>
      </c>
      <c r="D203" s="103">
        <v>1</v>
      </c>
      <c r="E203" s="103" t="s">
        <v>4432</v>
      </c>
      <c r="F203" s="104" t="s">
        <v>5323</v>
      </c>
      <c r="G203" s="103" t="s">
        <v>4330</v>
      </c>
      <c r="H203" s="103" t="s">
        <v>4331</v>
      </c>
      <c r="I203" s="142" t="s">
        <v>4343</v>
      </c>
      <c r="J203" s="149" t="s">
        <v>5324</v>
      </c>
      <c r="K203" s="149" t="s">
        <v>5325</v>
      </c>
      <c r="L203" s="149" t="s">
        <v>5326</v>
      </c>
      <c r="M203" s="103" t="s">
        <v>4333</v>
      </c>
      <c r="N203" s="103" t="s">
        <v>4452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5324</v>
      </c>
      <c r="AC203" s="149" t="s">
        <v>5325</v>
      </c>
      <c r="AD203" s="149" t="s">
        <v>5326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5327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4454</v>
      </c>
      <c r="BA203" s="174" t="s">
        <v>4598</v>
      </c>
      <c r="BB203" s="136" t="s">
        <v>4338</v>
      </c>
      <c r="BC203" s="220">
        <f>IF(AY203-KD203=0,"",AY203-O203)</f>
        <v>65</v>
      </c>
      <c r="BD203" s="103" t="str">
        <f>IF(AND(AI203&lt;&gt;"SIM",AI203="UH"),"AA","INDENIZAÇÃO")</f>
        <v>INDENIZAÇÃO</v>
      </c>
      <c r="BE203" s="103" t="str">
        <f>IF(AND(AY203&lt;&gt;"AGUARDANDO",AY203&lt;&gt;"",N203="AUXÍLIO ALUGUEL ATÉ INDENIZAÇÃO"),"SIM","NÃO")</f>
        <v>NÃO</v>
      </c>
      <c r="BF203" s="140" t="s">
        <v>4357</v>
      </c>
      <c r="BG203" s="140" t="s">
        <v>4357</v>
      </c>
      <c r="BH203" s="140" t="s">
        <v>4357</v>
      </c>
      <c r="BI203" s="154" t="s">
        <v>4926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4476</v>
      </c>
      <c r="D204" s="103">
        <v>1</v>
      </c>
      <c r="E204" s="103" t="s">
        <v>4432</v>
      </c>
      <c r="F204" s="104" t="s">
        <v>5328</v>
      </c>
      <c r="G204" s="103" t="s">
        <v>4330</v>
      </c>
      <c r="H204" s="103" t="s">
        <v>4331</v>
      </c>
      <c r="I204" s="142" t="s">
        <v>4361</v>
      </c>
      <c r="J204" s="149" t="s">
        <v>5329</v>
      </c>
      <c r="K204" s="149" t="s">
        <v>5330</v>
      </c>
      <c r="L204" s="149" t="s">
        <v>5331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5329</v>
      </c>
      <c r="AC204" s="149" t="s">
        <v>5330</v>
      </c>
      <c r="AD204" s="149" t="s">
        <v>5331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>IF(AY204-KD204=0,"",AY204-O204)</f>
        <v/>
      </c>
      <c r="BD204" s="103" t="str">
        <f>IF(AND(AI204&lt;&gt;"SIM",AI204="UH"),"AA","INDENIZAÇÃO")</f>
        <v>AA</v>
      </c>
      <c r="BE204" s="103" t="str">
        <f>IF(AND(AY204&lt;&gt;"AGUARDANDO",AY204&lt;&gt;"",N204="AUXÍLIO ALUGUEL ATÉ INDENIZAÇÃO"),"SIM","NÃO")</f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4476</v>
      </c>
      <c r="D205" s="103">
        <v>1</v>
      </c>
      <c r="E205" s="103" t="s">
        <v>4432</v>
      </c>
      <c r="F205" s="104" t="s">
        <v>5332</v>
      </c>
      <c r="G205" s="103" t="s">
        <v>4330</v>
      </c>
      <c r="H205" s="103" t="s">
        <v>4331</v>
      </c>
      <c r="I205" s="142" t="s">
        <v>4361</v>
      </c>
      <c r="J205" s="149" t="s">
        <v>5333</v>
      </c>
      <c r="K205" s="149" t="s">
        <v>5334</v>
      </c>
      <c r="L205" s="149" t="s">
        <v>5335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5333</v>
      </c>
      <c r="AC205" s="149" t="s">
        <v>5334</v>
      </c>
      <c r="AD205" s="149" t="s">
        <v>5335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>IF(AY205-KD205=0,"",AY205-O205)</f>
        <v/>
      </c>
      <c r="BD205" s="103" t="str">
        <f>IF(AND(AI205&lt;&gt;"SIM",AI205="UH"),"AA","INDENIZAÇÃO")</f>
        <v>AA</v>
      </c>
      <c r="BE205" s="103" t="str">
        <f>IF(AND(AY205&lt;&gt;"AGUARDANDO",AY205&lt;&gt;"",N205="AUXÍLIO ALUGUEL ATÉ INDENIZAÇÃO"),"SIM","NÃO")</f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4496</v>
      </c>
      <c r="D206" s="103">
        <v>1</v>
      </c>
      <c r="E206" s="103" t="s">
        <v>4432</v>
      </c>
      <c r="F206" s="104" t="s">
        <v>5336</v>
      </c>
      <c r="G206" s="103" t="s">
        <v>4330</v>
      </c>
      <c r="H206" s="103" t="s">
        <v>4331</v>
      </c>
      <c r="I206" s="142" t="s">
        <v>4343</v>
      </c>
      <c r="J206" s="149" t="s">
        <v>5337</v>
      </c>
      <c r="K206" s="149" t="s">
        <v>5338</v>
      </c>
      <c r="L206" s="149" t="s">
        <v>5339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5337</v>
      </c>
      <c r="AC206" s="149" t="s">
        <v>5338</v>
      </c>
      <c r="AD206" s="149" t="s">
        <v>5339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6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>IF(AY206-KD206=0,"",AY206-O206)</f>
        <v/>
      </c>
      <c r="BD206" s="103" t="str">
        <f>IF(AND(AI206&lt;&gt;"SIM",AI206="UH"),"AA","INDENIZAÇÃO")</f>
        <v>AA</v>
      </c>
      <c r="BE206" s="103" t="str">
        <f>IF(AND(AY206&lt;&gt;"AGUARDANDO",AY206&lt;&gt;"",N206="AUXÍLIO ALUGUEL ATÉ INDENIZAÇÃO"),"SIM","NÃO")</f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5340</v>
      </c>
      <c r="G207" s="103" t="s">
        <v>4330</v>
      </c>
      <c r="H207" s="103" t="s">
        <v>4331</v>
      </c>
      <c r="I207" s="142" t="s">
        <v>4343</v>
      </c>
      <c r="J207" s="149" t="s">
        <v>5341</v>
      </c>
      <c r="K207" s="149" t="s">
        <v>5342</v>
      </c>
      <c r="L207" s="149" t="s">
        <v>5343</v>
      </c>
      <c r="M207" s="103" t="s">
        <v>4333</v>
      </c>
      <c r="N207" s="103" t="s">
        <v>4452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5341</v>
      </c>
      <c r="AC207" s="149" t="s">
        <v>5342</v>
      </c>
      <c r="AD207" s="149" t="s">
        <v>5343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5344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>IF(AY207-KD207=0,"",AY207-O207)</f>
        <v>14</v>
      </c>
      <c r="BD207" s="103" t="str">
        <f>IF(AND(AI207&lt;&gt;"SIM",AI207="UH"),"AA","INDENIZAÇÃO")</f>
        <v>INDENIZAÇÃO</v>
      </c>
      <c r="BE207" s="103" t="str">
        <f>IF(AND(AY207&lt;&gt;"AGUARDANDO",AY207&lt;&gt;"",N207="AUXÍLIO ALUGUEL ATÉ INDENIZAÇÃO"),"SIM","NÃO")</f>
        <v>NÃO</v>
      </c>
      <c r="BF207" s="140" t="s">
        <v>4357</v>
      </c>
      <c r="BG207" s="140" t="s">
        <v>4357</v>
      </c>
      <c r="BH207" s="140" t="s">
        <v>4357</v>
      </c>
      <c r="BI207" s="154" t="s">
        <v>4926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4476</v>
      </c>
      <c r="D208" s="103">
        <v>1</v>
      </c>
      <c r="E208" s="103" t="s">
        <v>4432</v>
      </c>
      <c r="F208" s="104" t="s">
        <v>4536</v>
      </c>
      <c r="G208" s="103" t="s">
        <v>4330</v>
      </c>
      <c r="H208" s="103" t="s">
        <v>4331</v>
      </c>
      <c r="I208" s="142" t="s">
        <v>4343</v>
      </c>
      <c r="J208" s="149" t="s">
        <v>5345</v>
      </c>
      <c r="K208" s="104" t="s">
        <v>5346</v>
      </c>
      <c r="L208" s="104" t="s">
        <v>5347</v>
      </c>
      <c r="M208" s="103" t="s">
        <v>4333</v>
      </c>
      <c r="N208" s="103" t="s">
        <v>4452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5345</v>
      </c>
      <c r="AC208" s="173" t="s">
        <v>5346</v>
      </c>
      <c r="AD208" s="173" t="s">
        <v>5347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5348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4454</v>
      </c>
      <c r="BA208" s="107" t="s">
        <v>4598</v>
      </c>
      <c r="BB208" s="136" t="s">
        <v>4338</v>
      </c>
      <c r="BC208" s="220">
        <f>IF(AY208-KD208=0,"",AY208-O208)</f>
        <v>54</v>
      </c>
      <c r="BD208" s="103" t="str">
        <f>IF(AND(AI208&lt;&gt;"SIM",AI208="UH"),"AA","INDENIZAÇÃO")</f>
        <v>INDENIZAÇÃO</v>
      </c>
      <c r="BE208" s="103" t="str">
        <f>IF(AND(AY208&lt;&gt;"AGUARDANDO",AY208&lt;&gt;"",N208="AUXÍLIO ALUGUEL ATÉ INDENIZAÇÃO"),"SIM","NÃO")</f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4454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4476</v>
      </c>
      <c r="D209" s="103">
        <v>1</v>
      </c>
      <c r="E209" s="103" t="s">
        <v>4432</v>
      </c>
      <c r="F209" s="104" t="s">
        <v>5349</v>
      </c>
      <c r="G209" s="103" t="s">
        <v>4330</v>
      </c>
      <c r="H209" s="103" t="s">
        <v>4342</v>
      </c>
      <c r="I209" s="153" t="s">
        <v>4332</v>
      </c>
      <c r="J209" s="149" t="s">
        <v>5350</v>
      </c>
      <c r="K209" s="104" t="s">
        <v>5351</v>
      </c>
      <c r="L209" s="104" t="s">
        <v>5352</v>
      </c>
      <c r="M209" s="103" t="s">
        <v>4333</v>
      </c>
      <c r="N209" s="103" t="s">
        <v>4452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5353</v>
      </c>
      <c r="AC209" s="149" t="s">
        <v>5354</v>
      </c>
      <c r="AD209" s="149" t="s">
        <v>5355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5356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4454</v>
      </c>
      <c r="BA209" s="107" t="s">
        <v>4598</v>
      </c>
      <c r="BB209" s="136" t="s">
        <v>4338</v>
      </c>
      <c r="BC209" s="220">
        <f>IF(AY209-KD209=0,"",AY209-O209)</f>
        <v>72</v>
      </c>
      <c r="BD209" s="103" t="str">
        <f>IF(AND(AI209&lt;&gt;"SIM",AI209="UH"),"AA","INDENIZAÇÃO")</f>
        <v>INDENIZAÇÃO</v>
      </c>
      <c r="BE209" s="103" t="str">
        <f>IF(AND(AY209&lt;&gt;"AGUARDANDO",AY209&lt;&gt;"",N209="AUXÍLIO ALUGUEL ATÉ INDENIZAÇÃO"),"SIM","NÃO")</f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4454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4476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5357</v>
      </c>
      <c r="K210" s="104" t="s">
        <v>5358</v>
      </c>
      <c r="L210" s="104" t="s">
        <v>5359</v>
      </c>
      <c r="M210" s="103" t="s">
        <v>4333</v>
      </c>
      <c r="N210" s="103" t="s">
        <v>4452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5357</v>
      </c>
      <c r="AC210" s="104" t="s">
        <v>5358</v>
      </c>
      <c r="AD210" s="104" t="s">
        <v>5359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5360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4454</v>
      </c>
      <c r="BA210" s="174" t="s">
        <v>4598</v>
      </c>
      <c r="BB210" s="136" t="s">
        <v>4338</v>
      </c>
      <c r="BC210" s="220">
        <f>IF(AY210-KD210=0,"",AY210-O210)</f>
        <v>47</v>
      </c>
      <c r="BD210" s="103" t="str">
        <f>IF(AND(AI210&lt;&gt;"SIM",AI210="UH"),"AA","INDENIZAÇÃO")</f>
        <v>INDENIZAÇÃO</v>
      </c>
      <c r="BE210" s="103" t="str">
        <f>IF(AND(AY210&lt;&gt;"AGUARDANDO",AY210&lt;&gt;"",N210="AUXÍLIO ALUGUEL ATÉ INDENIZAÇÃO"),"SIM","NÃO")</f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4454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4496</v>
      </c>
      <c r="D211" s="103">
        <v>1</v>
      </c>
      <c r="E211" s="103" t="s">
        <v>4432</v>
      </c>
      <c r="F211" s="104" t="s">
        <v>5266</v>
      </c>
      <c r="G211" s="103" t="s">
        <v>4330</v>
      </c>
      <c r="H211" s="103" t="s">
        <v>4331</v>
      </c>
      <c r="I211" s="142" t="s">
        <v>4343</v>
      </c>
      <c r="J211" s="149" t="s">
        <v>5361</v>
      </c>
      <c r="K211" s="149" t="s">
        <v>5362</v>
      </c>
      <c r="L211" s="149" t="s">
        <v>5363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5361</v>
      </c>
      <c r="AC211" s="149" t="s">
        <v>5362</v>
      </c>
      <c r="AD211" s="149" t="s">
        <v>5363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>IF(AY211-KD211=0,"",AY211-O211)</f>
        <v/>
      </c>
      <c r="BD211" s="103" t="str">
        <f>IF(AND(AI211&lt;&gt;"SIM",AI211="UH"),"AA","INDENIZAÇÃO")</f>
        <v>AA</v>
      </c>
      <c r="BE211" s="103" t="str">
        <f>IF(AND(AY211&lt;&gt;"AGUARDANDO",AY211&lt;&gt;"",N211="AUXÍLIO ALUGUEL ATÉ INDENIZAÇÃO"),"SIM","NÃO")</f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4496</v>
      </c>
      <c r="D212" s="103">
        <v>1</v>
      </c>
      <c r="E212" s="103" t="s">
        <v>4432</v>
      </c>
      <c r="F212" s="104" t="s">
        <v>5364</v>
      </c>
      <c r="G212" s="103" t="s">
        <v>4330</v>
      </c>
      <c r="H212" s="103" t="s">
        <v>4331</v>
      </c>
      <c r="I212" s="142" t="s">
        <v>4343</v>
      </c>
      <c r="J212" s="149" t="s">
        <v>5365</v>
      </c>
      <c r="K212" s="149" t="s">
        <v>5366</v>
      </c>
      <c r="L212" s="149" t="s">
        <v>5367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5365</v>
      </c>
      <c r="AC212" s="149" t="s">
        <v>5366</v>
      </c>
      <c r="AD212" s="149" t="s">
        <v>5367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>IF(AY212-KD212=0,"",AY212-O212)</f>
        <v/>
      </c>
      <c r="BD212" s="103" t="str">
        <f>IF(AND(AI212&lt;&gt;"SIM",AI212="UH"),"AA","INDENIZAÇÃO")</f>
        <v>AA</v>
      </c>
      <c r="BE212" s="103" t="str">
        <f>IF(AND(AY212&lt;&gt;"AGUARDANDO",AY212&lt;&gt;"",N212="AUXÍLIO ALUGUEL ATÉ INDENIZAÇÃO"),"SIM","NÃO")</f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4476</v>
      </c>
      <c r="D213" s="103">
        <v>1</v>
      </c>
      <c r="E213" s="103" t="s">
        <v>4432</v>
      </c>
      <c r="F213" s="104" t="s">
        <v>4588</v>
      </c>
      <c r="G213" s="103" t="s">
        <v>4330</v>
      </c>
      <c r="H213" s="103" t="s">
        <v>4352</v>
      </c>
      <c r="I213" s="142" t="s">
        <v>4343</v>
      </c>
      <c r="J213" s="149" t="s">
        <v>5368</v>
      </c>
      <c r="K213" s="104" t="s">
        <v>5369</v>
      </c>
      <c r="L213" s="104" t="s">
        <v>5370</v>
      </c>
      <c r="M213" s="103" t="s">
        <v>4333</v>
      </c>
      <c r="N213" s="103" t="s">
        <v>4452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5368</v>
      </c>
      <c r="AC213" s="104" t="s">
        <v>5369</v>
      </c>
      <c r="AD213" s="104" t="s">
        <v>5370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5371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4454</v>
      </c>
      <c r="BA213" s="174" t="s">
        <v>4598</v>
      </c>
      <c r="BB213" s="136" t="s">
        <v>4338</v>
      </c>
      <c r="BC213" s="220">
        <f>IF(AY213-KD213=0,"",AY213-O213)</f>
        <v>47</v>
      </c>
      <c r="BD213" s="103" t="str">
        <f>IF(AND(AI213&lt;&gt;"SIM",AI213="UH"),"AA","INDENIZAÇÃO")</f>
        <v>INDENIZAÇÃO</v>
      </c>
      <c r="BE213" s="103" t="str">
        <f>IF(AND(AY213&lt;&gt;"AGUARDANDO",AY213&lt;&gt;"",N213="AUXÍLIO ALUGUEL ATÉ INDENIZAÇÃO"),"SIM","NÃO")</f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4454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4476</v>
      </c>
      <c r="D214" s="103">
        <v>1</v>
      </c>
      <c r="E214" s="103" t="s">
        <v>4432</v>
      </c>
      <c r="F214" s="104" t="s">
        <v>5372</v>
      </c>
      <c r="G214" s="103" t="s">
        <v>4330</v>
      </c>
      <c r="H214" s="103" t="s">
        <v>4331</v>
      </c>
      <c r="I214" s="142" t="s">
        <v>4343</v>
      </c>
      <c r="J214" s="149" t="s">
        <v>5373</v>
      </c>
      <c r="K214" s="149" t="s">
        <v>5374</v>
      </c>
      <c r="L214" s="149" t="s">
        <v>5375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5373</v>
      </c>
      <c r="AC214" s="149" t="s">
        <v>5374</v>
      </c>
      <c r="AD214" s="149" t="s">
        <v>5375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>IF(AY214-KD214=0,"",AY214-O214)</f>
        <v/>
      </c>
      <c r="BD214" s="103" t="str">
        <f>IF(AND(AI214&lt;&gt;"SIM",AI214="UH"),"AA","INDENIZAÇÃO")</f>
        <v>AA</v>
      </c>
      <c r="BE214" s="103" t="str">
        <f>IF(AND(AY214&lt;&gt;"AGUARDANDO",AY214&lt;&gt;"",N214="AUXÍLIO ALUGUEL ATÉ INDENIZAÇÃO"),"SIM","NÃO")</f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5376</v>
      </c>
      <c r="G215" s="103" t="s">
        <v>4330</v>
      </c>
      <c r="H215" s="103" t="s">
        <v>4331</v>
      </c>
      <c r="I215" s="142" t="s">
        <v>4343</v>
      </c>
      <c r="J215" s="149" t="s">
        <v>5377</v>
      </c>
      <c r="K215" s="149" t="s">
        <v>5378</v>
      </c>
      <c r="L215" s="149" t="s">
        <v>5379</v>
      </c>
      <c r="M215" s="103" t="s">
        <v>4333</v>
      </c>
      <c r="N215" s="103" t="s">
        <v>4452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5377</v>
      </c>
      <c r="AC215" s="149" t="s">
        <v>5378</v>
      </c>
      <c r="AD215" s="149" t="s">
        <v>5379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5380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>IF(AY215-KD215=0,"",AY215-O215)</f>
        <v>42</v>
      </c>
      <c r="BD215" s="103" t="str">
        <f>IF(AND(AI215&lt;&gt;"SIM",AI215="UH"),"AA","INDENIZAÇÃO")</f>
        <v>INDENIZAÇÃO</v>
      </c>
      <c r="BE215" s="103" t="str">
        <f>IF(AND(AY215&lt;&gt;"AGUARDANDO",AY215&lt;&gt;"",N215="AUXÍLIO ALUGUEL ATÉ INDENIZAÇÃO"),"SIM","NÃO")</f>
        <v>NÃO</v>
      </c>
      <c r="BF215" s="140" t="s">
        <v>4357</v>
      </c>
      <c r="BG215" s="140" t="s">
        <v>4357</v>
      </c>
      <c r="BH215" s="140" t="s">
        <v>4357</v>
      </c>
      <c r="BI215" s="154" t="s">
        <v>4926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4476</v>
      </c>
      <c r="D216" s="103">
        <v>1</v>
      </c>
      <c r="E216" s="103" t="s">
        <v>4432</v>
      </c>
      <c r="F216" s="104" t="s">
        <v>5381</v>
      </c>
      <c r="G216" s="103" t="s">
        <v>4330</v>
      </c>
      <c r="H216" s="103" t="s">
        <v>4331</v>
      </c>
      <c r="I216" s="142" t="s">
        <v>4361</v>
      </c>
      <c r="J216" s="149" t="s">
        <v>5382</v>
      </c>
      <c r="K216" s="149" t="s">
        <v>5383</v>
      </c>
      <c r="L216" s="149" t="s">
        <v>5384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5382</v>
      </c>
      <c r="AC216" s="149" t="s">
        <v>5383</v>
      </c>
      <c r="AD216" s="149" t="s">
        <v>5384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>IF(AY216-KD216=0,"",AY216-O216)</f>
        <v/>
      </c>
      <c r="BD216" s="103" t="str">
        <f>IF(AND(AI216&lt;&gt;"SIM",AI216="UH"),"AA","INDENIZAÇÃO")</f>
        <v>AA</v>
      </c>
      <c r="BE216" s="103" t="str">
        <f>IF(AND(AY216&lt;&gt;"AGUARDANDO",AY216&lt;&gt;"",N216="AUXÍLIO ALUGUEL ATÉ INDENIZAÇÃO"),"SIM","NÃO")</f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4476</v>
      </c>
      <c r="D217" s="103">
        <v>1</v>
      </c>
      <c r="E217" s="103" t="s">
        <v>4432</v>
      </c>
      <c r="F217" s="104" t="s">
        <v>5385</v>
      </c>
      <c r="G217" s="103" t="s">
        <v>4330</v>
      </c>
      <c r="H217" s="103" t="s">
        <v>4331</v>
      </c>
      <c r="I217" s="142" t="s">
        <v>4361</v>
      </c>
      <c r="J217" s="149" t="s">
        <v>5386</v>
      </c>
      <c r="K217" s="149" t="s">
        <v>5387</v>
      </c>
      <c r="L217" s="149" t="s">
        <v>5388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5386</v>
      </c>
      <c r="AC217" s="149" t="s">
        <v>5387</v>
      </c>
      <c r="AD217" s="149" t="s">
        <v>5388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>IF(AY217-KD217=0,"",AY217-O217)</f>
        <v/>
      </c>
      <c r="BD217" s="103" t="str">
        <f>IF(AND(AI217&lt;&gt;"SIM",AI217="UH"),"AA","INDENIZAÇÃO")</f>
        <v>AA</v>
      </c>
      <c r="BE217" s="103" t="str">
        <f>IF(AND(AY217&lt;&gt;"AGUARDANDO",AY217&lt;&gt;"",N217="AUXÍLIO ALUGUEL ATÉ INDENIZAÇÃO"),"SIM","NÃO")</f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4476</v>
      </c>
      <c r="D218" s="103">
        <v>1</v>
      </c>
      <c r="E218" s="103" t="s">
        <v>4432</v>
      </c>
      <c r="F218" s="104" t="s">
        <v>5389</v>
      </c>
      <c r="G218" s="103" t="s">
        <v>4330</v>
      </c>
      <c r="H218" s="103" t="s">
        <v>4331</v>
      </c>
      <c r="I218" s="142" t="s">
        <v>4343</v>
      </c>
      <c r="J218" s="149" t="s">
        <v>5390</v>
      </c>
      <c r="K218" s="149" t="s">
        <v>5391</v>
      </c>
      <c r="L218" s="149" t="s">
        <v>5392</v>
      </c>
      <c r="M218" s="103" t="s">
        <v>4333</v>
      </c>
      <c r="N218" s="103" t="s">
        <v>4452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5390</v>
      </c>
      <c r="AC218" s="149" t="s">
        <v>5391</v>
      </c>
      <c r="AD218" s="149" t="s">
        <v>5392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5393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4454</v>
      </c>
      <c r="BA218" s="107" t="s">
        <v>4598</v>
      </c>
      <c r="BB218" s="136" t="s">
        <v>4338</v>
      </c>
      <c r="BC218" s="220">
        <f>IF(AY218-KD218=0,"",AY218-O218)</f>
        <v>47</v>
      </c>
      <c r="BD218" s="103" t="str">
        <f>IF(AND(AI218&lt;&gt;"SIM",AI218="UH"),"AA","INDENIZAÇÃO")</f>
        <v>INDENIZAÇÃO</v>
      </c>
      <c r="BE218" s="103" t="str">
        <f>IF(AND(AY218&lt;&gt;"AGUARDANDO",AY218&lt;&gt;"",N218="AUXÍLIO ALUGUEL ATÉ INDENIZAÇÃO"),"SIM","NÃO")</f>
        <v>NÃO</v>
      </c>
      <c r="BF218" s="140" t="s">
        <v>4357</v>
      </c>
      <c r="BG218" s="140" t="s">
        <v>4357</v>
      </c>
      <c r="BH218" s="140" t="s">
        <v>4357</v>
      </c>
      <c r="BI218" s="154" t="s">
        <v>4926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4476</v>
      </c>
      <c r="D219" s="103">
        <v>1</v>
      </c>
      <c r="E219" s="103" t="s">
        <v>4432</v>
      </c>
      <c r="F219" s="104" t="s">
        <v>5394</v>
      </c>
      <c r="G219" s="103" t="s">
        <v>4330</v>
      </c>
      <c r="H219" s="103" t="s">
        <v>4331</v>
      </c>
      <c r="I219" s="142" t="s">
        <v>4343</v>
      </c>
      <c r="J219" s="149" t="s">
        <v>5395</v>
      </c>
      <c r="K219" s="149" t="s">
        <v>5396</v>
      </c>
      <c r="L219" s="149" t="s">
        <v>5397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5395</v>
      </c>
      <c r="AC219" s="149" t="s">
        <v>5396</v>
      </c>
      <c r="AD219" s="149" t="s">
        <v>5397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>IF(AY219-KD219=0,"",AY219-O219)</f>
        <v/>
      </c>
      <c r="BD219" s="103" t="str">
        <f>IF(AND(AI219&lt;&gt;"SIM",AI219="UH"),"AA","INDENIZAÇÃO")</f>
        <v>AA</v>
      </c>
      <c r="BE219" s="103" t="str">
        <f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4476</v>
      </c>
      <c r="D220" s="103">
        <v>1</v>
      </c>
      <c r="E220" s="103" t="s">
        <v>4432</v>
      </c>
      <c r="F220" s="104" t="s">
        <v>5398</v>
      </c>
      <c r="G220" s="103" t="s">
        <v>4330</v>
      </c>
      <c r="H220" s="103" t="s">
        <v>4331</v>
      </c>
      <c r="I220" s="142" t="s">
        <v>4343</v>
      </c>
      <c r="J220" s="149" t="s">
        <v>5399</v>
      </c>
      <c r="K220" s="149" t="s">
        <v>5400</v>
      </c>
      <c r="L220" s="149" t="s">
        <v>5401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5399</v>
      </c>
      <c r="AC220" s="149" t="s">
        <v>5400</v>
      </c>
      <c r="AD220" s="149" t="s">
        <v>5401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>IF(AY220-KD220=0,"",AY220-O220)</f>
        <v/>
      </c>
      <c r="BD220" s="103" t="str">
        <f>IF(AND(AI220&lt;&gt;"SIM",AI220="UH"),"AA","INDENIZAÇÃO")</f>
        <v>AA</v>
      </c>
      <c r="BE220" s="103" t="str">
        <f>IF(AND(AY220&lt;&gt;"AGUARDANDO",AY220&lt;&gt;"",N220="AUXÍLIO ALUGUEL ATÉ INDENIZAÇÃO"),"SIM","NÃO")</f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4496</v>
      </c>
      <c r="D221" s="103">
        <v>1</v>
      </c>
      <c r="E221" s="103" t="s">
        <v>4432</v>
      </c>
      <c r="F221" s="104" t="s">
        <v>5402</v>
      </c>
      <c r="G221" s="103" t="s">
        <v>4330</v>
      </c>
      <c r="H221" s="103" t="s">
        <v>4331</v>
      </c>
      <c r="I221" s="142" t="s">
        <v>4343</v>
      </c>
      <c r="J221" s="149" t="s">
        <v>5403</v>
      </c>
      <c r="K221" s="149" t="s">
        <v>5404</v>
      </c>
      <c r="L221" s="149" t="s">
        <v>5405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5403</v>
      </c>
      <c r="AC221" s="149" t="s">
        <v>5404</v>
      </c>
      <c r="AD221" s="149" t="s">
        <v>5405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>IF(AY221-KD221=0,"",AY221-O221)</f>
        <v/>
      </c>
      <c r="BD221" s="103" t="str">
        <f>IF(AND(AI221&lt;&gt;"SIM",AI221="UH"),"AA","INDENIZAÇÃO")</f>
        <v>AA</v>
      </c>
      <c r="BE221" s="103" t="str">
        <f>IF(AND(AY221&lt;&gt;"AGUARDANDO",AY221&lt;&gt;"",N221="AUXÍLIO ALUGUEL ATÉ INDENIZAÇÃO"),"SIM","NÃO")</f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4476</v>
      </c>
      <c r="D222" s="103">
        <v>1</v>
      </c>
      <c r="E222" s="103" t="s">
        <v>4432</v>
      </c>
      <c r="F222" s="104" t="s">
        <v>5406</v>
      </c>
      <c r="G222" s="103" t="s">
        <v>4330</v>
      </c>
      <c r="H222" s="103" t="s">
        <v>4331</v>
      </c>
      <c r="I222" s="142" t="s">
        <v>4343</v>
      </c>
      <c r="J222" s="149" t="s">
        <v>5407</v>
      </c>
      <c r="K222" s="149" t="s">
        <v>5408</v>
      </c>
      <c r="L222" s="149" t="s">
        <v>5409</v>
      </c>
      <c r="M222" s="103" t="s">
        <v>4333</v>
      </c>
      <c r="N222" s="103" t="s">
        <v>4452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5407</v>
      </c>
      <c r="AC222" s="149" t="s">
        <v>5408</v>
      </c>
      <c r="AD222" s="149" t="s">
        <v>5409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5410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4454</v>
      </c>
      <c r="BA222" s="174" t="s">
        <v>4598</v>
      </c>
      <c r="BB222" s="136" t="s">
        <v>4338</v>
      </c>
      <c r="BC222" s="220">
        <f>IF(AY222-KD222=0,"",AY222-O222)</f>
        <v>47</v>
      </c>
      <c r="BD222" s="103" t="str">
        <f>IF(AND(AI222&lt;&gt;"SIM",AI222="UH"),"AA","INDENIZAÇÃO")</f>
        <v>INDENIZAÇÃO</v>
      </c>
      <c r="BE222" s="103" t="str">
        <f>IF(AND(AY222&lt;&gt;"AGUARDANDO",AY222&lt;&gt;"",N222="AUXÍLIO ALUGUEL ATÉ INDENIZAÇÃO"),"SIM","NÃO")</f>
        <v>NÃO</v>
      </c>
      <c r="BF222" s="140" t="s">
        <v>4357</v>
      </c>
      <c r="BG222" s="140" t="s">
        <v>4357</v>
      </c>
      <c r="BH222" s="140" t="s">
        <v>4357</v>
      </c>
      <c r="BI222" s="154" t="s">
        <v>4926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4476</v>
      </c>
      <c r="D223" s="103">
        <v>1</v>
      </c>
      <c r="E223" s="103" t="s">
        <v>4432</v>
      </c>
      <c r="F223" s="104" t="s">
        <v>5411</v>
      </c>
      <c r="G223" s="103" t="s">
        <v>4330</v>
      </c>
      <c r="H223" s="103" t="s">
        <v>4331</v>
      </c>
      <c r="I223" s="142" t="s">
        <v>4343</v>
      </c>
      <c r="J223" s="149" t="s">
        <v>5412</v>
      </c>
      <c r="K223" s="149" t="s">
        <v>5413</v>
      </c>
      <c r="L223" s="149" t="s">
        <v>5414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5412</v>
      </c>
      <c r="AC223" s="149" t="s">
        <v>5413</v>
      </c>
      <c r="AD223" s="149" t="s">
        <v>5414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>IF(AY223-KD223=0,"",AY223-O223)</f>
        <v/>
      </c>
      <c r="BD223" s="103" t="str">
        <f>IF(AND(AI223&lt;&gt;"SIM",AI223="UH"),"AA","INDENIZAÇÃO")</f>
        <v>AA</v>
      </c>
      <c r="BE223" s="103" t="str">
        <f>IF(AND(AY223&lt;&gt;"AGUARDANDO",AY223&lt;&gt;"",N223="AUXÍLIO ALUGUEL ATÉ INDENIZAÇÃO"),"SIM","NÃO")</f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4476</v>
      </c>
      <c r="D224" s="103">
        <v>1</v>
      </c>
      <c r="E224" s="103" t="s">
        <v>4432</v>
      </c>
      <c r="F224" s="104" t="s">
        <v>5415</v>
      </c>
      <c r="G224" s="103" t="s">
        <v>4330</v>
      </c>
      <c r="H224" s="103" t="s">
        <v>4331</v>
      </c>
      <c r="I224" s="142" t="s">
        <v>4343</v>
      </c>
      <c r="J224" s="114" t="s">
        <v>5416</v>
      </c>
      <c r="K224" s="149" t="s">
        <v>5417</v>
      </c>
      <c r="L224" s="149" t="s">
        <v>5418</v>
      </c>
      <c r="M224" s="103" t="s">
        <v>4333</v>
      </c>
      <c r="N224" s="103" t="s">
        <v>4452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5416</v>
      </c>
      <c r="AC224" s="149" t="s">
        <v>5417</v>
      </c>
      <c r="AD224" s="149" t="s">
        <v>5418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5419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4454</v>
      </c>
      <c r="BA224" s="107" t="s">
        <v>4598</v>
      </c>
      <c r="BB224" s="136" t="s">
        <v>4338</v>
      </c>
      <c r="BC224" s="220">
        <f>IF(AY224-KD224=0,"",AY224-O224)</f>
        <v>54</v>
      </c>
      <c r="BD224" s="103" t="str">
        <f>IF(AND(AI224&lt;&gt;"SIM",AI224="UH"),"AA","INDENIZAÇÃO")</f>
        <v>INDENIZAÇÃO</v>
      </c>
      <c r="BE224" s="103" t="str">
        <f>IF(AND(AY224&lt;&gt;"AGUARDANDO",AY224&lt;&gt;"",N224="AUXÍLIO ALUGUEL ATÉ INDENIZAÇÃO"),"SIM","NÃO")</f>
        <v>NÃO</v>
      </c>
      <c r="BF224" s="140" t="s">
        <v>4357</v>
      </c>
      <c r="BG224" s="140" t="s">
        <v>4357</v>
      </c>
      <c r="BH224" s="140" t="s">
        <v>4357</v>
      </c>
      <c r="BI224" s="154" t="s">
        <v>4926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4476</v>
      </c>
      <c r="D225" s="103">
        <v>1</v>
      </c>
      <c r="E225" s="103" t="s">
        <v>4432</v>
      </c>
      <c r="F225" s="104" t="s">
        <v>5420</v>
      </c>
      <c r="G225" s="103" t="s">
        <v>5421</v>
      </c>
      <c r="H225" s="103" t="s">
        <v>4331</v>
      </c>
      <c r="I225" s="142" t="s">
        <v>4343</v>
      </c>
      <c r="J225" s="149" t="s">
        <v>5422</v>
      </c>
      <c r="K225" s="104" t="s">
        <v>4432</v>
      </c>
      <c r="L225" s="104" t="s">
        <v>5423</v>
      </c>
      <c r="M225" s="103" t="s">
        <v>4333</v>
      </c>
      <c r="N225" s="103" t="s">
        <v>4452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5218</v>
      </c>
      <c r="AC225" s="149" t="s">
        <v>5219</v>
      </c>
      <c r="AD225" s="149" t="s">
        <v>5220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5424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4454</v>
      </c>
      <c r="BA225" s="107" t="s">
        <v>4598</v>
      </c>
      <c r="BB225" s="136" t="s">
        <v>4338</v>
      </c>
      <c r="BC225" s="220">
        <f>IF(AY225-KD225=0,"",AY225-O225)</f>
        <v>48</v>
      </c>
      <c r="BD225" s="103" t="str">
        <f>IF(AND(AI225&lt;&gt;"SIM",AI225="UH"),"AA","INDENIZAÇÃO")</f>
        <v>INDENIZAÇÃO</v>
      </c>
      <c r="BE225" s="103" t="str">
        <f>IF(AND(AY225&lt;&gt;"AGUARDANDO",AY225&lt;&gt;"",N225="AUXÍLIO ALUGUEL ATÉ INDENIZAÇÃO"),"SIM","NÃO")</f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4454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4496</v>
      </c>
      <c r="D226" s="103">
        <v>1</v>
      </c>
      <c r="E226" s="103" t="s">
        <v>4432</v>
      </c>
      <c r="F226" s="104" t="s">
        <v>5425</v>
      </c>
      <c r="G226" s="103" t="s">
        <v>4330</v>
      </c>
      <c r="H226" s="103" t="s">
        <v>4331</v>
      </c>
      <c r="I226" s="142" t="s">
        <v>4343</v>
      </c>
      <c r="J226" s="149" t="s">
        <v>5426</v>
      </c>
      <c r="K226" s="149" t="s">
        <v>5427</v>
      </c>
      <c r="L226" s="149" t="s">
        <v>5428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5426</v>
      </c>
      <c r="AC226" s="149" t="s">
        <v>5427</v>
      </c>
      <c r="AD226" s="149" t="s">
        <v>5428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>IF(AY226-KD226=0,"",AY226-O226)</f>
        <v/>
      </c>
      <c r="BD226" s="103" t="str">
        <f>IF(AND(AI226&lt;&gt;"SIM",AI226="UH"),"AA","INDENIZAÇÃO")</f>
        <v>AA</v>
      </c>
      <c r="BE226" s="103" t="str">
        <f>IF(AND(AY226&lt;&gt;"AGUARDANDO",AY226&lt;&gt;"",N226="AUXÍLIO ALUGUEL ATÉ INDENIZAÇÃO"),"SIM","NÃO")</f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4476</v>
      </c>
      <c r="D227" s="103">
        <v>1</v>
      </c>
      <c r="E227" s="103" t="s">
        <v>4432</v>
      </c>
      <c r="F227" s="104" t="s">
        <v>5429</v>
      </c>
      <c r="G227" s="103" t="s">
        <v>4330</v>
      </c>
      <c r="H227" s="103" t="s">
        <v>4331</v>
      </c>
      <c r="I227" s="142" t="s">
        <v>4343</v>
      </c>
      <c r="J227" s="149" t="s">
        <v>5430</v>
      </c>
      <c r="K227" s="149" t="s">
        <v>5431</v>
      </c>
      <c r="L227" s="149" t="s">
        <v>5432</v>
      </c>
      <c r="M227" s="103" t="s">
        <v>4333</v>
      </c>
      <c r="N227" s="103" t="s">
        <v>4452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5430</v>
      </c>
      <c r="AC227" s="104" t="s">
        <v>5431</v>
      </c>
      <c r="AD227" s="104" t="s">
        <v>5432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5433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4454</v>
      </c>
      <c r="BA227" s="107" t="s">
        <v>4598</v>
      </c>
      <c r="BB227" s="136" t="s">
        <v>4338</v>
      </c>
      <c r="BC227" s="220">
        <f>IF(AY227-KD227=0,"",AY227-O227)</f>
        <v>97</v>
      </c>
      <c r="BD227" s="103" t="str">
        <f>IF(AND(AI227&lt;&gt;"SIM",AI227="UH"),"AA","INDENIZAÇÃO")</f>
        <v>INDENIZAÇÃO</v>
      </c>
      <c r="BE227" s="103" t="str">
        <f>IF(AND(AY227&lt;&gt;"AGUARDANDO",AY227&lt;&gt;"",N227="AUXÍLIO ALUGUEL ATÉ INDENIZAÇÃO"),"SIM","NÃO")</f>
        <v>NÃO</v>
      </c>
      <c r="BF227" s="140" t="s">
        <v>4357</v>
      </c>
      <c r="BG227" s="140" t="s">
        <v>4357</v>
      </c>
      <c r="BH227" s="140" t="s">
        <v>4357</v>
      </c>
      <c r="BI227" s="154" t="s">
        <v>4926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4496</v>
      </c>
      <c r="D228" s="103">
        <v>1</v>
      </c>
      <c r="E228" s="103" t="s">
        <v>4432</v>
      </c>
      <c r="F228" s="104" t="s">
        <v>5434</v>
      </c>
      <c r="G228" s="103" t="s">
        <v>4330</v>
      </c>
      <c r="H228" s="103" t="s">
        <v>4331</v>
      </c>
      <c r="I228" s="142" t="s">
        <v>4343</v>
      </c>
      <c r="J228" s="149" t="s">
        <v>5435</v>
      </c>
      <c r="K228" s="149" t="s">
        <v>5436</v>
      </c>
      <c r="L228" s="149" t="s">
        <v>5437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5435</v>
      </c>
      <c r="AC228" s="149" t="s">
        <v>5436</v>
      </c>
      <c r="AD228" s="149" t="s">
        <v>5437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>IF(AY228-KD228=0,"",AY228-O228)</f>
        <v/>
      </c>
      <c r="BD228" s="103" t="str">
        <f>IF(AND(AI228&lt;&gt;"SIM",AI228="UH"),"AA","INDENIZAÇÃO")</f>
        <v>AA</v>
      </c>
      <c r="BE228" s="103" t="str">
        <f>IF(AND(AY228&lt;&gt;"AGUARDANDO",AY228&lt;&gt;"",N228="AUXÍLIO ALUGUEL ATÉ INDENIZAÇÃO"),"SIM","NÃO")</f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4476</v>
      </c>
      <c r="D229" s="103">
        <v>1</v>
      </c>
      <c r="E229" s="103" t="s">
        <v>4432</v>
      </c>
      <c r="F229" s="104" t="s">
        <v>5434</v>
      </c>
      <c r="G229" s="103" t="s">
        <v>4330</v>
      </c>
      <c r="H229" s="103" t="s">
        <v>4352</v>
      </c>
      <c r="I229" s="142" t="s">
        <v>4343</v>
      </c>
      <c r="J229" s="149" t="s">
        <v>5438</v>
      </c>
      <c r="K229" s="149" t="s">
        <v>5439</v>
      </c>
      <c r="L229" s="149" t="s">
        <v>5440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5438</v>
      </c>
      <c r="AC229" s="104" t="s">
        <v>4457</v>
      </c>
      <c r="AD229" s="104" t="s">
        <v>5440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>IF(AY229-KD229=0,"",AY229-O229)</f>
        <v/>
      </c>
      <c r="BD229" s="103" t="str">
        <f>IF(AND(AI229&lt;&gt;"SIM",AI229="UH"),"AA","INDENIZAÇÃO")</f>
        <v>AA</v>
      </c>
      <c r="BE229" s="103" t="str">
        <f>IF(AND(AY229&lt;&gt;"AGUARDANDO",AY229&lt;&gt;"",N229="AUXÍLIO ALUGUEL ATÉ INDENIZAÇÃO"),"SIM","NÃO")</f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5441</v>
      </c>
      <c r="G230" s="103" t="s">
        <v>4351</v>
      </c>
      <c r="H230" s="103" t="s">
        <v>4351</v>
      </c>
      <c r="I230" s="153" t="s">
        <v>4332</v>
      </c>
      <c r="J230" s="149" t="s">
        <v>5442</v>
      </c>
      <c r="K230" s="149" t="s">
        <v>5443</v>
      </c>
      <c r="L230" s="149" t="s">
        <v>5444</v>
      </c>
      <c r="M230" s="103" t="s">
        <v>4333</v>
      </c>
      <c r="N230" s="103" t="s">
        <v>4452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5442</v>
      </c>
      <c r="AC230" s="149" t="s">
        <v>5443</v>
      </c>
      <c r="AD230" s="149" t="s">
        <v>5444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5445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4575</v>
      </c>
      <c r="BB230" s="136" t="s">
        <v>4338</v>
      </c>
      <c r="BC230" s="220">
        <f>IF(AY230-KD230=0,"",AY230-O230)</f>
        <v>42</v>
      </c>
      <c r="BD230" s="103" t="str">
        <f>IF(AND(AI230&lt;&gt;"SIM",AI230="UH"),"AA","INDENIZAÇÃO")</f>
        <v>INDENIZAÇÃO</v>
      </c>
      <c r="BE230" s="103" t="str">
        <f>IF(AND(AY230&lt;&gt;"AGUARDANDO",AY230&lt;&gt;"",N230="AUXÍLIO ALUGUEL ATÉ INDENIZAÇÃO"),"SIM","NÃO")</f>
        <v>NÃO</v>
      </c>
      <c r="BF230" s="140" t="s">
        <v>4357</v>
      </c>
      <c r="BG230" s="140" t="s">
        <v>4357</v>
      </c>
      <c r="BH230" s="140" t="s">
        <v>4357</v>
      </c>
      <c r="BI230" s="154" t="s">
        <v>4926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4476</v>
      </c>
      <c r="D231" s="103">
        <v>1</v>
      </c>
      <c r="E231" s="103" t="s">
        <v>4432</v>
      </c>
      <c r="F231" s="104" t="s">
        <v>5446</v>
      </c>
      <c r="G231" s="103" t="s">
        <v>4341</v>
      </c>
      <c r="H231" s="103" t="s">
        <v>4341</v>
      </c>
      <c r="I231" s="246" t="s">
        <v>4341</v>
      </c>
      <c r="J231" s="149" t="s">
        <v>5447</v>
      </c>
      <c r="K231" s="149" t="s">
        <v>4457</v>
      </c>
      <c r="L231" s="149" t="s">
        <v>5448</v>
      </c>
      <c r="M231" s="103" t="s">
        <v>4333</v>
      </c>
      <c r="N231" s="103" t="s">
        <v>4452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>IF(AY231-KD231=0,"",AY231-O231)</f>
        <v/>
      </c>
      <c r="BD231" s="103" t="str">
        <f>IF(AND(AI231&lt;&gt;"SIM",AI231="UH"),"AA","INDENIZAÇÃO")</f>
        <v>INDENIZAÇÃO</v>
      </c>
      <c r="BE231" s="103" t="str">
        <f>IF(AND(AY231&lt;&gt;"AGUARDANDO",AY231&lt;&gt;"",N231="AUXÍLIO ALUGUEL ATÉ INDENIZAÇÃO"),"SIM","NÃO")</f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4476</v>
      </c>
      <c r="D232" s="103">
        <v>1</v>
      </c>
      <c r="E232" s="103" t="s">
        <v>4432</v>
      </c>
      <c r="F232" s="104" t="s">
        <v>5449</v>
      </c>
      <c r="G232" s="103" t="s">
        <v>4330</v>
      </c>
      <c r="H232" s="103" t="s">
        <v>4331</v>
      </c>
      <c r="I232" s="142" t="s">
        <v>4440</v>
      </c>
      <c r="J232" s="149" t="s">
        <v>5450</v>
      </c>
      <c r="K232" s="149" t="s">
        <v>5451</v>
      </c>
      <c r="L232" s="149" t="s">
        <v>5452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5453</v>
      </c>
      <c r="AC232" s="104"/>
      <c r="AD232" s="104" t="s">
        <v>5454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5455</v>
      </c>
      <c r="AP232" s="171"/>
      <c r="AQ232" s="103"/>
      <c r="AR232" s="103"/>
      <c r="AS232" s="107"/>
      <c r="AT232" s="98"/>
      <c r="AU232" s="276"/>
      <c r="AV232" s="112"/>
      <c r="AW232" s="103"/>
      <c r="AX232" s="105"/>
      <c r="AY232" s="166"/>
      <c r="AZ232" s="105"/>
      <c r="BA232" s="103"/>
      <c r="BB232" s="136"/>
      <c r="BC232" s="220" t="str">
        <f>IF(AY232-KD232=0,"",AY232-O232)</f>
        <v/>
      </c>
      <c r="BD232" s="103" t="str">
        <f>IF(AND(AI232&lt;&gt;"SIM",AI232="UH"),"AA","INDENIZAÇÃO")</f>
        <v>INDENIZAÇÃO</v>
      </c>
      <c r="BE232" s="103" t="str">
        <f>IF(AND(AY232&lt;&gt;"AGUARDANDO",AY232&lt;&gt;"",N232="AUXÍLIO ALUGUEL ATÉ INDENIZAÇÃO"),"SIM","NÃO")</f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4476</v>
      </c>
      <c r="D233" s="103">
        <v>1</v>
      </c>
      <c r="E233" s="103" t="s">
        <v>4432</v>
      </c>
      <c r="F233" s="104" t="s">
        <v>5456</v>
      </c>
      <c r="G233" s="103" t="s">
        <v>4341</v>
      </c>
      <c r="H233" s="103" t="s">
        <v>4341</v>
      </c>
      <c r="I233" s="142" t="s">
        <v>4341</v>
      </c>
      <c r="J233" s="149" t="s">
        <v>5457</v>
      </c>
      <c r="K233" s="149" t="s">
        <v>4457</v>
      </c>
      <c r="L233" s="149" t="s">
        <v>5458</v>
      </c>
      <c r="M233" s="103" t="s">
        <v>4333</v>
      </c>
      <c r="N233" s="103" t="s">
        <v>4452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>IF(AY233-KD233=0,"",AY233-O233)</f>
        <v/>
      </c>
      <c r="BD233" s="103" t="str">
        <f>IF(AND(AI233&lt;&gt;"SIM",AI233="UH"),"AA","INDENIZAÇÃO")</f>
        <v>INDENIZAÇÃO</v>
      </c>
      <c r="BE233" s="103" t="str">
        <f>IF(AND(AY233&lt;&gt;"AGUARDANDO",AY233&lt;&gt;"",N233="AUXÍLIO ALUGUEL ATÉ INDENIZAÇÃO"),"SIM","NÃO")</f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4476</v>
      </c>
      <c r="D234" s="103">
        <v>1</v>
      </c>
      <c r="E234" s="103" t="s">
        <v>4432</v>
      </c>
      <c r="F234" s="104" t="s">
        <v>5459</v>
      </c>
      <c r="G234" s="103" t="s">
        <v>4330</v>
      </c>
      <c r="H234" s="103" t="s">
        <v>4331</v>
      </c>
      <c r="I234" s="142" t="s">
        <v>4440</v>
      </c>
      <c r="J234" s="149" t="s">
        <v>5460</v>
      </c>
      <c r="K234" s="149" t="s">
        <v>5461</v>
      </c>
      <c r="L234" s="149" t="s">
        <v>5462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5463</v>
      </c>
      <c r="AC234" s="104" t="s">
        <v>5464</v>
      </c>
      <c r="AD234" s="104" t="s">
        <v>5465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5455</v>
      </c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>IF(AY234-KD234=0,"",AY234-O234)</f>
        <v/>
      </c>
      <c r="BD234" s="103" t="str">
        <f>IF(AND(AI234&lt;&gt;"SIM",AI234="UH"),"AA","INDENIZAÇÃO")</f>
        <v>INDENIZAÇÃO</v>
      </c>
      <c r="BE234" s="103" t="str">
        <f>IF(AND(AY234&lt;&gt;"AGUARDANDO",AY234&lt;&gt;"",N234="AUXÍLIO ALUGUEL ATÉ INDENIZAÇÃO"),"SIM","NÃO")</f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4496</v>
      </c>
      <c r="D235" s="103">
        <v>1</v>
      </c>
      <c r="E235" s="103" t="s">
        <v>4432</v>
      </c>
      <c r="F235" s="104" t="s">
        <v>5466</v>
      </c>
      <c r="G235" s="103" t="s">
        <v>4330</v>
      </c>
      <c r="H235" s="103" t="s">
        <v>4331</v>
      </c>
      <c r="I235" s="142" t="s">
        <v>4343</v>
      </c>
      <c r="J235" s="149" t="s">
        <v>5467</v>
      </c>
      <c r="K235" s="149" t="s">
        <v>5468</v>
      </c>
      <c r="L235" s="149" t="s">
        <v>5469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5467</v>
      </c>
      <c r="AC235" s="149" t="s">
        <v>5468</v>
      </c>
      <c r="AD235" s="149" t="s">
        <v>5469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>IF(AY235-KD235=0,"",AY235-O235)</f>
        <v/>
      </c>
      <c r="BD235" s="103" t="str">
        <f>IF(AND(AI235&lt;&gt;"SIM",AI235="UH"),"AA","INDENIZAÇÃO")</f>
        <v>AA</v>
      </c>
      <c r="BE235" s="103" t="str">
        <f>IF(AND(AY235&lt;&gt;"AGUARDANDO",AY235&lt;&gt;"",N235="AUXÍLIO ALUGUEL ATÉ INDENIZAÇÃO"),"SIM","NÃO")</f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4476</v>
      </c>
      <c r="D236" s="103">
        <v>1</v>
      </c>
      <c r="E236" s="103" t="s">
        <v>4432</v>
      </c>
      <c r="F236" s="104" t="s">
        <v>5470</v>
      </c>
      <c r="G236" s="103" t="s">
        <v>4330</v>
      </c>
      <c r="H236" s="103" t="s">
        <v>4352</v>
      </c>
      <c r="I236" s="142" t="s">
        <v>4343</v>
      </c>
      <c r="J236" s="149" t="s">
        <v>5471</v>
      </c>
      <c r="K236" s="149" t="s">
        <v>5472</v>
      </c>
      <c r="L236" s="149" t="s">
        <v>5473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5471</v>
      </c>
      <c r="AC236" s="149" t="s">
        <v>5472</v>
      </c>
      <c r="AD236" s="149" t="s">
        <v>5473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>IF(AY236-KD236=0,"",AY236-O236)</f>
        <v/>
      </c>
      <c r="BD236" s="103" t="str">
        <f>IF(AND(AI236&lt;&gt;"SIM",AI236="UH"),"AA","INDENIZAÇÃO")</f>
        <v>AA</v>
      </c>
      <c r="BE236" s="103" t="str">
        <f>IF(AND(AY236&lt;&gt;"AGUARDANDO",AY236&lt;&gt;"",N236="AUXÍLIO ALUGUEL ATÉ INDENIZAÇÃO"),"SIM","NÃO")</f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4476</v>
      </c>
      <c r="D237" s="103">
        <v>1</v>
      </c>
      <c r="E237" s="103" t="s">
        <v>4432</v>
      </c>
      <c r="F237" s="104" t="s">
        <v>5474</v>
      </c>
      <c r="G237" s="103" t="s">
        <v>4330</v>
      </c>
      <c r="H237" s="103" t="s">
        <v>4331</v>
      </c>
      <c r="I237" s="142" t="s">
        <v>4343</v>
      </c>
      <c r="J237" s="149" t="s">
        <v>5475</v>
      </c>
      <c r="K237" s="149" t="s">
        <v>5476</v>
      </c>
      <c r="L237" s="149" t="s">
        <v>5477</v>
      </c>
      <c r="M237" s="103" t="s">
        <v>4333</v>
      </c>
      <c r="N237" s="103" t="s">
        <v>4452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5475</v>
      </c>
      <c r="AC237" s="149" t="s">
        <v>5476</v>
      </c>
      <c r="AD237" s="149" t="s">
        <v>5477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5478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4454</v>
      </c>
      <c r="BA237" s="107" t="s">
        <v>4598</v>
      </c>
      <c r="BB237" s="136" t="s">
        <v>4338</v>
      </c>
      <c r="BC237" s="220">
        <f>IF(AY237-KD237=0,"",AY237-O237)</f>
        <v>55</v>
      </c>
      <c r="BD237" s="103" t="str">
        <f>IF(AND(AI237&lt;&gt;"SIM",AI237="UH"),"AA","INDENIZAÇÃO")</f>
        <v>INDENIZAÇÃO</v>
      </c>
      <c r="BE237" s="103" t="str">
        <f>IF(AND(AY237&lt;&gt;"AGUARDANDO",AY237&lt;&gt;"",N237="AUXÍLIO ALUGUEL ATÉ INDENIZAÇÃO"),"SIM","NÃO")</f>
        <v>NÃO</v>
      </c>
      <c r="BF237" s="140" t="s">
        <v>4357</v>
      </c>
      <c r="BG237" s="140" t="s">
        <v>4357</v>
      </c>
      <c r="BH237" s="140" t="s">
        <v>4357</v>
      </c>
      <c r="BI237" s="154" t="s">
        <v>4926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4476</v>
      </c>
      <c r="D238" s="103">
        <v>1</v>
      </c>
      <c r="E238" s="103" t="s">
        <v>4432</v>
      </c>
      <c r="F238" s="104" t="s">
        <v>4988</v>
      </c>
      <c r="G238" s="103" t="s">
        <v>4330</v>
      </c>
      <c r="H238" s="103" t="s">
        <v>4331</v>
      </c>
      <c r="I238" s="142" t="s">
        <v>4343</v>
      </c>
      <c r="J238" s="114" t="s">
        <v>5479</v>
      </c>
      <c r="K238" s="149" t="s">
        <v>5480</v>
      </c>
      <c r="L238" s="149" t="s">
        <v>5481</v>
      </c>
      <c r="M238" s="103" t="s">
        <v>4333</v>
      </c>
      <c r="N238" s="103" t="s">
        <v>4452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5479</v>
      </c>
      <c r="AC238" s="114" t="s">
        <v>5480</v>
      </c>
      <c r="AD238" s="114" t="s">
        <v>5481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5482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4454</v>
      </c>
      <c r="BA238" s="107" t="s">
        <v>4598</v>
      </c>
      <c r="BB238" s="136" t="s">
        <v>4338</v>
      </c>
      <c r="BC238" s="220">
        <f>IF(AY238-KD238=0,"",AY238-O238)</f>
        <v>63</v>
      </c>
      <c r="BD238" s="103" t="str">
        <f>IF(AND(AI238&lt;&gt;"SIM",AI238="UH"),"AA","INDENIZAÇÃO")</f>
        <v>INDENIZAÇÃO</v>
      </c>
      <c r="BE238" s="103" t="str">
        <f>IF(AND(AY238&lt;&gt;"AGUARDANDO",AY238&lt;&gt;"",N238="AUXÍLIO ALUGUEL ATÉ INDENIZAÇÃO"),"SIM","NÃO")</f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4454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4476</v>
      </c>
      <c r="D239" s="103">
        <v>1</v>
      </c>
      <c r="E239" s="103" t="s">
        <v>4432</v>
      </c>
      <c r="F239" s="144" t="s">
        <v>5483</v>
      </c>
      <c r="G239" s="103" t="s">
        <v>4330</v>
      </c>
      <c r="H239" s="103" t="s">
        <v>4331</v>
      </c>
      <c r="I239" s="142" t="s">
        <v>4343</v>
      </c>
      <c r="J239" s="114" t="s">
        <v>5484</v>
      </c>
      <c r="K239" s="149" t="s">
        <v>5485</v>
      </c>
      <c r="L239" s="149" t="s">
        <v>5486</v>
      </c>
      <c r="M239" s="103" t="s">
        <v>4333</v>
      </c>
      <c r="N239" s="103" t="s">
        <v>4452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5484</v>
      </c>
      <c r="AC239" s="139" t="s">
        <v>5485</v>
      </c>
      <c r="AD239" s="139" t="s">
        <v>5486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5487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4454</v>
      </c>
      <c r="BA239" s="107" t="s">
        <v>4598</v>
      </c>
      <c r="BB239" s="136" t="s">
        <v>4338</v>
      </c>
      <c r="BC239" s="220">
        <f>IF(AY239-KD239=0,"",AY239-O239)</f>
        <v>63</v>
      </c>
      <c r="BD239" s="103" t="str">
        <f>IF(AND(AI239&lt;&gt;"SIM",AI239="UH"),"AA","INDENIZAÇÃO")</f>
        <v>INDENIZAÇÃO</v>
      </c>
      <c r="BE239" s="103" t="str">
        <f>IF(AND(AY239&lt;&gt;"AGUARDANDO",AY239&lt;&gt;"",N239="AUXÍLIO ALUGUEL ATÉ INDENIZAÇÃO"),"SIM","NÃO")</f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4454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4476</v>
      </c>
      <c r="D240" s="103">
        <v>1</v>
      </c>
      <c r="E240" s="103" t="s">
        <v>4432</v>
      </c>
      <c r="F240" s="104" t="s">
        <v>5364</v>
      </c>
      <c r="G240" s="103" t="s">
        <v>4330</v>
      </c>
      <c r="H240" s="103" t="s">
        <v>4331</v>
      </c>
      <c r="I240" s="142" t="s">
        <v>4343</v>
      </c>
      <c r="J240" s="149" t="s">
        <v>5488</v>
      </c>
      <c r="K240" s="149" t="s">
        <v>5489</v>
      </c>
      <c r="L240" s="149" t="s">
        <v>5490</v>
      </c>
      <c r="M240" s="103" t="s">
        <v>4333</v>
      </c>
      <c r="N240" s="103" t="s">
        <v>4452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5488</v>
      </c>
      <c r="AC240" s="104" t="s">
        <v>5489</v>
      </c>
      <c r="AD240" s="104" t="s">
        <v>5490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5491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4454</v>
      </c>
      <c r="BA240" s="174" t="s">
        <v>4598</v>
      </c>
      <c r="BB240" s="136" t="s">
        <v>4338</v>
      </c>
      <c r="BC240" s="220">
        <f>IF(AY240-KD240=0,"",AY240-O240)</f>
        <v>56</v>
      </c>
      <c r="BD240" s="103" t="str">
        <f>IF(AND(AI240&lt;&gt;"SIM",AI240="UH"),"AA","INDENIZAÇÃO")</f>
        <v>INDENIZAÇÃO</v>
      </c>
      <c r="BE240" s="103" t="str">
        <f>IF(AND(AY240&lt;&gt;"AGUARDANDO",AY240&lt;&gt;"",N240="AUXÍLIO ALUGUEL ATÉ INDENIZAÇÃO"),"SIM","NÃO")</f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2" t="s">
        <v>4502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4476</v>
      </c>
      <c r="D241" s="103">
        <v>1</v>
      </c>
      <c r="E241" s="103" t="s">
        <v>4432</v>
      </c>
      <c r="F241" s="104" t="s">
        <v>5492</v>
      </c>
      <c r="G241" s="103" t="s">
        <v>4330</v>
      </c>
      <c r="H241" s="103" t="s">
        <v>4331</v>
      </c>
      <c r="I241" s="142" t="s">
        <v>4343</v>
      </c>
      <c r="J241" s="149" t="s">
        <v>5493</v>
      </c>
      <c r="K241" s="149" t="s">
        <v>5494</v>
      </c>
      <c r="L241" s="149" t="s">
        <v>5495</v>
      </c>
      <c r="M241" s="103" t="s">
        <v>4333</v>
      </c>
      <c r="N241" s="103" t="s">
        <v>4452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5493</v>
      </c>
      <c r="AC241" s="149" t="s">
        <v>5494</v>
      </c>
      <c r="AD241" s="149" t="s">
        <v>5495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5496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4454</v>
      </c>
      <c r="BA241" s="107" t="s">
        <v>4598</v>
      </c>
      <c r="BB241" s="136" t="s">
        <v>4338</v>
      </c>
      <c r="BC241" s="220">
        <f>IF(AY241-KD241=0,"",AY241-O241)</f>
        <v>104</v>
      </c>
      <c r="BD241" s="103" t="str">
        <f>IF(AND(AI241&lt;&gt;"SIM",AI241="UH"),"AA","INDENIZAÇÃO")</f>
        <v>INDENIZAÇÃO</v>
      </c>
      <c r="BE241" s="103" t="str">
        <f>IF(AND(AY241&lt;&gt;"AGUARDANDO",AY241&lt;&gt;"",N241="AUXÍLIO ALUGUEL ATÉ INDENIZAÇÃO"),"SIM","NÃO")</f>
        <v>NÃO</v>
      </c>
      <c r="BF241" s="140" t="s">
        <v>4357</v>
      </c>
      <c r="BG241" s="140" t="s">
        <v>4357</v>
      </c>
      <c r="BH241" s="140" t="s">
        <v>4357</v>
      </c>
      <c r="BI241" s="154" t="s">
        <v>4926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4476</v>
      </c>
      <c r="D242" s="103">
        <v>1</v>
      </c>
      <c r="E242" s="103" t="s">
        <v>4432</v>
      </c>
      <c r="F242" s="104" t="s">
        <v>4998</v>
      </c>
      <c r="G242" s="103" t="s">
        <v>4330</v>
      </c>
      <c r="H242" s="103" t="s">
        <v>4331</v>
      </c>
      <c r="I242" s="142" t="s">
        <v>4343</v>
      </c>
      <c r="J242" s="114" t="s">
        <v>5497</v>
      </c>
      <c r="K242" s="149" t="s">
        <v>5498</v>
      </c>
      <c r="L242" s="149" t="s">
        <v>5499</v>
      </c>
      <c r="M242" s="103" t="s">
        <v>4333</v>
      </c>
      <c r="N242" s="103" t="s">
        <v>4452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5497</v>
      </c>
      <c r="AC242" s="149" t="s">
        <v>5498</v>
      </c>
      <c r="AD242" s="149" t="s">
        <v>5499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5500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4454</v>
      </c>
      <c r="BA242" s="107" t="s">
        <v>4598</v>
      </c>
      <c r="BB242" s="136" t="s">
        <v>4338</v>
      </c>
      <c r="BC242" s="220">
        <f>IF(AY242-KD242=0,"",AY242-O242)</f>
        <v>50</v>
      </c>
      <c r="BD242" s="103" t="str">
        <f>IF(AND(AI242&lt;&gt;"SIM",AI242="UH"),"AA","INDENIZAÇÃO")</f>
        <v>INDENIZAÇÃO</v>
      </c>
      <c r="BE242" s="103" t="str">
        <f>IF(AND(AY242&lt;&gt;"AGUARDANDO",AY242&lt;&gt;"",N242="AUXÍLIO ALUGUEL ATÉ INDENIZAÇÃO"),"SIM","NÃO")</f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4454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4476</v>
      </c>
      <c r="D243" s="103">
        <v>1</v>
      </c>
      <c r="E243" s="103" t="s">
        <v>4432</v>
      </c>
      <c r="F243" s="144" t="s">
        <v>5026</v>
      </c>
      <c r="G243" s="103" t="s">
        <v>4330</v>
      </c>
      <c r="H243" s="103" t="s">
        <v>4331</v>
      </c>
      <c r="I243" s="142" t="s">
        <v>4343</v>
      </c>
      <c r="J243" s="114" t="s">
        <v>5501</v>
      </c>
      <c r="K243" s="149" t="s">
        <v>5502</v>
      </c>
      <c r="L243" s="149" t="s">
        <v>5503</v>
      </c>
      <c r="M243" s="103" t="s">
        <v>4333</v>
      </c>
      <c r="N243" s="103" t="s">
        <v>4452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5501</v>
      </c>
      <c r="AC243" s="139" t="s">
        <v>5502</v>
      </c>
      <c r="AD243" s="139" t="s">
        <v>5503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5504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4454</v>
      </c>
      <c r="BA243" s="107" t="s">
        <v>4598</v>
      </c>
      <c r="BB243" s="136" t="s">
        <v>4338</v>
      </c>
      <c r="BC243" s="220">
        <f>IF(AY243-KD243=0,"",AY243-O243)</f>
        <v>76</v>
      </c>
      <c r="BD243" s="103" t="str">
        <f>IF(AND(AI243&lt;&gt;"SIM",AI243="UH"),"AA","INDENIZAÇÃO")</f>
        <v>INDENIZAÇÃO</v>
      </c>
      <c r="BE243" s="103" t="str">
        <f>IF(AND(AY243&lt;&gt;"AGUARDANDO",AY243&lt;&gt;"",N243="AUXÍLIO ALUGUEL ATÉ INDENIZAÇÃO"),"SIM","NÃO")</f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4454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4496</v>
      </c>
      <c r="D244" s="103">
        <v>1</v>
      </c>
      <c r="E244" s="103" t="s">
        <v>4432</v>
      </c>
      <c r="F244" s="104" t="s">
        <v>5505</v>
      </c>
      <c r="G244" s="103" t="s">
        <v>4330</v>
      </c>
      <c r="H244" s="103" t="s">
        <v>4331</v>
      </c>
      <c r="I244" s="142" t="s">
        <v>4343</v>
      </c>
      <c r="J244" s="149" t="s">
        <v>5506</v>
      </c>
      <c r="K244" s="149" t="s">
        <v>5507</v>
      </c>
      <c r="L244" s="149" t="s">
        <v>5508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5506</v>
      </c>
      <c r="AC244" s="149" t="s">
        <v>5507</v>
      </c>
      <c r="AD244" s="149" t="s">
        <v>5508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>IF(AY244-KD244=0,"",AY244-O244)</f>
        <v/>
      </c>
      <c r="BD244" s="103" t="str">
        <f>IF(AND(AI244&lt;&gt;"SIM",AI244="UH"),"AA","INDENIZAÇÃO")</f>
        <v>AA</v>
      </c>
      <c r="BE244" s="103" t="str">
        <f>IF(AND(AY244&lt;&gt;"AGUARDANDO",AY244&lt;&gt;"",N244="AUXÍLIO ALUGUEL ATÉ INDENIZAÇÃO"),"SIM","NÃO")</f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4476</v>
      </c>
      <c r="D245" s="103">
        <v>1</v>
      </c>
      <c r="E245" s="103" t="s">
        <v>4432</v>
      </c>
      <c r="F245" s="104" t="s">
        <v>5509</v>
      </c>
      <c r="G245" s="103" t="s">
        <v>4330</v>
      </c>
      <c r="H245" s="103" t="s">
        <v>4331</v>
      </c>
      <c r="I245" s="142" t="s">
        <v>4343</v>
      </c>
      <c r="J245" s="114" t="s">
        <v>5510</v>
      </c>
      <c r="K245" s="149" t="s">
        <v>5511</v>
      </c>
      <c r="L245" s="149" t="s">
        <v>5512</v>
      </c>
      <c r="M245" s="103" t="s">
        <v>4333</v>
      </c>
      <c r="N245" s="103" t="s">
        <v>4452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5510</v>
      </c>
      <c r="AC245" s="139" t="s">
        <v>5511</v>
      </c>
      <c r="AD245" s="139" t="s">
        <v>5512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5513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4454</v>
      </c>
      <c r="BA245" s="174" t="s">
        <v>4598</v>
      </c>
      <c r="BB245" s="136" t="s">
        <v>4338</v>
      </c>
      <c r="BC245" s="220">
        <f>IF(AY245-KD245=0,"",AY245-O245)</f>
        <v>55</v>
      </c>
      <c r="BD245" s="103" t="str">
        <f>IF(AND(AI245&lt;&gt;"SIM",AI245="UH"),"AA","INDENIZAÇÃO")</f>
        <v>INDENIZAÇÃO</v>
      </c>
      <c r="BE245" s="103" t="str">
        <f>IF(AND(AY245&lt;&gt;"AGUARDANDO",AY245&lt;&gt;"",N245="AUXÍLIO ALUGUEL ATÉ INDENIZAÇÃO"),"SIM","NÃO")</f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4454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4496</v>
      </c>
      <c r="D246" s="103">
        <v>1</v>
      </c>
      <c r="E246" s="103" t="s">
        <v>4432</v>
      </c>
      <c r="F246" s="104" t="s">
        <v>5514</v>
      </c>
      <c r="G246" s="103" t="s">
        <v>4330</v>
      </c>
      <c r="H246" s="103" t="s">
        <v>4331</v>
      </c>
      <c r="I246" s="142" t="s">
        <v>4343</v>
      </c>
      <c r="J246" s="114" t="s">
        <v>5515</v>
      </c>
      <c r="K246" s="149" t="s">
        <v>4432</v>
      </c>
      <c r="L246" s="149" t="s">
        <v>5516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5515</v>
      </c>
      <c r="AC246" s="149" t="s">
        <v>4432</v>
      </c>
      <c r="AD246" s="149" t="s">
        <v>5516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>IF(AY246-KD246=0,"",AY246-O246)</f>
        <v/>
      </c>
      <c r="BD246" s="103" t="str">
        <f>IF(AND(AI246&lt;&gt;"SIM",AI246="UH"),"AA","INDENIZAÇÃO")</f>
        <v>AA</v>
      </c>
      <c r="BE246" s="103" t="str">
        <f>IF(AND(AY246&lt;&gt;"AGUARDANDO",AY246&lt;&gt;"",N246="AUXÍLIO ALUGUEL ATÉ INDENIZAÇÃO"),"SIM","NÃO")</f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4476</v>
      </c>
      <c r="D247" s="103">
        <v>1</v>
      </c>
      <c r="E247" s="103" t="s">
        <v>4432</v>
      </c>
      <c r="F247" s="104" t="s">
        <v>5517</v>
      </c>
      <c r="G247" s="103" t="s">
        <v>4330</v>
      </c>
      <c r="H247" s="103" t="s">
        <v>4331</v>
      </c>
      <c r="I247" s="142" t="s">
        <v>4343</v>
      </c>
      <c r="J247" s="114" t="s">
        <v>5518</v>
      </c>
      <c r="K247" s="149" t="s">
        <v>5519</v>
      </c>
      <c r="L247" s="149" t="s">
        <v>5520</v>
      </c>
      <c r="M247" s="103" t="s">
        <v>4333</v>
      </c>
      <c r="N247" s="103" t="s">
        <v>4452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5518</v>
      </c>
      <c r="AC247" s="149" t="s">
        <v>5519</v>
      </c>
      <c r="AD247" s="149" t="s">
        <v>5520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4476</v>
      </c>
      <c r="D248" s="103">
        <v>1</v>
      </c>
      <c r="E248" s="103" t="s">
        <v>4432</v>
      </c>
      <c r="F248" s="104" t="s">
        <v>5521</v>
      </c>
      <c r="G248" s="103" t="s">
        <v>4330</v>
      </c>
      <c r="H248" s="103" t="s">
        <v>4331</v>
      </c>
      <c r="I248" s="142" t="s">
        <v>4343</v>
      </c>
      <c r="J248" s="114" t="s">
        <v>5522</v>
      </c>
      <c r="K248" s="149" t="s">
        <v>5523</v>
      </c>
      <c r="L248" s="149" t="s">
        <v>5524</v>
      </c>
      <c r="M248" s="103" t="s">
        <v>4333</v>
      </c>
      <c r="N248" s="103" t="s">
        <v>4452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5522</v>
      </c>
      <c r="AC248" s="139" t="s">
        <v>5523</v>
      </c>
      <c r="AD248" s="139" t="s">
        <v>5524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5525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4454</v>
      </c>
      <c r="BA248" s="174" t="s">
        <v>4598</v>
      </c>
      <c r="BB248" s="136" t="s">
        <v>4338</v>
      </c>
      <c r="BC248" s="220">
        <f>IF(AY248-KD248=0,"",AY248-O248)</f>
        <v>76</v>
      </c>
      <c r="BD248" s="103" t="str">
        <f>IF(AND(AI248&lt;&gt;"SIM",AI248="UH"),"AA","INDENIZAÇÃO")</f>
        <v>INDENIZAÇÃO</v>
      </c>
      <c r="BE248" s="103" t="str">
        <f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4454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4496</v>
      </c>
      <c r="D249" s="103">
        <v>1</v>
      </c>
      <c r="E249" s="103" t="s">
        <v>4432</v>
      </c>
      <c r="F249" s="104" t="s">
        <v>5526</v>
      </c>
      <c r="G249" s="103" t="s">
        <v>4330</v>
      </c>
      <c r="H249" s="103" t="s">
        <v>4331</v>
      </c>
      <c r="I249" s="142" t="s">
        <v>4343</v>
      </c>
      <c r="J249" s="114" t="s">
        <v>5527</v>
      </c>
      <c r="K249" s="149" t="s">
        <v>5528</v>
      </c>
      <c r="L249" s="149" t="s">
        <v>5529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5527</v>
      </c>
      <c r="AC249" s="149" t="s">
        <v>5528</v>
      </c>
      <c r="AD249" s="149" t="s">
        <v>5529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>IF(AY249-KD249=0,"",AY249-O249)</f>
        <v/>
      </c>
      <c r="BD249" s="103" t="str">
        <f>IF(AND(AI249&lt;&gt;"SIM",AI249="UH"),"AA","INDENIZAÇÃO")</f>
        <v>AA</v>
      </c>
      <c r="BE249" s="103" t="str">
        <f>IF(AND(AY249&lt;&gt;"AGUARDANDO",AY249&lt;&gt;"",N249="AUXÍLIO ALUGUEL ATÉ INDENIZAÇÃO"),"SIM","NÃO")</f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4496</v>
      </c>
      <c r="D250" s="103">
        <v>1</v>
      </c>
      <c r="E250" s="103" t="s">
        <v>4432</v>
      </c>
      <c r="F250" s="104" t="s">
        <v>5530</v>
      </c>
      <c r="G250" s="103" t="s">
        <v>4330</v>
      </c>
      <c r="H250" s="103" t="s">
        <v>4331</v>
      </c>
      <c r="I250" s="142" t="s">
        <v>4343</v>
      </c>
      <c r="J250" s="114" t="s">
        <v>5531</v>
      </c>
      <c r="K250" s="149" t="s">
        <v>5532</v>
      </c>
      <c r="L250" s="149" t="s">
        <v>5533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5531</v>
      </c>
      <c r="AC250" s="149" t="s">
        <v>5532</v>
      </c>
      <c r="AD250" s="149" t="s">
        <v>5533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>IF(AY250-KD250=0,"",AY250-O250)</f>
        <v/>
      </c>
      <c r="BD250" s="103" t="str">
        <f>IF(AND(AI250&lt;&gt;"SIM",AI250="UH"),"AA","INDENIZAÇÃO")</f>
        <v>AA</v>
      </c>
      <c r="BE250" s="103" t="str">
        <f>IF(AND(AY250&lt;&gt;"AGUARDANDO",AY250&lt;&gt;"",N250="AUXÍLIO ALUGUEL ATÉ INDENIZAÇÃO"),"SIM","NÃO")</f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4476</v>
      </c>
      <c r="D251" s="103">
        <v>1</v>
      </c>
      <c r="E251" s="103" t="s">
        <v>4432</v>
      </c>
      <c r="F251" s="104" t="s">
        <v>5142</v>
      </c>
      <c r="G251" s="103" t="s">
        <v>4330</v>
      </c>
      <c r="H251" s="103" t="s">
        <v>4342</v>
      </c>
      <c r="I251" s="153" t="s">
        <v>4332</v>
      </c>
      <c r="J251" s="114" t="s">
        <v>5534</v>
      </c>
      <c r="K251" s="149" t="s">
        <v>5535</v>
      </c>
      <c r="L251" s="149" t="s">
        <v>5536</v>
      </c>
      <c r="M251" s="103" t="s">
        <v>4333</v>
      </c>
      <c r="N251" s="103" t="s">
        <v>4452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5534</v>
      </c>
      <c r="AC251" s="104" t="s">
        <v>5535</v>
      </c>
      <c r="AD251" s="139" t="s">
        <v>5536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5537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4454</v>
      </c>
      <c r="BA251" s="174" t="s">
        <v>4598</v>
      </c>
      <c r="BB251" s="136" t="s">
        <v>4338</v>
      </c>
      <c r="BC251" s="220">
        <f>IF(AY251-KD251=0,"",AY251-O251)</f>
        <v>76</v>
      </c>
      <c r="BD251" s="103" t="str">
        <f>IF(AND(AI251&lt;&gt;"SIM",AI251="UH"),"AA","INDENIZAÇÃO")</f>
        <v>INDENIZAÇÃO</v>
      </c>
      <c r="BE251" s="103" t="str">
        <f>IF(AND(AY251&lt;&gt;"AGUARDANDO",AY251&lt;&gt;"",N251="AUXÍLIO ALUGUEL ATÉ INDENIZAÇÃO"),"SIM","NÃO")</f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4454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4476</v>
      </c>
      <c r="D252" s="103">
        <v>1</v>
      </c>
      <c r="E252" s="103" t="s">
        <v>4432</v>
      </c>
      <c r="F252" s="104" t="s">
        <v>4497</v>
      </c>
      <c r="G252" s="103" t="s">
        <v>4330</v>
      </c>
      <c r="H252" s="103" t="s">
        <v>4331</v>
      </c>
      <c r="I252" s="142" t="s">
        <v>4343</v>
      </c>
      <c r="J252" s="149" t="s">
        <v>5538</v>
      </c>
      <c r="K252" s="149" t="s">
        <v>5539</v>
      </c>
      <c r="L252" s="149" t="s">
        <v>5540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5538</v>
      </c>
      <c r="AC252" s="149" t="s">
        <v>5539</v>
      </c>
      <c r="AD252" s="149" t="s">
        <v>5540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>IF(AY252-KD252=0,"",AY252-O252)</f>
        <v/>
      </c>
      <c r="BD252" s="103" t="str">
        <f>IF(AND(AI252&lt;&gt;"SIM",AI252="UH"),"AA","INDENIZAÇÃO")</f>
        <v>AA</v>
      </c>
      <c r="BE252" s="103" t="str">
        <f>IF(AND(AY252&lt;&gt;"AGUARDANDO",AY252&lt;&gt;"",N252="AUXÍLIO ALUGUEL ATÉ INDENIZAÇÃO"),"SIM","NÃO")</f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4476</v>
      </c>
      <c r="D253" s="103">
        <v>1</v>
      </c>
      <c r="E253" s="103" t="s">
        <v>4432</v>
      </c>
      <c r="F253" s="104" t="s">
        <v>5541</v>
      </c>
      <c r="G253" s="103" t="s">
        <v>4330</v>
      </c>
      <c r="H253" s="103" t="s">
        <v>4331</v>
      </c>
      <c r="I253" s="142" t="s">
        <v>4343</v>
      </c>
      <c r="J253" s="149" t="s">
        <v>5542</v>
      </c>
      <c r="K253" s="149" t="s">
        <v>5543</v>
      </c>
      <c r="L253" s="149" t="s">
        <v>5544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5542</v>
      </c>
      <c r="AC253" s="149" t="s">
        <v>5543</v>
      </c>
      <c r="AD253" s="149" t="s">
        <v>5544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>IF(AY253-KD253=0,"",AY253-O253)</f>
        <v/>
      </c>
      <c r="BD253" s="103" t="str">
        <f>IF(AND(AI253&lt;&gt;"SIM",AI253="UH"),"AA","INDENIZAÇÃO")</f>
        <v>AA</v>
      </c>
      <c r="BE253" s="103" t="str">
        <f>IF(AND(AY253&lt;&gt;"AGUARDANDO",AY253&lt;&gt;"",N253="AUXÍLIO ALUGUEL ATÉ INDENIZAÇÃO"),"SIM","NÃO")</f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4476</v>
      </c>
      <c r="D254" s="103">
        <v>1</v>
      </c>
      <c r="E254" s="103" t="s">
        <v>4432</v>
      </c>
      <c r="F254" s="104" t="s">
        <v>5545</v>
      </c>
      <c r="G254" s="103" t="s">
        <v>4330</v>
      </c>
      <c r="H254" s="103" t="s">
        <v>4331</v>
      </c>
      <c r="I254" s="142" t="s">
        <v>4343</v>
      </c>
      <c r="J254" s="149" t="s">
        <v>5546</v>
      </c>
      <c r="K254" s="149" t="s">
        <v>5547</v>
      </c>
      <c r="L254" s="149" t="s">
        <v>5548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5546</v>
      </c>
      <c r="AC254" s="149" t="s">
        <v>5547</v>
      </c>
      <c r="AD254" s="149" t="s">
        <v>5548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>IF(AY254-KD254=0,"",AY254-O254)</f>
        <v/>
      </c>
      <c r="BD254" s="103" t="str">
        <f>IF(AND(AI254&lt;&gt;"SIM",AI254="UH"),"AA","INDENIZAÇÃO")</f>
        <v>AA</v>
      </c>
      <c r="BE254" s="103" t="str">
        <f>IF(AND(AY254&lt;&gt;"AGUARDANDO",AY254&lt;&gt;"",N254="AUXÍLIO ALUGUEL ATÉ INDENIZAÇÃO"),"SIM","NÃO")</f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4496</v>
      </c>
      <c r="D255" s="103">
        <v>1</v>
      </c>
      <c r="E255" s="103" t="s">
        <v>4432</v>
      </c>
      <c r="F255" s="104" t="s">
        <v>5545</v>
      </c>
      <c r="G255" s="103" t="s">
        <v>4330</v>
      </c>
      <c r="H255" s="103" t="s">
        <v>4331</v>
      </c>
      <c r="I255" s="142" t="s">
        <v>4343</v>
      </c>
      <c r="J255" s="149" t="s">
        <v>5549</v>
      </c>
      <c r="K255" s="149" t="s">
        <v>5550</v>
      </c>
      <c r="L255" s="149" t="s">
        <v>5551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5549</v>
      </c>
      <c r="AC255" s="149" t="s">
        <v>5550</v>
      </c>
      <c r="AD255" s="149" t="s">
        <v>5551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>IF(AY255-KD255=0,"",AY255-O255)</f>
        <v/>
      </c>
      <c r="BD255" s="103" t="str">
        <f>IF(AND(AI255&lt;&gt;"SIM",AI255="UH"),"AA","INDENIZAÇÃO")</f>
        <v>AA</v>
      </c>
      <c r="BE255" s="103" t="str">
        <f>IF(AND(AY255&lt;&gt;"AGUARDANDO",AY255&lt;&gt;"",N255="AUXÍLIO ALUGUEL ATÉ INDENIZAÇÃO"),"SIM","NÃO")</f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4476</v>
      </c>
      <c r="D256" s="103">
        <v>1</v>
      </c>
      <c r="E256" s="103" t="s">
        <v>4432</v>
      </c>
      <c r="F256" s="104" t="s">
        <v>5552</v>
      </c>
      <c r="G256" s="103" t="s">
        <v>4330</v>
      </c>
      <c r="H256" s="103" t="s">
        <v>4331</v>
      </c>
      <c r="I256" s="142" t="s">
        <v>4361</v>
      </c>
      <c r="J256" s="150" t="s">
        <v>5553</v>
      </c>
      <c r="K256" s="149" t="s">
        <v>4432</v>
      </c>
      <c r="L256" s="149" t="s">
        <v>5554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5553</v>
      </c>
      <c r="AC256" s="149" t="s">
        <v>4432</v>
      </c>
      <c r="AD256" s="149" t="s">
        <v>5554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>IF(AY256-KD256=0,"",AY256-O256)</f>
        <v/>
      </c>
      <c r="BD256" s="103" t="str">
        <f>IF(AND(AI256&lt;&gt;"SIM",AI256="UH"),"AA","INDENIZAÇÃO")</f>
        <v>AA</v>
      </c>
      <c r="BE256" s="103" t="str">
        <f>IF(AND(AY256&lt;&gt;"AGUARDANDO",AY256&lt;&gt;"",N256="AUXÍLIO ALUGUEL ATÉ INDENIZAÇÃO"),"SIM","NÃO")</f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4476</v>
      </c>
      <c r="D257" s="103">
        <v>1</v>
      </c>
      <c r="E257" s="103" t="s">
        <v>4432</v>
      </c>
      <c r="F257" s="104" t="s">
        <v>5555</v>
      </c>
      <c r="G257" s="103" t="s">
        <v>4330</v>
      </c>
      <c r="H257" s="103" t="s">
        <v>4331</v>
      </c>
      <c r="I257" s="142" t="s">
        <v>4343</v>
      </c>
      <c r="J257" s="149" t="s">
        <v>5556</v>
      </c>
      <c r="K257" s="149" t="s">
        <v>5557</v>
      </c>
      <c r="L257" s="149" t="s">
        <v>5558</v>
      </c>
      <c r="M257" s="103" t="s">
        <v>4333</v>
      </c>
      <c r="N257" s="103" t="s">
        <v>4452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5556</v>
      </c>
      <c r="AC257" s="104" t="s">
        <v>5557</v>
      </c>
      <c r="AD257" s="104" t="s">
        <v>5558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>IF(AY257-KD257=0,"",AY257-O257)</f>
        <v/>
      </c>
      <c r="BD257" s="103" t="str">
        <f>IF(AND(AI257&lt;&gt;"SIM",AI257="UH"),"AA","INDENIZAÇÃO")</f>
        <v>INDENIZAÇÃO</v>
      </c>
      <c r="BE257" s="103" t="str">
        <f>IF(AND(AY257&lt;&gt;"AGUARDANDO",AY257&lt;&gt;"",N257="AUXÍLIO ALUGUEL ATÉ INDENIZAÇÃO"),"SIM","NÃO")</f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4476</v>
      </c>
      <c r="D258" s="103">
        <v>1</v>
      </c>
      <c r="E258" s="103" t="s">
        <v>4432</v>
      </c>
      <c r="F258" s="104" t="s">
        <v>5559</v>
      </c>
      <c r="G258" s="103" t="s">
        <v>4330</v>
      </c>
      <c r="H258" s="103" t="s">
        <v>4331</v>
      </c>
      <c r="I258" s="142" t="s">
        <v>4343</v>
      </c>
      <c r="J258" s="149" t="s">
        <v>5560</v>
      </c>
      <c r="K258" s="149" t="s">
        <v>5561</v>
      </c>
      <c r="L258" s="149" t="s">
        <v>5562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5560</v>
      </c>
      <c r="AC258" s="149" t="s">
        <v>5561</v>
      </c>
      <c r="AD258" s="149" t="s">
        <v>5562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>IF(AY258-KD258=0,"",AY258-O258)</f>
        <v/>
      </c>
      <c r="BD258" s="103" t="str">
        <f>IF(AND(AI258&lt;&gt;"SIM",AI258="UH"),"AA","INDENIZAÇÃO")</f>
        <v>AA</v>
      </c>
      <c r="BE258" s="103" t="str">
        <f>IF(AND(AY258&lt;&gt;"AGUARDANDO",AY258&lt;&gt;"",N258="AUXÍLIO ALUGUEL ATÉ INDENIZAÇÃO"),"SIM","NÃO")</f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4496</v>
      </c>
      <c r="D259" s="103">
        <v>1</v>
      </c>
      <c r="E259" s="103" t="s">
        <v>4432</v>
      </c>
      <c r="F259" s="104" t="s">
        <v>5559</v>
      </c>
      <c r="G259" s="103" t="s">
        <v>4330</v>
      </c>
      <c r="H259" s="103" t="s">
        <v>4331</v>
      </c>
      <c r="I259" s="142" t="s">
        <v>4343</v>
      </c>
      <c r="J259" s="149" t="s">
        <v>5563</v>
      </c>
      <c r="K259" s="149" t="s">
        <v>5564</v>
      </c>
      <c r="L259" s="149" t="s">
        <v>5565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5563</v>
      </c>
      <c r="AC259" s="149" t="s">
        <v>5564</v>
      </c>
      <c r="AD259" s="149" t="s">
        <v>5565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>IF(AY259-KD259=0,"",AY259-O259)</f>
        <v/>
      </c>
      <c r="BD259" s="103" t="str">
        <f>IF(AND(AI259&lt;&gt;"SIM",AI259="UH"),"AA","INDENIZAÇÃO")</f>
        <v>AA</v>
      </c>
      <c r="BE259" s="103" t="str">
        <f>IF(AND(AY259&lt;&gt;"AGUARDANDO",AY259&lt;&gt;"",N259="AUXÍLIO ALUGUEL ATÉ INDENIZAÇÃO"),"SIM","NÃO")</f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4476</v>
      </c>
      <c r="D260" s="103">
        <v>1</v>
      </c>
      <c r="E260" s="103" t="s">
        <v>4432</v>
      </c>
      <c r="F260" s="104" t="s">
        <v>5566</v>
      </c>
      <c r="G260" s="103" t="s">
        <v>4330</v>
      </c>
      <c r="H260" s="103" t="s">
        <v>4331</v>
      </c>
      <c r="I260" s="142" t="s">
        <v>4343</v>
      </c>
      <c r="J260" s="150" t="s">
        <v>5567</v>
      </c>
      <c r="K260" s="149" t="s">
        <v>5568</v>
      </c>
      <c r="L260" s="149" t="s">
        <v>5569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5567</v>
      </c>
      <c r="AC260" s="149" t="s">
        <v>5568</v>
      </c>
      <c r="AD260" s="149" t="s">
        <v>5569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>IF(AY260-KD260=0,"",AY260-O260)</f>
        <v/>
      </c>
      <c r="BD260" s="103" t="str">
        <f>IF(AND(AI260&lt;&gt;"SIM",AI260="UH"),"AA","INDENIZAÇÃO")</f>
        <v>AA</v>
      </c>
      <c r="BE260" s="103" t="str">
        <f>IF(AND(AY260&lt;&gt;"AGUARDANDO",AY260&lt;&gt;"",N260="AUXÍLIO ALUGUEL ATÉ INDENIZAÇÃO"),"SIM","NÃO")</f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4476</v>
      </c>
      <c r="D261" s="103">
        <v>1</v>
      </c>
      <c r="E261" s="103" t="s">
        <v>4432</v>
      </c>
      <c r="F261" s="104" t="s">
        <v>5570</v>
      </c>
      <c r="G261" s="103" t="s">
        <v>4330</v>
      </c>
      <c r="H261" s="103" t="s">
        <v>4331</v>
      </c>
      <c r="I261" s="142" t="s">
        <v>4361</v>
      </c>
      <c r="J261" s="150" t="s">
        <v>5571</v>
      </c>
      <c r="K261" s="149" t="s">
        <v>5572</v>
      </c>
      <c r="L261" s="149" t="s">
        <v>5573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5571</v>
      </c>
      <c r="AC261" s="149" t="s">
        <v>5572</v>
      </c>
      <c r="AD261" s="149" t="s">
        <v>5573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>IF(AY261-KD261=0,"",AY261-O261)</f>
        <v/>
      </c>
      <c r="BD261" s="103" t="str">
        <f>IF(AND(AI261&lt;&gt;"SIM",AI261="UH"),"AA","INDENIZAÇÃO")</f>
        <v>AA</v>
      </c>
      <c r="BE261" s="103" t="str">
        <f>IF(AND(AY261&lt;&gt;"AGUARDANDO",AY261&lt;&gt;"",N261="AUXÍLIO ALUGUEL ATÉ INDENIZAÇÃO"),"SIM","NÃO")</f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4476</v>
      </c>
      <c r="D262" s="103">
        <v>1</v>
      </c>
      <c r="E262" s="103" t="s">
        <v>4432</v>
      </c>
      <c r="F262" s="104" t="s">
        <v>5574</v>
      </c>
      <c r="G262" s="103" t="s">
        <v>4330</v>
      </c>
      <c r="H262" s="103" t="s">
        <v>4331</v>
      </c>
      <c r="I262" s="142" t="s">
        <v>4343</v>
      </c>
      <c r="J262" s="149" t="s">
        <v>5575</v>
      </c>
      <c r="K262" s="149" t="s">
        <v>5576</v>
      </c>
      <c r="L262" s="149" t="s">
        <v>5577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5575</v>
      </c>
      <c r="AC262" s="149" t="s">
        <v>5576</v>
      </c>
      <c r="AD262" s="149" t="s">
        <v>5577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>IF(AY262-KD262=0,"",AY262-O262)</f>
        <v/>
      </c>
      <c r="BD262" s="103" t="str">
        <f>IF(AND(AI262&lt;&gt;"SIM",AI262="UH"),"AA","INDENIZAÇÃO")</f>
        <v>AA</v>
      </c>
      <c r="BE262" s="103" t="str">
        <f>IF(AND(AY262&lt;&gt;"AGUARDANDO",AY262&lt;&gt;"",N262="AUXÍLIO ALUGUEL ATÉ INDENIZAÇÃO"),"SIM","NÃO")</f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4496</v>
      </c>
      <c r="D263" s="103">
        <v>1</v>
      </c>
      <c r="E263" s="103" t="s">
        <v>4432</v>
      </c>
      <c r="F263" s="104" t="s">
        <v>5574</v>
      </c>
      <c r="G263" s="103" t="s">
        <v>4330</v>
      </c>
      <c r="H263" s="103" t="s">
        <v>4331</v>
      </c>
      <c r="I263" s="142" t="s">
        <v>4343</v>
      </c>
      <c r="J263" s="149" t="s">
        <v>5578</v>
      </c>
      <c r="K263" s="149" t="s">
        <v>5579</v>
      </c>
      <c r="L263" s="149" t="s">
        <v>5580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5578</v>
      </c>
      <c r="AC263" s="149" t="s">
        <v>5579</v>
      </c>
      <c r="AD263" s="149" t="s">
        <v>5580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>IF(AY263-KD263=0,"",AY263-O263)</f>
        <v/>
      </c>
      <c r="BD263" s="103" t="str">
        <f>IF(AND(AI263&lt;&gt;"SIM",AI263="UH"),"AA","INDENIZAÇÃO")</f>
        <v>AA</v>
      </c>
      <c r="BE263" s="103" t="str">
        <f>IF(AND(AY263&lt;&gt;"AGUARDANDO",AY263&lt;&gt;"",N263="AUXÍLIO ALUGUEL ATÉ INDENIZAÇÃO"),"SIM","NÃO")</f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4476</v>
      </c>
      <c r="D264" s="103">
        <v>1</v>
      </c>
      <c r="E264" s="103" t="s">
        <v>4432</v>
      </c>
      <c r="F264" s="104" t="s">
        <v>4543</v>
      </c>
      <c r="G264" s="103" t="s">
        <v>4330</v>
      </c>
      <c r="H264" s="103" t="s">
        <v>4331</v>
      </c>
      <c r="I264" s="142" t="s">
        <v>4343</v>
      </c>
      <c r="J264" s="149" t="s">
        <v>5581</v>
      </c>
      <c r="K264" s="149" t="s">
        <v>4432</v>
      </c>
      <c r="L264" s="149" t="s">
        <v>5582</v>
      </c>
      <c r="M264" s="103" t="s">
        <v>4333</v>
      </c>
      <c r="N264" s="103" t="s">
        <v>4452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5581</v>
      </c>
      <c r="AC264" s="104" t="s">
        <v>4432</v>
      </c>
      <c r="AD264" s="104" t="s">
        <v>5582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5583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4454</v>
      </c>
      <c r="BA264" s="174" t="s">
        <v>4598</v>
      </c>
      <c r="BB264" s="136" t="s">
        <v>4338</v>
      </c>
      <c r="BC264" s="220">
        <f>IF(AY264-KD264=0,"",AY264-O264)</f>
        <v>76</v>
      </c>
      <c r="BD264" s="103" t="str">
        <f>IF(AND(AI264&lt;&gt;"SIM",AI264="UH"),"AA","INDENIZAÇÃO")</f>
        <v>INDENIZAÇÃO</v>
      </c>
      <c r="BE264" s="103" t="str">
        <f>IF(AND(AY264&lt;&gt;"AGUARDANDO",AY264&lt;&gt;"",N264="AUXÍLIO ALUGUEL ATÉ INDENIZAÇÃO"),"SIM","NÃO")</f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4454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4476</v>
      </c>
      <c r="D265" s="103">
        <v>1</v>
      </c>
      <c r="E265" s="103" t="s">
        <v>4432</v>
      </c>
      <c r="F265" s="104" t="s">
        <v>5584</v>
      </c>
      <c r="G265" s="103" t="s">
        <v>4330</v>
      </c>
      <c r="H265" s="103" t="s">
        <v>4331</v>
      </c>
      <c r="I265" s="142" t="s">
        <v>4343</v>
      </c>
      <c r="J265" s="149" t="s">
        <v>5585</v>
      </c>
      <c r="K265" s="149" t="s">
        <v>5586</v>
      </c>
      <c r="L265" s="149" t="s">
        <v>5587</v>
      </c>
      <c r="M265" s="103" t="s">
        <v>4333</v>
      </c>
      <c r="N265" s="103" t="s">
        <v>4452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5585</v>
      </c>
      <c r="AC265" s="104" t="s">
        <v>5586</v>
      </c>
      <c r="AD265" s="104" t="s">
        <v>5587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5588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4454</v>
      </c>
      <c r="BA265" s="107" t="s">
        <v>4598</v>
      </c>
      <c r="BB265" s="136" t="s">
        <v>4338</v>
      </c>
      <c r="BC265" s="220">
        <f>IF(AY265-KD265=0,"",AY265-O265)</f>
        <v>69</v>
      </c>
      <c r="BD265" s="103" t="str">
        <f>IF(AND(AI265&lt;&gt;"SIM",AI265="UH"),"AA","INDENIZAÇÃO")</f>
        <v>INDENIZAÇÃO</v>
      </c>
      <c r="BE265" s="103" t="str">
        <f>IF(AND(AY265&lt;&gt;"AGUARDANDO",AY265&lt;&gt;"",N265="AUXÍLIO ALUGUEL ATÉ INDENIZAÇÃO"),"SIM","NÃO")</f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2" t="s">
        <v>4502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5589</v>
      </c>
      <c r="G266" s="103" t="s">
        <v>4330</v>
      </c>
      <c r="H266" s="103" t="s">
        <v>4331</v>
      </c>
      <c r="I266" s="246" t="s">
        <v>4343</v>
      </c>
      <c r="J266" s="114" t="s">
        <v>5590</v>
      </c>
      <c r="K266" s="149" t="s">
        <v>5591</v>
      </c>
      <c r="L266" s="149" t="s">
        <v>5592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5590</v>
      </c>
      <c r="AC266" s="149" t="s">
        <v>5591</v>
      </c>
      <c r="AD266" s="149" t="s">
        <v>5592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>IF(AY266-KD266=0,"",AY266-O266)</f>
        <v/>
      </c>
      <c r="BD266" s="103" t="str">
        <f>IF(AND(AI266&lt;&gt;"SIM",AI266="UH"),"AA","INDENIZAÇÃO")</f>
        <v>AA</v>
      </c>
      <c r="BE266" s="103" t="str">
        <f>IF(AND(AY266&lt;&gt;"AGUARDANDO",AY266&lt;&gt;"",N266="AUXÍLIO ALUGUEL ATÉ INDENIZAÇÃO"),"SIM","NÃO")</f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4476</v>
      </c>
      <c r="D267" s="103">
        <v>1</v>
      </c>
      <c r="E267" s="103" t="s">
        <v>4432</v>
      </c>
      <c r="F267" s="104" t="s">
        <v>5593</v>
      </c>
      <c r="G267" s="103" t="s">
        <v>4330</v>
      </c>
      <c r="H267" s="103" t="s">
        <v>4331</v>
      </c>
      <c r="I267" s="142" t="s">
        <v>4343</v>
      </c>
      <c r="J267" s="149" t="s">
        <v>5594</v>
      </c>
      <c r="K267" s="149" t="s">
        <v>5595</v>
      </c>
      <c r="L267" s="149" t="s">
        <v>5596</v>
      </c>
      <c r="M267" s="103" t="s">
        <v>4333</v>
      </c>
      <c r="N267" s="103" t="s">
        <v>4452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5594</v>
      </c>
      <c r="AC267" s="104" t="s">
        <v>5595</v>
      </c>
      <c r="AD267" s="104" t="s">
        <v>5596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5597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4454</v>
      </c>
      <c r="BA267" s="107" t="s">
        <v>4598</v>
      </c>
      <c r="BB267" s="136" t="s">
        <v>4338</v>
      </c>
      <c r="BC267" s="220">
        <f>IF(AY267-KD267=0,"",AY267-O267)</f>
        <v>69</v>
      </c>
      <c r="BD267" s="103" t="str">
        <f>IF(AND(AI267&lt;&gt;"SIM",AI267="UH"),"AA","INDENIZAÇÃO")</f>
        <v>INDENIZAÇÃO</v>
      </c>
      <c r="BE267" s="103" t="str">
        <f>IF(AND(AY267&lt;&gt;"AGUARDANDO",AY267&lt;&gt;"",N267="AUXÍLIO ALUGUEL ATÉ INDENIZAÇÃO"),"SIM","NÃO")</f>
        <v>NÃO</v>
      </c>
      <c r="BF267" s="140" t="s">
        <v>4357</v>
      </c>
      <c r="BG267" s="140" t="s">
        <v>4357</v>
      </c>
      <c r="BH267" s="140" t="s">
        <v>4357</v>
      </c>
      <c r="BI267" s="154" t="s">
        <v>4926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5598</v>
      </c>
      <c r="G268" s="103" t="s">
        <v>4330</v>
      </c>
      <c r="H268" s="103" t="s">
        <v>4331</v>
      </c>
      <c r="I268" s="142" t="s">
        <v>4343</v>
      </c>
      <c r="J268" s="149" t="s">
        <v>5599</v>
      </c>
      <c r="K268" s="149" t="s">
        <v>5600</v>
      </c>
      <c r="L268" s="149" t="s">
        <v>5601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5599</v>
      </c>
      <c r="AC268" s="149" t="s">
        <v>5600</v>
      </c>
      <c r="AD268" s="149" t="s">
        <v>5601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>IF(AY268-KD268=0,"",AY268-O268)</f>
        <v/>
      </c>
      <c r="BD268" s="103" t="str">
        <f>IF(AND(AI268&lt;&gt;"SIM",AI268="UH"),"AA","INDENIZAÇÃO")</f>
        <v>AA</v>
      </c>
      <c r="BE268" s="103" t="str">
        <f>IF(AND(AY268&lt;&gt;"AGUARDANDO",AY268&lt;&gt;"",N268="AUXÍLIO ALUGUEL ATÉ INDENIZAÇÃO"),"SIM","NÃO")</f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4476</v>
      </c>
      <c r="D269" s="103">
        <v>1</v>
      </c>
      <c r="E269" s="103" t="s">
        <v>4432</v>
      </c>
      <c r="F269" s="104" t="s">
        <v>5602</v>
      </c>
      <c r="G269" s="103" t="s">
        <v>4330</v>
      </c>
      <c r="H269" s="103" t="s">
        <v>4331</v>
      </c>
      <c r="I269" s="142" t="s">
        <v>4343</v>
      </c>
      <c r="J269" s="149" t="s">
        <v>5603</v>
      </c>
      <c r="K269" s="149" t="s">
        <v>5604</v>
      </c>
      <c r="L269" s="149" t="s">
        <v>5605</v>
      </c>
      <c r="M269" s="103" t="s">
        <v>4333</v>
      </c>
      <c r="N269" s="103" t="s">
        <v>4452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5603</v>
      </c>
      <c r="AC269" s="104" t="s">
        <v>5604</v>
      </c>
      <c r="AD269" s="104" t="s">
        <v>5605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5606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4454</v>
      </c>
      <c r="BA269" s="107" t="s">
        <v>4598</v>
      </c>
      <c r="BB269" s="136" t="s">
        <v>4338</v>
      </c>
      <c r="BC269" s="220">
        <f>IF(AY269-KD269=0,"",AY269-O269)</f>
        <v>69</v>
      </c>
      <c r="BD269" s="103" t="str">
        <f>IF(AND(AI269&lt;&gt;"SIM",AI269="UH"),"AA","INDENIZAÇÃO")</f>
        <v>INDENIZAÇÃO</v>
      </c>
      <c r="BE269" s="103" t="str">
        <f>IF(AND(AY269&lt;&gt;"AGUARDANDO",AY269&lt;&gt;"",N269="AUXÍLIO ALUGUEL ATÉ INDENIZAÇÃO"),"SIM","NÃO")</f>
        <v>NÃO</v>
      </c>
      <c r="BF269" s="140" t="s">
        <v>4357</v>
      </c>
      <c r="BG269" s="140" t="s">
        <v>4357</v>
      </c>
      <c r="BH269" s="140" t="s">
        <v>4357</v>
      </c>
      <c r="BI269" s="154" t="s">
        <v>4926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5607</v>
      </c>
      <c r="G270" s="103" t="s">
        <v>4330</v>
      </c>
      <c r="H270" s="103" t="s">
        <v>4331</v>
      </c>
      <c r="I270" s="142" t="s">
        <v>4343</v>
      </c>
      <c r="J270" s="114" t="s">
        <v>5608</v>
      </c>
      <c r="K270" s="149" t="s">
        <v>4432</v>
      </c>
      <c r="L270" s="149" t="s">
        <v>5609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5608</v>
      </c>
      <c r="AC270" s="149" t="s">
        <v>4432</v>
      </c>
      <c r="AD270" s="149" t="s">
        <v>5609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>IF(AY270-KD270=0,"",AY270-O270)</f>
        <v/>
      </c>
      <c r="BD270" s="103" t="str">
        <f>IF(AND(AI270&lt;&gt;"SIM",AI270="UH"),"AA","INDENIZAÇÃO")</f>
        <v>AA</v>
      </c>
      <c r="BE270" s="103" t="str">
        <f>IF(AND(AY270&lt;&gt;"AGUARDANDO",AY270&lt;&gt;"",N270="AUXÍLIO ALUGUEL ATÉ INDENIZAÇÃO"),"SIM","NÃO")</f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4476</v>
      </c>
      <c r="D271" s="103">
        <v>1</v>
      </c>
      <c r="E271" s="103" t="s">
        <v>4432</v>
      </c>
      <c r="F271" s="104" t="s">
        <v>5610</v>
      </c>
      <c r="G271" s="103" t="s">
        <v>4330</v>
      </c>
      <c r="H271" s="103" t="s">
        <v>4331</v>
      </c>
      <c r="I271" s="142" t="s">
        <v>4343</v>
      </c>
      <c r="J271" s="149" t="s">
        <v>5611</v>
      </c>
      <c r="K271" s="149" t="s">
        <v>5612</v>
      </c>
      <c r="L271" s="149" t="s">
        <v>5613</v>
      </c>
      <c r="M271" s="103" t="s">
        <v>4333</v>
      </c>
      <c r="N271" s="103" t="s">
        <v>4452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5611</v>
      </c>
      <c r="AC271" s="104" t="s">
        <v>5612</v>
      </c>
      <c r="AD271" s="104" t="s">
        <v>5613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5614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4454</v>
      </c>
      <c r="BA271" s="107" t="s">
        <v>4598</v>
      </c>
      <c r="BB271" s="136" t="s">
        <v>4338</v>
      </c>
      <c r="BC271" s="220">
        <f>IF(AY271-KD271=0,"",AY271-O271)</f>
        <v>69</v>
      </c>
      <c r="BD271" s="103" t="str">
        <f>IF(AND(AI271&lt;&gt;"SIM",AI271="UH"),"AA","INDENIZAÇÃO")</f>
        <v>INDENIZAÇÃO</v>
      </c>
      <c r="BE271" s="103" t="str">
        <f>IF(AND(AY271&lt;&gt;"AGUARDANDO",AY271&lt;&gt;"",N271="AUXÍLIO ALUGUEL ATÉ INDENIZAÇÃO"),"SIM","NÃO")</f>
        <v>NÃO</v>
      </c>
      <c r="BF271" s="140" t="s">
        <v>4357</v>
      </c>
      <c r="BG271" s="140" t="s">
        <v>4357</v>
      </c>
      <c r="BH271" s="140" t="s">
        <v>4357</v>
      </c>
      <c r="BI271" s="154" t="s">
        <v>4926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4476</v>
      </c>
      <c r="D272" s="103">
        <v>1</v>
      </c>
      <c r="E272" s="103" t="s">
        <v>4432</v>
      </c>
      <c r="F272" s="104" t="s">
        <v>5615</v>
      </c>
      <c r="G272" s="103" t="s">
        <v>4330</v>
      </c>
      <c r="H272" s="103" t="s">
        <v>4331</v>
      </c>
      <c r="I272" s="142" t="s">
        <v>4343</v>
      </c>
      <c r="J272" s="149" t="s">
        <v>5616</v>
      </c>
      <c r="K272" s="149" t="s">
        <v>5617</v>
      </c>
      <c r="L272" s="149" t="s">
        <v>5618</v>
      </c>
      <c r="M272" s="103" t="s">
        <v>4333</v>
      </c>
      <c r="N272" s="103" t="s">
        <v>4452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5616</v>
      </c>
      <c r="AC272" s="149" t="s">
        <v>5617</v>
      </c>
      <c r="AD272" s="149" t="s">
        <v>5619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5620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6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4454</v>
      </c>
      <c r="BA272" s="174" t="s">
        <v>4598</v>
      </c>
      <c r="BB272" s="136" t="s">
        <v>4338</v>
      </c>
      <c r="BC272" s="220">
        <f>IF(AY272-KD272=0,"",AY272-O272)</f>
        <v>37</v>
      </c>
      <c r="BD272" s="103" t="str">
        <f>IF(AND(AI272&lt;&gt;"SIM",AI272="UH"),"AA","INDENIZAÇÃO")</f>
        <v>INDENIZAÇÃO</v>
      </c>
      <c r="BE272" s="103" t="str">
        <f>IF(AND(AY272&lt;&gt;"AGUARDANDO",AY272&lt;&gt;"",N272="AUXÍLIO ALUGUEL ATÉ INDENIZAÇÃO"),"SIM","NÃO")</f>
        <v>NÃO</v>
      </c>
      <c r="BF272" s="140" t="s">
        <v>4357</v>
      </c>
      <c r="BG272" s="140" t="s">
        <v>4357</v>
      </c>
      <c r="BH272" s="140" t="s">
        <v>4357</v>
      </c>
      <c r="BI272" s="154" t="s">
        <v>4926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4476</v>
      </c>
      <c r="D273" s="103">
        <v>1</v>
      </c>
      <c r="E273" s="103" t="s">
        <v>4432</v>
      </c>
      <c r="F273" s="104" t="s">
        <v>5270</v>
      </c>
      <c r="G273" s="103" t="s">
        <v>4330</v>
      </c>
      <c r="H273" s="103" t="s">
        <v>4331</v>
      </c>
      <c r="I273" s="142" t="s">
        <v>4343</v>
      </c>
      <c r="J273" s="149" t="s">
        <v>5621</v>
      </c>
      <c r="K273" s="149" t="s">
        <v>4457</v>
      </c>
      <c r="L273" s="149" t="s">
        <v>5622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5621</v>
      </c>
      <c r="AC273" s="149" t="s">
        <v>4457</v>
      </c>
      <c r="AD273" s="149" t="s">
        <v>5622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>IF(AY273-KD273=0,"",AY273-O273)</f>
        <v/>
      </c>
      <c r="BD273" s="103" t="str">
        <f>IF(AND(AI273&lt;&gt;"SIM",AI273="UH"),"AA","INDENIZAÇÃO")</f>
        <v>AA</v>
      </c>
      <c r="BE273" s="103" t="str">
        <f>IF(AND(AY273&lt;&gt;"AGUARDANDO",AY273&lt;&gt;"",N273="AUXÍLIO ALUGUEL ATÉ INDENIZAÇÃO"),"SIM","NÃO")</f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4476</v>
      </c>
      <c r="D274" s="103">
        <v>1</v>
      </c>
      <c r="E274" s="103" t="s">
        <v>4432</v>
      </c>
      <c r="F274" s="104" t="s">
        <v>5623</v>
      </c>
      <c r="G274" s="103" t="s">
        <v>4330</v>
      </c>
      <c r="H274" s="103" t="s">
        <v>4331</v>
      </c>
      <c r="I274" s="142" t="s">
        <v>4343</v>
      </c>
      <c r="J274" s="114" t="s">
        <v>5624</v>
      </c>
      <c r="K274" s="149" t="s">
        <v>5625</v>
      </c>
      <c r="L274" s="149" t="s">
        <v>5626</v>
      </c>
      <c r="M274" s="103" t="s">
        <v>4333</v>
      </c>
      <c r="N274" s="103" t="s">
        <v>4452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5624</v>
      </c>
      <c r="AC274" s="149" t="s">
        <v>5625</v>
      </c>
      <c r="AD274" s="149" t="s">
        <v>5626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4454</v>
      </c>
      <c r="AQ274" s="107" t="s">
        <v>5627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>IF(AY274-KD274=0,"",AY274-O274)</f>
        <v/>
      </c>
      <c r="BD274" s="103" t="str">
        <f>IF(AND(AI274&lt;&gt;"SIM",AI274="UH"),"AA","INDENIZAÇÃO")</f>
        <v>INDENIZAÇÃO</v>
      </c>
      <c r="BE274" s="103" t="str">
        <f>IF(AND(AY274&lt;&gt;"AGUARDANDO",AY274&lt;&gt;"",N274="AUXÍLIO ALUGUEL ATÉ INDENIZAÇÃO"),"SIM","NÃO")</f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5628</v>
      </c>
      <c r="G275" s="103" t="s">
        <v>4330</v>
      </c>
      <c r="H275" s="103" t="s">
        <v>4331</v>
      </c>
      <c r="I275" s="142" t="s">
        <v>4343</v>
      </c>
      <c r="J275" s="114" t="s">
        <v>5629</v>
      </c>
      <c r="K275" s="149" t="s">
        <v>5630</v>
      </c>
      <c r="L275" s="149" t="s">
        <v>5631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5629</v>
      </c>
      <c r="AC275" s="149" t="s">
        <v>5630</v>
      </c>
      <c r="AD275" s="149" t="s">
        <v>5631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>IF(AY275-KD275=0,"",AY275-O275)</f>
        <v/>
      </c>
      <c r="BD275" s="103" t="str">
        <f>IF(AND(AI275&lt;&gt;"SIM",AI275="UH"),"AA","INDENIZAÇÃO")</f>
        <v>AA</v>
      </c>
      <c r="BE275" s="103" t="str">
        <f>IF(AND(AY275&lt;&gt;"AGUARDANDO",AY275&lt;&gt;"",N275="AUXÍLIO ALUGUEL ATÉ INDENIZAÇÃO"),"SIM","NÃO")</f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4476</v>
      </c>
      <c r="D276" s="103">
        <v>1</v>
      </c>
      <c r="E276" s="103" t="s">
        <v>4432</v>
      </c>
      <c r="F276" s="104" t="s">
        <v>5632</v>
      </c>
      <c r="G276" s="103" t="s">
        <v>4330</v>
      </c>
      <c r="H276" s="103" t="s">
        <v>4331</v>
      </c>
      <c r="I276" s="142" t="s">
        <v>4343</v>
      </c>
      <c r="J276" s="149" t="s">
        <v>5633</v>
      </c>
      <c r="K276" s="149" t="s">
        <v>4457</v>
      </c>
      <c r="L276" s="149" t="s">
        <v>5634</v>
      </c>
      <c r="M276" s="103" t="s">
        <v>4333</v>
      </c>
      <c r="N276" s="103" t="s">
        <v>4452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5633</v>
      </c>
      <c r="AC276" s="149" t="s">
        <v>4457</v>
      </c>
      <c r="AD276" s="149" t="s">
        <v>5634</v>
      </c>
      <c r="AE276" s="103" t="s">
        <v>4343</v>
      </c>
      <c r="AF276" s="103" t="s">
        <v>5635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5636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4454</v>
      </c>
      <c r="BA276" s="107" t="s">
        <v>4598</v>
      </c>
      <c r="BB276" s="136" t="s">
        <v>4338</v>
      </c>
      <c r="BC276" s="220">
        <f>IF(AY276-KD276=0,"",AY276-O276)</f>
        <v>50</v>
      </c>
      <c r="BD276" s="103" t="str">
        <f>IF(AND(AI276&lt;&gt;"SIM",AI276="UH"),"AA","INDENIZAÇÃO")</f>
        <v>INDENIZAÇÃO</v>
      </c>
      <c r="BE276" s="103" t="str">
        <f>IF(AND(AY276&lt;&gt;"AGUARDANDO",AY276&lt;&gt;"",N276="AUXÍLIO ALUGUEL ATÉ INDENIZAÇÃO"),"SIM","NÃO")</f>
        <v>NÃO</v>
      </c>
      <c r="BF276" s="140" t="s">
        <v>4357</v>
      </c>
      <c r="BG276" s="140" t="s">
        <v>4357</v>
      </c>
      <c r="BH276" s="140" t="s">
        <v>4357</v>
      </c>
      <c r="BI276" s="154" t="s">
        <v>4926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4476</v>
      </c>
      <c r="D277" s="103">
        <v>1</v>
      </c>
      <c r="E277" s="103" t="s">
        <v>4432</v>
      </c>
      <c r="F277" s="104" t="s">
        <v>5637</v>
      </c>
      <c r="G277" s="103" t="s">
        <v>4330</v>
      </c>
      <c r="H277" s="103" t="s">
        <v>4331</v>
      </c>
      <c r="I277" s="142" t="s">
        <v>4343</v>
      </c>
      <c r="J277" s="149" t="s">
        <v>5638</v>
      </c>
      <c r="K277" s="149" t="s">
        <v>4432</v>
      </c>
      <c r="L277" s="149" t="s">
        <v>5639</v>
      </c>
      <c r="M277" s="103" t="s">
        <v>4333</v>
      </c>
      <c r="N277" s="103" t="s">
        <v>4452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5638</v>
      </c>
      <c r="AC277" s="104" t="s">
        <v>4432</v>
      </c>
      <c r="AD277" s="104" t="s">
        <v>5639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5640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4454</v>
      </c>
      <c r="BA277" s="174" t="s">
        <v>4598</v>
      </c>
      <c r="BB277" s="136" t="s">
        <v>4338</v>
      </c>
      <c r="BC277" s="220">
        <f>IF(AY277-KD277=0,"",AY277-O277)</f>
        <v>41</v>
      </c>
      <c r="BD277" s="103" t="str">
        <f>IF(AND(AI277&lt;&gt;"SIM",AI277="UH"),"AA","INDENIZAÇÃO")</f>
        <v>INDENIZAÇÃO</v>
      </c>
      <c r="BE277" s="103" t="str">
        <f>IF(AND(AY277&lt;&gt;"AGUARDANDO",AY277&lt;&gt;"",N277="AUXÍLIO ALUGUEL ATÉ INDENIZAÇÃO"),"SIM","NÃO")</f>
        <v>NÃO</v>
      </c>
      <c r="BF277" s="140" t="s">
        <v>4357</v>
      </c>
      <c r="BG277" s="140" t="s">
        <v>4357</v>
      </c>
      <c r="BH277" s="140" t="s">
        <v>4357</v>
      </c>
      <c r="BI277" s="154" t="s">
        <v>4926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5641</v>
      </c>
      <c r="G278" s="103" t="s">
        <v>4330</v>
      </c>
      <c r="H278" s="103" t="s">
        <v>4331</v>
      </c>
      <c r="I278" s="142" t="s">
        <v>4343</v>
      </c>
      <c r="J278" s="149" t="s">
        <v>5642</v>
      </c>
      <c r="K278" s="149" t="s">
        <v>4432</v>
      </c>
      <c r="L278" s="149" t="s">
        <v>5643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5642</v>
      </c>
      <c r="AC278" s="149" t="s">
        <v>4432</v>
      </c>
      <c r="AD278" s="149" t="s">
        <v>5643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6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>IF(AY278-KD278=0,"",AY278-O278)</f>
        <v/>
      </c>
      <c r="BD278" s="103" t="str">
        <f>IF(AND(AI278&lt;&gt;"SIM",AI278="UH"),"AA","INDENIZAÇÃO")</f>
        <v>INDENIZAÇÃO</v>
      </c>
      <c r="BE278" s="103" t="str">
        <f>IF(AND(AY278&lt;&gt;"AGUARDANDO",AY278&lt;&gt;"",N278="AUXÍLIO ALUGUEL ATÉ INDENIZAÇÃO"),"SIM","NÃO")</f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4604</v>
      </c>
      <c r="G279" s="103" t="s">
        <v>4330</v>
      </c>
      <c r="H279" s="103" t="s">
        <v>4352</v>
      </c>
      <c r="I279" s="142" t="s">
        <v>4343</v>
      </c>
      <c r="J279" s="149" t="s">
        <v>5644</v>
      </c>
      <c r="K279" s="149" t="s">
        <v>5645</v>
      </c>
      <c r="L279" s="149" t="s">
        <v>5646</v>
      </c>
      <c r="M279" s="103" t="s">
        <v>4333</v>
      </c>
      <c r="N279" s="103" t="s">
        <v>4452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5644</v>
      </c>
      <c r="AC279" s="149" t="s">
        <v>5645</v>
      </c>
      <c r="AD279" s="149" t="s">
        <v>5646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5647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6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4454</v>
      </c>
      <c r="BA279" s="107" t="s">
        <v>4598</v>
      </c>
      <c r="BB279" s="136" t="s">
        <v>4338</v>
      </c>
      <c r="BC279" s="220">
        <f>IF(AY279-KD279=0,"",AY279-O279)</f>
        <v>43</v>
      </c>
      <c r="BD279" s="103" t="str">
        <f>IF(AND(AI279&lt;&gt;"SIM",AI279="UH"),"AA","INDENIZAÇÃO")</f>
        <v>INDENIZAÇÃO</v>
      </c>
      <c r="BE279" s="103" t="str">
        <f>IF(AND(AY279&lt;&gt;"AGUARDANDO",AY279&lt;&gt;"",N279="AUXÍLIO ALUGUEL ATÉ INDENIZAÇÃO"),"SIM","NÃO")</f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4454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5648</v>
      </c>
      <c r="G280" s="103" t="s">
        <v>4330</v>
      </c>
      <c r="H280" s="103" t="s">
        <v>4331</v>
      </c>
      <c r="I280" s="142" t="s">
        <v>4361</v>
      </c>
      <c r="J280" s="114" t="s">
        <v>5649</v>
      </c>
      <c r="K280" s="149" t="s">
        <v>4457</v>
      </c>
      <c r="L280" s="149" t="s">
        <v>5650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5649</v>
      </c>
      <c r="AC280" s="149" t="s">
        <v>4457</v>
      </c>
      <c r="AD280" s="149" t="s">
        <v>5650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>IF(AY280-KD280=0,"",AY280-O280)</f>
        <v/>
      </c>
      <c r="BD280" s="103" t="str">
        <f>IF(AND(AI280&lt;&gt;"SIM",AI280="UH"),"AA","INDENIZAÇÃO")</f>
        <v>AA</v>
      </c>
      <c r="BE280" s="103" t="str">
        <f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5602</v>
      </c>
      <c r="G281" s="103" t="s">
        <v>4330</v>
      </c>
      <c r="H281" s="103" t="s">
        <v>4331</v>
      </c>
      <c r="I281" s="142" t="s">
        <v>4343</v>
      </c>
      <c r="J281" s="149" t="s">
        <v>5651</v>
      </c>
      <c r="K281" s="149" t="s">
        <v>4432</v>
      </c>
      <c r="L281" s="149" t="s">
        <v>5652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5651</v>
      </c>
      <c r="AC281" s="149" t="s">
        <v>4432</v>
      </c>
      <c r="AD281" s="149" t="s">
        <v>5652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>IF(AY281-KD281=0,"",AY281-O281)</f>
        <v/>
      </c>
      <c r="BD281" s="103" t="str">
        <f>IF(AND(AI281&lt;&gt;"SIM",AI281="UH"),"AA","INDENIZAÇÃO")</f>
        <v>AA</v>
      </c>
      <c r="BE281" s="103" t="str">
        <f>IF(AND(AY281&lt;&gt;"AGUARDANDO",AY281&lt;&gt;"",N281="AUXÍLIO ALUGUEL ATÉ INDENIZAÇÃO"),"SIM","NÃO")</f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4476</v>
      </c>
      <c r="D282" s="103">
        <v>1</v>
      </c>
      <c r="E282" s="103" t="s">
        <v>4432</v>
      </c>
      <c r="F282" s="104" t="s">
        <v>4772</v>
      </c>
      <c r="G282" s="103" t="s">
        <v>4330</v>
      </c>
      <c r="H282" s="103" t="s">
        <v>4331</v>
      </c>
      <c r="I282" s="142" t="s">
        <v>4343</v>
      </c>
      <c r="J282" s="149" t="s">
        <v>5653</v>
      </c>
      <c r="K282" s="149" t="s">
        <v>5654</v>
      </c>
      <c r="L282" s="149" t="s">
        <v>5655</v>
      </c>
      <c r="M282" s="103" t="s">
        <v>4333</v>
      </c>
      <c r="N282" s="103" t="s">
        <v>4452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5653</v>
      </c>
      <c r="AC282" s="104" t="s">
        <v>5654</v>
      </c>
      <c r="AD282" s="104" t="s">
        <v>5655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5656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4454</v>
      </c>
      <c r="BA282" s="107" t="s">
        <v>4598</v>
      </c>
      <c r="BB282" s="136" t="s">
        <v>4338</v>
      </c>
      <c r="BC282" s="220">
        <f>IF(AY282-KD282=0,"",AY282-O282)</f>
        <v>63</v>
      </c>
      <c r="BD282" s="103" t="str">
        <f>IF(AND(AI282&lt;&gt;"SIM",AI282="UH"),"AA","INDENIZAÇÃO")</f>
        <v>INDENIZAÇÃO</v>
      </c>
      <c r="BE282" s="103" t="str">
        <f>IF(AND(AY282&lt;&gt;"AGUARDANDO",AY282&lt;&gt;"",N282="AUXÍLIO ALUGUEL ATÉ INDENIZAÇÃO"),"SIM","NÃO")</f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4454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4476</v>
      </c>
      <c r="D283" s="103">
        <v>1</v>
      </c>
      <c r="E283" s="103" t="s">
        <v>4432</v>
      </c>
      <c r="F283" s="104" t="s">
        <v>5657</v>
      </c>
      <c r="G283" s="103" t="s">
        <v>4330</v>
      </c>
      <c r="H283" s="103" t="s">
        <v>4331</v>
      </c>
      <c r="I283" s="142" t="s">
        <v>4343</v>
      </c>
      <c r="J283" s="149" t="s">
        <v>5658</v>
      </c>
      <c r="K283" s="149" t="s">
        <v>4457</v>
      </c>
      <c r="L283" s="149" t="s">
        <v>5659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5658</v>
      </c>
      <c r="AC283" s="149" t="s">
        <v>4457</v>
      </c>
      <c r="AD283" s="149" t="s">
        <v>5659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>IF(AY283-KD283=0,"",AY283-O283)</f>
        <v/>
      </c>
      <c r="BD283" s="103" t="str">
        <f>IF(AND(AI283&lt;&gt;"SIM",AI283="UH"),"AA","INDENIZAÇÃO")</f>
        <v>INDENIZAÇÃO</v>
      </c>
      <c r="BE283" s="103" t="str">
        <f>IF(AND(AY283&lt;&gt;"AGUARDANDO",AY283&lt;&gt;"",N283="AUXÍLIO ALUGUEL ATÉ INDENIZAÇÃO"),"SIM","NÃO")</f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4476</v>
      </c>
      <c r="D284" s="103">
        <v>1</v>
      </c>
      <c r="E284" s="103" t="s">
        <v>4432</v>
      </c>
      <c r="F284" s="104" t="s">
        <v>5660</v>
      </c>
      <c r="G284" s="103" t="s">
        <v>4330</v>
      </c>
      <c r="H284" s="103" t="s">
        <v>4331</v>
      </c>
      <c r="I284" s="142" t="s">
        <v>4343</v>
      </c>
      <c r="J284" s="149" t="s">
        <v>5661</v>
      </c>
      <c r="K284" s="149" t="s">
        <v>5662</v>
      </c>
      <c r="L284" s="149" t="s">
        <v>5663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5661</v>
      </c>
      <c r="AC284" s="149" t="s">
        <v>5662</v>
      </c>
      <c r="AD284" s="149" t="s">
        <v>5663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>IF(AY284-KD284=0,"",AY284-O284)</f>
        <v/>
      </c>
      <c r="BD284" s="103" t="str">
        <f>IF(AND(AI284&lt;&gt;"SIM",AI284="UH"),"AA","INDENIZAÇÃO")</f>
        <v>AA</v>
      </c>
      <c r="BE284" s="103" t="str">
        <f>IF(AND(AY284&lt;&gt;"AGUARDANDO",AY284&lt;&gt;"",N284="AUXÍLIO ALUGUEL ATÉ INDENIZAÇÃO"),"SIM","NÃO")</f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5660</v>
      </c>
      <c r="G285" s="103" t="s">
        <v>4330</v>
      </c>
      <c r="H285" s="103" t="s">
        <v>4331</v>
      </c>
      <c r="I285" s="142" t="s">
        <v>4343</v>
      </c>
      <c r="J285" s="114" t="s">
        <v>5664</v>
      </c>
      <c r="K285" s="149" t="s">
        <v>5665</v>
      </c>
      <c r="L285" s="149" t="s">
        <v>5666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5664</v>
      </c>
      <c r="AC285" s="149" t="s">
        <v>5665</v>
      </c>
      <c r="AD285" s="149" t="s">
        <v>5666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>IF(AY285-KD285=0,"",AY285-O285)</f>
        <v/>
      </c>
      <c r="BD285" s="103" t="str">
        <f>IF(AND(AI285&lt;&gt;"SIM",AI285="UH"),"AA","INDENIZAÇÃO")</f>
        <v>AA</v>
      </c>
      <c r="BE285" s="103" t="str">
        <f>IF(AND(AY285&lt;&gt;"AGUARDANDO",AY285&lt;&gt;"",N285="AUXÍLIO ALUGUEL ATÉ INDENIZAÇÃO"),"SIM","NÃO")</f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4476</v>
      </c>
      <c r="D286" s="103">
        <v>1</v>
      </c>
      <c r="E286" s="103" t="s">
        <v>4432</v>
      </c>
      <c r="F286" s="104" t="s">
        <v>5298</v>
      </c>
      <c r="G286" s="103" t="s">
        <v>4330</v>
      </c>
      <c r="H286" s="103" t="s">
        <v>4331</v>
      </c>
      <c r="I286" s="142" t="s">
        <v>4343</v>
      </c>
      <c r="J286" s="149" t="s">
        <v>5667</v>
      </c>
      <c r="K286" s="149" t="s">
        <v>5668</v>
      </c>
      <c r="L286" s="149" t="s">
        <v>5669</v>
      </c>
      <c r="M286" s="103" t="s">
        <v>4333</v>
      </c>
      <c r="N286" s="103" t="s">
        <v>4452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5667</v>
      </c>
      <c r="AC286" s="104" t="s">
        <v>5668</v>
      </c>
      <c r="AD286" s="104" t="s">
        <v>5669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4454</v>
      </c>
      <c r="BA286" s="174" t="s">
        <v>4598</v>
      </c>
      <c r="BB286" s="136" t="s">
        <v>4338</v>
      </c>
      <c r="BC286" s="220">
        <f>IF(AY286-KD286=0,"",AY286-O286)</f>
        <v>63</v>
      </c>
      <c r="BD286" s="103" t="str">
        <f>IF(AND(AI286&lt;&gt;"SIM",AI286="UH"),"AA","INDENIZAÇÃO")</f>
        <v>INDENIZAÇÃO</v>
      </c>
      <c r="BE286" s="103" t="str">
        <f>IF(AND(AY286&lt;&gt;"AGUARDANDO",AY286&lt;&gt;"",N286="AUXÍLIO ALUGUEL ATÉ INDENIZAÇÃO"),"SIM","NÃO")</f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4454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5429</v>
      </c>
      <c r="G287" s="103" t="s">
        <v>4330</v>
      </c>
      <c r="H287" s="103" t="s">
        <v>4331</v>
      </c>
      <c r="I287" s="142" t="s">
        <v>4343</v>
      </c>
      <c r="J287" s="149" t="s">
        <v>5671</v>
      </c>
      <c r="K287" s="149" t="s">
        <v>5672</v>
      </c>
      <c r="L287" s="149" t="s">
        <v>5673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5671</v>
      </c>
      <c r="AC287" s="149" t="s">
        <v>5672</v>
      </c>
      <c r="AD287" s="149" t="s">
        <v>5673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>IF(AY287-KD287=0,"",AY287-O287)</f>
        <v/>
      </c>
      <c r="BD287" s="103" t="str">
        <f>IF(AND(AI287&lt;&gt;"SIM",AI287="UH"),"AA","INDENIZAÇÃO")</f>
        <v>AA</v>
      </c>
      <c r="BE287" s="103" t="str">
        <f>IF(AND(AY287&lt;&gt;"AGUARDANDO",AY287&lt;&gt;"",N287="AUXÍLIO ALUGUEL ATÉ INDENIZAÇÃO"),"SIM","NÃO")</f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4476</v>
      </c>
      <c r="D288" s="103">
        <v>1</v>
      </c>
      <c r="E288" s="103" t="s">
        <v>4432</v>
      </c>
      <c r="F288" s="104" t="s">
        <v>5674</v>
      </c>
      <c r="G288" s="103" t="s">
        <v>4330</v>
      </c>
      <c r="H288" s="103" t="s">
        <v>4331</v>
      </c>
      <c r="I288" s="142" t="s">
        <v>4343</v>
      </c>
      <c r="J288" s="149" t="s">
        <v>5675</v>
      </c>
      <c r="K288" s="149" t="s">
        <v>5676</v>
      </c>
      <c r="L288" s="149" t="s">
        <v>5677</v>
      </c>
      <c r="M288" s="103" t="s">
        <v>4333</v>
      </c>
      <c r="N288" s="103" t="s">
        <v>4452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5675</v>
      </c>
      <c r="AC288" s="104" t="s">
        <v>5676</v>
      </c>
      <c r="AD288" s="104" t="s">
        <v>5677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5678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4454</v>
      </c>
      <c r="BA288" s="174" t="s">
        <v>4598</v>
      </c>
      <c r="BB288" s="136" t="s">
        <v>4338</v>
      </c>
      <c r="BC288" s="220">
        <f>IF(AY288-KD288=0,"",AY288-O288)</f>
        <v>77</v>
      </c>
      <c r="BD288" s="103" t="str">
        <f>IF(AND(AI288&lt;&gt;"SIM",AI288="UH"),"AA","INDENIZAÇÃO")</f>
        <v>INDENIZAÇÃO</v>
      </c>
      <c r="BE288" s="103" t="str">
        <f>IF(AND(AY288&lt;&gt;"AGUARDANDO",AY288&lt;&gt;"",N288="AUXÍLIO ALUGUEL ATÉ INDENIZAÇÃO"),"SIM","NÃO")</f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2" t="s">
        <v>4502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4476</v>
      </c>
      <c r="D289" s="103">
        <v>1</v>
      </c>
      <c r="E289" s="103" t="s">
        <v>4432</v>
      </c>
      <c r="F289" s="104" t="s">
        <v>5679</v>
      </c>
      <c r="G289" s="103" t="s">
        <v>4330</v>
      </c>
      <c r="H289" s="103" t="s">
        <v>4331</v>
      </c>
      <c r="I289" s="142" t="s">
        <v>4343</v>
      </c>
      <c r="J289" s="149" t="s">
        <v>5680</v>
      </c>
      <c r="K289" s="149" t="s">
        <v>5681</v>
      </c>
      <c r="L289" s="149" t="s">
        <v>5682</v>
      </c>
      <c r="M289" s="103" t="s">
        <v>4333</v>
      </c>
      <c r="N289" s="103" t="s">
        <v>4452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5680</v>
      </c>
      <c r="AC289" s="104" t="s">
        <v>5681</v>
      </c>
      <c r="AD289" s="104" t="s">
        <v>5682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5683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4454</v>
      </c>
      <c r="BA289" s="107" t="s">
        <v>4598</v>
      </c>
      <c r="BB289" s="136" t="s">
        <v>4338</v>
      </c>
      <c r="BC289" s="220">
        <f>IF(AY289-KD289=0,"",AY289-O289)</f>
        <v>84</v>
      </c>
      <c r="BD289" s="103" t="str">
        <f>IF(AND(AI289&lt;&gt;"SIM",AI289="UH"),"AA","INDENIZAÇÃO")</f>
        <v>INDENIZAÇÃO</v>
      </c>
      <c r="BE289" s="103" t="str">
        <f>IF(AND(AY289&lt;&gt;"AGUARDANDO",AY289&lt;&gt;"",N289="AUXÍLIO ALUGUEL ATÉ INDENIZAÇÃO"),"SIM","NÃO")</f>
        <v>NÃO</v>
      </c>
      <c r="BF289" s="112" t="s">
        <v>4357</v>
      </c>
      <c r="BG289" s="112" t="s">
        <v>4357</v>
      </c>
      <c r="BH289" s="112" t="s">
        <v>4357</v>
      </c>
      <c r="BI289" s="109" t="s">
        <v>4926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4613</v>
      </c>
      <c r="G290" s="103" t="s">
        <v>4330</v>
      </c>
      <c r="H290" s="103" t="s">
        <v>4331</v>
      </c>
      <c r="I290" s="142" t="s">
        <v>4343</v>
      </c>
      <c r="J290" s="149" t="s">
        <v>5684</v>
      </c>
      <c r="K290" s="149" t="s">
        <v>5685</v>
      </c>
      <c r="L290" s="149" t="s">
        <v>5686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5684</v>
      </c>
      <c r="AC290" s="149" t="s">
        <v>5685</v>
      </c>
      <c r="AD290" s="149" t="s">
        <v>5686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>IF(AY290-KD290=0,"",AY290-O290)</f>
        <v/>
      </c>
      <c r="BD290" s="103" t="str">
        <f>IF(AND(AI290&lt;&gt;"SIM",AI290="UH"),"AA","INDENIZAÇÃO")</f>
        <v>AA</v>
      </c>
      <c r="BE290" s="103" t="str">
        <f>IF(AND(AY290&lt;&gt;"AGUARDANDO",AY290&lt;&gt;"",N290="AUXÍLIO ALUGUEL ATÉ INDENIZAÇÃO"),"SIM","NÃO")</f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5687</v>
      </c>
      <c r="G291" s="103" t="s">
        <v>4330</v>
      </c>
      <c r="H291" s="103" t="s">
        <v>4331</v>
      </c>
      <c r="I291" s="142" t="s">
        <v>4343</v>
      </c>
      <c r="J291" s="149" t="s">
        <v>5688</v>
      </c>
      <c r="K291" s="149" t="s">
        <v>4432</v>
      </c>
      <c r="L291" s="149" t="s">
        <v>5689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5688</v>
      </c>
      <c r="AC291" s="149" t="s">
        <v>4432</v>
      </c>
      <c r="AD291" s="149" t="s">
        <v>5689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>IF(AY291-KD291=0,"",AY291-O291)</f>
        <v/>
      </c>
      <c r="BD291" s="103" t="str">
        <f>IF(AND(AI291&lt;&gt;"SIM",AI291="UH"),"AA","INDENIZAÇÃO")</f>
        <v>AA</v>
      </c>
      <c r="BE291" s="103" t="str">
        <f>IF(AND(AY291&lt;&gt;"AGUARDANDO",AY291&lt;&gt;"",N291="AUXÍLIO ALUGUEL ATÉ INDENIZAÇÃO"),"SIM","NÃO")</f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4476</v>
      </c>
      <c r="D292" s="103">
        <v>1</v>
      </c>
      <c r="E292" s="103" t="s">
        <v>4432</v>
      </c>
      <c r="F292" s="104" t="s">
        <v>5690</v>
      </c>
      <c r="G292" s="103" t="s">
        <v>4330</v>
      </c>
      <c r="H292" s="103" t="s">
        <v>4331</v>
      </c>
      <c r="I292" s="142" t="s">
        <v>4343</v>
      </c>
      <c r="J292" s="149" t="s">
        <v>5691</v>
      </c>
      <c r="K292" s="149" t="s">
        <v>5692</v>
      </c>
      <c r="L292" s="149" t="s">
        <v>5693</v>
      </c>
      <c r="M292" s="103" t="s">
        <v>4333</v>
      </c>
      <c r="N292" s="103" t="s">
        <v>4452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5691</v>
      </c>
      <c r="AC292" s="104" t="s">
        <v>5692</v>
      </c>
      <c r="AD292" s="104" t="s">
        <v>5693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5694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4454</v>
      </c>
      <c r="BA292" s="174" t="s">
        <v>4598</v>
      </c>
      <c r="BB292" s="136" t="s">
        <v>4338</v>
      </c>
      <c r="BC292" s="220">
        <f>IF(AY292-KD292=0,"",AY292-O292)</f>
        <v>63</v>
      </c>
      <c r="BD292" s="103" t="str">
        <f>IF(AND(AI292&lt;&gt;"SIM",AI292="UH"),"AA","INDENIZAÇÃO")</f>
        <v>INDENIZAÇÃO</v>
      </c>
      <c r="BE292" s="103" t="str">
        <f>IF(AND(AY292&lt;&gt;"AGUARDANDO",AY292&lt;&gt;"",N292="AUXÍLIO ALUGUEL ATÉ INDENIZAÇÃO"),"SIM","NÃO")</f>
        <v>NÃO</v>
      </c>
      <c r="BF292" s="112" t="s">
        <v>4357</v>
      </c>
      <c r="BG292" s="112" t="s">
        <v>4357</v>
      </c>
      <c r="BH292" s="112" t="s">
        <v>4357</v>
      </c>
      <c r="BI292" s="109" t="s">
        <v>4926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5695</v>
      </c>
      <c r="G293" s="103" t="s">
        <v>4330</v>
      </c>
      <c r="H293" s="103" t="s">
        <v>4331</v>
      </c>
      <c r="I293" s="142" t="s">
        <v>4343</v>
      </c>
      <c r="J293" s="149" t="s">
        <v>5696</v>
      </c>
      <c r="K293" s="149" t="s">
        <v>5697</v>
      </c>
      <c r="L293" s="149" t="s">
        <v>5698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5696</v>
      </c>
      <c r="AC293" s="149" t="s">
        <v>5697</v>
      </c>
      <c r="AD293" s="149" t="s">
        <v>5698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>IF(AY293-KD293=0,"",AY293-O293)</f>
        <v/>
      </c>
      <c r="BD293" s="103" t="str">
        <f>IF(AND(AI293&lt;&gt;"SIM",AI293="UH"),"AA","INDENIZAÇÃO")</f>
        <v>AA</v>
      </c>
      <c r="BE293" s="103" t="str">
        <f>IF(AND(AY293&lt;&gt;"AGUARDANDO",AY293&lt;&gt;"",N293="AUXÍLIO ALUGUEL ATÉ INDENIZAÇÃO"),"SIM","NÃO")</f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4476</v>
      </c>
      <c r="D294" s="103">
        <v>1</v>
      </c>
      <c r="E294" s="103" t="s">
        <v>4432</v>
      </c>
      <c r="F294" s="104" t="s">
        <v>5589</v>
      </c>
      <c r="G294" s="103" t="s">
        <v>4330</v>
      </c>
      <c r="H294" s="103" t="s">
        <v>4352</v>
      </c>
      <c r="I294" s="142" t="s">
        <v>4343</v>
      </c>
      <c r="J294" s="114" t="s">
        <v>5699</v>
      </c>
      <c r="K294" s="149" t="s">
        <v>5700</v>
      </c>
      <c r="L294" s="149" t="s">
        <v>5701</v>
      </c>
      <c r="M294" s="103" t="s">
        <v>4333</v>
      </c>
      <c r="N294" s="103" t="s">
        <v>4452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5699</v>
      </c>
      <c r="AC294" s="149" t="s">
        <v>5700</v>
      </c>
      <c r="AD294" s="149" t="s">
        <v>5701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5702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4454</v>
      </c>
      <c r="BA294" s="174" t="s">
        <v>4598</v>
      </c>
      <c r="BB294" s="136" t="s">
        <v>4338</v>
      </c>
      <c r="BC294" s="220">
        <f>IF(AY294-KD294=0,"",AY294-O294)</f>
        <v>46</v>
      </c>
      <c r="BD294" s="103" t="str">
        <f>IF(AND(AI294&lt;&gt;"SIM",AI294="UH"),"AA","INDENIZAÇÃO")</f>
        <v>INDENIZAÇÃO</v>
      </c>
      <c r="BE294" s="103" t="str">
        <f>IF(AND(AY294&lt;&gt;"AGUARDANDO",AY294&lt;&gt;"",N294="AUXÍLIO ALUGUEL ATÉ INDENIZAÇÃO"),"SIM","NÃO")</f>
        <v>NÃO</v>
      </c>
      <c r="BF294" s="112" t="s">
        <v>4357</v>
      </c>
      <c r="BG294" s="112" t="s">
        <v>4357</v>
      </c>
      <c r="BH294" s="112" t="s">
        <v>4357</v>
      </c>
      <c r="BI294" s="109" t="s">
        <v>4926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4476</v>
      </c>
      <c r="D295" s="103">
        <v>1</v>
      </c>
      <c r="E295" s="103" t="s">
        <v>4432</v>
      </c>
      <c r="F295" s="104" t="s">
        <v>5598</v>
      </c>
      <c r="G295" s="103" t="s">
        <v>4330</v>
      </c>
      <c r="H295" s="103" t="s">
        <v>4331</v>
      </c>
      <c r="I295" s="142" t="s">
        <v>4343</v>
      </c>
      <c r="J295" s="114" t="s">
        <v>5703</v>
      </c>
      <c r="K295" s="149" t="s">
        <v>5704</v>
      </c>
      <c r="L295" s="149" t="s">
        <v>5705</v>
      </c>
      <c r="M295" s="103" t="s">
        <v>4333</v>
      </c>
      <c r="N295" s="103" t="s">
        <v>4452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5703</v>
      </c>
      <c r="AC295" s="139" t="s">
        <v>5704</v>
      </c>
      <c r="AD295" s="139" t="s">
        <v>5705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5706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4454</v>
      </c>
      <c r="BA295" s="174" t="s">
        <v>4598</v>
      </c>
      <c r="BB295" s="136" t="s">
        <v>4338</v>
      </c>
      <c r="BC295" s="220">
        <f>IF(AY295-KD295=0,"",AY295-O295)</f>
        <v>63</v>
      </c>
      <c r="BD295" s="103" t="str">
        <f>IF(AND(AI295&lt;&gt;"SIM",AI295="UH"),"AA","INDENIZAÇÃO")</f>
        <v>INDENIZAÇÃO</v>
      </c>
      <c r="BE295" s="103" t="str">
        <f>IF(AND(AY295&lt;&gt;"AGUARDANDO",AY295&lt;&gt;"",N295="AUXÍLIO ALUGUEL ATÉ INDENIZAÇÃO"),"SIM","NÃO")</f>
        <v>NÃO</v>
      </c>
      <c r="BF295" s="112" t="s">
        <v>4357</v>
      </c>
      <c r="BG295" s="112" t="s">
        <v>4357</v>
      </c>
      <c r="BH295" s="112" t="s">
        <v>4357</v>
      </c>
      <c r="BI295" s="109" t="s">
        <v>4926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5707</v>
      </c>
      <c r="G296" s="103" t="s">
        <v>4330</v>
      </c>
      <c r="H296" s="103" t="s">
        <v>4331</v>
      </c>
      <c r="I296" s="142" t="s">
        <v>4343</v>
      </c>
      <c r="J296" s="114" t="s">
        <v>5708</v>
      </c>
      <c r="K296" s="149" t="s">
        <v>5709</v>
      </c>
      <c r="L296" s="149" t="s">
        <v>5710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5708</v>
      </c>
      <c r="AC296" s="149" t="s">
        <v>5709</v>
      </c>
      <c r="AD296" s="149" t="s">
        <v>5710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>IF(AY296-KD296=0,"",AY296-O296)</f>
        <v/>
      </c>
      <c r="BD296" s="103" t="str">
        <f>IF(AND(AI296&lt;&gt;"SIM",AI296="UH"),"AA","INDENIZAÇÃO")</f>
        <v>AA</v>
      </c>
      <c r="BE296" s="103" t="str">
        <f>IF(AND(AY296&lt;&gt;"AGUARDANDO",AY296&lt;&gt;"",N296="AUXÍLIO ALUGUEL ATÉ INDENIZAÇÃO"),"SIM","NÃO")</f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5711</v>
      </c>
      <c r="G297" s="103" t="s">
        <v>4330</v>
      </c>
      <c r="H297" s="103" t="s">
        <v>4331</v>
      </c>
      <c r="I297" s="142" t="s">
        <v>4343</v>
      </c>
      <c r="J297" s="114" t="s">
        <v>5712</v>
      </c>
      <c r="K297" s="149" t="s">
        <v>5713</v>
      </c>
      <c r="L297" s="149" t="s">
        <v>5714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5712</v>
      </c>
      <c r="AC297" s="149" t="s">
        <v>5713</v>
      </c>
      <c r="AD297" s="149" t="s">
        <v>5714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>IF(AY297-KD297=0,"",AY297-O297)</f>
        <v/>
      </c>
      <c r="BD297" s="103" t="str">
        <f>IF(AND(AI297&lt;&gt;"SIM",AI297="UH"),"AA","INDENIZAÇÃO")</f>
        <v>AA</v>
      </c>
      <c r="BE297" s="103" t="str">
        <f>IF(AND(AY297&lt;&gt;"AGUARDANDO",AY297&lt;&gt;"",N297="AUXÍLIO ALUGUEL ATÉ INDENIZAÇÃO"),"SIM","NÃO")</f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5715</v>
      </c>
      <c r="G298" s="103" t="s">
        <v>4330</v>
      </c>
      <c r="H298" s="103" t="s">
        <v>4331</v>
      </c>
      <c r="I298" s="142" t="s">
        <v>4343</v>
      </c>
      <c r="J298" s="149" t="s">
        <v>5716</v>
      </c>
      <c r="K298" s="149" t="s">
        <v>5717</v>
      </c>
      <c r="L298" s="149" t="s">
        <v>5718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5716</v>
      </c>
      <c r="AC298" s="149" t="s">
        <v>5717</v>
      </c>
      <c r="AD298" s="149" t="s">
        <v>5718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>IF(AY298-KD298=0,"",AY298-O298)</f>
        <v/>
      </c>
      <c r="BD298" s="103" t="str">
        <f>IF(AND(AI298&lt;&gt;"SIM",AI298="UH"),"AA","INDENIZAÇÃO")</f>
        <v>AA</v>
      </c>
      <c r="BE298" s="103" t="str">
        <f>IF(AND(AY298&lt;&gt;"AGUARDANDO",AY298&lt;&gt;"",N298="AUXÍLIO ALUGUEL ATÉ INDENIZAÇÃO"),"SIM","NÃO")</f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4476</v>
      </c>
      <c r="D299" s="103">
        <v>1</v>
      </c>
      <c r="E299" s="103" t="s">
        <v>4432</v>
      </c>
      <c r="F299" s="104" t="s">
        <v>5628</v>
      </c>
      <c r="G299" s="103" t="s">
        <v>4330</v>
      </c>
      <c r="H299" s="103" t="s">
        <v>4331</v>
      </c>
      <c r="I299" s="142" t="s">
        <v>4343</v>
      </c>
      <c r="J299" s="114" t="s">
        <v>5719</v>
      </c>
      <c r="K299" s="149" t="s">
        <v>4432</v>
      </c>
      <c r="L299" s="149" t="s">
        <v>5720</v>
      </c>
      <c r="M299" s="103" t="s">
        <v>4333</v>
      </c>
      <c r="N299" s="103" t="s">
        <v>4452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5719</v>
      </c>
      <c r="AC299" s="104" t="s">
        <v>4432</v>
      </c>
      <c r="AD299" s="139" t="s">
        <v>5720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5721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4454</v>
      </c>
      <c r="BA299" s="174" t="s">
        <v>4598</v>
      </c>
      <c r="BB299" s="136" t="s">
        <v>4338</v>
      </c>
      <c r="BC299" s="220">
        <f>IF(AY299-KD299=0,"",AY299-O299)</f>
        <v>63</v>
      </c>
      <c r="BD299" s="103" t="str">
        <f>IF(AND(AI299&lt;&gt;"SIM",AI299="UH"),"AA","INDENIZAÇÃO")</f>
        <v>INDENIZAÇÃO</v>
      </c>
      <c r="BE299" s="103" t="str">
        <f>IF(AND(AY299&lt;&gt;"AGUARDANDO",AY299&lt;&gt;"",N299="AUXÍLIO ALUGUEL ATÉ INDENIZAÇÃO"),"SIM","NÃO")</f>
        <v>NÃO</v>
      </c>
      <c r="BF299" s="112" t="s">
        <v>4357</v>
      </c>
      <c r="BG299" s="112" t="s">
        <v>4357</v>
      </c>
      <c r="BH299" s="112" t="s">
        <v>4357</v>
      </c>
      <c r="BI299" s="109" t="s">
        <v>4926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4476</v>
      </c>
      <c r="D300" s="103">
        <v>1</v>
      </c>
      <c r="E300" s="103" t="s">
        <v>4432</v>
      </c>
      <c r="F300" s="104" t="s">
        <v>5722</v>
      </c>
      <c r="G300" s="103" t="s">
        <v>4330</v>
      </c>
      <c r="H300" s="103" t="s">
        <v>4331</v>
      </c>
      <c r="I300" s="142" t="s">
        <v>4343</v>
      </c>
      <c r="J300" s="114" t="s">
        <v>5723</v>
      </c>
      <c r="K300" s="149" t="s">
        <v>4432</v>
      </c>
      <c r="L300" s="149" t="s">
        <v>5724</v>
      </c>
      <c r="M300" s="103" t="s">
        <v>4333</v>
      </c>
      <c r="N300" s="103" t="s">
        <v>4452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5723</v>
      </c>
      <c r="AC300" s="104" t="s">
        <v>4432</v>
      </c>
      <c r="AD300" s="139" t="s">
        <v>5724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5725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4454</v>
      </c>
      <c r="BA300" s="107" t="s">
        <v>4598</v>
      </c>
      <c r="BB300" s="136" t="s">
        <v>4338</v>
      </c>
      <c r="BC300" s="220">
        <f>IF(AY300-KD300=0,"",AY300-O300)</f>
        <v>63</v>
      </c>
      <c r="BD300" s="103" t="str">
        <f>IF(AND(AI300&lt;&gt;"SIM",AI300="UH"),"AA","INDENIZAÇÃO")</f>
        <v>INDENIZAÇÃO</v>
      </c>
      <c r="BE300" s="103" t="str">
        <f>IF(AND(AY300&lt;&gt;"AGUARDANDO",AY300&lt;&gt;"",N300="AUXÍLIO ALUGUEL ATÉ INDENIZAÇÃO"),"SIM","NÃO")</f>
        <v>NÃO</v>
      </c>
      <c r="BF300" s="140" t="s">
        <v>4357</v>
      </c>
      <c r="BG300" s="140" t="s">
        <v>4357</v>
      </c>
      <c r="BH300" s="140" t="s">
        <v>4357</v>
      </c>
      <c r="BI300" s="154" t="s">
        <v>4926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5726</v>
      </c>
      <c r="G301" s="103" t="s">
        <v>4330</v>
      </c>
      <c r="H301" s="103" t="s">
        <v>4331</v>
      </c>
      <c r="I301" s="142" t="s">
        <v>4343</v>
      </c>
      <c r="J301" s="149" t="s">
        <v>5727</v>
      </c>
      <c r="K301" s="149" t="s">
        <v>5728</v>
      </c>
      <c r="L301" s="149" t="s">
        <v>5729</v>
      </c>
      <c r="M301" s="103" t="s">
        <v>4333</v>
      </c>
      <c r="N301" s="103" t="s">
        <v>4452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5727</v>
      </c>
      <c r="AC301" s="149" t="s">
        <v>5728</v>
      </c>
      <c r="AD301" s="149" t="s">
        <v>5729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3" t="s">
        <v>5730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4454</v>
      </c>
      <c r="AZ301" s="225"/>
      <c r="BA301" s="264" t="s">
        <v>4330</v>
      </c>
      <c r="BB301" s="112"/>
      <c r="BC301" s="220" t="e">
        <f>IF(AY301-KD301=0,"",AY301-O301)</f>
        <v>#VALUE!</v>
      </c>
      <c r="BD301" s="103" t="str">
        <f>IF(AND(AI301&lt;&gt;"SIM",AI301="UH"),"AA","INDENIZAÇÃO")</f>
        <v>INDENIZAÇÃO</v>
      </c>
      <c r="BE301" s="103" t="str">
        <f>IF(AND(AY301&lt;&gt;"AGUARDANDO",AY301&lt;&gt;"",N301="AUXÍLIO ALUGUEL ATÉ INDENIZAÇÃO"),"SIM","NÃO")</f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4476</v>
      </c>
      <c r="D302" s="103">
        <v>1</v>
      </c>
      <c r="E302" s="103" t="s">
        <v>4432</v>
      </c>
      <c r="F302" s="104" t="s">
        <v>5641</v>
      </c>
      <c r="G302" s="103" t="s">
        <v>4330</v>
      </c>
      <c r="H302" s="103" t="s">
        <v>4331</v>
      </c>
      <c r="I302" s="246" t="s">
        <v>4343</v>
      </c>
      <c r="J302" s="114" t="s">
        <v>5731</v>
      </c>
      <c r="K302" s="149" t="s">
        <v>5732</v>
      </c>
      <c r="L302" s="149" t="s">
        <v>5733</v>
      </c>
      <c r="M302" s="103" t="s">
        <v>4333</v>
      </c>
      <c r="N302" s="103" t="s">
        <v>4452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5731</v>
      </c>
      <c r="AC302" s="139" t="s">
        <v>5732</v>
      </c>
      <c r="AD302" s="139" t="s">
        <v>5733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5734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4454</v>
      </c>
      <c r="BA302" s="107" t="s">
        <v>4598</v>
      </c>
      <c r="BB302" s="136" t="s">
        <v>4338</v>
      </c>
      <c r="BC302" s="220">
        <f>IF(AY302-KD302=0,"",AY302-O302)</f>
        <v>63</v>
      </c>
      <c r="BD302" s="103" t="str">
        <f>IF(AND(AI302&lt;&gt;"SIM",AI302="UH"),"AA","INDENIZAÇÃO")</f>
        <v>INDENIZAÇÃO</v>
      </c>
      <c r="BE302" s="103" t="str">
        <f>IF(AND(AY302&lt;&gt;"AGUARDANDO",AY302&lt;&gt;"",N302="AUXÍLIO ALUGUEL ATÉ INDENIZAÇÃO"),"SIM","NÃO")</f>
        <v>NÃO</v>
      </c>
      <c r="BF302" s="112" t="s">
        <v>4357</v>
      </c>
      <c r="BG302" s="112" t="s">
        <v>4357</v>
      </c>
      <c r="BH302" s="112" t="s">
        <v>4357</v>
      </c>
      <c r="BI302" s="109" t="s">
        <v>4926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5735</v>
      </c>
      <c r="G303" s="143" t="s">
        <v>4330</v>
      </c>
      <c r="H303" s="143" t="s">
        <v>4331</v>
      </c>
      <c r="I303" s="152" t="s">
        <v>5303</v>
      </c>
      <c r="J303" s="149" t="s">
        <v>5736</v>
      </c>
      <c r="K303" s="169" t="s">
        <v>5737</v>
      </c>
      <c r="L303" s="169" t="s">
        <v>5738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5739</v>
      </c>
      <c r="AC303" s="144" t="s">
        <v>5740</v>
      </c>
      <c r="AD303" s="144" t="s">
        <v>5741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5742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4575</v>
      </c>
      <c r="BB303" s="136" t="s">
        <v>4338</v>
      </c>
      <c r="BC303" s="220">
        <f>IF(AY303-KD303=0,"",AY303-O303)</f>
        <v>147</v>
      </c>
      <c r="BD303" s="103" t="str">
        <f>IF(AND(AI303&lt;&gt;"SIM",AI303="UH"),"AA","INDENIZAÇÃO")</f>
        <v>INDENIZAÇÃO</v>
      </c>
      <c r="BE303" s="103" t="str">
        <f>IF(AND(AY303&lt;&gt;"AGUARDANDO",AY303&lt;&gt;"",N303="AUXÍLIO ALUGUEL ATÉ INDENIZAÇÃO"),"SIM","NÃO")</f>
        <v>NÃO</v>
      </c>
      <c r="BF303" s="140" t="s">
        <v>4357</v>
      </c>
      <c r="BG303" s="140" t="s">
        <v>4357</v>
      </c>
      <c r="BH303" s="140" t="s">
        <v>4357</v>
      </c>
      <c r="BI303" s="154" t="s">
        <v>4926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4476</v>
      </c>
      <c r="D304" s="103">
        <v>1</v>
      </c>
      <c r="E304" s="103" t="s">
        <v>4432</v>
      </c>
      <c r="F304" s="104" t="s">
        <v>5743</v>
      </c>
      <c r="G304" s="103" t="s">
        <v>4330</v>
      </c>
      <c r="H304" s="103" t="s">
        <v>4331</v>
      </c>
      <c r="I304" s="142" t="s">
        <v>4343</v>
      </c>
      <c r="J304" s="149" t="s">
        <v>5744</v>
      </c>
      <c r="K304" s="149" t="s">
        <v>4432</v>
      </c>
      <c r="L304" s="149" t="s">
        <v>5745</v>
      </c>
      <c r="M304" s="103" t="s">
        <v>4333</v>
      </c>
      <c r="N304" s="103" t="s">
        <v>4452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5744</v>
      </c>
      <c r="AC304" s="149" t="s">
        <v>4432</v>
      </c>
      <c r="AD304" s="149" t="s">
        <v>5745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5746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4454</v>
      </c>
      <c r="BA304" s="107" t="s">
        <v>4598</v>
      </c>
      <c r="BB304" s="136" t="s">
        <v>4338</v>
      </c>
      <c r="BC304" s="220">
        <f>IF(AY304-KD304=0,"",AY304-O304)</f>
        <v>62</v>
      </c>
      <c r="BD304" s="103" t="str">
        <f>IF(AND(AI304&lt;&gt;"SIM",AI304="UH"),"AA","INDENIZAÇÃO")</f>
        <v>INDENIZAÇÃO</v>
      </c>
      <c r="BE304" s="103" t="str">
        <f>IF(AND(AY304&lt;&gt;"AGUARDANDO",AY304&lt;&gt;"",N304="AUXÍLIO ALUGUEL ATÉ INDENIZAÇÃO"),"SIM","NÃO")</f>
        <v>NÃO</v>
      </c>
      <c r="BF304" s="112" t="s">
        <v>4357</v>
      </c>
      <c r="BG304" s="112" t="s">
        <v>4357</v>
      </c>
      <c r="BH304" s="112" t="s">
        <v>4357</v>
      </c>
      <c r="BI304" s="109" t="s">
        <v>4926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4476</v>
      </c>
      <c r="D305" s="103">
        <v>1</v>
      </c>
      <c r="E305" s="103" t="s">
        <v>4432</v>
      </c>
      <c r="F305" s="104" t="s">
        <v>5747</v>
      </c>
      <c r="G305" s="103" t="s">
        <v>4330</v>
      </c>
      <c r="H305" s="103" t="s">
        <v>4331</v>
      </c>
      <c r="I305" s="246" t="s">
        <v>4343</v>
      </c>
      <c r="J305" s="149" t="s">
        <v>5748</v>
      </c>
      <c r="K305" s="149" t="s">
        <v>5749</v>
      </c>
      <c r="L305" s="149" t="s">
        <v>5750</v>
      </c>
      <c r="M305" s="103" t="s">
        <v>4333</v>
      </c>
      <c r="N305" s="103" t="s">
        <v>4452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5748</v>
      </c>
      <c r="AC305" s="149" t="s">
        <v>5749</v>
      </c>
      <c r="AD305" s="149" t="s">
        <v>5750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5751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4454</v>
      </c>
      <c r="BA305" s="107" t="s">
        <v>4598</v>
      </c>
      <c r="BB305" s="136" t="s">
        <v>4338</v>
      </c>
      <c r="BC305" s="220">
        <f>IF(AY305-KD305=0,"",AY305-O305)</f>
        <v>50</v>
      </c>
      <c r="BD305" s="103" t="str">
        <f>IF(AND(AI305&lt;&gt;"SIM",AI305="UH"),"AA","INDENIZAÇÃO")</f>
        <v>INDENIZAÇÃO</v>
      </c>
      <c r="BE305" s="103" t="str">
        <f>IF(AND(AY305&lt;&gt;"AGUARDANDO",AY305&lt;&gt;"",N305="AUXÍLIO ALUGUEL ATÉ INDENIZAÇÃO"),"SIM","NÃO")</f>
        <v>NÃO</v>
      </c>
      <c r="BF305" s="140" t="s">
        <v>4357</v>
      </c>
      <c r="BG305" s="140" t="s">
        <v>4357</v>
      </c>
      <c r="BH305" s="140" t="s">
        <v>4357</v>
      </c>
      <c r="BI305" s="154" t="s">
        <v>4926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4476</v>
      </c>
      <c r="D306" s="103">
        <v>1</v>
      </c>
      <c r="E306" s="103" t="s">
        <v>4432</v>
      </c>
      <c r="F306" s="104" t="s">
        <v>5752</v>
      </c>
      <c r="G306" s="103" t="s">
        <v>4330</v>
      </c>
      <c r="H306" s="103" t="s">
        <v>4331</v>
      </c>
      <c r="I306" s="142" t="s">
        <v>4343</v>
      </c>
      <c r="J306" s="149" t="s">
        <v>5753</v>
      </c>
      <c r="K306" s="149" t="s">
        <v>5754</v>
      </c>
      <c r="L306" s="149" t="s">
        <v>5755</v>
      </c>
      <c r="M306" s="103" t="s">
        <v>4333</v>
      </c>
      <c r="N306" s="103" t="s">
        <v>4452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5753</v>
      </c>
      <c r="AC306" s="149" t="s">
        <v>5754</v>
      </c>
      <c r="AD306" s="149" t="s">
        <v>5755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5756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4454</v>
      </c>
      <c r="BA306" s="174" t="s">
        <v>4598</v>
      </c>
      <c r="BB306" s="136" t="s">
        <v>4338</v>
      </c>
      <c r="BC306" s="220">
        <f>IF(AY306-KD306=0,"",AY306-O306)</f>
        <v>81</v>
      </c>
      <c r="BD306" s="103" t="str">
        <f>IF(AND(AI306&lt;&gt;"SIM",AI306="UH"),"AA","INDENIZAÇÃO")</f>
        <v>INDENIZAÇÃO</v>
      </c>
      <c r="BE306" s="103" t="str">
        <f>IF(AND(AY306&lt;&gt;"AGUARDANDO",AY306&lt;&gt;"",N306="AUXÍLIO ALUGUEL ATÉ INDENIZAÇÃO"),"SIM","NÃO")</f>
        <v>NÃO</v>
      </c>
      <c r="BF306" s="112" t="s">
        <v>4357</v>
      </c>
      <c r="BG306" s="112" t="s">
        <v>4357</v>
      </c>
      <c r="BH306" s="112" t="s">
        <v>4357</v>
      </c>
      <c r="BI306" s="109" t="s">
        <v>4926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5757</v>
      </c>
      <c r="G307" s="103" t="s">
        <v>4330</v>
      </c>
      <c r="H307" s="103" t="s">
        <v>4331</v>
      </c>
      <c r="I307" s="142" t="s">
        <v>4343</v>
      </c>
      <c r="J307" s="149" t="s">
        <v>5758</v>
      </c>
      <c r="K307" s="149" t="s">
        <v>5759</v>
      </c>
      <c r="L307" s="149" t="s">
        <v>5760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5758</v>
      </c>
      <c r="AC307" s="149" t="s">
        <v>5759</v>
      </c>
      <c r="AD307" s="149" t="s">
        <v>5760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>IF(AY307-KD307=0,"",AY307-O307)</f>
        <v/>
      </c>
      <c r="BD307" s="103" t="str">
        <f>IF(AND(AI307&lt;&gt;"SIM",AI307="UH"),"AA","INDENIZAÇÃO")</f>
        <v>AA</v>
      </c>
      <c r="BE307" s="103" t="str">
        <f>IF(AND(AY307&lt;&gt;"AGUARDANDO",AY307&lt;&gt;"",N307="AUXÍLIO ALUGUEL ATÉ INDENIZAÇÃO"),"SIM","NÃO")</f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4476</v>
      </c>
      <c r="D308" s="103">
        <v>1</v>
      </c>
      <c r="E308" s="103" t="s">
        <v>4432</v>
      </c>
      <c r="F308" s="104" t="s">
        <v>5761</v>
      </c>
      <c r="G308" s="103" t="s">
        <v>4330</v>
      </c>
      <c r="H308" s="103" t="s">
        <v>4331</v>
      </c>
      <c r="I308" s="142" t="s">
        <v>4343</v>
      </c>
      <c r="J308" s="149" t="s">
        <v>5762</v>
      </c>
      <c r="K308" s="149" t="s">
        <v>5763</v>
      </c>
      <c r="L308" s="149" t="s">
        <v>5764</v>
      </c>
      <c r="M308" s="103" t="s">
        <v>4333</v>
      </c>
      <c r="N308" s="103" t="s">
        <v>4452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5762</v>
      </c>
      <c r="AC308" s="149" t="s">
        <v>5763</v>
      </c>
      <c r="AD308" s="149" t="s">
        <v>5764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5765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4454</v>
      </c>
      <c r="BA308" s="174" t="s">
        <v>4598</v>
      </c>
      <c r="BB308" s="136" t="s">
        <v>4338</v>
      </c>
      <c r="BC308" s="220">
        <f>IF(AY308-KD308=0,"",AY308-O308)</f>
        <v>50</v>
      </c>
      <c r="BD308" s="103" t="str">
        <f>IF(AND(AI308&lt;&gt;"SIM",AI308="UH"),"AA","INDENIZAÇÃO")</f>
        <v>INDENIZAÇÃO</v>
      </c>
      <c r="BE308" s="103" t="str">
        <f>IF(AND(AY308&lt;&gt;"AGUARDANDO",AY308&lt;&gt;"",N308="AUXÍLIO ALUGUEL ATÉ INDENIZAÇÃO"),"SIM","NÃO")</f>
        <v>NÃO</v>
      </c>
      <c r="BF308" s="112" t="s">
        <v>4357</v>
      </c>
      <c r="BG308" s="112" t="s">
        <v>4357</v>
      </c>
      <c r="BH308" s="112" t="s">
        <v>4357</v>
      </c>
      <c r="BI308" s="109" t="s">
        <v>4926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4476</v>
      </c>
      <c r="D309" s="103">
        <v>1</v>
      </c>
      <c r="E309" s="103" t="s">
        <v>4432</v>
      </c>
      <c r="F309" s="104" t="s">
        <v>5766</v>
      </c>
      <c r="G309" s="103" t="s">
        <v>4330</v>
      </c>
      <c r="H309" s="103" t="s">
        <v>4331</v>
      </c>
      <c r="I309" s="142" t="s">
        <v>4440</v>
      </c>
      <c r="J309" s="114" t="s">
        <v>5767</v>
      </c>
      <c r="K309" s="149" t="s">
        <v>5768</v>
      </c>
      <c r="L309" s="149" t="s">
        <v>5769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5770</v>
      </c>
      <c r="AC309" s="149" t="s">
        <v>5771</v>
      </c>
      <c r="AD309" s="149" t="s">
        <v>5772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5773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4454</v>
      </c>
      <c r="BA309" s="107" t="s">
        <v>4598</v>
      </c>
      <c r="BB309" s="136" t="s">
        <v>4338</v>
      </c>
      <c r="BC309" s="220">
        <f>IF(AY309-KD309=0,"",AY309-O309)</f>
        <v>130</v>
      </c>
      <c r="BD309" s="103" t="str">
        <f>IF(AND(AI309&lt;&gt;"SIM",AI309="UH"),"AA","INDENIZAÇÃO")</f>
        <v>INDENIZAÇÃO</v>
      </c>
      <c r="BE309" s="103" t="str">
        <f>IF(AND(AY309&lt;&gt;"AGUARDANDO",AY309&lt;&gt;"",N309="AUXÍLIO ALUGUEL ATÉ INDENIZAÇÃO"),"SIM","NÃO")</f>
        <v>NÃO</v>
      </c>
      <c r="BF309" s="112" t="s">
        <v>4357</v>
      </c>
      <c r="BG309" s="112" t="s">
        <v>4357</v>
      </c>
      <c r="BH309" s="112" t="s">
        <v>4357</v>
      </c>
      <c r="BI309" s="109" t="s">
        <v>4926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4588</v>
      </c>
      <c r="G310" s="103" t="s">
        <v>4330</v>
      </c>
      <c r="H310" s="103" t="s">
        <v>4331</v>
      </c>
      <c r="I310" s="142" t="s">
        <v>4343</v>
      </c>
      <c r="J310" s="149" t="s">
        <v>5774</v>
      </c>
      <c r="K310" s="149" t="s">
        <v>5775</v>
      </c>
      <c r="L310" s="149" t="s">
        <v>5776</v>
      </c>
      <c r="M310" s="103" t="s">
        <v>4333</v>
      </c>
      <c r="N310" s="103" t="s">
        <v>4452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5774</v>
      </c>
      <c r="AC310" s="149" t="s">
        <v>5775</v>
      </c>
      <c r="AD310" s="149" t="s">
        <v>5776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5777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4454</v>
      </c>
      <c r="BA310" s="107" t="s">
        <v>4598</v>
      </c>
      <c r="BB310" s="136" t="s">
        <v>4338</v>
      </c>
      <c r="BC310" s="220">
        <f>IF(AY310-KD310=0,"",AY310-O310)</f>
        <v>43</v>
      </c>
      <c r="BD310" s="103" t="str">
        <f>IF(AND(AI310&lt;&gt;"SIM",AI310="UH"),"AA","INDENIZAÇÃO")</f>
        <v>INDENIZAÇÃO</v>
      </c>
      <c r="BE310" s="103" t="str">
        <f>IF(AND(AY310&lt;&gt;"AGUARDANDO",AY310&lt;&gt;"",N310="AUXÍLIO ALUGUEL ATÉ INDENIZAÇÃO"),"SIM","NÃO")</f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4454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4627</v>
      </c>
      <c r="G311" s="103" t="s">
        <v>4330</v>
      </c>
      <c r="H311" s="103" t="s">
        <v>4331</v>
      </c>
      <c r="I311" s="142" t="s">
        <v>4343</v>
      </c>
      <c r="J311" s="149" t="s">
        <v>5778</v>
      </c>
      <c r="K311" s="149" t="s">
        <v>5779</v>
      </c>
      <c r="L311" s="149" t="s">
        <v>5780</v>
      </c>
      <c r="M311" s="103" t="s">
        <v>4333</v>
      </c>
      <c r="N311" s="103" t="s">
        <v>4452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5778</v>
      </c>
      <c r="AC311" s="149" t="s">
        <v>5779</v>
      </c>
      <c r="AD311" s="149" t="s">
        <v>5780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5781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4454</v>
      </c>
      <c r="BA311" s="107" t="s">
        <v>4598</v>
      </c>
      <c r="BB311" s="136" t="s">
        <v>4338</v>
      </c>
      <c r="BC311" s="220">
        <f>IF(AY311-KD311=0,"",AY311-O311)</f>
        <v>53</v>
      </c>
      <c r="BD311" s="103" t="str">
        <f>IF(AND(AI311&lt;&gt;"SIM",AI311="UH"),"AA","INDENIZAÇÃO")</f>
        <v>INDENIZAÇÃO</v>
      </c>
      <c r="BE311" s="103" t="str">
        <f>IF(AND(AY311&lt;&gt;"AGUARDANDO",AY311&lt;&gt;"",N311="AUXÍLIO ALUGUEL ATÉ INDENIZAÇÃO"),"SIM","NÃO")</f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4454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4476</v>
      </c>
      <c r="D312" s="103">
        <v>1</v>
      </c>
      <c r="E312" s="103" t="s">
        <v>4432</v>
      </c>
      <c r="F312" s="104" t="s">
        <v>5782</v>
      </c>
      <c r="G312" s="103" t="s">
        <v>4330</v>
      </c>
      <c r="H312" s="103" t="s">
        <v>4331</v>
      </c>
      <c r="I312" s="142" t="s">
        <v>4343</v>
      </c>
      <c r="J312" s="149" t="s">
        <v>5783</v>
      </c>
      <c r="K312" s="149" t="s">
        <v>5784</v>
      </c>
      <c r="L312" s="149" t="s">
        <v>5785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5783</v>
      </c>
      <c r="AC312" s="104" t="s">
        <v>5784</v>
      </c>
      <c r="AD312" s="104" t="s">
        <v>5785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>IF(AY312-KD312=0,"",AY312-O312)</f>
        <v/>
      </c>
      <c r="BD312" s="103" t="str">
        <f>IF(AND(AI312&lt;&gt;"SIM",AI312="UH"),"AA","INDENIZAÇÃO")</f>
        <v>AA</v>
      </c>
      <c r="BE312" s="103" t="str">
        <f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4476</v>
      </c>
      <c r="D313" s="103">
        <v>1</v>
      </c>
      <c r="E313" s="103" t="s">
        <v>4432</v>
      </c>
      <c r="F313" s="104" t="s">
        <v>5786</v>
      </c>
      <c r="G313" s="103" t="s">
        <v>4330</v>
      </c>
      <c r="H313" s="103" t="s">
        <v>4331</v>
      </c>
      <c r="I313" s="142" t="s">
        <v>4343</v>
      </c>
      <c r="J313" s="149" t="s">
        <v>5787</v>
      </c>
      <c r="K313" s="149" t="s">
        <v>5788</v>
      </c>
      <c r="L313" s="149" t="s">
        <v>5789</v>
      </c>
      <c r="M313" s="103" t="s">
        <v>4333</v>
      </c>
      <c r="N313" s="103" t="s">
        <v>4452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5787</v>
      </c>
      <c r="AC313" s="149" t="s">
        <v>5788</v>
      </c>
      <c r="AD313" s="149" t="s">
        <v>5789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>IF(AY313-KD313=0,"",AY313-O313)</f>
        <v/>
      </c>
      <c r="BD313" s="103" t="str">
        <f>IF(AND(AI313&lt;&gt;"SIM",AI313="UH"),"AA","INDENIZAÇÃO")</f>
        <v>INDENIZAÇÃO</v>
      </c>
      <c r="BE313" s="103" t="str">
        <f>IF(AND(AY313&lt;&gt;"AGUARDANDO",AY313&lt;&gt;"",N313="AUXÍLIO ALUGUEL ATÉ INDENIZAÇÃO"),"SIM","NÃO")</f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4476</v>
      </c>
      <c r="D314" s="103">
        <v>1</v>
      </c>
      <c r="E314" s="103" t="s">
        <v>4432</v>
      </c>
      <c r="F314" s="104" t="s">
        <v>5790</v>
      </c>
      <c r="G314" s="103" t="s">
        <v>4330</v>
      </c>
      <c r="H314" s="103" t="s">
        <v>4352</v>
      </c>
      <c r="I314" s="142" t="s">
        <v>4343</v>
      </c>
      <c r="J314" s="149" t="s">
        <v>5791</v>
      </c>
      <c r="K314" s="149" t="s">
        <v>4432</v>
      </c>
      <c r="L314" s="149" t="s">
        <v>5792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5791</v>
      </c>
      <c r="AC314" s="149" t="s">
        <v>4432</v>
      </c>
      <c r="AD314" s="149" t="s">
        <v>5792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>IF(AY314-KD314=0,"",AY314-O314)</f>
        <v/>
      </c>
      <c r="BD314" s="103" t="str">
        <f>IF(AND(AI314&lt;&gt;"SIM",AI314="UH"),"AA","INDENIZAÇÃO")</f>
        <v>AA</v>
      </c>
      <c r="BE314" s="103" t="str">
        <f>IF(AND(AY314&lt;&gt;"AGUARDANDO",AY314&lt;&gt;"",N314="AUXÍLIO ALUGUEL ATÉ INDENIZAÇÃO"),"SIM","NÃO")</f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4476</v>
      </c>
      <c r="D315" s="103">
        <v>1</v>
      </c>
      <c r="E315" s="103" t="s">
        <v>4432</v>
      </c>
      <c r="F315" s="104" t="s">
        <v>5793</v>
      </c>
      <c r="G315" s="103" t="s">
        <v>4330</v>
      </c>
      <c r="H315" s="103" t="s">
        <v>4331</v>
      </c>
      <c r="I315" s="142" t="s">
        <v>4343</v>
      </c>
      <c r="J315" s="149" t="s">
        <v>5794</v>
      </c>
      <c r="K315" s="149" t="s">
        <v>5795</v>
      </c>
      <c r="L315" s="149" t="s">
        <v>5796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5794</v>
      </c>
      <c r="AC315" s="149" t="s">
        <v>5795</v>
      </c>
      <c r="AD315" s="149" t="s">
        <v>5796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>IF(AY315-KD315=0,"",AY315-O315)</f>
        <v/>
      </c>
      <c r="BD315" s="103" t="str">
        <f>IF(AND(AI315&lt;&gt;"SIM",AI315="UH"),"AA","INDENIZAÇÃO")</f>
        <v>AA</v>
      </c>
      <c r="BE315" s="103" t="str">
        <f>IF(AND(AY315&lt;&gt;"AGUARDANDO",AY315&lt;&gt;"",N315="AUXÍLIO ALUGUEL ATÉ INDENIZAÇÃO"),"SIM","NÃO")</f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4852</v>
      </c>
      <c r="G316" s="103" t="s">
        <v>4351</v>
      </c>
      <c r="H316" s="103" t="s">
        <v>4351</v>
      </c>
      <c r="I316" s="153" t="s">
        <v>4332</v>
      </c>
      <c r="J316" s="149" t="s">
        <v>5797</v>
      </c>
      <c r="K316" s="149" t="s">
        <v>4432</v>
      </c>
      <c r="L316" s="149" t="s">
        <v>5798</v>
      </c>
      <c r="M316" s="103" t="s">
        <v>4333</v>
      </c>
      <c r="N316" s="103" t="s">
        <v>4452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5797</v>
      </c>
      <c r="AC316" s="149" t="s">
        <v>4432</v>
      </c>
      <c r="AD316" s="149" t="s">
        <v>5798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5799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4454</v>
      </c>
      <c r="BA316" s="107" t="s">
        <v>4598</v>
      </c>
      <c r="BB316" s="136" t="s">
        <v>4338</v>
      </c>
      <c r="BC316" s="220">
        <f>IF(AY316-KD316=0,"",AY316-O316)</f>
        <v>53</v>
      </c>
      <c r="BD316" s="103" t="str">
        <f>IF(AND(AI316&lt;&gt;"SIM",AI316="UH"),"AA","INDENIZAÇÃO")</f>
        <v>INDENIZAÇÃO</v>
      </c>
      <c r="BE316" s="103" t="str">
        <f>IF(AND(AY316&lt;&gt;"AGUARDANDO",AY316&lt;&gt;"",N316="AUXÍLIO ALUGUEL ATÉ INDENIZAÇÃO"),"SIM","NÃO")</f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4454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4476</v>
      </c>
      <c r="D317" s="103">
        <v>1</v>
      </c>
      <c r="E317" s="103" t="s">
        <v>4432</v>
      </c>
      <c r="F317" s="104" t="s">
        <v>5800</v>
      </c>
      <c r="G317" s="103" t="s">
        <v>4330</v>
      </c>
      <c r="H317" s="103" t="s">
        <v>4331</v>
      </c>
      <c r="I317" s="142" t="s">
        <v>4343</v>
      </c>
      <c r="J317" s="149" t="s">
        <v>5801</v>
      </c>
      <c r="K317" s="149" t="s">
        <v>4432</v>
      </c>
      <c r="L317" s="149" t="s">
        <v>5802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5801</v>
      </c>
      <c r="AC317" s="149" t="s">
        <v>4432</v>
      </c>
      <c r="AD317" s="149" t="s">
        <v>5802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>IF(AY317-KD317=0,"",AY317-O317)</f>
        <v/>
      </c>
      <c r="BD317" s="103" t="str">
        <f>IF(AND(AI317&lt;&gt;"SIM",AI317="UH"),"AA","INDENIZAÇÃO")</f>
        <v>AA</v>
      </c>
      <c r="BE317" s="103" t="str">
        <f>IF(AND(AY317&lt;&gt;"AGUARDANDO",AY317&lt;&gt;"",N317="AUXÍLIO ALUGUEL ATÉ INDENIZAÇÃO"),"SIM","NÃO")</f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4476</v>
      </c>
      <c r="D318" s="103">
        <v>1</v>
      </c>
      <c r="E318" s="103" t="s">
        <v>4432</v>
      </c>
      <c r="F318" s="104" t="s">
        <v>5803</v>
      </c>
      <c r="G318" s="103" t="s">
        <v>4330</v>
      </c>
      <c r="H318" s="103" t="s">
        <v>4331</v>
      </c>
      <c r="I318" s="142" t="s">
        <v>4343</v>
      </c>
      <c r="J318" s="149" t="s">
        <v>5804</v>
      </c>
      <c r="K318" s="149" t="s">
        <v>5805</v>
      </c>
      <c r="L318" s="149" t="s">
        <v>5806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5804</v>
      </c>
      <c r="AC318" s="149" t="s">
        <v>5805</v>
      </c>
      <c r="AD318" s="149" t="s">
        <v>5806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>IF(AY318-KD318=0,"",AY318-O318)</f>
        <v/>
      </c>
      <c r="BD318" s="103" t="str">
        <f>IF(AND(AI318&lt;&gt;"SIM",AI318="UH"),"AA","INDENIZAÇÃO")</f>
        <v>AA</v>
      </c>
      <c r="BE318" s="103" t="str">
        <f>IF(AND(AY318&lt;&gt;"AGUARDANDO",AY318&lt;&gt;"",N318="AUXÍLIO ALUGUEL ATÉ INDENIZAÇÃO"),"SIM","NÃO")</f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5803</v>
      </c>
      <c r="G319" s="103" t="s">
        <v>4330</v>
      </c>
      <c r="H319" s="103" t="s">
        <v>4331</v>
      </c>
      <c r="I319" s="142" t="s">
        <v>4343</v>
      </c>
      <c r="J319" s="149" t="s">
        <v>5807</v>
      </c>
      <c r="K319" s="149" t="s">
        <v>5808</v>
      </c>
      <c r="L319" s="149" t="s">
        <v>5809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5807</v>
      </c>
      <c r="AC319" s="149" t="s">
        <v>5808</v>
      </c>
      <c r="AD319" s="149" t="s">
        <v>5809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5810</v>
      </c>
      <c r="G320" s="103" t="s">
        <v>4330</v>
      </c>
      <c r="H320" s="103" t="s">
        <v>4331</v>
      </c>
      <c r="I320" s="142" t="s">
        <v>4343</v>
      </c>
      <c r="J320" s="149" t="s">
        <v>5811</v>
      </c>
      <c r="K320" s="149" t="s">
        <v>5812</v>
      </c>
      <c r="L320" s="149" t="s">
        <v>5813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5811</v>
      </c>
      <c r="AC320" s="149" t="s">
        <v>5812</v>
      </c>
      <c r="AD320" s="149" t="s">
        <v>5813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4476</v>
      </c>
      <c r="D321" s="103">
        <v>1</v>
      </c>
      <c r="E321" s="103" t="s">
        <v>4432</v>
      </c>
      <c r="F321" s="104" t="s">
        <v>5814</v>
      </c>
      <c r="G321" s="103" t="s">
        <v>4330</v>
      </c>
      <c r="H321" s="103" t="s">
        <v>4331</v>
      </c>
      <c r="I321" s="142" t="s">
        <v>4343</v>
      </c>
      <c r="J321" s="149" t="s">
        <v>5815</v>
      </c>
      <c r="K321" s="149" t="s">
        <v>5816</v>
      </c>
      <c r="L321" s="149" t="s">
        <v>5817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5815</v>
      </c>
      <c r="AC321" s="149" t="s">
        <v>5816</v>
      </c>
      <c r="AD321" s="149" t="s">
        <v>5817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>IF(AY321-KD321=0,"",AY321-O321)</f>
        <v/>
      </c>
      <c r="BD321" s="103" t="str">
        <f>IF(AND(AI321&lt;&gt;"SIM",AI321="UH"),"AA","INDENIZAÇÃO")</f>
        <v>AA</v>
      </c>
      <c r="BE321" s="103" t="str">
        <f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4888</v>
      </c>
      <c r="G322" s="103" t="s">
        <v>4330</v>
      </c>
      <c r="H322" s="103" t="s">
        <v>4331</v>
      </c>
      <c r="I322" s="142" t="s">
        <v>4343</v>
      </c>
      <c r="J322" s="149" t="s">
        <v>5818</v>
      </c>
      <c r="K322" s="149" t="s">
        <v>5819</v>
      </c>
      <c r="L322" s="149" t="s">
        <v>5820</v>
      </c>
      <c r="M322" s="103" t="s">
        <v>4333</v>
      </c>
      <c r="N322" s="103" t="s">
        <v>4452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5818</v>
      </c>
      <c r="AC322" s="149" t="s">
        <v>5819</v>
      </c>
      <c r="AD322" s="149" t="s">
        <v>5820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5821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4454</v>
      </c>
      <c r="BA322" s="107" t="s">
        <v>4598</v>
      </c>
      <c r="BB322" s="136" t="s">
        <v>4338</v>
      </c>
      <c r="BC322" s="220">
        <f>IF(AY322-KD322=0,"",AY322-O322)</f>
        <v>33</v>
      </c>
      <c r="BD322" s="103" t="str">
        <f>IF(AND(AI322&lt;&gt;"SIM",AI322="UH"),"AA","INDENIZAÇÃO")</f>
        <v>INDENIZAÇÃO</v>
      </c>
      <c r="BE322" s="103" t="str">
        <f>IF(AND(AY322&lt;&gt;"AGUARDANDO",AY322&lt;&gt;"",N322="AUXÍLIO ALUGUEL ATÉ INDENIZAÇÃO"),"SIM","NÃO")</f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4454</v>
      </c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5822</v>
      </c>
      <c r="G323" s="103" t="s">
        <v>4330</v>
      </c>
      <c r="H323" s="103" t="s">
        <v>4331</v>
      </c>
      <c r="I323" s="103" t="s">
        <v>4343</v>
      </c>
      <c r="J323" s="149" t="s">
        <v>5823</v>
      </c>
      <c r="K323" s="149" t="s">
        <v>5824</v>
      </c>
      <c r="L323" s="149" t="s">
        <v>5825</v>
      </c>
      <c r="M323" s="103" t="s">
        <v>4333</v>
      </c>
      <c r="N323" s="103" t="s">
        <v>4452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5823</v>
      </c>
      <c r="AC323" s="149" t="s">
        <v>5824</v>
      </c>
      <c r="AD323" s="149" t="s">
        <v>5825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3" t="s">
        <v>5826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4454</v>
      </c>
      <c r="AZ323" s="157"/>
      <c r="BA323" s="109" t="s">
        <v>4330</v>
      </c>
      <c r="BB323" s="112"/>
      <c r="BC323" s="220" t="e">
        <f>IF(AY323-KD323=0,"",AY323-O323)</f>
        <v>#VALUE!</v>
      </c>
      <c r="BD323" s="103" t="str">
        <f>IF(AND(AI323&lt;&gt;"SIM",AI323="UH"),"AA","INDENIZAÇÃO")</f>
        <v>INDENIZAÇÃO</v>
      </c>
      <c r="BE323" s="103" t="str">
        <f>IF(AND(AY323&lt;&gt;"AGUARDANDO",AY323&lt;&gt;"",N323="AUXÍLIO ALUGUEL ATÉ INDENIZAÇÃO"),"SIM","NÃO")</f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5827</v>
      </c>
      <c r="G324" s="103" t="s">
        <v>4330</v>
      </c>
      <c r="H324" s="103" t="s">
        <v>4331</v>
      </c>
      <c r="I324" s="142" t="s">
        <v>4343</v>
      </c>
      <c r="J324" s="149" t="s">
        <v>5828</v>
      </c>
      <c r="K324" s="149" t="s">
        <v>4457</v>
      </c>
      <c r="L324" s="149" t="s">
        <v>5829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5828</v>
      </c>
      <c r="AC324" s="149" t="s">
        <v>4457</v>
      </c>
      <c r="AD324" s="149" t="s">
        <v>5829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>IF(AY324-KD324=0,"",AY324-O324)</f>
        <v/>
      </c>
      <c r="BD324" s="103" t="str">
        <f>IF(AND(AI324&lt;&gt;"SIM",AI324="UH"),"AA","INDENIZAÇÃO")</f>
        <v>AA</v>
      </c>
      <c r="BE324" s="103" t="str">
        <f>IF(AND(AY324&lt;&gt;"AGUARDANDO",AY324&lt;&gt;"",N324="AUXÍLIO ALUGUEL ATÉ INDENIZAÇÃO"),"SIM","NÃO")</f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4476</v>
      </c>
      <c r="D325" s="103">
        <v>1</v>
      </c>
      <c r="E325" s="103" t="s">
        <v>4432</v>
      </c>
      <c r="F325" s="104" t="s">
        <v>5830</v>
      </c>
      <c r="G325" s="103" t="s">
        <v>4330</v>
      </c>
      <c r="H325" s="103" t="s">
        <v>4331</v>
      </c>
      <c r="I325" s="142" t="s">
        <v>4343</v>
      </c>
      <c r="J325" s="149" t="s">
        <v>5831</v>
      </c>
      <c r="K325" s="149" t="s">
        <v>5832</v>
      </c>
      <c r="L325" s="149" t="s">
        <v>5833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5831</v>
      </c>
      <c r="AC325" s="149" t="s">
        <v>5832</v>
      </c>
      <c r="AD325" s="149" t="s">
        <v>5833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>IF(AY325-KD325=0,"",AY325-O325)</f>
        <v/>
      </c>
      <c r="BD325" s="103" t="str">
        <f>IF(AND(AI325&lt;&gt;"SIM",AI325="UH"),"AA","INDENIZAÇÃO")</f>
        <v>AA</v>
      </c>
      <c r="BE325" s="103" t="str">
        <f>IF(AND(AY325&lt;&gt;"AGUARDANDO",AY325&lt;&gt;"",N325="AUXÍLIO ALUGUEL ATÉ INDENIZAÇÃO"),"SIM","NÃO")</f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4950</v>
      </c>
      <c r="G326" s="103" t="s">
        <v>4330</v>
      </c>
      <c r="H326" s="103" t="s">
        <v>4331</v>
      </c>
      <c r="I326" s="142" t="s">
        <v>4343</v>
      </c>
      <c r="J326" s="149" t="s">
        <v>5834</v>
      </c>
      <c r="K326" s="149" t="s">
        <v>5835</v>
      </c>
      <c r="L326" s="149" t="s">
        <v>5836</v>
      </c>
      <c r="M326" s="103" t="s">
        <v>4333</v>
      </c>
      <c r="N326" s="103" t="s">
        <v>4452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5834</v>
      </c>
      <c r="AC326" s="149" t="s">
        <v>5835</v>
      </c>
      <c r="AD326" s="149" t="s">
        <v>5836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5837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4454</v>
      </c>
      <c r="BA326" s="107" t="s">
        <v>4598</v>
      </c>
      <c r="BB326" s="136" t="s">
        <v>4338</v>
      </c>
      <c r="BC326" s="220">
        <f>IF(AY326-KD326=0,"",AY326-O326)</f>
        <v>53</v>
      </c>
      <c r="BD326" s="103" t="str">
        <f>IF(AND(AI326&lt;&gt;"SIM",AI326="UH"),"AA","INDENIZAÇÃO")</f>
        <v>INDENIZAÇÃO</v>
      </c>
      <c r="BE326" s="103" t="str">
        <f>IF(AND(AY326&lt;&gt;"AGUARDANDO",AY326&lt;&gt;"",N326="AUXÍLIO ALUGUEL ATÉ INDENIZAÇÃO"),"SIM","NÃO")</f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4454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5838</v>
      </c>
      <c r="G327" s="103" t="s">
        <v>4330</v>
      </c>
      <c r="H327" s="103" t="s">
        <v>4331</v>
      </c>
      <c r="I327" s="103" t="s">
        <v>4343</v>
      </c>
      <c r="J327" s="149" t="s">
        <v>5839</v>
      </c>
      <c r="K327" s="149" t="s">
        <v>5840</v>
      </c>
      <c r="L327" s="149" t="s">
        <v>5841</v>
      </c>
      <c r="M327" s="103" t="s">
        <v>4333</v>
      </c>
      <c r="N327" s="103" t="s">
        <v>4452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5839</v>
      </c>
      <c r="AC327" s="149" t="s">
        <v>5840</v>
      </c>
      <c r="AD327" s="149" t="s">
        <v>5841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5842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5842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4454</v>
      </c>
      <c r="BA327" s="107" t="s">
        <v>4598</v>
      </c>
      <c r="BB327" s="136" t="s">
        <v>4338</v>
      </c>
      <c r="BC327" s="220">
        <f>IF(AY327-KD327=0,"",AY327-O327)</f>
        <v>33</v>
      </c>
      <c r="BD327" s="103" t="str">
        <f>IF(AND(AI327&lt;&gt;"SIM",AI327="UH"),"AA","INDENIZAÇÃO")</f>
        <v>INDENIZAÇÃO</v>
      </c>
      <c r="BE327" s="103" t="str">
        <f>IF(AND(AY327&lt;&gt;"AGUARDANDO",AY327&lt;&gt;"",N327="AUXÍLIO ALUGUEL ATÉ INDENIZAÇÃO"),"SIM","NÃO")</f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4454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5743</v>
      </c>
      <c r="G328" s="103" t="s">
        <v>4330</v>
      </c>
      <c r="H328" s="103" t="s">
        <v>4331</v>
      </c>
      <c r="I328" s="142" t="s">
        <v>4343</v>
      </c>
      <c r="J328" s="149" t="s">
        <v>5843</v>
      </c>
      <c r="K328" s="149" t="s">
        <v>5844</v>
      </c>
      <c r="L328" s="149" t="s">
        <v>5845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5843</v>
      </c>
      <c r="AC328" s="149" t="s">
        <v>5844</v>
      </c>
      <c r="AD328" s="149" t="s">
        <v>5845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>IF(AY328-KD328=0,"",AY328-O328)</f>
        <v/>
      </c>
      <c r="BD328" s="103" t="str">
        <f>IF(AND(AI328&lt;&gt;"SIM",AI328="UH"),"AA","INDENIZAÇÃO")</f>
        <v>AA</v>
      </c>
      <c r="BE328" s="103" t="str">
        <f>IF(AND(AY328&lt;&gt;"AGUARDANDO",AY328&lt;&gt;"",N328="AUXÍLIO ALUGUEL ATÉ INDENIZAÇÃO"),"SIM","NÃO")</f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4913</v>
      </c>
      <c r="G329" s="103" t="s">
        <v>4330</v>
      </c>
      <c r="H329" s="103" t="s">
        <v>4331</v>
      </c>
      <c r="I329" s="103" t="s">
        <v>4343</v>
      </c>
      <c r="J329" s="149" t="s">
        <v>4917</v>
      </c>
      <c r="K329" s="149" t="s">
        <v>4918</v>
      </c>
      <c r="L329" s="149" t="s">
        <v>4919</v>
      </c>
      <c r="M329" s="103" t="s">
        <v>4333</v>
      </c>
      <c r="N329" s="103" t="s">
        <v>4452</v>
      </c>
      <c r="O329" s="105">
        <v>46188</v>
      </c>
      <c r="P329" s="105" t="s">
        <v>4356</v>
      </c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5"/>
      <c r="AA329" s="105"/>
      <c r="AB329" s="149" t="s">
        <v>4917</v>
      </c>
      <c r="AC329" s="149" t="s">
        <v>4918</v>
      </c>
      <c r="AD329" s="149" t="s">
        <v>4919</v>
      </c>
      <c r="AE329" s="103" t="s">
        <v>4343</v>
      </c>
      <c r="AF329" s="103" t="s">
        <v>4333</v>
      </c>
      <c r="AG329" s="194">
        <v>107774.65</v>
      </c>
      <c r="AH329" s="194">
        <v>107774.65</v>
      </c>
      <c r="AI329" s="103" t="s">
        <v>4447</v>
      </c>
      <c r="AJ329" s="104" t="s">
        <v>4438</v>
      </c>
      <c r="AK329" s="103">
        <v>154684712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4920</v>
      </c>
      <c r="AQ329" s="103" t="s">
        <v>4831</v>
      </c>
      <c r="AR329" s="165" t="s">
        <v>4831</v>
      </c>
      <c r="AS329" s="103" t="s">
        <v>4831</v>
      </c>
      <c r="AT329" s="103" t="s">
        <v>4831</v>
      </c>
      <c r="AU329" s="105">
        <v>46233</v>
      </c>
      <c r="AV329" s="103" t="s">
        <v>4831</v>
      </c>
      <c r="AW329" s="106" t="s">
        <v>4454</v>
      </c>
      <c r="AX329" s="106"/>
      <c r="AY329" s="157"/>
      <c r="AZ329" s="106"/>
      <c r="BA329" s="107" t="s">
        <v>4330</v>
      </c>
      <c r="BB329" s="112"/>
      <c r="BC329" s="220" t="str">
        <f>IF(AY329-KD329=0,"",AY329-O329)</f>
        <v/>
      </c>
      <c r="BD329" s="103" t="str">
        <f>IF(AND(AI329&lt;&gt;"SIM",AI329="UH"),"AA","INDENIZAÇÃO")</f>
        <v>INDENIZAÇÃO</v>
      </c>
      <c r="BE329" s="103" t="str">
        <f>IF(AND(AY329&lt;&gt;"AGUARDANDO",AY329&lt;&gt;"",N329="AUXÍLIO ALUGUEL ATÉ INDENIZAÇÃO"),"SIM","NÃO")</f>
        <v>NÃO</v>
      </c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5849</v>
      </c>
      <c r="G330" s="103" t="s">
        <v>4330</v>
      </c>
      <c r="H330" s="103" t="s">
        <v>4331</v>
      </c>
      <c r="I330" s="103" t="s">
        <v>4343</v>
      </c>
      <c r="J330" s="149" t="s">
        <v>5850</v>
      </c>
      <c r="K330" s="149" t="s">
        <v>5851</v>
      </c>
      <c r="L330" s="149" t="s">
        <v>5852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5850</v>
      </c>
      <c r="AC330" s="149" t="s">
        <v>5851</v>
      </c>
      <c r="AD330" s="149" t="s">
        <v>5852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>IF(AY330-KD330=0,"",AY330-O330)</f>
        <v/>
      </c>
      <c r="BD330" s="103" t="str">
        <f>IF(AND(AI330&lt;&gt;"SIM",AI330="UH"),"AA","INDENIZAÇÃO")</f>
        <v>AA</v>
      </c>
      <c r="BE330" s="103" t="str">
        <f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4476</v>
      </c>
      <c r="D331" s="103">
        <v>1</v>
      </c>
      <c r="E331" s="103" t="s">
        <v>4432</v>
      </c>
      <c r="F331" s="104" t="s">
        <v>5402</v>
      </c>
      <c r="G331" s="103" t="s">
        <v>4330</v>
      </c>
      <c r="H331" s="103" t="s">
        <v>4331</v>
      </c>
      <c r="I331" s="142" t="s">
        <v>4343</v>
      </c>
      <c r="J331" s="149" t="s">
        <v>5853</v>
      </c>
      <c r="K331" s="149" t="s">
        <v>5854</v>
      </c>
      <c r="L331" s="149" t="s">
        <v>5855</v>
      </c>
      <c r="M331" s="103" t="s">
        <v>4333</v>
      </c>
      <c r="N331" s="103" t="s">
        <v>4452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5853</v>
      </c>
      <c r="AC331" s="104" t="s">
        <v>5854</v>
      </c>
      <c r="AD331" s="104" t="s">
        <v>5855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5856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4454</v>
      </c>
      <c r="BA331" s="107" t="s">
        <v>4598</v>
      </c>
      <c r="BB331" s="136" t="s">
        <v>4338</v>
      </c>
      <c r="BC331" s="220">
        <f>IF(AY331-KD331=0,"",AY331-O331)</f>
        <v>94</v>
      </c>
      <c r="BD331" s="103" t="str">
        <f>IF(AND(AI331&lt;&gt;"SIM",AI331="UH"),"AA","INDENIZAÇÃO")</f>
        <v>INDENIZAÇÃO</v>
      </c>
      <c r="BE331" s="103" t="str">
        <f>IF(AND(AY331&lt;&gt;"AGUARDANDO",AY331&lt;&gt;"",N331="AUXÍLIO ALUGUEL ATÉ INDENIZAÇÃO"),"SIM","NÃO")</f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2" t="s">
        <v>4502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5857</v>
      </c>
      <c r="G332" s="103" t="s">
        <v>4330</v>
      </c>
      <c r="H332" s="103" t="s">
        <v>4331</v>
      </c>
      <c r="I332" s="103" t="s">
        <v>4343</v>
      </c>
      <c r="J332" s="149" t="s">
        <v>5858</v>
      </c>
      <c r="K332" s="149" t="s">
        <v>5859</v>
      </c>
      <c r="L332" s="149" t="s">
        <v>5860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5858</v>
      </c>
      <c r="AC332" s="149" t="s">
        <v>5859</v>
      </c>
      <c r="AD332" s="149" t="s">
        <v>5860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>IF(AY332-KD332=0,"",AY332-O332)</f>
        <v/>
      </c>
      <c r="BD332" s="103" t="str">
        <f>IF(AND(AI332&lt;&gt;"SIM",AI332="UH"),"AA","INDENIZAÇÃO")</f>
        <v>AA</v>
      </c>
      <c r="BE332" s="103" t="str">
        <f>IF(AND(AY332&lt;&gt;"AGUARDANDO",AY332&lt;&gt;"",N332="AUXÍLIO ALUGUEL ATÉ INDENIZAÇÃO"),"SIM","NÃO")</f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4476</v>
      </c>
      <c r="D333" s="103">
        <v>1</v>
      </c>
      <c r="E333" s="103" t="s">
        <v>4432</v>
      </c>
      <c r="F333" s="104" t="s">
        <v>5861</v>
      </c>
      <c r="G333" s="103" t="s">
        <v>4330</v>
      </c>
      <c r="H333" s="103" t="s">
        <v>4331</v>
      </c>
      <c r="I333" s="142" t="s">
        <v>4343</v>
      </c>
      <c r="J333" s="149" t="s">
        <v>5862</v>
      </c>
      <c r="K333" s="149" t="s">
        <v>5863</v>
      </c>
      <c r="L333" s="149" t="s">
        <v>5864</v>
      </c>
      <c r="M333" s="103" t="s">
        <v>4333</v>
      </c>
      <c r="N333" s="103" t="s">
        <v>4452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5862</v>
      </c>
      <c r="AC333" s="104" t="s">
        <v>5863</v>
      </c>
      <c r="AD333" s="104" t="s">
        <v>5864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5865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4454</v>
      </c>
      <c r="BA333" s="107" t="s">
        <v>4598</v>
      </c>
      <c r="BB333" s="136" t="s">
        <v>4338</v>
      </c>
      <c r="BC333" s="220">
        <f>IF(AY333-KD333=0,"",AY333-O333)</f>
        <v>101</v>
      </c>
      <c r="BD333" s="103" t="str">
        <f>IF(AND(AI333&lt;&gt;"SIM",AI333="UH"),"AA","INDENIZAÇÃO")</f>
        <v>INDENIZAÇÃO</v>
      </c>
      <c r="BE333" s="103" t="str">
        <f>IF(AND(AY333&lt;&gt;"AGUARDANDO",AY333&lt;&gt;"",N333="AUXÍLIO ALUGUEL ATÉ INDENIZAÇÃO"),"SIM","NÃO")</f>
        <v>NÃO</v>
      </c>
      <c r="BF333" s="112" t="s">
        <v>4357</v>
      </c>
      <c r="BG333" s="112" t="s">
        <v>4357</v>
      </c>
      <c r="BH333" s="112" t="s">
        <v>4357</v>
      </c>
      <c r="BI333" s="109" t="s">
        <v>4926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5866</v>
      </c>
      <c r="G334" s="103" t="s">
        <v>4330</v>
      </c>
      <c r="H334" s="103" t="s">
        <v>4331</v>
      </c>
      <c r="I334" s="98" t="s">
        <v>4343</v>
      </c>
      <c r="J334" s="149" t="s">
        <v>5867</v>
      </c>
      <c r="K334" s="149" t="s">
        <v>5868</v>
      </c>
      <c r="L334" s="149" t="s">
        <v>5869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5867</v>
      </c>
      <c r="AC334" s="149" t="s">
        <v>5868</v>
      </c>
      <c r="AD334" s="149" t="s">
        <v>5869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>IF(AY334-KD334=0,"",AY334-O334)</f>
        <v/>
      </c>
      <c r="BD334" s="103" t="str">
        <f>IF(AND(AI334&lt;&gt;"SIM",AI334="UH"),"AA","INDENIZAÇÃO")</f>
        <v>AA</v>
      </c>
      <c r="BE334" s="103" t="str">
        <f>IF(AND(AY334&lt;&gt;"AGUARDANDO",AY334&lt;&gt;"",N334="AUXÍLIO ALUGUEL ATÉ INDENIZAÇÃO"),"SIM","NÃO")</f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5870</v>
      </c>
      <c r="G335" s="103" t="s">
        <v>4330</v>
      </c>
      <c r="H335" s="103" t="s">
        <v>4331</v>
      </c>
      <c r="I335" s="103" t="s">
        <v>4343</v>
      </c>
      <c r="J335" s="149" t="s">
        <v>5871</v>
      </c>
      <c r="K335" s="149" t="s">
        <v>5872</v>
      </c>
      <c r="L335" s="149" t="s">
        <v>5873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5871</v>
      </c>
      <c r="AC335" s="149" t="s">
        <v>5872</v>
      </c>
      <c r="AD335" s="149" t="s">
        <v>5873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>IF(AY335-KD335=0,"",AY335-O335)</f>
        <v/>
      </c>
      <c r="BD335" s="103" t="str">
        <f>IF(AND(AI335&lt;&gt;"SIM",AI335="UH"),"AA","INDENIZAÇÃO")</f>
        <v>AA</v>
      </c>
      <c r="BE335" s="103" t="str">
        <f>IF(AND(AY335&lt;&gt;"AGUARDANDO",AY335&lt;&gt;"",N335="AUXÍLIO ALUGUEL ATÉ INDENIZAÇÃO"),"SIM","NÃO")</f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4476</v>
      </c>
      <c r="D336" s="103">
        <v>1</v>
      </c>
      <c r="E336" s="103" t="s">
        <v>4432</v>
      </c>
      <c r="F336" s="104" t="s">
        <v>5874</v>
      </c>
      <c r="G336" s="103" t="s">
        <v>4330</v>
      </c>
      <c r="H336" s="103" t="s">
        <v>4331</v>
      </c>
      <c r="I336" s="142" t="s">
        <v>4343</v>
      </c>
      <c r="J336" s="149" t="s">
        <v>5875</v>
      </c>
      <c r="K336" s="149" t="s">
        <v>5876</v>
      </c>
      <c r="L336" s="149" t="s">
        <v>5877</v>
      </c>
      <c r="M336" s="103" t="s">
        <v>4333</v>
      </c>
      <c r="N336" s="103" t="s">
        <v>4452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5875</v>
      </c>
      <c r="AC336" s="149" t="s">
        <v>5876</v>
      </c>
      <c r="AD336" s="149" t="s">
        <v>5877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5878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4454</v>
      </c>
      <c r="BA336" s="107" t="s">
        <v>4598</v>
      </c>
      <c r="BB336" s="136" t="s">
        <v>4338</v>
      </c>
      <c r="BC336" s="220">
        <f>IF(AY336-KD336=0,"",AY336-O336)</f>
        <v>94</v>
      </c>
      <c r="BD336" s="103" t="str">
        <f>IF(AND(AI336&lt;&gt;"SIM",AI336="UH"),"AA","INDENIZAÇÃO")</f>
        <v>INDENIZAÇÃO</v>
      </c>
      <c r="BE336" s="103" t="str">
        <f>IF(AND(AY336&lt;&gt;"AGUARDANDO",AY336&lt;&gt;"",N336="AUXÍLIO ALUGUEL ATÉ INDENIZAÇÃO"),"SIM","NÃO")</f>
        <v>NÃO</v>
      </c>
      <c r="BF336" s="112" t="s">
        <v>4357</v>
      </c>
      <c r="BG336" s="112" t="s">
        <v>4357</v>
      </c>
      <c r="BH336" s="112" t="s">
        <v>4357</v>
      </c>
      <c r="BI336" s="109" t="s">
        <v>4926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4798</v>
      </c>
      <c r="G337" s="103" t="s">
        <v>4330</v>
      </c>
      <c r="H337" s="103" t="s">
        <v>4331</v>
      </c>
      <c r="I337" s="103" t="s">
        <v>4343</v>
      </c>
      <c r="J337" s="149" t="s">
        <v>5879</v>
      </c>
      <c r="K337" s="149" t="s">
        <v>5880</v>
      </c>
      <c r="L337" s="149" t="s">
        <v>5881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5879</v>
      </c>
      <c r="AC337" s="149" t="s">
        <v>5880</v>
      </c>
      <c r="AD337" s="149" t="s">
        <v>5881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>IF(AY337-KD337=0,"",AY337-O337)</f>
        <v/>
      </c>
      <c r="BD337" s="103" t="str">
        <f>IF(AND(AI337&lt;&gt;"SIM",AI337="UH"),"AA","INDENIZAÇÃO")</f>
        <v>AA</v>
      </c>
      <c r="BE337" s="103" t="str">
        <f>IF(AND(AY337&lt;&gt;"AGUARDANDO",AY337&lt;&gt;"",N337="AUXÍLIO ALUGUEL ATÉ INDENIZAÇÃO"),"SIM","NÃO")</f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4476</v>
      </c>
      <c r="D338" s="103">
        <v>1</v>
      </c>
      <c r="E338" s="103" t="s">
        <v>4432</v>
      </c>
      <c r="F338" s="104" t="s">
        <v>5882</v>
      </c>
      <c r="G338" s="103" t="s">
        <v>4330</v>
      </c>
      <c r="H338" s="103" t="s">
        <v>4331</v>
      </c>
      <c r="I338" s="142" t="s">
        <v>4343</v>
      </c>
      <c r="J338" s="149" t="s">
        <v>5883</v>
      </c>
      <c r="K338" s="149" t="s">
        <v>5884</v>
      </c>
      <c r="L338" s="149" t="s">
        <v>5885</v>
      </c>
      <c r="M338" s="103" t="s">
        <v>4333</v>
      </c>
      <c r="N338" s="103" t="s">
        <v>4452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5883</v>
      </c>
      <c r="AC338" s="149" t="s">
        <v>5884</v>
      </c>
      <c r="AD338" s="149" t="s">
        <v>5885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5886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4454</v>
      </c>
      <c r="BA338" s="107" t="s">
        <v>4598</v>
      </c>
      <c r="BB338" s="136" t="s">
        <v>4338</v>
      </c>
      <c r="BC338" s="220">
        <f>IF(AY338-KD338=0,"",AY338-O338)</f>
        <v>80</v>
      </c>
      <c r="BD338" s="103" t="str">
        <f>IF(AND(AI338&lt;&gt;"SIM",AI338="UH"),"AA","INDENIZAÇÃO")</f>
        <v>INDENIZAÇÃO</v>
      </c>
      <c r="BE338" s="103" t="str">
        <f>IF(AND(AY338&lt;&gt;"AGUARDANDO",AY338&lt;&gt;"",N338="AUXÍLIO ALUGUEL ATÉ INDENIZAÇÃO"),"SIM","NÃO")</f>
        <v>NÃO</v>
      </c>
      <c r="BF338" s="112" t="s">
        <v>4357</v>
      </c>
      <c r="BG338" s="112" t="s">
        <v>4357</v>
      </c>
      <c r="BH338" s="112" t="s">
        <v>4357</v>
      </c>
      <c r="BI338" s="109" t="s">
        <v>4926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5178</v>
      </c>
      <c r="G339" s="103" t="s">
        <v>4330</v>
      </c>
      <c r="H339" s="103" t="s">
        <v>4331</v>
      </c>
      <c r="I339" s="103" t="s">
        <v>4343</v>
      </c>
      <c r="J339" s="149" t="s">
        <v>5887</v>
      </c>
      <c r="K339" s="149" t="s">
        <v>5888</v>
      </c>
      <c r="L339" s="149" t="s">
        <v>5889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5887</v>
      </c>
      <c r="AC339" s="149" t="s">
        <v>5888</v>
      </c>
      <c r="AD339" s="149" t="s">
        <v>5889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>IF(AY339-KD339=0,"",AY339-O339)</f>
        <v/>
      </c>
      <c r="BD339" s="103" t="str">
        <f>IF(AND(AI339&lt;&gt;"SIM",AI339="UH"),"AA","INDENIZAÇÃO")</f>
        <v>AA</v>
      </c>
      <c r="BE339" s="103" t="str">
        <f>IF(AND(AY339&lt;&gt;"AGUARDANDO",AY339&lt;&gt;"",N339="AUXÍLIO ALUGUEL ATÉ INDENIZAÇÃO"),"SIM","NÃO")</f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4476</v>
      </c>
      <c r="D340" s="103">
        <v>1</v>
      </c>
      <c r="E340" s="103" t="s">
        <v>4432</v>
      </c>
      <c r="F340" s="104" t="s">
        <v>5890</v>
      </c>
      <c r="G340" s="103" t="s">
        <v>4330</v>
      </c>
      <c r="H340" s="103" t="s">
        <v>4331</v>
      </c>
      <c r="I340" s="142" t="s">
        <v>4343</v>
      </c>
      <c r="J340" s="149" t="s">
        <v>5891</v>
      </c>
      <c r="K340" s="149" t="s">
        <v>5892</v>
      </c>
      <c r="L340" s="149" t="s">
        <v>5893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5891</v>
      </c>
      <c r="AC340" s="149" t="s">
        <v>5892</v>
      </c>
      <c r="AD340" s="149" t="s">
        <v>5893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>IF(AY340-KD340=0,"",AY340-O340)</f>
        <v/>
      </c>
      <c r="BD340" s="103" t="str">
        <f>IF(AND(AI340&lt;&gt;"SIM",AI340="UH"),"AA","INDENIZAÇÃO")</f>
        <v>AA</v>
      </c>
      <c r="BE340" s="103" t="str">
        <f>IF(AND(AY340&lt;&gt;"AGUARDANDO",AY340&lt;&gt;"",N340="AUXÍLIO ALUGUEL ATÉ INDENIZAÇÃO"),"SIM","NÃO")</f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5890</v>
      </c>
      <c r="G341" s="103" t="s">
        <v>4330</v>
      </c>
      <c r="H341" s="103" t="s">
        <v>4331</v>
      </c>
      <c r="I341" s="103" t="s">
        <v>4343</v>
      </c>
      <c r="J341" s="149" t="s">
        <v>5894</v>
      </c>
      <c r="K341" s="149" t="s">
        <v>5895</v>
      </c>
      <c r="L341" s="149" t="s">
        <v>5896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5897</v>
      </c>
      <c r="AB341" s="149" t="s">
        <v>5894</v>
      </c>
      <c r="AC341" s="149" t="s">
        <v>5895</v>
      </c>
      <c r="AD341" s="149" t="s">
        <v>5896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>IF(AY341-KD341=0,"",AY341-O341)</f>
        <v/>
      </c>
      <c r="BD341" s="103" t="str">
        <f>IF(AND(AI341&lt;&gt;"SIM",AI341="UH"),"AA","INDENIZAÇÃO")</f>
        <v>AA</v>
      </c>
      <c r="BE341" s="103" t="str">
        <f>IF(AND(AY341&lt;&gt;"AGUARDANDO",AY341&lt;&gt;"",N341="AUXÍLIO ALUGUEL ATÉ INDENIZAÇÃO"),"SIM","NÃO")</f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4476</v>
      </c>
      <c r="D342" s="103">
        <v>1</v>
      </c>
      <c r="E342" s="103" t="s">
        <v>4432</v>
      </c>
      <c r="F342" s="104" t="s">
        <v>5898</v>
      </c>
      <c r="G342" s="103" t="s">
        <v>4330</v>
      </c>
      <c r="H342" s="103" t="s">
        <v>4331</v>
      </c>
      <c r="I342" s="142" t="s">
        <v>4343</v>
      </c>
      <c r="J342" s="149" t="s">
        <v>5899</v>
      </c>
      <c r="K342" s="149" t="s">
        <v>5900</v>
      </c>
      <c r="L342" s="149" t="s">
        <v>5901</v>
      </c>
      <c r="M342" s="103" t="s">
        <v>4333</v>
      </c>
      <c r="N342" s="103" t="s">
        <v>4452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5899</v>
      </c>
      <c r="AC342" s="149" t="s">
        <v>5900</v>
      </c>
      <c r="AD342" s="149" t="s">
        <v>5901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>IF(AY342-KD342=0,"",AY342-O342)</f>
        <v/>
      </c>
      <c r="BD342" s="103" t="str">
        <f>IF(AND(AI342&lt;&gt;"SIM",AI342="UH"),"AA","INDENIZAÇÃO")</f>
        <v>INDENIZAÇÃO</v>
      </c>
      <c r="BE342" s="103" t="str">
        <f>IF(AND(AY342&lt;&gt;"AGUARDANDO",AY342&lt;&gt;"",N342="AUXÍLIO ALUGUEL ATÉ INDENIZAÇÃO"),"SIM","NÃO")</f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5898</v>
      </c>
      <c r="G343" s="103" t="s">
        <v>4330</v>
      </c>
      <c r="H343" s="103" t="s">
        <v>4331</v>
      </c>
      <c r="I343" s="103" t="s">
        <v>4343</v>
      </c>
      <c r="J343" s="149" t="s">
        <v>5902</v>
      </c>
      <c r="K343" s="149" t="s">
        <v>5903</v>
      </c>
      <c r="L343" s="149" t="s">
        <v>5904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5902</v>
      </c>
      <c r="AC343" s="149" t="s">
        <v>5903</v>
      </c>
      <c r="AD343" s="149" t="s">
        <v>5904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>IF(AY343-KD343=0,"",AY343-O343)</f>
        <v/>
      </c>
      <c r="BD343" s="103" t="str">
        <f>IF(AND(AI343&lt;&gt;"SIM",AI343="UH"),"AA","INDENIZAÇÃO")</f>
        <v>AA</v>
      </c>
      <c r="BE343" s="103" t="str">
        <f>IF(AND(AY343&lt;&gt;"AGUARDANDO",AY343&lt;&gt;"",N343="AUXÍLIO ALUGUEL ATÉ INDENIZAÇÃO"),"SIM","NÃO")</f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4476</v>
      </c>
      <c r="D344" s="103">
        <v>1</v>
      </c>
      <c r="E344" s="103" t="s">
        <v>4432</v>
      </c>
      <c r="F344" s="104" t="s">
        <v>5905</v>
      </c>
      <c r="G344" s="103" t="s">
        <v>4330</v>
      </c>
      <c r="H344" s="103" t="s">
        <v>4331</v>
      </c>
      <c r="I344" s="142" t="s">
        <v>4343</v>
      </c>
      <c r="J344" s="149" t="s">
        <v>5906</v>
      </c>
      <c r="K344" s="149" t="s">
        <v>5907</v>
      </c>
      <c r="L344" s="149" t="s">
        <v>5908</v>
      </c>
      <c r="M344" s="103" t="s">
        <v>4333</v>
      </c>
      <c r="N344" s="103" t="s">
        <v>4452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5906</v>
      </c>
      <c r="AC344" s="149" t="s">
        <v>5907</v>
      </c>
      <c r="AD344" s="149" t="s">
        <v>5908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5909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4454</v>
      </c>
      <c r="BA344" s="107" t="s">
        <v>4598</v>
      </c>
      <c r="BB344" s="136" t="s">
        <v>4338</v>
      </c>
      <c r="BC344" s="220">
        <f>IF(AY344-KD344=0,"",AY344-O344)</f>
        <v>80</v>
      </c>
      <c r="BD344" s="103" t="str">
        <f>IF(AND(AI344&lt;&gt;"SIM",AI344="UH"),"AA","INDENIZAÇÃO")</f>
        <v>INDENIZAÇÃO</v>
      </c>
      <c r="BE344" s="103" t="str">
        <f>IF(AND(AY344&lt;&gt;"AGUARDANDO",AY344&lt;&gt;"",N344="AUXÍLIO ALUGUEL ATÉ INDENIZAÇÃO"),"SIM","NÃO")</f>
        <v>NÃO</v>
      </c>
      <c r="BF344" s="112" t="s">
        <v>4357</v>
      </c>
      <c r="BG344" s="112" t="s">
        <v>4357</v>
      </c>
      <c r="BH344" s="112" t="s">
        <v>4357</v>
      </c>
      <c r="BI344" s="109" t="s">
        <v>4926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4822</v>
      </c>
      <c r="G345" s="103" t="s">
        <v>4330</v>
      </c>
      <c r="H345" s="103" t="s">
        <v>4342</v>
      </c>
      <c r="I345" s="151" t="s">
        <v>4332</v>
      </c>
      <c r="J345" s="149" t="s">
        <v>5910</v>
      </c>
      <c r="K345" s="149" t="s">
        <v>5911</v>
      </c>
      <c r="L345" s="149" t="s">
        <v>5912</v>
      </c>
      <c r="M345" s="103" t="s">
        <v>4333</v>
      </c>
      <c r="N345" s="103" t="s">
        <v>4452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5910</v>
      </c>
      <c r="AC345" s="149" t="s">
        <v>5911</v>
      </c>
      <c r="AD345" s="149" t="s">
        <v>5912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>IF(AY345-KD345=0,"",AY345-O345)</f>
        <v/>
      </c>
      <c r="BD345" s="103" t="str">
        <f>IF(AND(AI345&lt;&gt;"SIM",AI345="UH"),"AA","INDENIZAÇÃO")</f>
        <v>INDENIZAÇÃO</v>
      </c>
      <c r="BE345" s="103" t="str">
        <f>IF(AND(AY345&lt;&gt;"AGUARDANDO",AY345&lt;&gt;"",N345="AUXÍLIO ALUGUEL ATÉ INDENIZAÇÃO"),"SIM","NÃO")</f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4476</v>
      </c>
      <c r="D346" s="103">
        <v>1</v>
      </c>
      <c r="E346" s="103" t="s">
        <v>4432</v>
      </c>
      <c r="F346" s="104" t="s">
        <v>5913</v>
      </c>
      <c r="G346" s="103" t="s">
        <v>4330</v>
      </c>
      <c r="H346" s="103" t="s">
        <v>4342</v>
      </c>
      <c r="I346" s="153" t="s">
        <v>4332</v>
      </c>
      <c r="J346" s="149" t="s">
        <v>5914</v>
      </c>
      <c r="K346" s="149" t="s">
        <v>5915</v>
      </c>
      <c r="L346" s="149" t="s">
        <v>5916</v>
      </c>
      <c r="M346" s="103" t="s">
        <v>4333</v>
      </c>
      <c r="N346" s="103" t="s">
        <v>4452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5914</v>
      </c>
      <c r="AC346" s="149" t="s">
        <v>5915</v>
      </c>
      <c r="AD346" s="149" t="s">
        <v>5916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5917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4454</v>
      </c>
      <c r="BA346" s="107" t="s">
        <v>4598</v>
      </c>
      <c r="BB346" s="136" t="s">
        <v>4338</v>
      </c>
      <c r="BC346" s="220">
        <f>IF(AY346-KD346=0,"",AY346-O346)</f>
        <v>73</v>
      </c>
      <c r="BD346" s="103" t="str">
        <f>IF(AND(AI346&lt;&gt;"SIM",AI346="UH"),"AA","INDENIZAÇÃO")</f>
        <v>INDENIZAÇÃO</v>
      </c>
      <c r="BE346" s="103" t="str">
        <f>IF(AND(AY346&lt;&gt;"AGUARDANDO",AY346&lt;&gt;"",N346="AUXÍLIO ALUGUEL ATÉ INDENIZAÇÃO"),"SIM","NÃO")</f>
        <v>NÃO</v>
      </c>
      <c r="BF346" s="112" t="s">
        <v>4357</v>
      </c>
      <c r="BG346" s="112" t="s">
        <v>4357</v>
      </c>
      <c r="BH346" s="112" t="s">
        <v>4357</v>
      </c>
      <c r="BI346" s="109" t="s">
        <v>4926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5323</v>
      </c>
      <c r="G347" s="103" t="s">
        <v>4330</v>
      </c>
      <c r="H347" s="103" t="s">
        <v>4331</v>
      </c>
      <c r="I347" s="103" t="s">
        <v>4343</v>
      </c>
      <c r="J347" s="149" t="s">
        <v>5918</v>
      </c>
      <c r="K347" s="149" t="s">
        <v>4432</v>
      </c>
      <c r="L347" s="149" t="s">
        <v>5919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5918</v>
      </c>
      <c r="AC347" s="149" t="s">
        <v>4432</v>
      </c>
      <c r="AD347" s="149" t="s">
        <v>5919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>IF(AY347-KD347=0,"",AY347-O347)</f>
        <v/>
      </c>
      <c r="BD347" s="103" t="str">
        <f>IF(AND(AI347&lt;&gt;"SIM",AI347="UH"),"AA","INDENIZAÇÃO")</f>
        <v>AA</v>
      </c>
      <c r="BE347" s="103" t="str">
        <f>IF(AND(AY347&lt;&gt;"AGUARDANDO",AY347&lt;&gt;"",N347="AUXÍLIO ALUGUEL ATÉ INDENIZAÇÃO"),"SIM","NÃO")</f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4476</v>
      </c>
      <c r="D348" s="103">
        <v>1</v>
      </c>
      <c r="E348" s="103" t="s">
        <v>4432</v>
      </c>
      <c r="F348" s="104" t="s">
        <v>5920</v>
      </c>
      <c r="G348" s="103" t="s">
        <v>4330</v>
      </c>
      <c r="H348" s="103" t="s">
        <v>4331</v>
      </c>
      <c r="I348" s="142" t="s">
        <v>4343</v>
      </c>
      <c r="J348" s="149" t="s">
        <v>5921</v>
      </c>
      <c r="K348" s="149" t="s">
        <v>4432</v>
      </c>
      <c r="L348" s="149" t="s">
        <v>5922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5921</v>
      </c>
      <c r="AC348" s="149" t="s">
        <v>4432</v>
      </c>
      <c r="AD348" s="149" t="s">
        <v>5922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>IF(AY348-KD348=0,"",AY348-O348)</f>
        <v/>
      </c>
      <c r="BD348" s="103" t="str">
        <f>IF(AND(AI348&lt;&gt;"SIM",AI348="UH"),"AA","INDENIZAÇÃO")</f>
        <v>AA</v>
      </c>
      <c r="BE348" s="103" t="str">
        <f>IF(AND(AY348&lt;&gt;"AGUARDANDO",AY348&lt;&gt;"",N348="AUXÍLIO ALUGUEL ATÉ INDENIZAÇÃO"),"SIM","NÃO")</f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5920</v>
      </c>
      <c r="G349" s="103" t="s">
        <v>4330</v>
      </c>
      <c r="H349" s="103" t="s">
        <v>4331</v>
      </c>
      <c r="I349" s="103" t="s">
        <v>4343</v>
      </c>
      <c r="J349" s="149" t="s">
        <v>5923</v>
      </c>
      <c r="K349" s="149" t="s">
        <v>5924</v>
      </c>
      <c r="L349" s="149" t="s">
        <v>5925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5923</v>
      </c>
      <c r="AC349" s="149" t="s">
        <v>5924</v>
      </c>
      <c r="AD349" s="149" t="s">
        <v>5925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>IF(AY349-KD349=0,"",AY349-O349)</f>
        <v/>
      </c>
      <c r="BD349" s="103" t="str">
        <f>IF(AND(AI349&lt;&gt;"SIM",AI349="UH"),"AA","INDENIZAÇÃO")</f>
        <v>AA</v>
      </c>
      <c r="BE349" s="103" t="str">
        <f>IF(AND(AY349&lt;&gt;"AGUARDANDO",AY349&lt;&gt;"",N349="AUXÍLIO ALUGUEL ATÉ INDENIZAÇÃO"),"SIM","NÃO")</f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4476</v>
      </c>
      <c r="D350" s="103">
        <v>1</v>
      </c>
      <c r="E350" s="103" t="s">
        <v>4432</v>
      </c>
      <c r="F350" s="104" t="s">
        <v>5926</v>
      </c>
      <c r="G350" s="103" t="s">
        <v>4330</v>
      </c>
      <c r="H350" s="103" t="s">
        <v>4331</v>
      </c>
      <c r="I350" s="142" t="s">
        <v>4343</v>
      </c>
      <c r="J350" s="149" t="s">
        <v>5927</v>
      </c>
      <c r="K350" s="149" t="s">
        <v>5928</v>
      </c>
      <c r="L350" s="149" t="s">
        <v>5929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5927</v>
      </c>
      <c r="AC350" s="149" t="s">
        <v>5928</v>
      </c>
      <c r="AD350" s="149" t="s">
        <v>5929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>IF(AY350-KD350=0,"",AY350-O350)</f>
        <v/>
      </c>
      <c r="BD350" s="103" t="str">
        <f>IF(AND(AI350&lt;&gt;"SIM",AI350="UH"),"AA","INDENIZAÇÃO")</f>
        <v>AA</v>
      </c>
      <c r="BE350" s="103" t="str">
        <f>IF(AND(AY350&lt;&gt;"AGUARDANDO",AY350&lt;&gt;"",N350="AUXÍLIO ALUGUEL ATÉ INDENIZAÇÃO"),"SIM","NÃO")</f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4476</v>
      </c>
      <c r="D351" s="103">
        <v>1</v>
      </c>
      <c r="E351" s="103" t="s">
        <v>4432</v>
      </c>
      <c r="F351" s="104" t="s">
        <v>5930</v>
      </c>
      <c r="G351" s="103" t="s">
        <v>4330</v>
      </c>
      <c r="H351" s="103" t="s">
        <v>4331</v>
      </c>
      <c r="I351" s="142" t="s">
        <v>4343</v>
      </c>
      <c r="J351" s="149" t="s">
        <v>5931</v>
      </c>
      <c r="K351" s="149" t="s">
        <v>4432</v>
      </c>
      <c r="L351" s="149" t="s">
        <v>5932</v>
      </c>
      <c r="M351" s="103" t="s">
        <v>4333</v>
      </c>
      <c r="N351" s="103" t="s">
        <v>4452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5931</v>
      </c>
      <c r="AC351" s="149" t="s">
        <v>4432</v>
      </c>
      <c r="AD351" s="149" t="s">
        <v>5932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>IF(AY351-KD351=0,"",AY351-O351)</f>
        <v/>
      </c>
      <c r="BD351" s="103" t="str">
        <f>IF(AND(AI351&lt;&gt;"SIM",AI351="UH"),"AA","INDENIZAÇÃO")</f>
        <v>INDENIZAÇÃO</v>
      </c>
      <c r="BE351" s="103" t="str">
        <f>IF(AND(AY351&lt;&gt;"AGUARDANDO",AY351&lt;&gt;"",N351="AUXÍLIO ALUGUEL ATÉ INDENIZAÇÃO"),"SIM","NÃO")</f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4476</v>
      </c>
      <c r="D352" s="103">
        <v>1</v>
      </c>
      <c r="E352" s="103" t="s">
        <v>4432</v>
      </c>
      <c r="F352" s="104" t="s">
        <v>5933</v>
      </c>
      <c r="G352" s="103" t="s">
        <v>4330</v>
      </c>
      <c r="H352" s="103" t="s">
        <v>4331</v>
      </c>
      <c r="I352" s="142" t="s">
        <v>4343</v>
      </c>
      <c r="J352" s="149" t="s">
        <v>5934</v>
      </c>
      <c r="K352" s="149" t="s">
        <v>5935</v>
      </c>
      <c r="L352" s="149" t="s">
        <v>5936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5934</v>
      </c>
      <c r="AC352" s="149" t="s">
        <v>5935</v>
      </c>
      <c r="AD352" s="149" t="s">
        <v>5936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>IF(AY352-KD352=0,"",AY352-O352)</f>
        <v/>
      </c>
      <c r="BD352" s="103" t="str">
        <f>IF(AND(AI352&lt;&gt;"SIM",AI352="UH"),"AA","INDENIZAÇÃO")</f>
        <v>AA</v>
      </c>
      <c r="BE352" s="103" t="str">
        <f>IF(AND(AY352&lt;&gt;"AGUARDANDO",AY352&lt;&gt;"",N352="AUXÍLIO ALUGUEL ATÉ INDENIZAÇÃO"),"SIM","NÃO")</f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4476</v>
      </c>
      <c r="D353" s="103">
        <v>1</v>
      </c>
      <c r="E353" s="103" t="s">
        <v>4432</v>
      </c>
      <c r="F353" s="104" t="s">
        <v>5937</v>
      </c>
      <c r="G353" s="103" t="s">
        <v>4330</v>
      </c>
      <c r="H353" s="103" t="s">
        <v>4331</v>
      </c>
      <c r="I353" s="142" t="s">
        <v>4343</v>
      </c>
      <c r="J353" s="149" t="s">
        <v>5938</v>
      </c>
      <c r="K353" s="149" t="s">
        <v>5939</v>
      </c>
      <c r="L353" s="149" t="s">
        <v>5940</v>
      </c>
      <c r="M353" s="103" t="s">
        <v>4333</v>
      </c>
      <c r="N353" s="103" t="s">
        <v>4452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5938</v>
      </c>
      <c r="AC353" s="149" t="s">
        <v>5939</v>
      </c>
      <c r="AD353" s="149" t="s">
        <v>5940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5941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4454</v>
      </c>
      <c r="BA353" s="107" t="s">
        <v>4598</v>
      </c>
      <c r="BB353" s="136" t="s">
        <v>4338</v>
      </c>
      <c r="BC353" s="220">
        <f>IF(AY353-KD353=0,"",AY353-O353)</f>
        <v>91</v>
      </c>
      <c r="BD353" s="103" t="str">
        <f>IF(AND(AI353&lt;&gt;"SIM",AI353="UH"),"AA","INDENIZAÇÃO")</f>
        <v>INDENIZAÇÃO</v>
      </c>
      <c r="BE353" s="103" t="str">
        <f>IF(AND(AY353&lt;&gt;"AGUARDANDO",AY353&lt;&gt;"",N353="AUXÍLIO ALUGUEL ATÉ INDENIZAÇÃO"),"SIM","NÃO")</f>
        <v>NÃO</v>
      </c>
      <c r="BF353" s="112" t="s">
        <v>4357</v>
      </c>
      <c r="BG353" s="112" t="s">
        <v>4357</v>
      </c>
      <c r="BH353" s="112" t="s">
        <v>4357</v>
      </c>
      <c r="BI353" s="109" t="s">
        <v>4926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5942</v>
      </c>
      <c r="G354" s="103" t="s">
        <v>4330</v>
      </c>
      <c r="H354" s="103" t="s">
        <v>4331</v>
      </c>
      <c r="I354" s="103" t="s">
        <v>4343</v>
      </c>
      <c r="J354" s="149" t="s">
        <v>5943</v>
      </c>
      <c r="K354" s="149" t="s">
        <v>5944</v>
      </c>
      <c r="L354" s="149" t="s">
        <v>5945</v>
      </c>
      <c r="M354" s="103" t="s">
        <v>4333</v>
      </c>
      <c r="N354" s="103" t="s">
        <v>4452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5943</v>
      </c>
      <c r="AC354" s="149" t="s">
        <v>5944</v>
      </c>
      <c r="AD354" s="149" t="s">
        <v>5945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5946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4454</v>
      </c>
      <c r="BA354" s="107" t="s">
        <v>4598</v>
      </c>
      <c r="BB354" s="136" t="s">
        <v>4338</v>
      </c>
      <c r="BC354" s="220">
        <f>IF(AY354-KD354=0,"",AY354-O354)</f>
        <v>46</v>
      </c>
      <c r="BD354" s="103" t="str">
        <f>IF(AND(AI354&lt;&gt;"SIM",AI354="UH"),"AA","INDENIZAÇÃO")</f>
        <v>INDENIZAÇÃO</v>
      </c>
      <c r="BE354" s="103" t="str">
        <f>IF(AND(AY354&lt;&gt;"AGUARDANDO",AY354&lt;&gt;"",N354="AUXÍLIO ALUGUEL ATÉ INDENIZAÇÃO"),"SIM","NÃO")</f>
        <v>NÃO</v>
      </c>
      <c r="BF354" s="112" t="s">
        <v>4357</v>
      </c>
      <c r="BG354" s="112" t="s">
        <v>4357</v>
      </c>
      <c r="BH354" s="112" t="s">
        <v>4357</v>
      </c>
      <c r="BI354" s="109" t="s">
        <v>4926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4476</v>
      </c>
      <c r="D355" s="103">
        <v>1</v>
      </c>
      <c r="E355" s="103" t="s">
        <v>4432</v>
      </c>
      <c r="F355" s="104" t="s">
        <v>5942</v>
      </c>
      <c r="G355" s="103" t="s">
        <v>4330</v>
      </c>
      <c r="H355" s="103" t="s">
        <v>4342</v>
      </c>
      <c r="I355" s="153" t="s">
        <v>4332</v>
      </c>
      <c r="J355" s="149" t="s">
        <v>5947</v>
      </c>
      <c r="K355" s="149" t="s">
        <v>5948</v>
      </c>
      <c r="L355" s="149" t="s">
        <v>5949</v>
      </c>
      <c r="M355" s="103" t="s">
        <v>4333</v>
      </c>
      <c r="N355" s="103" t="s">
        <v>4452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5947</v>
      </c>
      <c r="AC355" s="149" t="s">
        <v>5948</v>
      </c>
      <c r="AD355" s="149" t="s">
        <v>5949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5950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4454</v>
      </c>
      <c r="BA355" s="107" t="s">
        <v>4598</v>
      </c>
      <c r="BB355" s="136" t="s">
        <v>4338</v>
      </c>
      <c r="BC355" s="220">
        <f>IF(AY355-KD355=0,"",AY355-O355)</f>
        <v>80</v>
      </c>
      <c r="BD355" s="103" t="str">
        <f>IF(AND(AI355&lt;&gt;"SIM",AI355="UH"),"AA","INDENIZAÇÃO")</f>
        <v>INDENIZAÇÃO</v>
      </c>
      <c r="BE355" s="103" t="str">
        <f>IF(AND(AY355&lt;&gt;"AGUARDANDO",AY355&lt;&gt;"",N355="AUXÍLIO ALUGUEL ATÉ INDENIZAÇÃO"),"SIM","NÃO")</f>
        <v>NÃO</v>
      </c>
      <c r="BF355" s="112" t="s">
        <v>4357</v>
      </c>
      <c r="BG355" s="112" t="s">
        <v>4357</v>
      </c>
      <c r="BH355" s="112" t="s">
        <v>4357</v>
      </c>
      <c r="BI355" s="109" t="s">
        <v>4926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4476</v>
      </c>
      <c r="D356" s="103">
        <v>1</v>
      </c>
      <c r="E356" s="103" t="s">
        <v>4432</v>
      </c>
      <c r="F356" s="104" t="s">
        <v>5951</v>
      </c>
      <c r="G356" s="103" t="s">
        <v>4330</v>
      </c>
      <c r="H356" s="103" t="s">
        <v>4331</v>
      </c>
      <c r="I356" s="142" t="s">
        <v>4343</v>
      </c>
      <c r="J356" s="149" t="s">
        <v>5952</v>
      </c>
      <c r="K356" s="149" t="s">
        <v>5953</v>
      </c>
      <c r="L356" s="149" t="s">
        <v>5954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5952</v>
      </c>
      <c r="AC356" s="149" t="s">
        <v>5953</v>
      </c>
      <c r="AD356" s="149" t="s">
        <v>5954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>IF(AY356-KD356=0,"",AY356-O356)</f>
        <v/>
      </c>
      <c r="BD356" s="103" t="str">
        <f>IF(AND(AI356&lt;&gt;"SIM",AI356="UH"),"AA","INDENIZAÇÃO")</f>
        <v>AA</v>
      </c>
      <c r="BE356" s="103" t="str">
        <f>IF(AND(AY356&lt;&gt;"AGUARDANDO",AY356&lt;&gt;"",N356="AUXÍLIO ALUGUEL ATÉ INDENIZAÇÃO"),"SIM","NÃO")</f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4476</v>
      </c>
      <c r="D357" s="103">
        <v>1</v>
      </c>
      <c r="E357" s="103" t="s">
        <v>4432</v>
      </c>
      <c r="F357" s="104" t="s">
        <v>5955</v>
      </c>
      <c r="G357" s="103" t="s">
        <v>4330</v>
      </c>
      <c r="H357" s="103" t="s">
        <v>4331</v>
      </c>
      <c r="I357" s="142" t="s">
        <v>4343</v>
      </c>
      <c r="J357" s="149" t="s">
        <v>5956</v>
      </c>
      <c r="K357" s="149" t="s">
        <v>5957</v>
      </c>
      <c r="L357" s="149" t="s">
        <v>5958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5956</v>
      </c>
      <c r="AC357" s="149" t="s">
        <v>5957</v>
      </c>
      <c r="AD357" s="149" t="s">
        <v>5958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>IF(AY357-KD357=0,"",AY357-O357)</f>
        <v/>
      </c>
      <c r="BD357" s="103" t="str">
        <f>IF(AND(AI357&lt;&gt;"SIM",AI357="UH"),"AA","INDENIZAÇÃO")</f>
        <v>AA</v>
      </c>
      <c r="BE357" s="103" t="str">
        <f>IF(AND(AY357&lt;&gt;"AGUARDANDO",AY357&lt;&gt;"",N357="AUXÍLIO ALUGUEL ATÉ INDENIZAÇÃO"),"SIM","NÃO")</f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4476</v>
      </c>
      <c r="D358" s="103">
        <v>1</v>
      </c>
      <c r="E358" s="103" t="s">
        <v>4432</v>
      </c>
      <c r="F358" s="104" t="s">
        <v>5959</v>
      </c>
      <c r="G358" s="103" t="s">
        <v>4330</v>
      </c>
      <c r="H358" s="103" t="s">
        <v>4331</v>
      </c>
      <c r="I358" s="142" t="s">
        <v>4343</v>
      </c>
      <c r="J358" s="149" t="s">
        <v>5960</v>
      </c>
      <c r="K358" s="149" t="s">
        <v>5961</v>
      </c>
      <c r="L358" s="149" t="s">
        <v>5962</v>
      </c>
      <c r="M358" s="103" t="s">
        <v>4333</v>
      </c>
      <c r="N358" s="103" t="s">
        <v>4452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5960</v>
      </c>
      <c r="AC358" s="149" t="s">
        <v>5961</v>
      </c>
      <c r="AD358" s="149" t="s">
        <v>5962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5963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4454</v>
      </c>
      <c r="BA358" s="107" t="s">
        <v>4598</v>
      </c>
      <c r="BB358" s="136" t="s">
        <v>4338</v>
      </c>
      <c r="BC358" s="220">
        <f>IF(AY358-KD358=0,"",AY358-O358)</f>
        <v>80</v>
      </c>
      <c r="BD358" s="103" t="str">
        <f>IF(AND(AI358&lt;&gt;"SIM",AI358="UH"),"AA","INDENIZAÇÃO")</f>
        <v>INDENIZAÇÃO</v>
      </c>
      <c r="BE358" s="103" t="str">
        <f>IF(AND(AY358&lt;&gt;"AGUARDANDO",AY358&lt;&gt;"",N358="AUXÍLIO ALUGUEL ATÉ INDENIZAÇÃO"),"SIM","NÃO")</f>
        <v>NÃO</v>
      </c>
      <c r="BF358" s="112" t="s">
        <v>4357</v>
      </c>
      <c r="BG358" s="112" t="s">
        <v>4357</v>
      </c>
      <c r="BH358" s="112" t="s">
        <v>4357</v>
      </c>
      <c r="BI358" s="109" t="s">
        <v>4926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4476</v>
      </c>
      <c r="D359" s="103">
        <v>1</v>
      </c>
      <c r="E359" s="103" t="s">
        <v>4432</v>
      </c>
      <c r="F359" s="104" t="s">
        <v>5964</v>
      </c>
      <c r="G359" s="103" t="s">
        <v>4330</v>
      </c>
      <c r="H359" s="103" t="s">
        <v>4331</v>
      </c>
      <c r="I359" s="142" t="s">
        <v>4440</v>
      </c>
      <c r="J359" s="149" t="s">
        <v>5965</v>
      </c>
      <c r="K359" s="149" t="s">
        <v>5966</v>
      </c>
      <c r="L359" s="149" t="s">
        <v>5967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5968</v>
      </c>
      <c r="AC359" s="149" t="s">
        <v>5969</v>
      </c>
      <c r="AD359" s="149" t="s">
        <v>5970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5971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>IF(AY359-KD359=0,"",AY359-O359)</f>
        <v/>
      </c>
      <c r="BD359" s="103" t="str">
        <f>IF(AND(AI359&lt;&gt;"SIM",AI359="UH"),"AA","INDENIZAÇÃO")</f>
        <v>INDENIZAÇÃO</v>
      </c>
      <c r="BE359" s="103" t="str">
        <f>IF(AND(AY359&lt;&gt;"AGUARDANDO",AY359&lt;&gt;"",N359="AUXÍLIO ALUGUEL ATÉ INDENIZAÇÃO"),"SIM","NÃO")</f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4476</v>
      </c>
      <c r="D360" s="103">
        <v>1</v>
      </c>
      <c r="E360" s="103" t="s">
        <v>4432</v>
      </c>
      <c r="F360" s="104" t="s">
        <v>5972</v>
      </c>
      <c r="G360" s="112" t="s">
        <v>4341</v>
      </c>
      <c r="H360" s="103" t="s">
        <v>5973</v>
      </c>
      <c r="I360" s="153" t="s">
        <v>4332</v>
      </c>
      <c r="J360" s="149" t="s">
        <v>5974</v>
      </c>
      <c r="K360" s="149" t="s">
        <v>5975</v>
      </c>
      <c r="L360" s="149" t="s">
        <v>5976</v>
      </c>
      <c r="M360" s="103" t="s">
        <v>4333</v>
      </c>
      <c r="N360" s="103" t="s">
        <v>4452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5974</v>
      </c>
      <c r="AC360" s="149" t="s">
        <v>5975</v>
      </c>
      <c r="AD360" s="149" t="s">
        <v>5976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5977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4454</v>
      </c>
      <c r="BA360" s="107" t="s">
        <v>4598</v>
      </c>
      <c r="BB360" s="136" t="s">
        <v>4338</v>
      </c>
      <c r="BC360" s="220">
        <f>IF(AY360-KD360=0,"",AY360-O360)</f>
        <v>94</v>
      </c>
      <c r="BD360" s="103" t="str">
        <f>IF(AND(AI360&lt;&gt;"SIM",AI360="UH"),"AA","INDENIZAÇÃO")</f>
        <v>INDENIZAÇÃO</v>
      </c>
      <c r="BE360" s="103" t="str">
        <f>IF(AND(AY360&lt;&gt;"AGUARDANDO",AY360&lt;&gt;"",N360="AUXÍLIO ALUGUEL ATÉ INDENIZAÇÃO"),"SIM","NÃO")</f>
        <v>NÃO</v>
      </c>
      <c r="BF360" s="140" t="s">
        <v>4357</v>
      </c>
      <c r="BG360" s="140" t="s">
        <v>4357</v>
      </c>
      <c r="BH360" s="140" t="s">
        <v>4357</v>
      </c>
      <c r="BI360" s="154" t="s">
        <v>4926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4476</v>
      </c>
      <c r="D361" s="103">
        <v>1</v>
      </c>
      <c r="E361" s="103" t="s">
        <v>4432</v>
      </c>
      <c r="F361" s="104" t="s">
        <v>5978</v>
      </c>
      <c r="G361" s="103" t="s">
        <v>4330</v>
      </c>
      <c r="H361" s="103" t="s">
        <v>4331</v>
      </c>
      <c r="I361" s="142" t="s">
        <v>4343</v>
      </c>
      <c r="J361" s="149" t="s">
        <v>5979</v>
      </c>
      <c r="K361" s="149" t="s">
        <v>5980</v>
      </c>
      <c r="L361" s="149" t="s">
        <v>5981</v>
      </c>
      <c r="M361" s="103" t="s">
        <v>4333</v>
      </c>
      <c r="N361" s="103" t="s">
        <v>4452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5979</v>
      </c>
      <c r="AC361" s="149" t="s">
        <v>5980</v>
      </c>
      <c r="AD361" s="149" t="s">
        <v>5981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5982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4454</v>
      </c>
      <c r="BA361" s="107" t="s">
        <v>4598</v>
      </c>
      <c r="BB361" s="136" t="s">
        <v>4338</v>
      </c>
      <c r="BC361" s="220">
        <f>IF(AY361-KD361=0,"",AY361-O361)</f>
        <v>75</v>
      </c>
      <c r="BD361" s="103" t="str">
        <f>IF(AND(AI361&lt;&gt;"SIM",AI361="UH"),"AA","INDENIZAÇÃO")</f>
        <v>INDENIZAÇÃO</v>
      </c>
      <c r="BE361" s="103" t="str">
        <f>IF(AND(AY361&lt;&gt;"AGUARDANDO",AY361&lt;&gt;"",N361="AUXÍLIO ALUGUEL ATÉ INDENIZAÇÃO"),"SIM","NÃO")</f>
        <v>NÃO</v>
      </c>
      <c r="BF361" s="112" t="s">
        <v>4357</v>
      </c>
      <c r="BG361" s="112" t="s">
        <v>4357</v>
      </c>
      <c r="BH361" s="112" t="s">
        <v>4357</v>
      </c>
      <c r="BI361" s="109" t="s">
        <v>4926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4476</v>
      </c>
      <c r="D362" s="103">
        <v>1</v>
      </c>
      <c r="E362" s="103" t="s">
        <v>4432</v>
      </c>
      <c r="F362" s="104" t="s">
        <v>5983</v>
      </c>
      <c r="G362" s="103" t="s">
        <v>4330</v>
      </c>
      <c r="H362" s="103" t="s">
        <v>4331</v>
      </c>
      <c r="I362" s="142" t="s">
        <v>4343</v>
      </c>
      <c r="J362" s="149" t="s">
        <v>5984</v>
      </c>
      <c r="K362" s="149" t="s">
        <v>5985</v>
      </c>
      <c r="L362" s="149" t="s">
        <v>5986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5984</v>
      </c>
      <c r="AC362" s="149" t="s">
        <v>5985</v>
      </c>
      <c r="AD362" s="149" t="s">
        <v>5986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>IF(AY362-KD362=0,"",AY362-O362)</f>
        <v/>
      </c>
      <c r="BD362" s="103" t="str">
        <f>IF(AND(AI362&lt;&gt;"SIM",AI362="UH"),"AA","INDENIZAÇÃO")</f>
        <v>AA</v>
      </c>
      <c r="BE362" s="103" t="str">
        <f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4476</v>
      </c>
      <c r="D363" s="103">
        <v>1</v>
      </c>
      <c r="E363" s="103" t="s">
        <v>4432</v>
      </c>
      <c r="F363" s="104" t="s">
        <v>5987</v>
      </c>
      <c r="G363" s="103" t="s">
        <v>4330</v>
      </c>
      <c r="H363" s="103" t="s">
        <v>4331</v>
      </c>
      <c r="I363" s="142" t="s">
        <v>4343</v>
      </c>
      <c r="J363" s="149" t="s">
        <v>5988</v>
      </c>
      <c r="K363" s="149" t="s">
        <v>5989</v>
      </c>
      <c r="L363" s="149" t="s">
        <v>5990</v>
      </c>
      <c r="M363" s="103" t="s">
        <v>4333</v>
      </c>
      <c r="N363" s="103" t="s">
        <v>4452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5988</v>
      </c>
      <c r="AC363" s="149" t="s">
        <v>5989</v>
      </c>
      <c r="AD363" s="149" t="s">
        <v>5990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5991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4454</v>
      </c>
      <c r="BA363" s="107" t="s">
        <v>4598</v>
      </c>
      <c r="BB363" s="136" t="s">
        <v>4338</v>
      </c>
      <c r="BC363" s="220">
        <f>IF(AY363-KD363=0,"",AY363-O363)</f>
        <v>137</v>
      </c>
      <c r="BD363" s="103" t="str">
        <f>IF(AND(AI363&lt;&gt;"SIM",AI363="UH"),"AA","INDENIZAÇÃO")</f>
        <v>INDENIZAÇÃO</v>
      </c>
      <c r="BE363" s="103" t="str">
        <f>IF(AND(AY363&lt;&gt;"AGUARDANDO",AY363&lt;&gt;"",N363="AUXÍLIO ALUGUEL ATÉ INDENIZAÇÃO"),"SIM","NÃO")</f>
        <v>NÃO</v>
      </c>
      <c r="BF363" s="112" t="s">
        <v>4357</v>
      </c>
      <c r="BG363" s="112" t="s">
        <v>4357</v>
      </c>
      <c r="BH363" s="112" t="s">
        <v>4357</v>
      </c>
      <c r="BI363" s="109" t="s">
        <v>4926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4476</v>
      </c>
      <c r="D364" s="103">
        <v>1</v>
      </c>
      <c r="E364" s="103" t="s">
        <v>4432</v>
      </c>
      <c r="F364" s="104" t="s">
        <v>5992</v>
      </c>
      <c r="G364" s="103" t="s">
        <v>4330</v>
      </c>
      <c r="H364" s="103" t="s">
        <v>4331</v>
      </c>
      <c r="I364" s="142" t="s">
        <v>4343</v>
      </c>
      <c r="J364" s="149" t="s">
        <v>5993</v>
      </c>
      <c r="K364" s="149" t="s">
        <v>5994</v>
      </c>
      <c r="L364" s="149" t="s">
        <v>5995</v>
      </c>
      <c r="M364" s="103" t="s">
        <v>4333</v>
      </c>
      <c r="N364" s="103" t="s">
        <v>4452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5996</v>
      </c>
      <c r="AC364" s="149" t="s">
        <v>5994</v>
      </c>
      <c r="AD364" s="149" t="s">
        <v>5995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5997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4454</v>
      </c>
      <c r="BA364" s="107" t="s">
        <v>4598</v>
      </c>
      <c r="BB364" s="136" t="s">
        <v>4338</v>
      </c>
      <c r="BC364" s="220">
        <f>IF(AY364-KD364=0,"",AY364-O364)</f>
        <v>62</v>
      </c>
      <c r="BD364" s="103" t="str">
        <f>IF(AND(AI364&lt;&gt;"SIM",AI364="UH"),"AA","INDENIZAÇÃO")</f>
        <v>INDENIZAÇÃO</v>
      </c>
      <c r="BE364" s="103" t="str">
        <f>IF(AND(AY364&lt;&gt;"AGUARDANDO",AY364&lt;&gt;"",N364="AUXÍLIO ALUGUEL ATÉ INDENIZAÇÃO"),"SIM","NÃO")</f>
        <v>NÃO</v>
      </c>
      <c r="BF364" s="112" t="s">
        <v>4357</v>
      </c>
      <c r="BG364" s="112" t="s">
        <v>4357</v>
      </c>
      <c r="BH364" s="112" t="s">
        <v>4357</v>
      </c>
      <c r="BI364" s="109" t="s">
        <v>4926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4476</v>
      </c>
      <c r="D365" s="103">
        <v>1</v>
      </c>
      <c r="E365" s="103" t="s">
        <v>4432</v>
      </c>
      <c r="F365" s="104" t="s">
        <v>5998</v>
      </c>
      <c r="G365" s="103" t="s">
        <v>4330</v>
      </c>
      <c r="H365" s="103" t="s">
        <v>4331</v>
      </c>
      <c r="I365" s="142" t="s">
        <v>4343</v>
      </c>
      <c r="J365" s="114" t="s">
        <v>5999</v>
      </c>
      <c r="K365" s="149" t="s">
        <v>6000</v>
      </c>
      <c r="L365" s="149" t="s">
        <v>6001</v>
      </c>
      <c r="M365" s="103" t="s">
        <v>4333</v>
      </c>
      <c r="N365" s="103" t="s">
        <v>4452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5999</v>
      </c>
      <c r="AC365" s="139" t="s">
        <v>6000</v>
      </c>
      <c r="AD365" s="139" t="s">
        <v>6001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6002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4454</v>
      </c>
      <c r="BA365" s="107" t="s">
        <v>4598</v>
      </c>
      <c r="BB365" s="136" t="s">
        <v>4338</v>
      </c>
      <c r="BC365" s="220">
        <f>IF(AY365-KD365=0,"",AY365-O365)</f>
        <v>102</v>
      </c>
      <c r="BD365" s="103" t="str">
        <f>IF(AND(AI365&lt;&gt;"SIM",AI365="UH"),"AA","INDENIZAÇÃO")</f>
        <v>INDENIZAÇÃO</v>
      </c>
      <c r="BE365" s="103" t="str">
        <f>IF(AND(AY365&lt;&gt;"AGUARDANDO",AY365&lt;&gt;"",N365="AUXÍLIO ALUGUEL ATÉ INDENIZAÇÃO"),"SIM","NÃO")</f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4454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4476</v>
      </c>
      <c r="D366" s="103">
        <v>1</v>
      </c>
      <c r="E366" s="103" t="s">
        <v>4432</v>
      </c>
      <c r="F366" s="104" t="s">
        <v>5080</v>
      </c>
      <c r="G366" s="103" t="s">
        <v>4330</v>
      </c>
      <c r="H366" s="103" t="s">
        <v>4331</v>
      </c>
      <c r="I366" s="142" t="s">
        <v>4343</v>
      </c>
      <c r="J366" s="114" t="s">
        <v>6003</v>
      </c>
      <c r="K366" s="149" t="s">
        <v>6004</v>
      </c>
      <c r="L366" s="149" t="s">
        <v>6005</v>
      </c>
      <c r="M366" s="103" t="s">
        <v>4333</v>
      </c>
      <c r="N366" s="103" t="s">
        <v>4452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6003</v>
      </c>
      <c r="AC366" s="149" t="s">
        <v>6004</v>
      </c>
      <c r="AD366" s="149" t="s">
        <v>6005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6006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4454</v>
      </c>
      <c r="BA366" s="107" t="s">
        <v>4598</v>
      </c>
      <c r="BB366" s="136" t="s">
        <v>4338</v>
      </c>
      <c r="BC366" s="220">
        <f>IF(AY366-KD366=0,"",AY366-O366)</f>
        <v>60</v>
      </c>
      <c r="BD366" s="103" t="str">
        <f>IF(AND(AI366&lt;&gt;"SIM",AI366="UH"),"AA","INDENIZAÇÃO")</f>
        <v>INDENIZAÇÃO</v>
      </c>
      <c r="BE366" s="103" t="str">
        <f>IF(AND(AY366&lt;&gt;"AGUARDANDO",AY366&lt;&gt;"",N366="AUXÍLIO ALUGUEL ATÉ INDENIZAÇÃO"),"SIM","NÃO")</f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4454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4476</v>
      </c>
      <c r="D367" s="103">
        <v>1</v>
      </c>
      <c r="E367" s="103" t="s">
        <v>4432</v>
      </c>
      <c r="F367" s="104" t="s">
        <v>6007</v>
      </c>
      <c r="G367" s="103" t="s">
        <v>4330</v>
      </c>
      <c r="H367" s="103" t="s">
        <v>4331</v>
      </c>
      <c r="I367" s="142" t="s">
        <v>4343</v>
      </c>
      <c r="J367" s="150" t="s">
        <v>6008</v>
      </c>
      <c r="K367" s="149" t="s">
        <v>6009</v>
      </c>
      <c r="L367" s="149" t="s">
        <v>6010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6008</v>
      </c>
      <c r="AC367" s="149" t="s">
        <v>6009</v>
      </c>
      <c r="AD367" s="149" t="s">
        <v>6010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>IF(AY367-KD367=0,"",AY367-O367)</f>
        <v/>
      </c>
      <c r="BD367" s="103" t="str">
        <f>IF(AND(AI367&lt;&gt;"SIM",AI367="UH"),"AA","INDENIZAÇÃO")</f>
        <v>AA</v>
      </c>
      <c r="BE367" s="103" t="str">
        <f>IF(AND(AY367&lt;&gt;"AGUARDANDO",AY367&lt;&gt;"",N367="AUXÍLIO ALUGUEL ATÉ INDENIZAÇÃO"),"SIM","NÃO")</f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4476</v>
      </c>
      <c r="D368" s="103">
        <v>1</v>
      </c>
      <c r="E368" s="103" t="s">
        <v>4432</v>
      </c>
      <c r="F368" s="104" t="s">
        <v>6011</v>
      </c>
      <c r="G368" s="103" t="s">
        <v>4330</v>
      </c>
      <c r="H368" s="103" t="s">
        <v>4331</v>
      </c>
      <c r="I368" s="142" t="s">
        <v>4343</v>
      </c>
      <c r="J368" s="149" t="s">
        <v>6012</v>
      </c>
      <c r="K368" s="149" t="s">
        <v>6013</v>
      </c>
      <c r="L368" s="149" t="s">
        <v>6014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6012</v>
      </c>
      <c r="AC368" s="149" t="s">
        <v>6013</v>
      </c>
      <c r="AD368" s="149" t="s">
        <v>6014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>IF(AY368-KD368=0,"",AY368-O368)</f>
        <v/>
      </c>
      <c r="BD368" s="103" t="str">
        <f>IF(AND(AI368&lt;&gt;"SIM",AI368="UH"),"AA","INDENIZAÇÃO")</f>
        <v>AA</v>
      </c>
      <c r="BE368" s="103" t="str">
        <f>IF(AND(AY368&lt;&gt;"AGUARDANDO",AY368&lt;&gt;"",N368="AUXÍLIO ALUGUEL ATÉ INDENIZAÇÃO"),"SIM","NÃO")</f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4476</v>
      </c>
      <c r="D369" s="103">
        <v>1</v>
      </c>
      <c r="E369" s="103" t="s">
        <v>4432</v>
      </c>
      <c r="F369" s="104" t="s">
        <v>6015</v>
      </c>
      <c r="G369" s="103" t="s">
        <v>4330</v>
      </c>
      <c r="H369" s="103" t="s">
        <v>4331</v>
      </c>
      <c r="I369" s="142" t="s">
        <v>4343</v>
      </c>
      <c r="J369" s="149" t="s">
        <v>6016</v>
      </c>
      <c r="K369" s="149" t="s">
        <v>6017</v>
      </c>
      <c r="L369" s="149" t="s">
        <v>6018</v>
      </c>
      <c r="M369" s="103" t="s">
        <v>4333</v>
      </c>
      <c r="N369" s="103" t="s">
        <v>4452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6016</v>
      </c>
      <c r="AC369" s="149" t="s">
        <v>6017</v>
      </c>
      <c r="AD369" s="149" t="s">
        <v>6018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6019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4454</v>
      </c>
      <c r="BA369" s="107" t="s">
        <v>4598</v>
      </c>
      <c r="BB369" s="136" t="s">
        <v>4338</v>
      </c>
      <c r="BC369" s="220">
        <f>IF(AY369-KD369=0,"",AY369-O369)</f>
        <v>95</v>
      </c>
      <c r="BD369" s="103" t="str">
        <f>IF(AND(AI369&lt;&gt;"SIM",AI369="UH"),"AA","INDENIZAÇÃO")</f>
        <v>INDENIZAÇÃO</v>
      </c>
      <c r="BE369" s="103" t="str">
        <f>IF(AND(AY369&lt;&gt;"AGUARDANDO",AY369&lt;&gt;"",N369="AUXÍLIO ALUGUEL ATÉ INDENIZAÇÃO"),"SIM","NÃO")</f>
        <v>NÃO</v>
      </c>
      <c r="BF369" s="112" t="s">
        <v>4357</v>
      </c>
      <c r="BG369" s="112" t="s">
        <v>4357</v>
      </c>
      <c r="BH369" s="112" t="s">
        <v>4357</v>
      </c>
      <c r="BI369" s="109" t="s">
        <v>4926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4476</v>
      </c>
      <c r="D370" s="103">
        <v>1</v>
      </c>
      <c r="E370" s="103" t="s">
        <v>4432</v>
      </c>
      <c r="F370" s="104" t="s">
        <v>6020</v>
      </c>
      <c r="G370" s="103" t="s">
        <v>4330</v>
      </c>
      <c r="H370" s="103" t="s">
        <v>4352</v>
      </c>
      <c r="I370" s="142" t="s">
        <v>4343</v>
      </c>
      <c r="J370" s="149" t="s">
        <v>6021</v>
      </c>
      <c r="K370" s="149" t="s">
        <v>6022</v>
      </c>
      <c r="L370" s="149" t="s">
        <v>6023</v>
      </c>
      <c r="M370" s="103" t="s">
        <v>4333</v>
      </c>
      <c r="N370" s="103" t="s">
        <v>4452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6021</v>
      </c>
      <c r="AC370" s="149" t="s">
        <v>6022</v>
      </c>
      <c r="AD370" s="149" t="s">
        <v>6023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6024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4454</v>
      </c>
      <c r="BA370" s="107" t="s">
        <v>4598</v>
      </c>
      <c r="BB370" s="136" t="s">
        <v>4338</v>
      </c>
      <c r="BC370" s="220">
        <f>IF(AY370-KD370=0,"",AY370-O370)</f>
        <v>95</v>
      </c>
      <c r="BD370" s="103" t="str">
        <f>IF(AND(AI370&lt;&gt;"SIM",AI370="UH"),"AA","INDENIZAÇÃO")</f>
        <v>INDENIZAÇÃO</v>
      </c>
      <c r="BE370" s="103" t="str">
        <f>IF(AND(AY370&lt;&gt;"AGUARDANDO",AY370&lt;&gt;"",N370="AUXÍLIO ALUGUEL ATÉ INDENIZAÇÃO"),"SIM","NÃO")</f>
        <v>NÃO</v>
      </c>
      <c r="BF370" s="112" t="s">
        <v>4357</v>
      </c>
      <c r="BG370" s="112" t="s">
        <v>4357</v>
      </c>
      <c r="BH370" s="112" t="s">
        <v>4357</v>
      </c>
      <c r="BI370" s="109" t="s">
        <v>4926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6025</v>
      </c>
      <c r="G371" s="103" t="s">
        <v>4330</v>
      </c>
      <c r="H371" s="103" t="s">
        <v>4331</v>
      </c>
      <c r="I371" s="103" t="s">
        <v>4440</v>
      </c>
      <c r="J371" s="149" t="s">
        <v>6026</v>
      </c>
      <c r="K371" s="149" t="s">
        <v>6027</v>
      </c>
      <c r="L371" s="149" t="s">
        <v>6028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6029</v>
      </c>
      <c r="AC371" s="149" t="s">
        <v>6030</v>
      </c>
      <c r="AD371" s="149" t="s">
        <v>6031</v>
      </c>
      <c r="AE371" s="142" t="s">
        <v>4332</v>
      </c>
      <c r="AF371" s="142" t="s">
        <v>5635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6032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4454</v>
      </c>
      <c r="BA371" s="107" t="s">
        <v>4598</v>
      </c>
      <c r="BB371" s="136" t="s">
        <v>4338</v>
      </c>
      <c r="BC371" s="220">
        <f>IF(AY371-KD371=0,"",AY371-O371)</f>
        <v>36</v>
      </c>
      <c r="BD371" s="103" t="str">
        <f>IF(AND(AI371&lt;&gt;"SIM",AI371="UH"),"AA","INDENIZAÇÃO")</f>
        <v>INDENIZAÇÃO</v>
      </c>
      <c r="BE371" s="103" t="str">
        <f>IF(AND(AY371&lt;&gt;"AGUARDANDO",AY371&lt;&gt;"",N371="AUXÍLIO ALUGUEL ATÉ INDENIZAÇÃO"),"SIM","NÃO")</f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4454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6033</v>
      </c>
      <c r="G372" s="103" t="s">
        <v>4330</v>
      </c>
      <c r="H372" s="103" t="s">
        <v>4352</v>
      </c>
      <c r="I372" s="103" t="s">
        <v>4343</v>
      </c>
      <c r="J372" s="149" t="s">
        <v>6034</v>
      </c>
      <c r="K372" s="149" t="s">
        <v>6035</v>
      </c>
      <c r="L372" s="149" t="s">
        <v>6036</v>
      </c>
      <c r="M372" s="103" t="s">
        <v>4333</v>
      </c>
      <c r="N372" s="103" t="s">
        <v>4452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6034</v>
      </c>
      <c r="AC372" s="149" t="s">
        <v>6035</v>
      </c>
      <c r="AD372" s="149" t="s">
        <v>6036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6037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4454</v>
      </c>
      <c r="BA372" s="107" t="s">
        <v>4598</v>
      </c>
      <c r="BB372" s="136" t="s">
        <v>4338</v>
      </c>
      <c r="BC372" s="220">
        <f>IF(AY372-KD372=0,"",AY372-O372)</f>
        <v>30</v>
      </c>
      <c r="BD372" s="103" t="str">
        <f>IF(AND(AI372&lt;&gt;"SIM",AI372="UH"),"AA","INDENIZAÇÃO")</f>
        <v>INDENIZAÇÃO</v>
      </c>
      <c r="BE372" s="103" t="str">
        <f>IF(AND(AY372&lt;&gt;"AGUARDANDO",AY372&lt;&gt;"",N372="AUXÍLIO ALUGUEL ATÉ INDENIZAÇÃO"),"SIM","NÃO")</f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4454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4476</v>
      </c>
      <c r="D373" s="103">
        <v>1</v>
      </c>
      <c r="E373" s="103" t="s">
        <v>4432</v>
      </c>
      <c r="F373" s="104" t="s">
        <v>6038</v>
      </c>
      <c r="G373" s="103" t="s">
        <v>4330</v>
      </c>
      <c r="H373" s="103" t="s">
        <v>4331</v>
      </c>
      <c r="I373" s="142" t="s">
        <v>4343</v>
      </c>
      <c r="J373" s="149" t="s">
        <v>6039</v>
      </c>
      <c r="K373" s="149" t="s">
        <v>6040</v>
      </c>
      <c r="L373" s="149" t="s">
        <v>6041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6039</v>
      </c>
      <c r="AC373" s="149" t="s">
        <v>6040</v>
      </c>
      <c r="AD373" s="149" t="s">
        <v>6041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>IF(AY373-KD373=0,"",AY373-O373)</f>
        <v/>
      </c>
      <c r="BD373" s="103" t="str">
        <f>IF(AND(AI373&lt;&gt;"SIM",AI373="UH"),"AA","INDENIZAÇÃO")</f>
        <v>AA</v>
      </c>
      <c r="BE373" s="103" t="str">
        <f>IF(AND(AY373&lt;&gt;"AGUARDANDO",AY373&lt;&gt;"",N373="AUXÍLIO ALUGUEL ATÉ INDENIZAÇÃO"),"SIM","NÃO")</f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5483</v>
      </c>
      <c r="G374" s="103" t="s">
        <v>4330</v>
      </c>
      <c r="H374" s="103" t="s">
        <v>4331</v>
      </c>
      <c r="I374" s="103" t="s">
        <v>4343</v>
      </c>
      <c r="J374" s="149" t="s">
        <v>6042</v>
      </c>
      <c r="K374" s="149" t="s">
        <v>6043</v>
      </c>
      <c r="L374" s="149" t="s">
        <v>6044</v>
      </c>
      <c r="M374" s="103" t="s">
        <v>4333</v>
      </c>
      <c r="N374" s="103" t="s">
        <v>4452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6042</v>
      </c>
      <c r="AC374" s="149" t="s">
        <v>6043</v>
      </c>
      <c r="AD374" s="149" t="s">
        <v>6044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6045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4454</v>
      </c>
      <c r="BA374" s="107" t="s">
        <v>4598</v>
      </c>
      <c r="BB374" s="136" t="s">
        <v>4338</v>
      </c>
      <c r="BC374" s="220">
        <f>IF(AY374-KD374=0,"",AY374-O374)</f>
        <v>40</v>
      </c>
      <c r="BD374" s="103" t="str">
        <f>IF(AND(AI374&lt;&gt;"SIM",AI374="UH"),"AA","INDENIZAÇÃO")</f>
        <v>INDENIZAÇÃO</v>
      </c>
      <c r="BE374" s="103" t="str">
        <f>IF(AND(AY374&lt;&gt;"AGUARDANDO",AY374&lt;&gt;"",N374="AUXÍLIO ALUGUEL ATÉ INDENIZAÇÃO"),"SIM","NÃO")</f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4454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4913</v>
      </c>
      <c r="G375" s="103" t="s">
        <v>4330</v>
      </c>
      <c r="H375" s="103" t="s">
        <v>4331</v>
      </c>
      <c r="I375" s="142" t="s">
        <v>4343</v>
      </c>
      <c r="J375" s="149" t="s">
        <v>6046</v>
      </c>
      <c r="K375" s="149" t="s">
        <v>4432</v>
      </c>
      <c r="L375" s="149" t="s">
        <v>6047</v>
      </c>
      <c r="M375" s="103" t="s">
        <v>4333</v>
      </c>
      <c r="N375" s="103" t="s">
        <v>4452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6046</v>
      </c>
      <c r="AC375" s="149" t="s">
        <v>4432</v>
      </c>
      <c r="AD375" s="149" t="s">
        <v>6047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6048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4454</v>
      </c>
      <c r="BA375" s="107" t="s">
        <v>4598</v>
      </c>
      <c r="BB375" s="112" t="s">
        <v>4338</v>
      </c>
      <c r="BC375" s="220">
        <f>IF(AY375-KD375=0,"",AY375-O375)</f>
        <v>61</v>
      </c>
      <c r="BD375" s="103" t="str">
        <f>IF(AND(AI375&lt;&gt;"SIM",AI375="UH"),"AA","INDENIZAÇÃO")</f>
        <v>INDENIZAÇÃO</v>
      </c>
      <c r="BE375" s="103" t="str">
        <f>IF(AND(AY375&lt;&gt;"AGUARDANDO",AY375&lt;&gt;"",N375="AUXÍLIO ALUGUEL ATÉ INDENIZAÇÃO"),"SIM","NÃO")</f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4454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4476</v>
      </c>
      <c r="D376" s="103">
        <v>1</v>
      </c>
      <c r="E376" s="103" t="s">
        <v>4432</v>
      </c>
      <c r="F376" s="104" t="s">
        <v>6049</v>
      </c>
      <c r="G376" s="103" t="s">
        <v>4330</v>
      </c>
      <c r="H376" s="103" t="s">
        <v>4331</v>
      </c>
      <c r="I376" s="142" t="s">
        <v>4343</v>
      </c>
      <c r="J376" s="114" t="s">
        <v>6050</v>
      </c>
      <c r="K376" s="149" t="s">
        <v>6051</v>
      </c>
      <c r="L376" s="149" t="s">
        <v>6052</v>
      </c>
      <c r="M376" s="103" t="s">
        <v>4333</v>
      </c>
      <c r="N376" s="103" t="s">
        <v>4452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6050</v>
      </c>
      <c r="AC376" s="149" t="s">
        <v>6051</v>
      </c>
      <c r="AD376" s="149" t="s">
        <v>6052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6053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4454</v>
      </c>
      <c r="BA376" s="107" t="s">
        <v>4598</v>
      </c>
      <c r="BB376" s="136" t="s">
        <v>4338</v>
      </c>
      <c r="BC376" s="220">
        <f>IF(AY376-KD376=0,"",AY376-O376)</f>
        <v>77</v>
      </c>
      <c r="BD376" s="103" t="str">
        <f>IF(AND(AI376&lt;&gt;"SIM",AI376="UH"),"AA","INDENIZAÇÃO")</f>
        <v>INDENIZAÇÃO</v>
      </c>
      <c r="BE376" s="103" t="str">
        <f>IF(AND(AY376&lt;&gt;"AGUARDANDO",AY376&lt;&gt;"",N376="AUXÍLIO ALUGUEL ATÉ INDENIZAÇÃO"),"SIM","NÃO")</f>
        <v>NÃO</v>
      </c>
      <c r="BF376" s="140" t="s">
        <v>4357</v>
      </c>
      <c r="BG376" s="140" t="s">
        <v>4357</v>
      </c>
      <c r="BH376" s="140" t="s">
        <v>4357</v>
      </c>
      <c r="BI376" s="154" t="s">
        <v>4926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4476</v>
      </c>
      <c r="D377" s="103">
        <v>1</v>
      </c>
      <c r="E377" s="103" t="s">
        <v>4432</v>
      </c>
      <c r="F377" s="104" t="s">
        <v>6054</v>
      </c>
      <c r="G377" s="103" t="s">
        <v>4330</v>
      </c>
      <c r="H377" s="103" t="s">
        <v>4331</v>
      </c>
      <c r="I377" s="142" t="s">
        <v>4343</v>
      </c>
      <c r="J377" s="149" t="s">
        <v>6055</v>
      </c>
      <c r="K377" s="149" t="s">
        <v>6056</v>
      </c>
      <c r="L377" s="149" t="s">
        <v>6057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6055</v>
      </c>
      <c r="AC377" s="149" t="s">
        <v>6056</v>
      </c>
      <c r="AD377" s="149" t="s">
        <v>6057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>IF(AY377-KD377=0,"",AY377-O377)</f>
        <v/>
      </c>
      <c r="BD377" s="103" t="str">
        <f>IF(AND(AI377&lt;&gt;"SIM",AI377="UH"),"AA","INDENIZAÇÃO")</f>
        <v>AA</v>
      </c>
      <c r="BE377" s="103" t="str">
        <f>IF(AND(AY377&lt;&gt;"AGUARDANDO",AY377&lt;&gt;"",N377="AUXÍLIO ALUGUEL ATÉ INDENIZAÇÃO"),"SIM","NÃO")</f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4476</v>
      </c>
      <c r="D378" s="103">
        <v>1</v>
      </c>
      <c r="E378" s="103" t="s">
        <v>4432</v>
      </c>
      <c r="F378" s="104" t="s">
        <v>6058</v>
      </c>
      <c r="G378" s="103" t="s">
        <v>4330</v>
      </c>
      <c r="H378" s="103" t="s">
        <v>4331</v>
      </c>
      <c r="I378" s="142" t="s">
        <v>4343</v>
      </c>
      <c r="J378" s="149" t="s">
        <v>6059</v>
      </c>
      <c r="K378" s="149" t="s">
        <v>6060</v>
      </c>
      <c r="L378" s="149" t="s">
        <v>6061</v>
      </c>
      <c r="M378" s="103" t="s">
        <v>4333</v>
      </c>
      <c r="N378" s="103" t="s">
        <v>4452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6062</v>
      </c>
      <c r="AC378" s="149" t="s">
        <v>6060</v>
      </c>
      <c r="AD378" s="149" t="s">
        <v>6061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>IF(AY378-KD378=0,"",AY378-O378)</f>
        <v/>
      </c>
      <c r="BD378" s="103" t="str">
        <f>IF(AND(AI378&lt;&gt;"SIM",AI378="UH"),"AA","INDENIZAÇÃO")</f>
        <v>INDENIZAÇÃO</v>
      </c>
      <c r="BE378" s="103" t="str">
        <f>IF(AND(AY378&lt;&gt;"AGUARDANDO",AY378&lt;&gt;"",N378="AUXÍLIO ALUGUEL ATÉ INDENIZAÇÃO"),"SIM","NÃO")</f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4476</v>
      </c>
      <c r="D379" s="103">
        <v>1</v>
      </c>
      <c r="E379" s="103" t="s">
        <v>4432</v>
      </c>
      <c r="F379" s="104" t="s">
        <v>5319</v>
      </c>
      <c r="G379" s="103" t="s">
        <v>4330</v>
      </c>
      <c r="H379" s="103" t="s">
        <v>4331</v>
      </c>
      <c r="I379" s="142" t="s">
        <v>4343</v>
      </c>
      <c r="J379" s="149" t="s">
        <v>6063</v>
      </c>
      <c r="K379" s="149" t="s">
        <v>4432</v>
      </c>
      <c r="L379" s="149" t="s">
        <v>6064</v>
      </c>
      <c r="M379" s="103" t="s">
        <v>4333</v>
      </c>
      <c r="N379" s="103" t="s">
        <v>4452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6063</v>
      </c>
      <c r="AC379" s="149" t="s">
        <v>4432</v>
      </c>
      <c r="AD379" s="149" t="s">
        <v>6064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6065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4454</v>
      </c>
      <c r="BA379" s="107" t="s">
        <v>4598</v>
      </c>
      <c r="BB379" s="136" t="s">
        <v>4338</v>
      </c>
      <c r="BC379" s="220">
        <f>IF(AY379-KD379=0,"",AY379-O379)</f>
        <v>117</v>
      </c>
      <c r="BD379" s="103" t="str">
        <f>IF(AND(AI379&lt;&gt;"SIM",AI379="UH"),"AA","INDENIZAÇÃO")</f>
        <v>INDENIZAÇÃO</v>
      </c>
      <c r="BE379" s="103" t="str">
        <f>IF(AND(AY379&lt;&gt;"AGUARDANDO",AY379&lt;&gt;"",N379="AUXÍLIO ALUGUEL ATÉ INDENIZAÇÃO"),"SIM","NÃO")</f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2" t="s">
        <v>4502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4476</v>
      </c>
      <c r="D380" s="103">
        <v>1</v>
      </c>
      <c r="E380" s="103" t="s">
        <v>4432</v>
      </c>
      <c r="F380" s="104" t="s">
        <v>6066</v>
      </c>
      <c r="G380" s="103" t="s">
        <v>4330</v>
      </c>
      <c r="H380" s="103" t="s">
        <v>4331</v>
      </c>
      <c r="I380" s="142" t="s">
        <v>4343</v>
      </c>
      <c r="J380" s="149" t="s">
        <v>6067</v>
      </c>
      <c r="K380" s="104" t="s">
        <v>6068</v>
      </c>
      <c r="L380" s="104" t="s">
        <v>6069</v>
      </c>
      <c r="M380" s="103" t="s">
        <v>4333</v>
      </c>
      <c r="N380" s="103" t="s">
        <v>4452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6067</v>
      </c>
      <c r="AC380" s="104" t="s">
        <v>6068</v>
      </c>
      <c r="AD380" s="104" t="s">
        <v>6069</v>
      </c>
      <c r="AE380" s="103" t="s">
        <v>4343</v>
      </c>
      <c r="AF380" s="103" t="s">
        <v>6070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6071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4454</v>
      </c>
      <c r="BA380" s="107" t="s">
        <v>4598</v>
      </c>
      <c r="BB380" s="136" t="s">
        <v>4338</v>
      </c>
      <c r="BC380" s="220">
        <f>IF(AY380-KD380=0,"",AY380-O380)</f>
        <v>58</v>
      </c>
      <c r="BD380" s="103" t="str">
        <f>IF(AND(AI380&lt;&gt;"SIM",AI380="UH"),"AA","INDENIZAÇÃO")</f>
        <v>INDENIZAÇÃO</v>
      </c>
      <c r="BE380" s="103" t="str">
        <f>IF(AND(AY380&lt;&gt;"AGUARDANDO",AY380&lt;&gt;"",N380="AUXÍLIO ALUGUEL ATÉ INDENIZAÇÃO"),"SIM","NÃO")</f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4454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4476</v>
      </c>
      <c r="D381" s="103">
        <v>1</v>
      </c>
      <c r="E381" s="103" t="s">
        <v>4432</v>
      </c>
      <c r="F381" s="104" t="s">
        <v>4604</v>
      </c>
      <c r="G381" s="103" t="s">
        <v>4330</v>
      </c>
      <c r="H381" s="103" t="s">
        <v>4331</v>
      </c>
      <c r="I381" s="142" t="s">
        <v>4343</v>
      </c>
      <c r="J381" s="149" t="s">
        <v>6072</v>
      </c>
      <c r="K381" s="104" t="s">
        <v>6073</v>
      </c>
      <c r="L381" s="104" t="s">
        <v>6074</v>
      </c>
      <c r="M381" s="103" t="s">
        <v>4333</v>
      </c>
      <c r="N381" s="103" t="s">
        <v>4452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6072</v>
      </c>
      <c r="AC381" s="104" t="s">
        <v>6073</v>
      </c>
      <c r="AD381" s="104" t="s">
        <v>6074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6075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4454</v>
      </c>
      <c r="BA381" s="107" t="s">
        <v>4598</v>
      </c>
      <c r="BB381" s="136" t="s">
        <v>4338</v>
      </c>
      <c r="BC381" s="220">
        <f>IF(AY381-KD381=0,"",AY381-O381)</f>
        <v>92</v>
      </c>
      <c r="BD381" s="103" t="str">
        <f>IF(AND(AI381&lt;&gt;"SIM",AI381="UH"),"AA","INDENIZAÇÃO")</f>
        <v>INDENIZAÇÃO</v>
      </c>
      <c r="BE381" s="103" t="str">
        <f>IF(AND(AY381&lt;&gt;"AGUARDANDO",AY381&lt;&gt;"",N381="AUXÍLIO ALUGUEL ATÉ INDENIZAÇÃO"),"SIM","NÃO")</f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4454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4476</v>
      </c>
      <c r="D382" s="103">
        <v>1</v>
      </c>
      <c r="E382" s="103" t="s">
        <v>4432</v>
      </c>
      <c r="F382" s="104" t="s">
        <v>6076</v>
      </c>
      <c r="G382" s="103" t="s">
        <v>4330</v>
      </c>
      <c r="H382" s="103" t="s">
        <v>4331</v>
      </c>
      <c r="I382" s="142" t="s">
        <v>4343</v>
      </c>
      <c r="J382" s="149" t="s">
        <v>6077</v>
      </c>
      <c r="K382" s="149" t="s">
        <v>6078</v>
      </c>
      <c r="L382" s="149" t="s">
        <v>6079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6077</v>
      </c>
      <c r="AC382" s="149" t="s">
        <v>6078</v>
      </c>
      <c r="AD382" s="149" t="s">
        <v>6079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>IF(AY382-KD382=0,"",AY382-O382)</f>
        <v/>
      </c>
      <c r="BD382" s="103" t="str">
        <f>IF(AND(AI382&lt;&gt;"SIM",AI382="UH"),"AA","INDENIZAÇÃO")</f>
        <v>AA</v>
      </c>
      <c r="BE382" s="103" t="str">
        <f>IF(AND(AY382&lt;&gt;"AGUARDANDO",AY382&lt;&gt;"",N382="AUXÍLIO ALUGUEL ATÉ INDENIZAÇÃO"),"SIM","NÃO")</f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4476</v>
      </c>
      <c r="D383" s="103">
        <v>1</v>
      </c>
      <c r="E383" s="103" t="s">
        <v>4432</v>
      </c>
      <c r="F383" s="104" t="s">
        <v>6080</v>
      </c>
      <c r="G383" s="103" t="s">
        <v>4330</v>
      </c>
      <c r="H383" s="103" t="s">
        <v>4361</v>
      </c>
      <c r="I383" s="142" t="s">
        <v>4361</v>
      </c>
      <c r="J383" s="149" t="s">
        <v>6081</v>
      </c>
      <c r="K383" s="149" t="s">
        <v>6082</v>
      </c>
      <c r="L383" s="149" t="s">
        <v>6083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6081</v>
      </c>
      <c r="AC383" s="149" t="s">
        <v>6082</v>
      </c>
      <c r="AD383" s="149" t="s">
        <v>6083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4476</v>
      </c>
      <c r="D384" s="103">
        <v>1</v>
      </c>
      <c r="E384" s="103" t="s">
        <v>4432</v>
      </c>
      <c r="F384" s="104" t="s">
        <v>5188</v>
      </c>
      <c r="G384" s="103" t="s">
        <v>4330</v>
      </c>
      <c r="H384" s="103" t="s">
        <v>4331</v>
      </c>
      <c r="I384" s="142" t="s">
        <v>4343</v>
      </c>
      <c r="J384" s="149" t="s">
        <v>6084</v>
      </c>
      <c r="K384" s="149" t="s">
        <v>6085</v>
      </c>
      <c r="L384" s="149" t="s">
        <v>6086</v>
      </c>
      <c r="M384" s="103" t="s">
        <v>4333</v>
      </c>
      <c r="N384" s="103" t="s">
        <v>4452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6084</v>
      </c>
      <c r="AC384" s="149" t="s">
        <v>6085</v>
      </c>
      <c r="AD384" s="149" t="s">
        <v>6086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3" t="s">
        <v>6087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4454</v>
      </c>
      <c r="AZ384" s="157"/>
      <c r="BA384" s="109" t="s">
        <v>4330</v>
      </c>
      <c r="BB384" s="136"/>
      <c r="BC384" s="220" t="e">
        <f>IF(AY384-KD384=0,"",AY384-O384)</f>
        <v>#VALUE!</v>
      </c>
      <c r="BD384" s="103" t="str">
        <f>IF(AND(AI384&lt;&gt;"SIM",AI384="UH"),"AA","INDENIZAÇÃO")</f>
        <v>INDENIZAÇÃO</v>
      </c>
      <c r="BE384" s="103" t="str">
        <f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4689</v>
      </c>
      <c r="G385" s="103" t="s">
        <v>4351</v>
      </c>
      <c r="H385" s="103" t="s">
        <v>4351</v>
      </c>
      <c r="I385" s="153" t="s">
        <v>4332</v>
      </c>
      <c r="J385" s="149" t="s">
        <v>6088</v>
      </c>
      <c r="K385" s="149" t="s">
        <v>4432</v>
      </c>
      <c r="L385" s="149" t="s">
        <v>6089</v>
      </c>
      <c r="M385" s="103" t="s">
        <v>4333</v>
      </c>
      <c r="N385" s="103" t="s">
        <v>4452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6088</v>
      </c>
      <c r="AC385" s="149" t="s">
        <v>4432</v>
      </c>
      <c r="AD385" s="149" t="s">
        <v>6089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6090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4454</v>
      </c>
      <c r="BA385" s="107" t="s">
        <v>4598</v>
      </c>
      <c r="BB385" s="112" t="s">
        <v>4338</v>
      </c>
      <c r="BC385" s="220">
        <f>IF(AY385-KD385=0,"",AY385-O385)</f>
        <v>71</v>
      </c>
      <c r="BD385" s="103" t="str">
        <f>IF(AND(AI385&lt;&gt;"SIM",AI385="UH"),"AA","INDENIZAÇÃO")</f>
        <v>INDENIZAÇÃO</v>
      </c>
      <c r="BE385" s="103" t="str">
        <f>IF(AND(AY385&lt;&gt;"AGUARDANDO",AY385&lt;&gt;"",N385="AUXÍLIO ALUGUEL ATÉ INDENIZAÇÃO"),"SIM","NÃO")</f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4454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5838</v>
      </c>
      <c r="G386" s="103" t="s">
        <v>4330</v>
      </c>
      <c r="H386" s="103" t="s">
        <v>4352</v>
      </c>
      <c r="I386" s="142" t="s">
        <v>4343</v>
      </c>
      <c r="J386" s="149" t="s">
        <v>6091</v>
      </c>
      <c r="K386" s="149" t="s">
        <v>6092</v>
      </c>
      <c r="L386" s="149" t="s">
        <v>6093</v>
      </c>
      <c r="M386" s="103" t="s">
        <v>4333</v>
      </c>
      <c r="N386" s="103" t="s">
        <v>4452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6091</v>
      </c>
      <c r="AC386" s="149" t="s">
        <v>6092</v>
      </c>
      <c r="AD386" s="149" t="s">
        <v>6093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6094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4454</v>
      </c>
      <c r="BA386" s="107" t="s">
        <v>4598</v>
      </c>
      <c r="BB386" s="112" t="s">
        <v>4338</v>
      </c>
      <c r="BC386" s="220">
        <f>IF(AY386-KD386=0,"",AY386-O386)</f>
        <v>46</v>
      </c>
      <c r="BD386" s="103" t="str">
        <f>IF(AND(AI386&lt;&gt;"SIM",AI386="UH"),"AA","INDENIZAÇÃO")</f>
        <v>INDENIZAÇÃO</v>
      </c>
      <c r="BE386" s="103" t="str">
        <f>IF(AND(AY386&lt;&gt;"AGUARDANDO",AY386&lt;&gt;"",N386="AUXÍLIO ALUGUEL ATÉ INDENIZAÇÃO"),"SIM","NÃO")</f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4454</v>
      </c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6095</v>
      </c>
      <c r="G387" s="103" t="s">
        <v>4330</v>
      </c>
      <c r="H387" s="103" t="s">
        <v>4331</v>
      </c>
      <c r="I387" s="103" t="s">
        <v>4343</v>
      </c>
      <c r="J387" s="149" t="s">
        <v>6096</v>
      </c>
      <c r="K387" s="149" t="s">
        <v>6097</v>
      </c>
      <c r="L387" s="149" t="s">
        <v>6098</v>
      </c>
      <c r="M387" s="103" t="s">
        <v>4333</v>
      </c>
      <c r="N387" s="103" t="s">
        <v>4452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6096</v>
      </c>
      <c r="AC387" s="149" t="s">
        <v>6097</v>
      </c>
      <c r="AD387" s="149" t="s">
        <v>6098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3" t="s">
        <v>6099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4454</v>
      </c>
      <c r="AZ387" s="157"/>
      <c r="BA387" s="109" t="s">
        <v>4330</v>
      </c>
      <c r="BB387" s="112"/>
      <c r="BC387" s="220" t="e">
        <f>IF(AY387-KD387=0,"",AY387-O387)</f>
        <v>#VALUE!</v>
      </c>
      <c r="BD387" s="103" t="str">
        <f>IF(AND(AI387&lt;&gt;"SIM",AI387="UH"),"AA","INDENIZAÇÃO")</f>
        <v>INDENIZAÇÃO</v>
      </c>
      <c r="BE387" s="103" t="str">
        <f>IF(AND(AY387&lt;&gt;"AGUARDANDO",AY387&lt;&gt;"",N387="AUXÍLIO ALUGUEL ATÉ INDENIZAÇÃO"),"SIM","NÃO")</f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4476</v>
      </c>
      <c r="D388" s="103">
        <v>1</v>
      </c>
      <c r="E388" s="103" t="s">
        <v>4432</v>
      </c>
      <c r="F388" s="104" t="s">
        <v>6100</v>
      </c>
      <c r="G388" s="103" t="s">
        <v>4330</v>
      </c>
      <c r="H388" s="103" t="s">
        <v>4331</v>
      </c>
      <c r="I388" s="142" t="s">
        <v>4343</v>
      </c>
      <c r="J388" s="149" t="s">
        <v>6101</v>
      </c>
      <c r="K388" s="149" t="s">
        <v>4432</v>
      </c>
      <c r="L388" s="149" t="s">
        <v>6102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6101</v>
      </c>
      <c r="AC388" s="149" t="s">
        <v>4432</v>
      </c>
      <c r="AD388" s="149" t="s">
        <v>6102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5627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>IF(AY388-KD388=0,"",AY388-O388)</f>
        <v/>
      </c>
      <c r="BD388" s="103" t="str">
        <f>IF(AND(AI388&lt;&gt;"SIM",AI388="UH"),"AA","INDENIZAÇÃO")</f>
        <v>AA</v>
      </c>
      <c r="BE388" s="103" t="str">
        <f>IF(AND(AY388&lt;&gt;"AGUARDANDO",AY388&lt;&gt;"",N388="AUXÍLIO ALUGUEL ATÉ INDENIZAÇÃO"),"SIM","NÃO")</f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6103</v>
      </c>
      <c r="G389" s="103" t="s">
        <v>4330</v>
      </c>
      <c r="H389" s="103" t="s">
        <v>4331</v>
      </c>
      <c r="I389" s="103" t="s">
        <v>4343</v>
      </c>
      <c r="J389" s="149" t="s">
        <v>6104</v>
      </c>
      <c r="K389" s="149" t="s">
        <v>6105</v>
      </c>
      <c r="L389" s="149" t="s">
        <v>6106</v>
      </c>
      <c r="M389" s="103" t="s">
        <v>4333</v>
      </c>
      <c r="N389" s="103" t="s">
        <v>4452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6104</v>
      </c>
      <c r="AC389" s="149" t="s">
        <v>6105</v>
      </c>
      <c r="AD389" s="149" t="s">
        <v>6106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6107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4454</v>
      </c>
      <c r="BA389" s="107" t="s">
        <v>4598</v>
      </c>
      <c r="BB389" s="136" t="s">
        <v>4338</v>
      </c>
      <c r="BC389" s="220">
        <f>IF(AY389-KD389=0,"",AY389-O389)</f>
        <v>45</v>
      </c>
      <c r="BD389" s="103" t="str">
        <f>IF(AND(AI389&lt;&gt;"SIM",AI389="UH"),"AA","INDENIZAÇÃO")</f>
        <v>INDENIZAÇÃO</v>
      </c>
      <c r="BE389" s="103" t="str">
        <f>IF(AND(AY389&lt;&gt;"AGUARDANDO",AY389&lt;&gt;"",N389="AUXÍLIO ALUGUEL ATÉ INDENIZAÇÃO"),"SIM","NÃO")</f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4454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4476</v>
      </c>
      <c r="D390" s="103">
        <v>1</v>
      </c>
      <c r="E390" s="103" t="s">
        <v>4432</v>
      </c>
      <c r="F390" s="144" t="s">
        <v>6108</v>
      </c>
      <c r="G390" s="103" t="s">
        <v>4330</v>
      </c>
      <c r="H390" s="103" t="s">
        <v>4331</v>
      </c>
      <c r="I390" s="142" t="s">
        <v>4343</v>
      </c>
      <c r="J390" s="114" t="s">
        <v>6109</v>
      </c>
      <c r="K390" s="149" t="s">
        <v>6110</v>
      </c>
      <c r="L390" s="149" t="s">
        <v>6111</v>
      </c>
      <c r="M390" s="103" t="s">
        <v>4333</v>
      </c>
      <c r="N390" s="103" t="s">
        <v>4452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6109</v>
      </c>
      <c r="AC390" s="139" t="s">
        <v>6110</v>
      </c>
      <c r="AD390" s="139" t="s">
        <v>6111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6112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4454</v>
      </c>
      <c r="BA390" s="107" t="s">
        <v>4598</v>
      </c>
      <c r="BB390" s="136" t="s">
        <v>4338</v>
      </c>
      <c r="BC390" s="220">
        <f>IF(AY390-KD390=0,"",AY390-O390)</f>
        <v>58</v>
      </c>
      <c r="BD390" s="103" t="str">
        <f>IF(AND(AI390&lt;&gt;"SIM",AI390="UH"),"AA","INDENIZAÇÃO")</f>
        <v>INDENIZAÇÃO</v>
      </c>
      <c r="BE390" s="103" t="str">
        <f>IF(AND(AY390&lt;&gt;"AGUARDANDO",AY390&lt;&gt;"",N390="AUXÍLIO ALUGUEL ATÉ INDENIZAÇÃO"),"SIM","NÃO")</f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4454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4476</v>
      </c>
      <c r="D391" s="103">
        <v>1</v>
      </c>
      <c r="E391" s="103" t="s">
        <v>4432</v>
      </c>
      <c r="F391" s="104" t="s">
        <v>6113</v>
      </c>
      <c r="G391" s="103" t="s">
        <v>4330</v>
      </c>
      <c r="H391" s="103" t="s">
        <v>4331</v>
      </c>
      <c r="I391" s="142" t="s">
        <v>4343</v>
      </c>
      <c r="J391" s="149" t="s">
        <v>6114</v>
      </c>
      <c r="K391" s="149" t="s">
        <v>6115</v>
      </c>
      <c r="L391" s="149" t="s">
        <v>6116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6114</v>
      </c>
      <c r="AC391" s="149" t="s">
        <v>6115</v>
      </c>
      <c r="AD391" s="149" t="s">
        <v>6116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>IF(AY391-KD391=0,"",AY391-O391)</f>
        <v/>
      </c>
      <c r="BD391" s="103" t="str">
        <f>IF(AND(AI391&lt;&gt;"SIM",AI391="UH"),"AA","INDENIZAÇÃO")</f>
        <v>AA</v>
      </c>
      <c r="BE391" s="103" t="str">
        <f>IF(AND(AY391&lt;&gt;"AGUARDANDO",AY391&lt;&gt;"",N391="AUXÍLIO ALUGUEL ATÉ INDENIZAÇÃO"),"SIM","NÃO")</f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4476</v>
      </c>
      <c r="D392" s="103">
        <v>1</v>
      </c>
      <c r="E392" s="103" t="s">
        <v>4432</v>
      </c>
      <c r="F392" s="104" t="s">
        <v>6117</v>
      </c>
      <c r="G392" s="103" t="s">
        <v>4330</v>
      </c>
      <c r="H392" s="103" t="s">
        <v>4331</v>
      </c>
      <c r="I392" s="142" t="s">
        <v>4343</v>
      </c>
      <c r="J392" s="149" t="s">
        <v>6118</v>
      </c>
      <c r="K392" s="149" t="s">
        <v>6119</v>
      </c>
      <c r="L392" s="149" t="s">
        <v>6120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6118</v>
      </c>
      <c r="AC392" s="149" t="s">
        <v>6119</v>
      </c>
      <c r="AD392" s="149" t="s">
        <v>6120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4476</v>
      </c>
      <c r="D393" s="103">
        <v>1</v>
      </c>
      <c r="E393" s="103" t="s">
        <v>4432</v>
      </c>
      <c r="F393" s="104" t="s">
        <v>6121</v>
      </c>
      <c r="G393" s="103" t="s">
        <v>4330</v>
      </c>
      <c r="H393" s="103" t="s">
        <v>4331</v>
      </c>
      <c r="I393" s="142" t="s">
        <v>4343</v>
      </c>
      <c r="J393" s="149" t="s">
        <v>6122</v>
      </c>
      <c r="K393" s="149" t="s">
        <v>6123</v>
      </c>
      <c r="L393" s="149" t="s">
        <v>6124</v>
      </c>
      <c r="M393" s="103" t="s">
        <v>4333</v>
      </c>
      <c r="N393" s="103" t="s">
        <v>4452</v>
      </c>
      <c r="O393" s="105" t="s">
        <v>6125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6122</v>
      </c>
      <c r="AC393" s="149" t="s">
        <v>6123</v>
      </c>
      <c r="AD393" s="149" t="s">
        <v>6124</v>
      </c>
      <c r="AE393" s="142" t="s">
        <v>6126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>IF(AY393-KD393=0,"",AY393-O393)</f>
        <v/>
      </c>
      <c r="BD393" s="103" t="str">
        <f>IF(AND(AI393&lt;&gt;"SIM",AI393="UH"),"AA","INDENIZAÇÃO")</f>
        <v>INDENIZAÇÃO</v>
      </c>
      <c r="BE393" s="103" t="str">
        <f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4476</v>
      </c>
      <c r="D394" s="103">
        <v>1</v>
      </c>
      <c r="E394" s="103" t="s">
        <v>4432</v>
      </c>
      <c r="F394" s="104" t="s">
        <v>6127</v>
      </c>
      <c r="G394" s="103" t="s">
        <v>4330</v>
      </c>
      <c r="H394" s="103" t="s">
        <v>4331</v>
      </c>
      <c r="I394" s="142" t="s">
        <v>4343</v>
      </c>
      <c r="J394" s="149" t="s">
        <v>6128</v>
      </c>
      <c r="K394" s="149" t="s">
        <v>4457</v>
      </c>
      <c r="L394" s="149" t="s">
        <v>6129</v>
      </c>
      <c r="M394" s="103" t="s">
        <v>4333</v>
      </c>
      <c r="N394" s="103" t="s">
        <v>4452</v>
      </c>
      <c r="O394" s="105" t="s">
        <v>6125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6128</v>
      </c>
      <c r="AC394" s="149" t="s">
        <v>4457</v>
      </c>
      <c r="AD394" s="149" t="s">
        <v>6129</v>
      </c>
      <c r="AE394" s="142" t="s">
        <v>6126</v>
      </c>
      <c r="AF394" s="103" t="s">
        <v>5635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>IF(AY394-KD394=0,"",AY394-O394)</f>
        <v/>
      </c>
      <c r="BD394" s="103" t="str">
        <f>IF(AND(AI394&lt;&gt;"SIM",AI394="UH"),"AA","INDENIZAÇÃO")</f>
        <v>INDENIZAÇÃO</v>
      </c>
      <c r="BE394" s="103" t="str">
        <f>IF(AND(AY394&lt;&gt;"AGUARDANDO",AY394&lt;&gt;"",N394="AUXÍLIO ALUGUEL ATÉ INDENIZAÇÃO"),"SIM","NÃO")</f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4476</v>
      </c>
      <c r="D395" s="103">
        <v>1</v>
      </c>
      <c r="E395" s="103" t="s">
        <v>4432</v>
      </c>
      <c r="F395" s="104" t="s">
        <v>6130</v>
      </c>
      <c r="G395" s="103" t="s">
        <v>4330</v>
      </c>
      <c r="H395" s="103" t="s">
        <v>4331</v>
      </c>
      <c r="I395" s="142" t="s">
        <v>4343</v>
      </c>
      <c r="J395" s="149" t="s">
        <v>6131</v>
      </c>
      <c r="K395" s="149" t="s">
        <v>6132</v>
      </c>
      <c r="L395" s="149" t="s">
        <v>6133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5897</v>
      </c>
      <c r="AB395" s="149" t="s">
        <v>6131</v>
      </c>
      <c r="AC395" s="149" t="s">
        <v>6132</v>
      </c>
      <c r="AD395" s="149" t="s">
        <v>6133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>IF(AY395-KD395=0,"",AY395-O395)</f>
        <v/>
      </c>
      <c r="BD395" s="103" t="str">
        <f>IF(AND(AI395&lt;&gt;"SIM",AI395="UH"),"AA","INDENIZAÇÃO")</f>
        <v>AA</v>
      </c>
      <c r="BE395" s="103" t="str">
        <f>IF(AND(AY395&lt;&gt;"AGUARDANDO",AY395&lt;&gt;"",N395="AUXÍLIO ALUGUEL ATÉ INDENIZAÇÃO"),"SIM","NÃO")</f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4476</v>
      </c>
      <c r="D396" s="103">
        <v>1</v>
      </c>
      <c r="E396" s="103" t="s">
        <v>4432</v>
      </c>
      <c r="F396" s="104" t="s">
        <v>6134</v>
      </c>
      <c r="G396" s="103" t="s">
        <v>4330</v>
      </c>
      <c r="H396" s="103" t="s">
        <v>4331</v>
      </c>
      <c r="I396" s="142" t="s">
        <v>4343</v>
      </c>
      <c r="J396" s="149" t="s">
        <v>6135</v>
      </c>
      <c r="K396" s="149" t="s">
        <v>6136</v>
      </c>
      <c r="L396" s="149" t="s">
        <v>6137</v>
      </c>
      <c r="M396" s="103" t="s">
        <v>4333</v>
      </c>
      <c r="N396" s="103" t="s">
        <v>4452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6135</v>
      </c>
      <c r="AC396" s="149" t="s">
        <v>6136</v>
      </c>
      <c r="AD396" s="149" t="s">
        <v>6137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>IF(AY396-KD396=0,"",AY396-O396)</f>
        <v/>
      </c>
      <c r="BD396" s="103" t="str">
        <f>IF(AND(AI396&lt;&gt;"SIM",AI396="UH"),"AA","INDENIZAÇÃO")</f>
        <v>INDENIZAÇÃO</v>
      </c>
      <c r="BE396" s="103" t="str">
        <f>IF(AND(AY396&lt;&gt;"AGUARDANDO",AY396&lt;&gt;"",N396="AUXÍLIO ALUGUEL ATÉ INDENIZAÇÃO"),"SIM","NÃO")</f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4476</v>
      </c>
      <c r="D397" s="103">
        <v>1</v>
      </c>
      <c r="E397" s="103" t="s">
        <v>4432</v>
      </c>
      <c r="F397" s="104" t="s">
        <v>6138</v>
      </c>
      <c r="G397" s="103" t="s">
        <v>4351</v>
      </c>
      <c r="H397" s="103" t="s">
        <v>4351</v>
      </c>
      <c r="I397" s="153" t="s">
        <v>4332</v>
      </c>
      <c r="J397" s="149" t="s">
        <v>6139</v>
      </c>
      <c r="K397" s="149" t="s">
        <v>4432</v>
      </c>
      <c r="L397" s="149" t="s">
        <v>6140</v>
      </c>
      <c r="M397" s="103" t="s">
        <v>4333</v>
      </c>
      <c r="N397" s="103" t="s">
        <v>4452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6139</v>
      </c>
      <c r="AC397" s="149" t="s">
        <v>4432</v>
      </c>
      <c r="AD397" s="149" t="s">
        <v>6140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>IF(AY397-KD397=0,"",AY397-O397)</f>
        <v/>
      </c>
      <c r="BD397" s="103" t="str">
        <f>IF(AND(AI397&lt;&gt;"SIM",AI397="UH"),"AA","INDENIZAÇÃO")</f>
        <v>INDENIZAÇÃO</v>
      </c>
      <c r="BE397" s="103" t="str">
        <f>IF(AND(AY397&lt;&gt;"AGUARDANDO",AY397&lt;&gt;"",N397="AUXÍLIO ALUGUEL ATÉ INDENIZAÇÃO"),"SIM","NÃO")</f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4476</v>
      </c>
      <c r="D398" s="103">
        <v>1</v>
      </c>
      <c r="E398" s="103" t="s">
        <v>4432</v>
      </c>
      <c r="F398" s="104" t="s">
        <v>6141</v>
      </c>
      <c r="G398" s="103" t="s">
        <v>4330</v>
      </c>
      <c r="H398" s="103" t="s">
        <v>4331</v>
      </c>
      <c r="I398" s="246" t="s">
        <v>4440</v>
      </c>
      <c r="J398" s="149" t="s">
        <v>6142</v>
      </c>
      <c r="K398" s="149" t="s">
        <v>6143</v>
      </c>
      <c r="L398" s="149" t="s">
        <v>6144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6145</v>
      </c>
      <c r="AB398" s="149" t="s">
        <v>6146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>IF(AY398-KD398=0,"",AY398-O398)</f>
        <v/>
      </c>
      <c r="BD398" s="103" t="str">
        <f>IF(AND(AI398&lt;&gt;"SIM",AI398="UH"),"AA","INDENIZAÇÃO")</f>
        <v>INDENIZAÇÃO</v>
      </c>
      <c r="BE398" s="103" t="str">
        <f>IF(AND(AY398&lt;&gt;"AGUARDANDO",AY398&lt;&gt;"",N398="AUXÍLIO ALUGUEL ATÉ INDENIZAÇÃO"),"SIM","NÃO")</f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5080</v>
      </c>
      <c r="G399" s="103" t="s">
        <v>4330</v>
      </c>
      <c r="H399" s="103" t="s">
        <v>4331</v>
      </c>
      <c r="I399" s="142" t="s">
        <v>4343</v>
      </c>
      <c r="J399" s="149" t="s">
        <v>6147</v>
      </c>
      <c r="K399" s="149" t="s">
        <v>4432</v>
      </c>
      <c r="L399" s="149" t="s">
        <v>6148</v>
      </c>
      <c r="M399" s="103" t="s">
        <v>4333</v>
      </c>
      <c r="N399" s="103" t="s">
        <v>4452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6147</v>
      </c>
      <c r="AC399" s="149" t="s">
        <v>4432</v>
      </c>
      <c r="AD399" s="149" t="s">
        <v>6148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6149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4454</v>
      </c>
      <c r="BA399" s="107" t="s">
        <v>4598</v>
      </c>
      <c r="BB399" s="136" t="s">
        <v>4338</v>
      </c>
      <c r="BC399" s="220">
        <f>IF(AY399-KD399=0,"",AY399-O399)</f>
        <v>71</v>
      </c>
      <c r="BD399" s="103" t="str">
        <f>IF(AND(AI399&lt;&gt;"SIM",AI399="UH"),"AA","INDENIZAÇÃO")</f>
        <v>INDENIZAÇÃO</v>
      </c>
      <c r="BE399" s="103" t="str">
        <f>IF(AND(AY399&lt;&gt;"AGUARDANDO",AY399&lt;&gt;"",N399="AUXÍLIO ALUGUEL ATÉ INDENIZAÇÃO"),"SIM","NÃO")</f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4454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4476</v>
      </c>
      <c r="D400" s="103">
        <v>1</v>
      </c>
      <c r="E400" s="103" t="s">
        <v>4432</v>
      </c>
      <c r="F400" s="104" t="s">
        <v>6150</v>
      </c>
      <c r="G400" s="103" t="s">
        <v>4330</v>
      </c>
      <c r="H400" s="103" t="s">
        <v>4331</v>
      </c>
      <c r="I400" s="142" t="s">
        <v>4343</v>
      </c>
      <c r="J400" s="149" t="s">
        <v>6151</v>
      </c>
      <c r="K400" s="149" t="s">
        <v>6152</v>
      </c>
      <c r="L400" s="149" t="s">
        <v>6153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6151</v>
      </c>
      <c r="AC400" s="149" t="s">
        <v>6152</v>
      </c>
      <c r="AD400" s="149" t="s">
        <v>6153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>IF(AY400-KD400=0,"",AY400-O400)</f>
        <v/>
      </c>
      <c r="BD400" s="103" t="str">
        <f>IF(AND(AI400&lt;&gt;"SIM",AI400="UH"),"AA","INDENIZAÇÃO")</f>
        <v>AA</v>
      </c>
      <c r="BE400" s="103" t="str">
        <f>IF(AND(AY400&lt;&gt;"AGUARDANDO",AY400&lt;&gt;"",N400="AUXÍLIO ALUGUEL ATÉ INDENIZAÇÃO"),"SIM","NÃO")</f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4476</v>
      </c>
      <c r="D401" s="103">
        <v>1</v>
      </c>
      <c r="E401" s="103" t="s">
        <v>4432</v>
      </c>
      <c r="F401" s="104" t="s">
        <v>6154</v>
      </c>
      <c r="G401" s="103" t="s">
        <v>4330</v>
      </c>
      <c r="H401" s="103" t="s">
        <v>4331</v>
      </c>
      <c r="I401" s="142" t="s">
        <v>4343</v>
      </c>
      <c r="J401" s="149" t="s">
        <v>6155</v>
      </c>
      <c r="K401" s="149" t="s">
        <v>6156</v>
      </c>
      <c r="L401" s="149" t="s">
        <v>6157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6155</v>
      </c>
      <c r="AC401" s="149" t="s">
        <v>6156</v>
      </c>
      <c r="AD401" s="149" t="s">
        <v>6157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>IF(AY401-KD401=0,"",AY401-O401)</f>
        <v/>
      </c>
      <c r="BD401" s="103" t="str">
        <f>IF(AND(AI401&lt;&gt;"SIM",AI401="UH"),"AA","INDENIZAÇÃO")</f>
        <v>AA</v>
      </c>
      <c r="BE401" s="103" t="str">
        <f>IF(AND(AY401&lt;&gt;"AGUARDANDO",AY401&lt;&gt;"",N401="AUXÍLIO ALUGUEL ATÉ INDENIZAÇÃO"),"SIM","NÃO")</f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4476</v>
      </c>
      <c r="D402" s="103">
        <v>1</v>
      </c>
      <c r="E402" s="103" t="s">
        <v>4432</v>
      </c>
      <c r="F402" s="104" t="s">
        <v>6158</v>
      </c>
      <c r="G402" s="103" t="s">
        <v>4330</v>
      </c>
      <c r="H402" s="103" t="s">
        <v>4331</v>
      </c>
      <c r="I402" s="142" t="s">
        <v>4343</v>
      </c>
      <c r="J402" s="149" t="s">
        <v>6159</v>
      </c>
      <c r="K402" s="149" t="s">
        <v>4457</v>
      </c>
      <c r="L402" s="149" t="s">
        <v>6160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6161</v>
      </c>
      <c r="AC402" s="149" t="s">
        <v>4457</v>
      </c>
      <c r="AD402" s="149" t="s">
        <v>6160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>IF(AY402-KD402=0,"",AY402-O402)</f>
        <v/>
      </c>
      <c r="BD402" s="103" t="str">
        <f>IF(AND(AI402&lt;&gt;"SIM",AI402="UH"),"AA","INDENIZAÇÃO")</f>
        <v>AA</v>
      </c>
      <c r="BE402" s="103" t="str">
        <f>IF(AND(AY402&lt;&gt;"AGUARDANDO",AY402&lt;&gt;"",N402="AUXÍLIO ALUGUEL ATÉ INDENIZAÇÃO"),"SIM","NÃO")</f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4476</v>
      </c>
      <c r="D403" s="103">
        <v>1</v>
      </c>
      <c r="E403" s="103" t="s">
        <v>4432</v>
      </c>
      <c r="F403" s="104" t="s">
        <v>6162</v>
      </c>
      <c r="G403" s="103" t="s">
        <v>4330</v>
      </c>
      <c r="H403" s="103" t="s">
        <v>4331</v>
      </c>
      <c r="I403" s="142" t="s">
        <v>4343</v>
      </c>
      <c r="J403" s="149" t="s">
        <v>6163</v>
      </c>
      <c r="K403" s="149" t="s">
        <v>6164</v>
      </c>
      <c r="L403" s="149" t="s">
        <v>6165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6163</v>
      </c>
      <c r="AC403" s="149" t="s">
        <v>6164</v>
      </c>
      <c r="AD403" s="149" t="s">
        <v>6165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>IF(AY403-KD403=0,"",AY403-O403)</f>
        <v/>
      </c>
      <c r="BD403" s="103" t="str">
        <f>IF(AND(AI403&lt;&gt;"SIM",AI403="UH"),"AA","INDENIZAÇÃO")</f>
        <v>AA</v>
      </c>
      <c r="BE403" s="103" t="str">
        <f>IF(AND(AY403&lt;&gt;"AGUARDANDO",AY403&lt;&gt;"",N403="AUXÍLIO ALUGUEL ATÉ INDENIZAÇÃO"),"SIM","NÃO")</f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4476</v>
      </c>
      <c r="D404" s="103">
        <v>1</v>
      </c>
      <c r="E404" s="103" t="s">
        <v>4432</v>
      </c>
      <c r="F404" s="104" t="s">
        <v>6166</v>
      </c>
      <c r="G404" s="103" t="s">
        <v>4330</v>
      </c>
      <c r="H404" s="103" t="s">
        <v>4331</v>
      </c>
      <c r="I404" s="142" t="s">
        <v>4343</v>
      </c>
      <c r="J404" s="149" t="s">
        <v>6167</v>
      </c>
      <c r="K404" s="149" t="s">
        <v>4457</v>
      </c>
      <c r="L404" s="149" t="s">
        <v>6168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6167</v>
      </c>
      <c r="AC404" s="149" t="s">
        <v>4457</v>
      </c>
      <c r="AD404" s="149" t="s">
        <v>6168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>IF(AY404-KD404=0,"",AY404-O404)</f>
        <v/>
      </c>
      <c r="BD404" s="103" t="str">
        <f>IF(AND(AI404&lt;&gt;"SIM",AI404="UH"),"AA","INDENIZAÇÃO")</f>
        <v>AA</v>
      </c>
      <c r="BE404" s="103" t="str">
        <f>IF(AND(AY404&lt;&gt;"AGUARDANDO",AY404&lt;&gt;"",N404="AUXÍLIO ALUGUEL ATÉ INDENIZAÇÃO"),"SIM","NÃO")</f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6169</v>
      </c>
      <c r="G405" s="103" t="s">
        <v>4330</v>
      </c>
      <c r="H405" s="103" t="s">
        <v>4331</v>
      </c>
      <c r="I405" s="103" t="s">
        <v>4343</v>
      </c>
      <c r="J405" s="149" t="s">
        <v>6170</v>
      </c>
      <c r="K405" s="149" t="s">
        <v>6171</v>
      </c>
      <c r="L405" s="149" t="s">
        <v>6172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6170</v>
      </c>
      <c r="AC405" s="149" t="s">
        <v>6171</v>
      </c>
      <c r="AD405" s="149" t="s">
        <v>6172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>IF(AY405-KD405=0,"",AY405-O405)</f>
        <v/>
      </c>
      <c r="BD405" s="103" t="str">
        <f>IF(AND(AI405&lt;&gt;"SIM",AI405="UH"),"AA","INDENIZAÇÃO")</f>
        <v>AA</v>
      </c>
      <c r="BE405" s="103" t="str">
        <f>IF(AND(AY405&lt;&gt;"AGUARDANDO",AY405&lt;&gt;"",N405="AUXÍLIO ALUGUEL ATÉ INDENIZAÇÃO"),"SIM","NÃO")</f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hidden="1" customHeight="1" x14ac:dyDescent="0.25">
      <c r="A406" s="165">
        <v>396</v>
      </c>
      <c r="B406" s="103" t="s">
        <v>4431</v>
      </c>
      <c r="C406" s="103" t="s">
        <v>4476</v>
      </c>
      <c r="D406" s="103">
        <v>1</v>
      </c>
      <c r="E406" s="103" t="s">
        <v>4432</v>
      </c>
      <c r="F406" s="104" t="s">
        <v>6173</v>
      </c>
      <c r="G406" s="103" t="s">
        <v>4330</v>
      </c>
      <c r="H406" s="103" t="s">
        <v>4331</v>
      </c>
      <c r="I406" s="142" t="s">
        <v>4440</v>
      </c>
      <c r="J406" s="149" t="s">
        <v>6174</v>
      </c>
      <c r="K406" s="149" t="s">
        <v>6175</v>
      </c>
      <c r="L406" s="149" t="s">
        <v>6176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6177</v>
      </c>
      <c r="AB406" s="149" t="s">
        <v>6178</v>
      </c>
      <c r="AC406" s="149" t="s">
        <v>6179</v>
      </c>
      <c r="AD406" s="149" t="s">
        <v>6180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3" t="s">
        <v>6181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4454</v>
      </c>
      <c r="AZ406" s="157"/>
      <c r="BA406" s="109" t="s">
        <v>4330</v>
      </c>
      <c r="BB406" s="112"/>
      <c r="BC406" s="220" t="e">
        <f>IF(AY406-KD406=0,"",AY406-O406)</f>
        <v>#VALUE!</v>
      </c>
      <c r="BD406" s="103" t="str">
        <f>IF(AND(AI406&lt;&gt;"SIM",AI406="UH"),"AA","INDENIZAÇÃO")</f>
        <v>INDENIZAÇÃO</v>
      </c>
      <c r="BE406" s="103" t="str">
        <f>IF(AND(AY406&lt;&gt;"AGUARDANDO",AY406&lt;&gt;"",N406="AUXÍLIO ALUGUEL ATÉ INDENIZAÇÃO"),"SIM","NÃO")</f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4950</v>
      </c>
      <c r="G407" s="103" t="s">
        <v>4330</v>
      </c>
      <c r="H407" s="103" t="s">
        <v>4331</v>
      </c>
      <c r="I407" s="142" t="s">
        <v>4343</v>
      </c>
      <c r="J407" s="149" t="s">
        <v>4951</v>
      </c>
      <c r="K407" s="149"/>
      <c r="L407" s="149" t="s">
        <v>4952</v>
      </c>
      <c r="M407" s="103" t="s">
        <v>4333</v>
      </c>
      <c r="N407" s="103" t="s">
        <v>4452</v>
      </c>
      <c r="O407" s="105">
        <v>46188</v>
      </c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49" t="s">
        <v>4951</v>
      </c>
      <c r="AC407" s="149" t="s">
        <v>4953</v>
      </c>
      <c r="AD407" s="149" t="s">
        <v>4952</v>
      </c>
      <c r="AE407" s="103" t="s">
        <v>4343</v>
      </c>
      <c r="AF407" s="103" t="s">
        <v>4333</v>
      </c>
      <c r="AG407" s="194">
        <v>92003.68</v>
      </c>
      <c r="AH407" s="194">
        <v>92003.68</v>
      </c>
      <c r="AI407" s="103" t="s">
        <v>4447</v>
      </c>
      <c r="AJ407" s="104" t="s">
        <v>4438</v>
      </c>
      <c r="AK407" s="103">
        <v>158685767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4954</v>
      </c>
      <c r="AQ407" s="165" t="s">
        <v>4831</v>
      </c>
      <c r="AR407" s="103" t="s">
        <v>4831</v>
      </c>
      <c r="AS407" s="103" t="s">
        <v>4831</v>
      </c>
      <c r="AT407" s="103" t="s">
        <v>4831</v>
      </c>
      <c r="AU407" s="105">
        <v>46233</v>
      </c>
      <c r="AV407" s="103" t="s">
        <v>4831</v>
      </c>
      <c r="AW407" s="106" t="s">
        <v>4454</v>
      </c>
      <c r="AX407" s="106"/>
      <c r="AY407" s="157"/>
      <c r="AZ407" s="106"/>
      <c r="BA407" s="107" t="s">
        <v>4330</v>
      </c>
      <c r="BB407" s="136"/>
      <c r="BC407" s="220"/>
      <c r="BD407" s="103"/>
      <c r="BE407" s="103"/>
      <c r="BF407" s="112"/>
      <c r="BG407" s="112"/>
      <c r="BH407" s="112"/>
      <c r="BI407" s="109"/>
      <c r="BJ407" s="109"/>
      <c r="BK407" s="109"/>
      <c r="BL407" s="109"/>
      <c r="BM407" s="239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6188</v>
      </c>
      <c r="G408" s="103" t="s">
        <v>4330</v>
      </c>
      <c r="H408" s="103" t="s">
        <v>4331</v>
      </c>
      <c r="I408" s="103" t="s">
        <v>4343</v>
      </c>
      <c r="J408" s="149" t="s">
        <v>6189</v>
      </c>
      <c r="K408" s="149" t="s">
        <v>6190</v>
      </c>
      <c r="L408" s="149" t="s">
        <v>6191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6189</v>
      </c>
      <c r="AC408" s="149" t="s">
        <v>6190</v>
      </c>
      <c r="AD408" s="149" t="s">
        <v>6191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6192</v>
      </c>
      <c r="G409" s="103" t="s">
        <v>4330</v>
      </c>
      <c r="H409" s="103" t="s">
        <v>4331</v>
      </c>
      <c r="I409" s="103" t="s">
        <v>4343</v>
      </c>
      <c r="J409" s="149" t="s">
        <v>6193</v>
      </c>
      <c r="K409" s="149" t="s">
        <v>6194</v>
      </c>
      <c r="L409" s="149" t="s">
        <v>6195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6193</v>
      </c>
      <c r="AC409" s="149" t="s">
        <v>6194</v>
      </c>
      <c r="AD409" s="149" t="s">
        <v>6195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6196</v>
      </c>
      <c r="G410" s="103" t="s">
        <v>4330</v>
      </c>
      <c r="H410" s="103" t="s">
        <v>4331</v>
      </c>
      <c r="I410" s="103" t="s">
        <v>4343</v>
      </c>
      <c r="J410" s="149" t="s">
        <v>6197</v>
      </c>
      <c r="K410" s="149" t="s">
        <v>6198</v>
      </c>
      <c r="L410" s="149" t="s">
        <v>6199</v>
      </c>
      <c r="M410" s="103" t="s">
        <v>4333</v>
      </c>
      <c r="N410" s="103" t="s">
        <v>4452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6197</v>
      </c>
      <c r="AC410" s="149" t="s">
        <v>6198</v>
      </c>
      <c r="AD410" s="149" t="s">
        <v>6199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6200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4454</v>
      </c>
      <c r="BA410" s="107" t="s">
        <v>4598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4454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6020</v>
      </c>
      <c r="G411" s="103" t="s">
        <v>4330</v>
      </c>
      <c r="H411" s="103" t="s">
        <v>4331</v>
      </c>
      <c r="I411" s="103" t="s">
        <v>4343</v>
      </c>
      <c r="J411" s="149" t="s">
        <v>6201</v>
      </c>
      <c r="K411" s="149" t="s">
        <v>6202</v>
      </c>
      <c r="L411" s="149" t="s">
        <v>6203</v>
      </c>
      <c r="M411" s="103" t="s">
        <v>4333</v>
      </c>
      <c r="N411" s="103" t="s">
        <v>4452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6201</v>
      </c>
      <c r="AC411" s="149" t="s">
        <v>6202</v>
      </c>
      <c r="AD411" s="149" t="s">
        <v>6203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6204</v>
      </c>
      <c r="AQ411" s="277" t="s">
        <v>4831</v>
      </c>
      <c r="AR411" s="109" t="s">
        <v>4831</v>
      </c>
      <c r="AS411" s="109" t="s">
        <v>6205</v>
      </c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4476</v>
      </c>
      <c r="D412" s="103">
        <v>1</v>
      </c>
      <c r="E412" s="103" t="s">
        <v>4432</v>
      </c>
      <c r="F412" s="104" t="s">
        <v>6206</v>
      </c>
      <c r="G412" s="103" t="s">
        <v>4330</v>
      </c>
      <c r="H412" s="103" t="s">
        <v>4331</v>
      </c>
      <c r="I412" s="142" t="s">
        <v>5303</v>
      </c>
      <c r="J412" s="149" t="s">
        <v>6207</v>
      </c>
      <c r="K412" s="149"/>
      <c r="L412" s="149" t="s">
        <v>6208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6209</v>
      </c>
      <c r="AC412" s="149" t="s">
        <v>4457</v>
      </c>
      <c r="AD412" s="149" t="s">
        <v>6208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6206</v>
      </c>
      <c r="G413" s="103" t="s">
        <v>4330</v>
      </c>
      <c r="H413" s="103" t="s">
        <v>4331</v>
      </c>
      <c r="I413" s="103" t="s">
        <v>4343</v>
      </c>
      <c r="J413" s="149" t="s">
        <v>6210</v>
      </c>
      <c r="K413" s="149" t="s">
        <v>6211</v>
      </c>
      <c r="L413" s="149" t="s">
        <v>6212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6210</v>
      </c>
      <c r="AC413" s="149" t="s">
        <v>6211</v>
      </c>
      <c r="AD413" s="149" t="s">
        <v>6212</v>
      </c>
      <c r="AE413" s="103" t="s">
        <v>4343</v>
      </c>
      <c r="AF413" s="112" t="s">
        <v>5635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6213</v>
      </c>
      <c r="G414" s="103" t="s">
        <v>4330</v>
      </c>
      <c r="H414" s="103" t="s">
        <v>4331</v>
      </c>
      <c r="I414" s="103" t="s">
        <v>4343</v>
      </c>
      <c r="J414" s="149" t="s">
        <v>6214</v>
      </c>
      <c r="K414" s="149"/>
      <c r="L414" s="149" t="s">
        <v>6215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4476</v>
      </c>
      <c r="D415" s="103">
        <v>1</v>
      </c>
      <c r="E415" s="103" t="s">
        <v>4432</v>
      </c>
      <c r="F415" s="104" t="s">
        <v>6216</v>
      </c>
      <c r="G415" s="103" t="s">
        <v>4330</v>
      </c>
      <c r="H415" s="103" t="s">
        <v>4331</v>
      </c>
      <c r="I415" s="142" t="s">
        <v>4343</v>
      </c>
      <c r="J415" s="149" t="s">
        <v>6217</v>
      </c>
      <c r="K415" s="149" t="s">
        <v>6218</v>
      </c>
      <c r="L415" s="149" t="s">
        <v>6219</v>
      </c>
      <c r="M415" s="103" t="s">
        <v>4333</v>
      </c>
      <c r="N415" s="103" t="s">
        <v>4452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6217</v>
      </c>
      <c r="AC415" s="149" t="s">
        <v>6218</v>
      </c>
      <c r="AD415" s="149" t="s">
        <v>6219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3" t="s">
        <v>6220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4454</v>
      </c>
      <c r="AZ415" s="157"/>
      <c r="BA415" s="109" t="s">
        <v>4330</v>
      </c>
      <c r="BB415" s="136"/>
      <c r="BC415" s="220" t="e">
        <f>IF(AY415-KD415=0,"",AY415-O415)</f>
        <v>#VALUE!</v>
      </c>
      <c r="BD415" s="103" t="str">
        <f>IF(AND(AI415&lt;&gt;"SIM",AI415="UH"),"AA","INDENIZAÇÃO")</f>
        <v>INDENIZAÇÃO</v>
      </c>
      <c r="BE415" s="103" t="str">
        <f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6108</v>
      </c>
      <c r="G416" s="103" t="s">
        <v>4330</v>
      </c>
      <c r="H416" s="103" t="s">
        <v>4331</v>
      </c>
      <c r="I416" s="103" t="s">
        <v>4343</v>
      </c>
      <c r="J416" s="149" t="s">
        <v>6221</v>
      </c>
      <c r="K416" s="149" t="s">
        <v>6222</v>
      </c>
      <c r="L416" s="149" t="s">
        <v>6223</v>
      </c>
      <c r="M416" s="103" t="s">
        <v>4333</v>
      </c>
      <c r="N416" s="103" t="s">
        <v>4452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6"/>
      <c r="AA416" s="105"/>
      <c r="AB416" s="149" t="s">
        <v>6221</v>
      </c>
      <c r="AC416" s="149" t="s">
        <v>6222</v>
      </c>
      <c r="AD416" s="149" t="s">
        <v>6223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3" t="s">
        <v>6224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4454</v>
      </c>
      <c r="AZ416" s="157"/>
      <c r="BA416" s="109" t="s">
        <v>4330</v>
      </c>
      <c r="BB416" s="112"/>
      <c r="BC416" s="220" t="e">
        <f>IF(AY416-KD416=0,"",AY416-O416)</f>
        <v>#VALUE!</v>
      </c>
      <c r="BD416" s="103" t="str">
        <f>IF(AND(AI416&lt;&gt;"SIM",AI416="UH"),"AA","INDENIZAÇÃO")</f>
        <v>INDENIZAÇÃO</v>
      </c>
      <c r="BE416" s="103" t="str">
        <f>IF(AND(AY416&lt;&gt;"AGUARDANDO",AY416&lt;&gt;"",N416="AUXÍLIO ALUGUEL ATÉ INDENIZAÇÃO"),"SIM","NÃO")</f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4476</v>
      </c>
      <c r="D417" s="103">
        <v>1</v>
      </c>
      <c r="E417" s="103" t="s">
        <v>4432</v>
      </c>
      <c r="F417" s="104" t="s">
        <v>6225</v>
      </c>
      <c r="G417" s="103" t="s">
        <v>4330</v>
      </c>
      <c r="H417" s="103" t="s">
        <v>4331</v>
      </c>
      <c r="I417" s="142" t="s">
        <v>4343</v>
      </c>
      <c r="J417" s="150" t="s">
        <v>6226</v>
      </c>
      <c r="K417" s="149" t="s">
        <v>6227</v>
      </c>
      <c r="L417" s="149" t="s">
        <v>6228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6226</v>
      </c>
      <c r="AC417" s="149" t="s">
        <v>6227</v>
      </c>
      <c r="AD417" s="149" t="s">
        <v>6228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>IF(AY417-KD417=0,"",AY417-O417)</f>
        <v/>
      </c>
      <c r="BD417" s="103" t="str">
        <f>IF(AND(AI417&lt;&gt;"SIM",AI417="UH"),"AA","INDENIZAÇÃO")</f>
        <v>AA</v>
      </c>
      <c r="BE417" s="103" t="str">
        <f>IF(AND(AY417&lt;&gt;"AGUARDANDO",AY417&lt;&gt;"",N417="AUXÍLIO ALUGUEL ATÉ INDENIZAÇÃO"),"SIM","NÃO")</f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6173</v>
      </c>
      <c r="G418" s="103" t="s">
        <v>4330</v>
      </c>
      <c r="H418" s="103" t="s">
        <v>4331</v>
      </c>
      <c r="I418" s="103" t="s">
        <v>4343</v>
      </c>
      <c r="J418" s="149" t="s">
        <v>6229</v>
      </c>
      <c r="K418" s="149" t="s">
        <v>6230</v>
      </c>
      <c r="L418" s="149" t="s">
        <v>6231</v>
      </c>
      <c r="M418" s="103" t="s">
        <v>4333</v>
      </c>
      <c r="N418" s="103" t="s">
        <v>4452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6229</v>
      </c>
      <c r="AC418" s="149" t="s">
        <v>6230</v>
      </c>
      <c r="AD418" s="149" t="s">
        <v>6231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3" t="s">
        <v>6232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4454</v>
      </c>
      <c r="AZ418" s="157"/>
      <c r="BA418" s="109" t="s">
        <v>4330</v>
      </c>
      <c r="BB418" s="112"/>
      <c r="BC418" s="220" t="e">
        <f>IF(AY418-KD418=0,"",AY418-O418)</f>
        <v>#VALUE!</v>
      </c>
      <c r="BD418" s="103" t="str">
        <f>IF(AND(AI418&lt;&gt;"SIM",AI418="UH"),"AA","INDENIZAÇÃO")</f>
        <v>INDENIZAÇÃO</v>
      </c>
      <c r="BE418" s="103" t="str">
        <f>IF(AND(AY418&lt;&gt;"AGUARDANDO",AY418&lt;&gt;"",N418="AUXÍLIO ALUGUEL ATÉ INDENIZAÇÃO"),"SIM","NÃO")</f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6233</v>
      </c>
      <c r="G419" s="103" t="s">
        <v>4330</v>
      </c>
      <c r="H419" s="103" t="s">
        <v>4331</v>
      </c>
      <c r="I419" s="103" t="s">
        <v>4343</v>
      </c>
      <c r="J419" s="149" t="s">
        <v>6234</v>
      </c>
      <c r="K419" s="149" t="s">
        <v>6235</v>
      </c>
      <c r="L419" s="149" t="s">
        <v>6236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6234</v>
      </c>
      <c r="AC419" s="149" t="s">
        <v>6235</v>
      </c>
      <c r="AD419" s="149" t="s">
        <v>6236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>IF(AY419-KD419=0,"",AY419-O419)</f>
        <v/>
      </c>
      <c r="BD419" s="103" t="str">
        <f>IF(AND(AI419&lt;&gt;"SIM",AI419="UH"),"AA","INDENIZAÇÃO")</f>
        <v>AA</v>
      </c>
      <c r="BE419" s="103" t="str">
        <f>IF(AND(AY419&lt;&gt;"AGUARDANDO",AY419&lt;&gt;"",N419="AUXÍLIO ALUGUEL ATÉ INDENIZAÇÃO"),"SIM","NÃO")</f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4476</v>
      </c>
      <c r="D420" s="103">
        <v>1</v>
      </c>
      <c r="E420" s="103" t="s">
        <v>4432</v>
      </c>
      <c r="F420" s="104" t="s">
        <v>6237</v>
      </c>
      <c r="G420" s="103" t="s">
        <v>4330</v>
      </c>
      <c r="H420" s="103" t="s">
        <v>4331</v>
      </c>
      <c r="I420" s="142" t="s">
        <v>4343</v>
      </c>
      <c r="J420" s="149" t="s">
        <v>6238</v>
      </c>
      <c r="K420" s="149" t="s">
        <v>6239</v>
      </c>
      <c r="L420" s="149" t="s">
        <v>6240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6238</v>
      </c>
      <c r="AC420" s="149" t="s">
        <v>6239</v>
      </c>
      <c r="AD420" s="149" t="s">
        <v>6240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>IF(AY420-KD420=0,"",AY420-O420)</f>
        <v/>
      </c>
      <c r="BD420" s="103" t="str">
        <f>IF(AND(AI420&lt;&gt;"SIM",AI420="UH"),"AA","INDENIZAÇÃO")</f>
        <v>AA</v>
      </c>
      <c r="BE420" s="103" t="str">
        <f>IF(AND(AY420&lt;&gt;"AGUARDANDO",AY420&lt;&gt;"",N420="AUXÍLIO ALUGUEL ATÉ INDENIZAÇÃO"),"SIM","NÃO")</f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6225</v>
      </c>
      <c r="G421" s="112" t="s">
        <v>4330</v>
      </c>
      <c r="H421" s="112" t="s">
        <v>4331</v>
      </c>
      <c r="I421" s="112" t="s">
        <v>4343</v>
      </c>
      <c r="J421" s="150" t="s">
        <v>6241</v>
      </c>
      <c r="K421" s="150" t="s">
        <v>6242</v>
      </c>
      <c r="L421" s="141" t="s">
        <v>6243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6241</v>
      </c>
      <c r="AC421" s="150" t="s">
        <v>6242</v>
      </c>
      <c r="AD421" s="141" t="s">
        <v>6243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3" t="s">
        <v>6244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4454</v>
      </c>
      <c r="AZ421" s="157"/>
      <c r="BA421" s="109" t="s">
        <v>4330</v>
      </c>
      <c r="BB421" s="112"/>
      <c r="BC421" s="220" t="e">
        <f>IF(AY421-KD421=0,"",AY421-O421)</f>
        <v>#VALUE!</v>
      </c>
      <c r="BD421" s="103" t="str">
        <f>IF(AND(AI421&lt;&gt;"SIM",AI421="UH"),"AA","INDENIZAÇÃO")</f>
        <v>INDENIZAÇÃO</v>
      </c>
      <c r="BE421" s="103" t="str">
        <f>IF(AND(AY421&lt;&gt;"AGUARDANDO",AY421&lt;&gt;"",N421="AUXÍLIO ALUGUEL ATÉ INDENIZAÇÃO"),"SIM","NÃO")</f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4476</v>
      </c>
      <c r="D422" s="103">
        <v>1</v>
      </c>
      <c r="E422" s="103" t="s">
        <v>4432</v>
      </c>
      <c r="F422" s="104" t="s">
        <v>6245</v>
      </c>
      <c r="G422" s="103" t="s">
        <v>4330</v>
      </c>
      <c r="H422" s="103" t="s">
        <v>4331</v>
      </c>
      <c r="I422" s="142" t="s">
        <v>4343</v>
      </c>
      <c r="J422" s="149" t="s">
        <v>6246</v>
      </c>
      <c r="K422" s="149" t="s">
        <v>6247</v>
      </c>
      <c r="L422" s="149" t="s">
        <v>6248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6246</v>
      </c>
      <c r="AC422" s="204" t="s">
        <v>6247</v>
      </c>
      <c r="AD422" s="204" t="s">
        <v>6248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>IF(AY422-KD422=0,"",AY422-O422)</f>
        <v/>
      </c>
      <c r="BD422" s="103" t="str">
        <f>IF(AND(AI422&lt;&gt;"SIM",AI422="UH"),"AA","INDENIZAÇÃO")</f>
        <v>AA</v>
      </c>
      <c r="BE422" s="103" t="str">
        <f>IF(AND(AY422&lt;&gt;"AGUARDANDO",AY422&lt;&gt;"",N422="AUXÍLIO ALUGUEL ATÉ INDENIZAÇÃO"),"SIM","NÃO")</f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5509</v>
      </c>
      <c r="G423" s="103" t="s">
        <v>4330</v>
      </c>
      <c r="H423" s="103" t="s">
        <v>4342</v>
      </c>
      <c r="I423" s="153" t="s">
        <v>4332</v>
      </c>
      <c r="J423" s="149" t="s">
        <v>6249</v>
      </c>
      <c r="K423" s="149" t="s">
        <v>6250</v>
      </c>
      <c r="L423" s="149" t="s">
        <v>6251</v>
      </c>
      <c r="M423" s="103" t="s">
        <v>4333</v>
      </c>
      <c r="N423" s="103" t="s">
        <v>4452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6249</v>
      </c>
      <c r="AC423" s="149" t="s">
        <v>6250</v>
      </c>
      <c r="AD423" s="149" t="s">
        <v>6251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6252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4454</v>
      </c>
      <c r="BA423" s="107" t="s">
        <v>4598</v>
      </c>
      <c r="BB423" s="136" t="s">
        <v>4338</v>
      </c>
      <c r="BC423" s="220">
        <f>IF(AY423-KD423=0,"",AY423-O423)</f>
        <v>45</v>
      </c>
      <c r="BD423" s="103" t="str">
        <f>IF(AND(AI423&lt;&gt;"SIM",AI423="UH"),"AA","INDENIZAÇÃO")</f>
        <v>INDENIZAÇÃO</v>
      </c>
      <c r="BE423" s="103" t="str">
        <f>IF(AND(AY423&lt;&gt;"AGUARDANDO",AY423&lt;&gt;"",N423="AUXÍLIO ALUGUEL ATÉ INDENIZAÇÃO"),"SIM","NÃO")</f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4454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5913</v>
      </c>
      <c r="G424" s="103" t="s">
        <v>4330</v>
      </c>
      <c r="H424" s="103" t="s">
        <v>4331</v>
      </c>
      <c r="I424" s="98" t="s">
        <v>4343</v>
      </c>
      <c r="J424" s="149" t="s">
        <v>6253</v>
      </c>
      <c r="K424" s="149" t="s">
        <v>6254</v>
      </c>
      <c r="L424" s="149" t="s">
        <v>6255</v>
      </c>
      <c r="M424" s="103" t="s">
        <v>4333</v>
      </c>
      <c r="N424" s="103" t="s">
        <v>4452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6253</v>
      </c>
      <c r="AC424" s="149" t="s">
        <v>6254</v>
      </c>
      <c r="AD424" s="149" t="s">
        <v>6255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>IF(AY424-KD424=0,"",AY424-O424)</f>
        <v/>
      </c>
      <c r="BD424" s="103" t="str">
        <f>IF(AND(AI424&lt;&gt;"SIM",AI424="UH"),"AA","INDENIZAÇÃO")</f>
        <v>INDENIZAÇÃO</v>
      </c>
      <c r="BE424" s="103" t="str">
        <f>IF(AND(AY424&lt;&gt;"AGUARDANDO",AY424&lt;&gt;"",N424="AUXÍLIO ALUGUEL ATÉ INDENIZAÇÃO"),"SIM","NÃO")</f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6256</v>
      </c>
      <c r="G425" s="103" t="s">
        <v>4330</v>
      </c>
      <c r="H425" s="103" t="s">
        <v>4331</v>
      </c>
      <c r="I425" s="103" t="s">
        <v>4343</v>
      </c>
      <c r="J425" s="149" t="s">
        <v>6257</v>
      </c>
      <c r="K425" s="149" t="s">
        <v>6258</v>
      </c>
      <c r="L425" s="149" t="s">
        <v>6259</v>
      </c>
      <c r="M425" s="103" t="s">
        <v>4333</v>
      </c>
      <c r="N425" s="103" t="s">
        <v>4452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6257</v>
      </c>
      <c r="AC425" s="149" t="s">
        <v>6258</v>
      </c>
      <c r="AD425" s="149" t="s">
        <v>6259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6260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4454</v>
      </c>
      <c r="BA425" s="107" t="s">
        <v>4598</v>
      </c>
      <c r="BB425" s="136" t="s">
        <v>4338</v>
      </c>
      <c r="BC425" s="220">
        <f>IF(AY425-KD425=0,"",AY425-O425)</f>
        <v>45</v>
      </c>
      <c r="BD425" s="103" t="str">
        <f>IF(AND(AI425&lt;&gt;"SIM",AI425="UH"),"AA","INDENIZAÇÃO")</f>
        <v>INDENIZAÇÃO</v>
      </c>
      <c r="BE425" s="103" t="str">
        <f>IF(AND(AY425&lt;&gt;"AGUARDANDO",AY425&lt;&gt;"",N425="AUXÍLIO ALUGUEL ATÉ INDENIZAÇÃO"),"SIM","NÃO")</f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4454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5937</v>
      </c>
      <c r="G426" s="103" t="s">
        <v>4330</v>
      </c>
      <c r="H426" s="103" t="s">
        <v>4331</v>
      </c>
      <c r="I426" s="103" t="s">
        <v>4343</v>
      </c>
      <c r="J426" s="149" t="s">
        <v>6261</v>
      </c>
      <c r="K426" s="149" t="s">
        <v>6262</v>
      </c>
      <c r="L426" s="149" t="s">
        <v>6263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6261</v>
      </c>
      <c r="AC426" s="149" t="s">
        <v>6262</v>
      </c>
      <c r="AD426" s="149" t="s">
        <v>6263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>IF(AY426-KD426=0,"",AY426-O426)</f>
        <v/>
      </c>
      <c r="BD426" s="103" t="str">
        <f>IF(AND(AI426&lt;&gt;"SIM",AI426="UH"),"AA","INDENIZAÇÃO")</f>
        <v>AA</v>
      </c>
      <c r="BE426" s="103" t="str">
        <f>IF(AND(AY426&lt;&gt;"AGUARDANDO",AY426&lt;&gt;"",N426="AUXÍLIO ALUGUEL ATÉ INDENIZAÇÃO"),"SIM","NÃO")</f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4476</v>
      </c>
      <c r="D427" s="103">
        <v>1</v>
      </c>
      <c r="E427" s="103" t="s">
        <v>4432</v>
      </c>
      <c r="F427" s="104" t="s">
        <v>6264</v>
      </c>
      <c r="G427" s="103" t="s">
        <v>4330</v>
      </c>
      <c r="H427" s="103" t="s">
        <v>4331</v>
      </c>
      <c r="I427" s="142" t="s">
        <v>4343</v>
      </c>
      <c r="J427" s="149" t="s">
        <v>6265</v>
      </c>
      <c r="K427" s="149" t="s">
        <v>6266</v>
      </c>
      <c r="L427" s="149" t="s">
        <v>6267</v>
      </c>
      <c r="M427" s="103" t="s">
        <v>4333</v>
      </c>
      <c r="N427" s="103" t="s">
        <v>4452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6265</v>
      </c>
      <c r="AC427" s="149" t="s">
        <v>6266</v>
      </c>
      <c r="AD427" s="149" t="s">
        <v>6267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6268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4454</v>
      </c>
      <c r="BA427" s="107" t="s">
        <v>4598</v>
      </c>
      <c r="BB427" s="136" t="s">
        <v>4338</v>
      </c>
      <c r="BC427" s="220">
        <f>IF(AY427-KD427=0,"",AY427-O427)</f>
        <v>60</v>
      </c>
      <c r="BD427" s="103" t="str">
        <f>IF(AND(AI427&lt;&gt;"SIM",AI427="UH"),"AA","INDENIZAÇÃO")</f>
        <v>INDENIZAÇÃO</v>
      </c>
      <c r="BE427" s="103" t="str">
        <f>IF(AND(AY427&lt;&gt;"AGUARDANDO",AY427&lt;&gt;"",N427="AUXÍLIO ALUGUEL ATÉ INDENIZAÇÃO"),"SIM","NÃO")</f>
        <v>NÃO</v>
      </c>
      <c r="BF427" s="140" t="s">
        <v>4357</v>
      </c>
      <c r="BG427" s="140" t="s">
        <v>4357</v>
      </c>
      <c r="BH427" s="140" t="s">
        <v>4357</v>
      </c>
      <c r="BI427" s="154" t="s">
        <v>4926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4476</v>
      </c>
      <c r="D428" s="103">
        <v>1</v>
      </c>
      <c r="E428" s="103" t="s">
        <v>4432</v>
      </c>
      <c r="F428" s="104" t="s">
        <v>6269</v>
      </c>
      <c r="G428" s="112" t="s">
        <v>4341</v>
      </c>
      <c r="H428" s="103" t="s">
        <v>5973</v>
      </c>
      <c r="I428" s="153" t="s">
        <v>4332</v>
      </c>
      <c r="J428" s="149" t="s">
        <v>6270</v>
      </c>
      <c r="K428" s="149" t="s">
        <v>6271</v>
      </c>
      <c r="L428" s="149" t="s">
        <v>6272</v>
      </c>
      <c r="M428" s="103" t="s">
        <v>4333</v>
      </c>
      <c r="N428" s="103" t="s">
        <v>4452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6270</v>
      </c>
      <c r="AC428" s="149" t="s">
        <v>6271</v>
      </c>
      <c r="AD428" s="149" t="s">
        <v>6272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6273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4454</v>
      </c>
      <c r="BA428" s="107" t="s">
        <v>4598</v>
      </c>
      <c r="BB428" s="136" t="s">
        <v>4338</v>
      </c>
      <c r="BC428" s="220">
        <f>IF(AY428-KD428=0,"",AY428-O428)</f>
        <v>106</v>
      </c>
      <c r="BD428" s="103" t="str">
        <f>IF(AND(AI428&lt;&gt;"SIM",AI428="UH"),"AA","INDENIZAÇÃO")</f>
        <v>INDENIZAÇÃO</v>
      </c>
      <c r="BE428" s="103" t="str">
        <f>IF(AND(AY428&lt;&gt;"AGUARDANDO",AY428&lt;&gt;"",N428="AUXÍLIO ALUGUEL ATÉ INDENIZAÇÃO"),"SIM","NÃO")</f>
        <v>NÃO</v>
      </c>
      <c r="BF428" s="140" t="s">
        <v>4357</v>
      </c>
      <c r="BG428" s="140" t="s">
        <v>4357</v>
      </c>
      <c r="BH428" s="140" t="s">
        <v>4357</v>
      </c>
      <c r="BI428" s="154" t="s">
        <v>4926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4476</v>
      </c>
      <c r="D429" s="103">
        <v>1</v>
      </c>
      <c r="E429" s="103" t="s">
        <v>4432</v>
      </c>
      <c r="F429" s="104" t="s">
        <v>6274</v>
      </c>
      <c r="G429" s="112" t="s">
        <v>4341</v>
      </c>
      <c r="H429" s="103" t="s">
        <v>4351</v>
      </c>
      <c r="I429" s="153" t="s">
        <v>4332</v>
      </c>
      <c r="J429" s="149" t="s">
        <v>6275</v>
      </c>
      <c r="K429" s="149" t="s">
        <v>6276</v>
      </c>
      <c r="L429" s="149" t="s">
        <v>6277</v>
      </c>
      <c r="M429" s="103" t="s">
        <v>4333</v>
      </c>
      <c r="N429" s="103" t="s">
        <v>4452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6275</v>
      </c>
      <c r="AC429" s="149" t="s">
        <v>6276</v>
      </c>
      <c r="AD429" s="149" t="s">
        <v>6277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6278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4454</v>
      </c>
      <c r="BA429" s="107" t="s">
        <v>4598</v>
      </c>
      <c r="BB429" s="136" t="s">
        <v>4338</v>
      </c>
      <c r="BC429" s="220">
        <f>IF(AY429-KD429=0,"",AY429-O429)</f>
        <v>51</v>
      </c>
      <c r="BD429" s="103" t="str">
        <f>IF(AND(AI429&lt;&gt;"SIM",AI429="UH"),"AA","INDENIZAÇÃO")</f>
        <v>INDENIZAÇÃO</v>
      </c>
      <c r="BE429" s="103" t="str">
        <f>IF(AND(AY429&lt;&gt;"AGUARDANDO",AY429&lt;&gt;"",N429="AUXÍLIO ALUGUEL ATÉ INDENIZAÇÃO"),"SIM","NÃO")</f>
        <v>NÃO</v>
      </c>
      <c r="BF429" s="140" t="s">
        <v>4357</v>
      </c>
      <c r="BG429" s="140" t="s">
        <v>4357</v>
      </c>
      <c r="BH429" s="140" t="s">
        <v>4357</v>
      </c>
      <c r="BI429" s="154" t="s">
        <v>4926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4476</v>
      </c>
      <c r="D430" s="103">
        <v>1</v>
      </c>
      <c r="E430" s="103" t="s">
        <v>4432</v>
      </c>
      <c r="F430" s="104" t="s">
        <v>6279</v>
      </c>
      <c r="G430" s="103" t="s">
        <v>4330</v>
      </c>
      <c r="H430" s="103" t="s">
        <v>4331</v>
      </c>
      <c r="I430" s="142" t="s">
        <v>4440</v>
      </c>
      <c r="J430" s="149" t="s">
        <v>6280</v>
      </c>
      <c r="K430" s="149" t="s">
        <v>6281</v>
      </c>
      <c r="L430" s="149" t="s">
        <v>6282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6283</v>
      </c>
      <c r="AC430" s="149" t="s">
        <v>6281</v>
      </c>
      <c r="AD430" s="149" t="s">
        <v>6284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>IF(AY430-KD430=0,"",AY430-O430)</f>
        <v/>
      </c>
      <c r="BD430" s="103" t="str">
        <f>IF(AND(AI430&lt;&gt;"SIM",AI430="UH"),"AA","INDENIZAÇÃO")</f>
        <v>INDENIZAÇÃO</v>
      </c>
      <c r="BE430" s="103" t="str">
        <f>IF(AND(AY430&lt;&gt;"AGUARDANDO",AY430&lt;&gt;"",N430="AUXÍLIO ALUGUEL ATÉ INDENIZAÇÃO"),"SIM","NÃO")</f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4476</v>
      </c>
      <c r="D431" s="103">
        <v>1</v>
      </c>
      <c r="E431" s="103" t="s">
        <v>4432</v>
      </c>
      <c r="F431" s="104" t="s">
        <v>6285</v>
      </c>
      <c r="G431" s="103" t="s">
        <v>4330</v>
      </c>
      <c r="H431" s="103" t="s">
        <v>4331</v>
      </c>
      <c r="I431" s="142" t="s">
        <v>4343</v>
      </c>
      <c r="J431" s="149" t="s">
        <v>6286</v>
      </c>
      <c r="K431" s="149" t="s">
        <v>6287</v>
      </c>
      <c r="L431" s="149" t="s">
        <v>6288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6286</v>
      </c>
      <c r="AC431" s="149" t="s">
        <v>6287</v>
      </c>
      <c r="AD431" s="149" t="s">
        <v>6288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>IF(AY431-KD431=0,"",AY431-O431)</f>
        <v/>
      </c>
      <c r="BD431" s="103" t="str">
        <f>IF(AND(AI431&lt;&gt;"SIM",AI431="UH"),"AA","INDENIZAÇÃO")</f>
        <v>AA</v>
      </c>
      <c r="BE431" s="103" t="str">
        <f>IF(AND(AY431&lt;&gt;"AGUARDANDO",AY431&lt;&gt;"",N431="AUXÍLIO ALUGUEL ATÉ INDENIZAÇÃO"),"SIM","NÃO")</f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4476</v>
      </c>
      <c r="D432" s="103">
        <v>1</v>
      </c>
      <c r="E432" s="103" t="s">
        <v>4432</v>
      </c>
      <c r="F432" s="104" t="s">
        <v>6289</v>
      </c>
      <c r="G432" s="103" t="s">
        <v>4330</v>
      </c>
      <c r="H432" s="103" t="s">
        <v>4331</v>
      </c>
      <c r="I432" s="142" t="s">
        <v>4343</v>
      </c>
      <c r="J432" s="149" t="s">
        <v>6290</v>
      </c>
      <c r="K432" s="149" t="s">
        <v>6291</v>
      </c>
      <c r="L432" s="149" t="s">
        <v>6292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6290</v>
      </c>
      <c r="AC432" s="149" t="s">
        <v>6291</v>
      </c>
      <c r="AD432" s="149" t="s">
        <v>6292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>IF(AY432-KD432=0,"",AY432-O432)</f>
        <v/>
      </c>
      <c r="BD432" s="103" t="str">
        <f>IF(AND(AI432&lt;&gt;"SIM",AI432="UH"),"AA","INDENIZAÇÃO")</f>
        <v>AA</v>
      </c>
      <c r="BE432" s="103" t="str">
        <f>IF(AND(AY432&lt;&gt;"AGUARDANDO",AY432&lt;&gt;"",N432="AUXÍLIO ALUGUEL ATÉ INDENIZAÇÃO"),"SIM","NÃO")</f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 x14ac:dyDescent="0.25">
      <c r="A433" s="103">
        <v>423</v>
      </c>
      <c r="B433" s="103" t="s">
        <v>4431</v>
      </c>
      <c r="C433" s="103" t="s">
        <v>4439</v>
      </c>
      <c r="D433" s="103">
        <v>1</v>
      </c>
      <c r="E433" s="103" t="s">
        <v>4432</v>
      </c>
      <c r="F433" s="104" t="s">
        <v>6763</v>
      </c>
      <c r="G433" s="103" t="s">
        <v>4330</v>
      </c>
      <c r="H433" s="103" t="s">
        <v>4331</v>
      </c>
      <c r="I433" s="103" t="s">
        <v>4343</v>
      </c>
      <c r="J433" s="149" t="s">
        <v>6767</v>
      </c>
      <c r="K433" s="149" t="s">
        <v>6768</v>
      </c>
      <c r="L433" s="149" t="s">
        <v>6769</v>
      </c>
      <c r="M433" s="103" t="s">
        <v>4333</v>
      </c>
      <c r="N433" s="103" t="s">
        <v>4452</v>
      </c>
      <c r="O433" s="105">
        <v>46188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207" t="s">
        <v>6770</v>
      </c>
      <c r="AB433" s="204" t="s">
        <v>6767</v>
      </c>
      <c r="AC433" s="204" t="s">
        <v>6768</v>
      </c>
      <c r="AD433" s="204" t="s">
        <v>6769</v>
      </c>
      <c r="AE433" s="165" t="s">
        <v>4343</v>
      </c>
      <c r="AF433" s="165" t="s">
        <v>4333</v>
      </c>
      <c r="AG433" s="208">
        <v>58835.11</v>
      </c>
      <c r="AH433" s="208">
        <v>60000</v>
      </c>
      <c r="AI433" s="165" t="s">
        <v>4336</v>
      </c>
      <c r="AJ433" s="104" t="s">
        <v>4438</v>
      </c>
      <c r="AK433" s="103">
        <v>158682956</v>
      </c>
      <c r="AL433" s="103" t="s">
        <v>4338</v>
      </c>
      <c r="AM433" s="103" t="s">
        <v>4338</v>
      </c>
      <c r="AN433" s="103" t="s">
        <v>4339</v>
      </c>
      <c r="AO433" s="112"/>
      <c r="AP433" s="171" t="s">
        <v>6771</v>
      </c>
      <c r="AQ433" s="103" t="s">
        <v>4831</v>
      </c>
      <c r="AR433" s="103" t="s">
        <v>4831</v>
      </c>
      <c r="AS433" s="103" t="s">
        <v>4831</v>
      </c>
      <c r="AT433" s="103" t="s">
        <v>4831</v>
      </c>
      <c r="AU433" s="105">
        <v>46233</v>
      </c>
      <c r="AV433" s="103" t="s">
        <v>4831</v>
      </c>
      <c r="AW433" s="106" t="s">
        <v>4454</v>
      </c>
      <c r="AX433" s="109"/>
      <c r="AY433" s="157"/>
      <c r="AZ433" s="157"/>
      <c r="BA433" s="107" t="s">
        <v>4330</v>
      </c>
      <c r="BB433" s="112"/>
      <c r="BC433" s="220" t="str">
        <f>IF(AY433-KD433=0,"",AY433-O433)</f>
        <v/>
      </c>
      <c r="BD433" s="103" t="str">
        <f>IF(AND(AI433&lt;&gt;"SIM",AI433="UH"),"AA","INDENIZAÇÃO")</f>
        <v>INDENIZAÇÃO</v>
      </c>
      <c r="BE433" s="103" t="str">
        <f>IF(AND(AY433&lt;&gt;"AGUARDANDO",AY433&lt;&gt;"",N433="AUXÍLIO ALUGUEL ATÉ INDENIZAÇÃO"),"SIM","NÃO")</f>
        <v>NÃO</v>
      </c>
      <c r="BF433" s="112"/>
      <c r="BG433" s="147"/>
      <c r="BH433" s="147"/>
      <c r="BI433" s="112"/>
      <c r="BJ433" s="112"/>
      <c r="BK433" s="112"/>
      <c r="BL433" s="112"/>
      <c r="BM433" s="236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4476</v>
      </c>
      <c r="D434" s="103">
        <v>1</v>
      </c>
      <c r="E434" s="103" t="s">
        <v>4432</v>
      </c>
      <c r="F434" s="104" t="s">
        <v>6297</v>
      </c>
      <c r="G434" s="103" t="s">
        <v>4330</v>
      </c>
      <c r="H434" s="103" t="s">
        <v>4331</v>
      </c>
      <c r="I434" s="142" t="s">
        <v>4343</v>
      </c>
      <c r="J434" s="149" t="s">
        <v>6298</v>
      </c>
      <c r="K434" s="149" t="s">
        <v>6299</v>
      </c>
      <c r="L434" s="149" t="s">
        <v>6300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6298</v>
      </c>
      <c r="AC434" s="149" t="s">
        <v>6299</v>
      </c>
      <c r="AD434" s="149" t="s">
        <v>6300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>IF(AY434-KD434=0,"",AY434-O434)</f>
        <v/>
      </c>
      <c r="BD434" s="103" t="str">
        <f>IF(AND(AI434&lt;&gt;"SIM",AI434="UH"),"AA","INDENIZAÇÃO")</f>
        <v>AA</v>
      </c>
      <c r="BE434" s="103" t="str">
        <f>IF(AND(AY434&lt;&gt;"AGUARDANDO",AY434&lt;&gt;"",N434="AUXÍLIO ALUGUEL ATÉ INDENIZAÇÃO"),"SIM","NÃO")</f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4476</v>
      </c>
      <c r="D435" s="103">
        <v>1</v>
      </c>
      <c r="E435" s="103" t="s">
        <v>4432</v>
      </c>
      <c r="F435" s="104" t="s">
        <v>6301</v>
      </c>
      <c r="G435" s="103" t="s">
        <v>4330</v>
      </c>
      <c r="H435" s="103" t="s">
        <v>4331</v>
      </c>
      <c r="I435" s="142" t="s">
        <v>4343</v>
      </c>
      <c r="J435" s="149" t="s">
        <v>6302</v>
      </c>
      <c r="K435" s="149" t="s">
        <v>6303</v>
      </c>
      <c r="L435" s="149" t="s">
        <v>6304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6302</v>
      </c>
      <c r="AC435" s="149" t="s">
        <v>6303</v>
      </c>
      <c r="AD435" s="149" t="s">
        <v>6304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>IF(AY435-KD435=0,"",AY435-O435)</f>
        <v/>
      </c>
      <c r="BD435" s="103" t="str">
        <f>IF(AND(AI435&lt;&gt;"SIM",AI435="UH"),"AA","INDENIZAÇÃO")</f>
        <v>AA</v>
      </c>
      <c r="BE435" s="103" t="str">
        <f>IF(AND(AY435&lt;&gt;"AGUARDANDO",AY435&lt;&gt;"",N435="AUXÍLIO ALUGUEL ATÉ INDENIZAÇÃO"),"SIM","NÃO")</f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4476</v>
      </c>
      <c r="D436" s="103">
        <v>1</v>
      </c>
      <c r="E436" s="103" t="s">
        <v>4432</v>
      </c>
      <c r="F436" s="104" t="s">
        <v>6305</v>
      </c>
      <c r="G436" s="103" t="s">
        <v>4330</v>
      </c>
      <c r="H436" s="103" t="s">
        <v>4331</v>
      </c>
      <c r="I436" s="142" t="s">
        <v>4343</v>
      </c>
      <c r="J436" s="114" t="s">
        <v>6306</v>
      </c>
      <c r="K436" s="149" t="s">
        <v>6307</v>
      </c>
      <c r="L436" s="149" t="s">
        <v>6308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6306</v>
      </c>
      <c r="AC436" s="149" t="s">
        <v>6307</v>
      </c>
      <c r="AD436" s="149" t="s">
        <v>6308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>IF(AY436-KD436=0,"",AY436-O436)</f>
        <v/>
      </c>
      <c r="BD436" s="103" t="str">
        <f>IF(AND(AI436&lt;&gt;"SIM",AI436="UH"),"AA","INDENIZAÇÃO")</f>
        <v>AA</v>
      </c>
      <c r="BE436" s="103" t="str">
        <f>IF(AND(AY436&lt;&gt;"AGUARDANDO",AY436&lt;&gt;"",N436="AUXÍLIO ALUGUEL ATÉ INDENIZAÇÃO"),"SIM","NÃO")</f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4476</v>
      </c>
      <c r="D437" s="103">
        <v>1</v>
      </c>
      <c r="E437" s="103" t="s">
        <v>4432</v>
      </c>
      <c r="F437" s="104" t="s">
        <v>6309</v>
      </c>
      <c r="G437" s="103" t="s">
        <v>4330</v>
      </c>
      <c r="H437" s="103" t="s">
        <v>4331</v>
      </c>
      <c r="I437" s="142" t="s">
        <v>4343</v>
      </c>
      <c r="J437" s="149" t="s">
        <v>6310</v>
      </c>
      <c r="K437" s="149" t="s">
        <v>4457</v>
      </c>
      <c r="L437" s="149" t="s">
        <v>6311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6310</v>
      </c>
      <c r="AC437" s="149" t="s">
        <v>4457</v>
      </c>
      <c r="AD437" s="149" t="s">
        <v>6311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>IF(AY437-KD437=0,"",AY437-O437)</f>
        <v/>
      </c>
      <c r="BD437" s="103" t="str">
        <f>IF(AND(AI437&lt;&gt;"SIM",AI437="UH"),"AA","INDENIZAÇÃO")</f>
        <v>AA</v>
      </c>
      <c r="BE437" s="103" t="str">
        <f>IF(AND(AY437&lt;&gt;"AGUARDANDO",AY437&lt;&gt;"",N437="AUXÍLIO ALUGUEL ATÉ INDENIZAÇÃO"),"SIM","NÃO")</f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4476</v>
      </c>
      <c r="D438" s="103">
        <v>1</v>
      </c>
      <c r="E438" s="103" t="s">
        <v>4432</v>
      </c>
      <c r="F438" s="104" t="s">
        <v>6312</v>
      </c>
      <c r="G438" s="103" t="s">
        <v>4330</v>
      </c>
      <c r="H438" s="103" t="s">
        <v>4331</v>
      </c>
      <c r="I438" s="142" t="s">
        <v>4343</v>
      </c>
      <c r="J438" s="149" t="s">
        <v>6313</v>
      </c>
      <c r="K438" s="149" t="s">
        <v>4457</v>
      </c>
      <c r="L438" s="149" t="s">
        <v>6314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6313</v>
      </c>
      <c r="AC438" s="204" t="s">
        <v>4457</v>
      </c>
      <c r="AD438" s="204" t="s">
        <v>6314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>IF(AY438-KD438=0,"",AY438-O438)</f>
        <v/>
      </c>
      <c r="BD438" s="103" t="str">
        <f>IF(AND(AI438&lt;&gt;"SIM",AI438="UH"),"AA","INDENIZAÇÃO")</f>
        <v>AA</v>
      </c>
      <c r="BE438" s="103" t="str">
        <f>IF(AND(AY438&lt;&gt;"AGUARDANDO",AY438&lt;&gt;"",N438="AUXÍLIO ALUGUEL ATÉ INDENIZAÇÃO"),"SIM","NÃO")</f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4476</v>
      </c>
      <c r="D439" s="103">
        <v>1</v>
      </c>
      <c r="E439" s="103" t="s">
        <v>4432</v>
      </c>
      <c r="F439" s="104" t="s">
        <v>6315</v>
      </c>
      <c r="G439" s="103" t="s">
        <v>4330</v>
      </c>
      <c r="H439" s="103" t="s">
        <v>4331</v>
      </c>
      <c r="I439" s="142" t="s">
        <v>4343</v>
      </c>
      <c r="J439" s="149" t="s">
        <v>6316</v>
      </c>
      <c r="K439" s="149" t="s">
        <v>6317</v>
      </c>
      <c r="L439" s="149" t="s">
        <v>6318</v>
      </c>
      <c r="M439" s="103" t="s">
        <v>4333</v>
      </c>
      <c r="N439" s="103" t="s">
        <v>4452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6316</v>
      </c>
      <c r="AC439" s="149" t="s">
        <v>6319</v>
      </c>
      <c r="AD439" s="149" t="s">
        <v>6318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>IF(AY439-KD439=0,"",AY439-O439)</f>
        <v/>
      </c>
      <c r="BD439" s="103" t="str">
        <f>IF(AND(AI439&lt;&gt;"SIM",AI439="UH"),"AA","INDENIZAÇÃO")</f>
        <v>INDENIZAÇÃO</v>
      </c>
      <c r="BE439" s="103" t="str">
        <f>IF(AND(AY439&lt;&gt;"AGUARDANDO",AY439&lt;&gt;"",N439="AUXÍLIO ALUGUEL ATÉ INDENIZAÇÃO"),"SIM","NÃO")</f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4476</v>
      </c>
      <c r="D440" s="103">
        <v>1</v>
      </c>
      <c r="E440" s="103" t="s">
        <v>4432</v>
      </c>
      <c r="F440" s="104" t="s">
        <v>6320</v>
      </c>
      <c r="G440" s="103" t="s">
        <v>4351</v>
      </c>
      <c r="H440" s="103" t="s">
        <v>4351</v>
      </c>
      <c r="I440" s="153" t="s">
        <v>4332</v>
      </c>
      <c r="J440" s="149" t="s">
        <v>6321</v>
      </c>
      <c r="K440" s="149" t="s">
        <v>6322</v>
      </c>
      <c r="L440" s="149" t="s">
        <v>6323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6321</v>
      </c>
      <c r="AC440" s="149" t="s">
        <v>6322</v>
      </c>
      <c r="AD440" s="149" t="s">
        <v>6323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>IF(AY440-KD440=0,"",AY440-O440)</f>
        <v/>
      </c>
      <c r="BD440" s="103" t="str">
        <f>IF(AND(AI440&lt;&gt;"SIM",AI440="UH"),"AA","INDENIZAÇÃO")</f>
        <v>INDENIZAÇÃO</v>
      </c>
      <c r="BE440" s="103" t="str">
        <f>IF(AND(AY440&lt;&gt;"AGUARDANDO",AY440&lt;&gt;"",N440="AUXÍLIO ALUGUEL ATÉ INDENIZAÇÃO"),"SIM","NÃO")</f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4476</v>
      </c>
      <c r="D441" s="103">
        <v>1</v>
      </c>
      <c r="E441" s="103" t="s">
        <v>4432</v>
      </c>
      <c r="F441" s="104" t="s">
        <v>6324</v>
      </c>
      <c r="G441" s="103" t="s">
        <v>4330</v>
      </c>
      <c r="H441" s="103" t="s">
        <v>4331</v>
      </c>
      <c r="I441" s="246" t="s">
        <v>4343</v>
      </c>
      <c r="J441" s="149" t="s">
        <v>6325</v>
      </c>
      <c r="K441" s="149" t="s">
        <v>6326</v>
      </c>
      <c r="L441" s="149" t="s">
        <v>6327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6325</v>
      </c>
      <c r="AC441" s="149" t="s">
        <v>6326</v>
      </c>
      <c r="AD441" s="149" t="s">
        <v>6327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>IF(AY441-KD441=0,"",AY441-O441)</f>
        <v/>
      </c>
      <c r="BD441" s="103" t="str">
        <f>IF(AND(AI441&lt;&gt;"SIM",AI441="UH"),"AA","INDENIZAÇÃO")</f>
        <v>AA</v>
      </c>
      <c r="BE441" s="103" t="str">
        <f>IF(AND(AY441&lt;&gt;"AGUARDANDO",AY441&lt;&gt;"",N441="AUXÍLIO ALUGUEL ATÉ INDENIZAÇÃO"),"SIM","NÃO")</f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432</v>
      </c>
      <c r="B442" s="103" t="s">
        <v>4431</v>
      </c>
      <c r="C442" s="103" t="s">
        <v>4476</v>
      </c>
      <c r="D442" s="103">
        <v>1</v>
      </c>
      <c r="E442" s="103" t="s">
        <v>4432</v>
      </c>
      <c r="F442" s="104" t="s">
        <v>6328</v>
      </c>
      <c r="G442" s="103" t="s">
        <v>4330</v>
      </c>
      <c r="H442" s="103" t="s">
        <v>4331</v>
      </c>
      <c r="I442" s="142" t="s">
        <v>4343</v>
      </c>
      <c r="J442" s="149" t="s">
        <v>6329</v>
      </c>
      <c r="K442" s="149" t="s">
        <v>6330</v>
      </c>
      <c r="L442" s="149" t="s">
        <v>6331</v>
      </c>
      <c r="M442" s="103" t="s">
        <v>4333</v>
      </c>
      <c r="N442" s="103" t="s">
        <v>4452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6332</v>
      </c>
      <c r="AC442" s="204" t="s">
        <v>6330</v>
      </c>
      <c r="AD442" s="204" t="s">
        <v>6331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6333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3" t="s">
        <v>4338</v>
      </c>
      <c r="AX442" s="105">
        <v>46234</v>
      </c>
      <c r="AY442" s="106" t="s">
        <v>4454</v>
      </c>
      <c r="AZ442" s="106"/>
      <c r="BA442" s="107" t="s">
        <v>4330</v>
      </c>
      <c r="BB442" s="136"/>
      <c r="BC442" s="220" t="e">
        <f>IF(AY442-KD442=0,"",AY442-O442)</f>
        <v>#VALUE!</v>
      </c>
      <c r="BD442" s="103" t="str">
        <f>IF(AND(AI442&lt;&gt;"SIM",AI442="UH"),"AA","INDENIZAÇÃO")</f>
        <v>INDENIZAÇÃO</v>
      </c>
      <c r="BE442" s="103" t="str">
        <f>IF(AND(AY442&lt;&gt;"AGUARDANDO",AY442&lt;&gt;"",N442="AUXÍLIO ALUGUEL ATÉ INDENIZAÇÃO"),"SIM","NÃO")</f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4476</v>
      </c>
      <c r="D443" s="103">
        <v>1</v>
      </c>
      <c r="E443" s="103" t="s">
        <v>4432</v>
      </c>
      <c r="F443" s="104" t="s">
        <v>6334</v>
      </c>
      <c r="G443" s="103" t="s">
        <v>4330</v>
      </c>
      <c r="H443" s="103" t="s">
        <v>4331</v>
      </c>
      <c r="I443" s="142" t="s">
        <v>4343</v>
      </c>
      <c r="J443" s="149" t="s">
        <v>6335</v>
      </c>
      <c r="K443" s="149" t="s">
        <v>6336</v>
      </c>
      <c r="L443" s="149" t="s">
        <v>6337</v>
      </c>
      <c r="M443" s="103" t="s">
        <v>4333</v>
      </c>
      <c r="N443" s="103" t="s">
        <v>4452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5" t="s">
        <v>6335</v>
      </c>
      <c r="AC443" s="149" t="s">
        <v>6336</v>
      </c>
      <c r="AD443" s="149" t="s">
        <v>6337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6338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4454</v>
      </c>
      <c r="BA443" s="107" t="s">
        <v>4598</v>
      </c>
      <c r="BB443" s="136" t="s">
        <v>4338</v>
      </c>
      <c r="BC443" s="220">
        <f>IF(AY443-KD443=0,"",AY443-O443)</f>
        <v>51</v>
      </c>
      <c r="BD443" s="103" t="str">
        <f>IF(AND(AI443&lt;&gt;"SIM",AI443="UH"),"AA","INDENIZAÇÃO")</f>
        <v>INDENIZAÇÃO</v>
      </c>
      <c r="BE443" s="103" t="str">
        <f>IF(AND(AY443&lt;&gt;"AGUARDANDO",AY443&lt;&gt;"",N443="AUXÍLIO ALUGUEL ATÉ INDENIZAÇÃO"),"SIM","NÃO")</f>
        <v>NÃO</v>
      </c>
      <c r="BF443" s="140" t="s">
        <v>4357</v>
      </c>
      <c r="BG443" s="140" t="s">
        <v>4357</v>
      </c>
      <c r="BH443" s="140" t="s">
        <v>4357</v>
      </c>
      <c r="BI443" s="154" t="s">
        <v>4926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4476</v>
      </c>
      <c r="D444" s="103">
        <v>1</v>
      </c>
      <c r="E444" s="103" t="s">
        <v>4432</v>
      </c>
      <c r="F444" s="104" t="s">
        <v>6339</v>
      </c>
      <c r="G444" s="103" t="s">
        <v>4330</v>
      </c>
      <c r="H444" s="103" t="s">
        <v>4331</v>
      </c>
      <c r="I444" s="98" t="s">
        <v>4343</v>
      </c>
      <c r="J444" s="149" t="s">
        <v>6340</v>
      </c>
      <c r="K444" s="175" t="s">
        <v>6341</v>
      </c>
      <c r="L444" s="149" t="s">
        <v>6342</v>
      </c>
      <c r="M444" s="103" t="s">
        <v>4333</v>
      </c>
      <c r="N444" s="103" t="s">
        <v>4452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6340</v>
      </c>
      <c r="AC444" s="175" t="s">
        <v>6341</v>
      </c>
      <c r="AD444" s="149" t="s">
        <v>6342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6343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4454</v>
      </c>
      <c r="BA444" s="107" t="s">
        <v>4598</v>
      </c>
      <c r="BB444" s="136" t="s">
        <v>4338</v>
      </c>
      <c r="BC444" s="220">
        <f>IF(AY444-KD444=0,"",AY444-O444)</f>
        <v>64</v>
      </c>
      <c r="BD444" s="103" t="str">
        <f>IF(AND(AI444&lt;&gt;"SIM",AI444="UH"),"AA","INDENIZAÇÃO")</f>
        <v>INDENIZAÇÃO</v>
      </c>
      <c r="BE444" s="103" t="str">
        <f>IF(AND(AY444&lt;&gt;"AGUARDANDO",AY444&lt;&gt;"",N444="AUXÍLIO ALUGUEL ATÉ INDENIZAÇÃO"),"SIM","NÃO")</f>
        <v>NÃO</v>
      </c>
      <c r="BF444" s="140" t="s">
        <v>4357</v>
      </c>
      <c r="BG444" s="140" t="s">
        <v>4357</v>
      </c>
      <c r="BH444" s="140" t="s">
        <v>4357</v>
      </c>
      <c r="BI444" s="154" t="s">
        <v>4926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4476</v>
      </c>
      <c r="D445" s="103">
        <v>1</v>
      </c>
      <c r="E445" s="103" t="s">
        <v>4432</v>
      </c>
      <c r="F445" s="104" t="s">
        <v>6344</v>
      </c>
      <c r="G445" s="103" t="s">
        <v>4330</v>
      </c>
      <c r="H445" s="103" t="s">
        <v>4331</v>
      </c>
      <c r="I445" s="142" t="s">
        <v>4343</v>
      </c>
      <c r="J445" s="149" t="s">
        <v>6345</v>
      </c>
      <c r="K445" s="149" t="s">
        <v>6346</v>
      </c>
      <c r="L445" s="149" t="s">
        <v>6347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6345</v>
      </c>
      <c r="AC445" s="149" t="s">
        <v>6346</v>
      </c>
      <c r="AD445" s="149" t="s">
        <v>6347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>IF(AY445-KD445=0,"",AY445-O445)</f>
        <v/>
      </c>
      <c r="BD445" s="103" t="str">
        <f>IF(AND(AI445&lt;&gt;"SIM",AI445="UH"),"AA","INDENIZAÇÃO")</f>
        <v>AA</v>
      </c>
      <c r="BE445" s="103" t="str">
        <f>IF(AND(AY445&lt;&gt;"AGUARDANDO",AY445&lt;&gt;"",N445="AUXÍLIO ALUGUEL ATÉ INDENIZAÇÃO"),"SIM","NÃO")</f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4476</v>
      </c>
      <c r="D446" s="103">
        <v>1</v>
      </c>
      <c r="E446" s="103" t="s">
        <v>4432</v>
      </c>
      <c r="F446" s="104" t="s">
        <v>6348</v>
      </c>
      <c r="G446" s="103" t="s">
        <v>4330</v>
      </c>
      <c r="H446" s="103" t="s">
        <v>4331</v>
      </c>
      <c r="I446" s="142" t="s">
        <v>4343</v>
      </c>
      <c r="J446" s="149" t="s">
        <v>6349</v>
      </c>
      <c r="K446" s="149" t="s">
        <v>6350</v>
      </c>
      <c r="L446" s="149" t="s">
        <v>6351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6349</v>
      </c>
      <c r="AC446" s="149" t="s">
        <v>6350</v>
      </c>
      <c r="AD446" s="149" t="s">
        <v>6351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>IF(AY446-KD446=0,"",AY446-O446)</f>
        <v/>
      </c>
      <c r="BD446" s="103" t="str">
        <f>IF(AND(AI446&lt;&gt;"SIM",AI446="UH"),"AA","INDENIZAÇÃO")</f>
        <v>AA</v>
      </c>
      <c r="BE446" s="103" t="str">
        <f>IF(AND(AY446&lt;&gt;"AGUARDANDO",AY446&lt;&gt;"",N446="AUXÍLIO ALUGUEL ATÉ INDENIZAÇÃO"),"SIM","NÃO")</f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4476</v>
      </c>
      <c r="D447" s="103">
        <v>1</v>
      </c>
      <c r="E447" s="103" t="s">
        <v>4432</v>
      </c>
      <c r="F447" s="104" t="s">
        <v>6352</v>
      </c>
      <c r="G447" s="103" t="s">
        <v>4330</v>
      </c>
      <c r="H447" s="103" t="s">
        <v>4331</v>
      </c>
      <c r="I447" s="142" t="s">
        <v>4343</v>
      </c>
      <c r="J447" s="149" t="s">
        <v>6353</v>
      </c>
      <c r="K447" s="149" t="s">
        <v>6354</v>
      </c>
      <c r="L447" s="149" t="s">
        <v>6355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6353</v>
      </c>
      <c r="AC447" s="149" t="s">
        <v>6354</v>
      </c>
      <c r="AD447" s="149" t="s">
        <v>6355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>IF(AY447-KD447=0,"",AY447-O447)</f>
        <v/>
      </c>
      <c r="BD447" s="103" t="str">
        <f>IF(AND(AI447&lt;&gt;"SIM",AI447="UH"),"AA","INDENIZAÇÃO")</f>
        <v>AA</v>
      </c>
      <c r="BE447" s="103" t="str">
        <f>IF(AND(AY447&lt;&gt;"AGUARDANDO",AY447&lt;&gt;"",N447="AUXÍLIO ALUGUEL ATÉ INDENIZAÇÃO"),"SIM","NÃO")</f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4476</v>
      </c>
      <c r="D448" s="103">
        <v>1</v>
      </c>
      <c r="E448" s="103" t="s">
        <v>4432</v>
      </c>
      <c r="F448" s="104" t="s">
        <v>6356</v>
      </c>
      <c r="G448" s="103" t="s">
        <v>4330</v>
      </c>
      <c r="H448" s="103" t="s">
        <v>4331</v>
      </c>
      <c r="I448" s="142" t="s">
        <v>4343</v>
      </c>
      <c r="J448" s="149" t="s">
        <v>6357</v>
      </c>
      <c r="K448" s="149" t="s">
        <v>6358</v>
      </c>
      <c r="L448" s="149" t="s">
        <v>6359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6357</v>
      </c>
      <c r="AC448" s="149" t="s">
        <v>6358</v>
      </c>
      <c r="AD448" s="149" t="s">
        <v>6359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>IF(AY448-KD448=0,"",AY448-O448)</f>
        <v/>
      </c>
      <c r="BD448" s="103" t="str">
        <f>IF(AND(AI448&lt;&gt;"SIM",AI448="UH"),"AA","INDENIZAÇÃO")</f>
        <v>AA</v>
      </c>
      <c r="BE448" s="103" t="str">
        <f>IF(AND(AY448&lt;&gt;"AGUARDANDO",AY448&lt;&gt;"",N448="AUXÍLIO ALUGUEL ATÉ INDENIZAÇÃO"),"SIM","NÃO")</f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4476</v>
      </c>
      <c r="D449" s="103">
        <v>1</v>
      </c>
      <c r="E449" s="103" t="s">
        <v>4432</v>
      </c>
      <c r="F449" s="104" t="s">
        <v>6360</v>
      </c>
      <c r="G449" s="103" t="s">
        <v>4330</v>
      </c>
      <c r="H449" s="103" t="s">
        <v>4331</v>
      </c>
      <c r="I449" s="142" t="s">
        <v>4343</v>
      </c>
      <c r="J449" s="149" t="s">
        <v>6361</v>
      </c>
      <c r="K449" s="149" t="s">
        <v>6362</v>
      </c>
      <c r="L449" s="149" t="s">
        <v>6363</v>
      </c>
      <c r="M449" s="103" t="s">
        <v>4333</v>
      </c>
      <c r="N449" s="103" t="s">
        <v>4452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6364</v>
      </c>
      <c r="AC449" s="204" t="s">
        <v>6362</v>
      </c>
      <c r="AD449" s="204" t="s">
        <v>6363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6365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4454</v>
      </c>
      <c r="BA449" s="107" t="s">
        <v>4598</v>
      </c>
      <c r="BB449" s="136" t="s">
        <v>4338</v>
      </c>
      <c r="BC449" s="220">
        <f>IF(AY449-KD449=0,"",AY449-O449)</f>
        <v>71</v>
      </c>
      <c r="BD449" s="103" t="str">
        <f>IF(AND(AI449&lt;&gt;"SIM",AI449="UH"),"AA","INDENIZAÇÃO")</f>
        <v>INDENIZAÇÃO</v>
      </c>
      <c r="BE449" s="103" t="str">
        <f>IF(AND(AY449&lt;&gt;"AGUARDANDO",AY449&lt;&gt;"",N449="AUXÍLIO ALUGUEL ATÉ INDENIZAÇÃO"),"SIM","NÃO")</f>
        <v>NÃO</v>
      </c>
      <c r="BF449" s="140" t="s">
        <v>4357</v>
      </c>
      <c r="BG449" s="140" t="s">
        <v>4357</v>
      </c>
      <c r="BH449" s="140" t="s">
        <v>4357</v>
      </c>
      <c r="BI449" s="154" t="s">
        <v>4926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4476</v>
      </c>
      <c r="D450" s="103">
        <v>1</v>
      </c>
      <c r="E450" s="103" t="s">
        <v>4432</v>
      </c>
      <c r="F450" s="104" t="s">
        <v>6366</v>
      </c>
      <c r="G450" s="103" t="s">
        <v>4330</v>
      </c>
      <c r="H450" s="103" t="s">
        <v>4331</v>
      </c>
      <c r="I450" s="142" t="s">
        <v>4343</v>
      </c>
      <c r="J450" s="149" t="s">
        <v>6367</v>
      </c>
      <c r="K450" s="149" t="s">
        <v>6368</v>
      </c>
      <c r="L450" s="149" t="s">
        <v>6369</v>
      </c>
      <c r="M450" s="103" t="s">
        <v>4333</v>
      </c>
      <c r="N450" s="103" t="s">
        <v>4452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6367</v>
      </c>
      <c r="AC450" s="149" t="s">
        <v>6368</v>
      </c>
      <c r="AD450" s="149" t="s">
        <v>6369</v>
      </c>
      <c r="AE450" s="103" t="s">
        <v>4343</v>
      </c>
      <c r="AF450" s="142" t="s">
        <v>5635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6370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4454</v>
      </c>
      <c r="BA450" s="107" t="s">
        <v>4598</v>
      </c>
      <c r="BB450" s="136" t="s">
        <v>4338</v>
      </c>
      <c r="BC450" s="220">
        <f>IF(AY450-KD450=0,"",AY450-O450)</f>
        <v>51</v>
      </c>
      <c r="BD450" s="103" t="str">
        <f>IF(AND(AI450&lt;&gt;"SIM",AI450="UH"),"AA","INDENIZAÇÃO")</f>
        <v>INDENIZAÇÃO</v>
      </c>
      <c r="BE450" s="103" t="str">
        <f>IF(AND(AY450&lt;&gt;"AGUARDANDO",AY450&lt;&gt;"",N450="AUXÍLIO ALUGUEL ATÉ INDENIZAÇÃO"),"SIM","NÃO")</f>
        <v>NÃO</v>
      </c>
      <c r="BF450" s="140" t="s">
        <v>4357</v>
      </c>
      <c r="BG450" s="140" t="s">
        <v>4357</v>
      </c>
      <c r="BH450" s="140" t="s">
        <v>4357</v>
      </c>
      <c r="BI450" s="154" t="s">
        <v>4926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4476</v>
      </c>
      <c r="D451" s="103">
        <v>1</v>
      </c>
      <c r="E451" s="103" t="s">
        <v>4432</v>
      </c>
      <c r="F451" s="104" t="s">
        <v>6371</v>
      </c>
      <c r="G451" s="103" t="s">
        <v>4330</v>
      </c>
      <c r="H451" s="103" t="s">
        <v>4331</v>
      </c>
      <c r="I451" s="142" t="s">
        <v>4343</v>
      </c>
      <c r="J451" s="114" t="s">
        <v>6372</v>
      </c>
      <c r="K451" s="149" t="s">
        <v>6373</v>
      </c>
      <c r="L451" s="149" t="s">
        <v>6374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6372</v>
      </c>
      <c r="AC451" s="149" t="s">
        <v>6373</v>
      </c>
      <c r="AD451" s="149" t="s">
        <v>6374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>IF(AY451-KD451=0,"",AY451-O451)</f>
        <v/>
      </c>
      <c r="BD451" s="103" t="str">
        <f>IF(AND(AI451&lt;&gt;"SIM",AI451="UH"),"AA","INDENIZAÇÃO")</f>
        <v>AA</v>
      </c>
      <c r="BE451" s="103" t="str">
        <f>IF(AND(AY451&lt;&gt;"AGUARDANDO",AY451&lt;&gt;"",N451="AUXÍLIO ALUGUEL ATÉ INDENIZAÇÃO"),"SIM","NÃO")</f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4476</v>
      </c>
      <c r="D452" s="103">
        <v>1</v>
      </c>
      <c r="E452" s="103" t="s">
        <v>4432</v>
      </c>
      <c r="F452" s="104" t="s">
        <v>6375</v>
      </c>
      <c r="G452" s="103" t="s">
        <v>4330</v>
      </c>
      <c r="H452" s="103" t="s">
        <v>4331</v>
      </c>
      <c r="I452" s="142" t="s">
        <v>4343</v>
      </c>
      <c r="J452" s="149" t="s">
        <v>6376</v>
      </c>
      <c r="K452" s="149" t="s">
        <v>6377</v>
      </c>
      <c r="L452" s="149" t="s">
        <v>6378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6376</v>
      </c>
      <c r="AC452" s="149" t="s">
        <v>6377</v>
      </c>
      <c r="AD452" s="149" t="s">
        <v>6378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>IF(AY452-KD452=0,"",AY452-O452)</f>
        <v/>
      </c>
      <c r="BD452" s="103" t="str">
        <f>IF(AND(AI452&lt;&gt;"SIM",AI452="UH"),"AA","INDENIZAÇÃO")</f>
        <v>AA</v>
      </c>
      <c r="BE452" s="103" t="str">
        <f>IF(AND(AY452&lt;&gt;"AGUARDANDO",AY452&lt;&gt;"",N452="AUXÍLIO ALUGUEL ATÉ INDENIZAÇÃO"),"SIM","NÃO")</f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4476</v>
      </c>
      <c r="D453" s="103">
        <v>1</v>
      </c>
      <c r="E453" s="103" t="s">
        <v>4432</v>
      </c>
      <c r="F453" s="104" t="s">
        <v>6379</v>
      </c>
      <c r="G453" s="103" t="s">
        <v>4330</v>
      </c>
      <c r="H453" s="103" t="s">
        <v>4331</v>
      </c>
      <c r="I453" s="142" t="s">
        <v>4343</v>
      </c>
      <c r="J453" s="149" t="s">
        <v>6380</v>
      </c>
      <c r="K453" s="149" t="s">
        <v>6381</v>
      </c>
      <c r="L453" s="149" t="s">
        <v>6382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6380</v>
      </c>
      <c r="AC453" s="149" t="s">
        <v>6381</v>
      </c>
      <c r="AD453" s="149" t="s">
        <v>6382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>IF(AY453-KD453=0,"",AY453-O453)</f>
        <v/>
      </c>
      <c r="BD453" s="103" t="str">
        <f>IF(AND(AI453&lt;&gt;"SIM",AI453="UH"),"AA","INDENIZAÇÃO")</f>
        <v>AA</v>
      </c>
      <c r="BE453" s="103" t="str">
        <f>IF(AND(AY453&lt;&gt;"AGUARDANDO",AY453&lt;&gt;"",N453="AUXÍLIO ALUGUEL ATÉ INDENIZAÇÃO"),"SIM","NÃO")</f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4476</v>
      </c>
      <c r="D454" s="103">
        <v>1</v>
      </c>
      <c r="E454" s="103" t="s">
        <v>4432</v>
      </c>
      <c r="F454" s="104" t="s">
        <v>6383</v>
      </c>
      <c r="G454" s="103" t="s">
        <v>4330</v>
      </c>
      <c r="H454" s="103" t="s">
        <v>4331</v>
      </c>
      <c r="I454" s="142" t="s">
        <v>4343</v>
      </c>
      <c r="J454" s="149" t="s">
        <v>6384</v>
      </c>
      <c r="K454" s="149" t="s">
        <v>6385</v>
      </c>
      <c r="L454" s="149" t="s">
        <v>6386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6384</v>
      </c>
      <c r="AC454" s="149" t="s">
        <v>6385</v>
      </c>
      <c r="AD454" s="149" t="s">
        <v>6386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>IF(AY454-KD454=0,"",AY454-O454)</f>
        <v/>
      </c>
      <c r="BD454" s="103" t="str">
        <f>IF(AND(AI454&lt;&gt;"SIM",AI454="UH"),"AA","INDENIZAÇÃO")</f>
        <v>AA</v>
      </c>
      <c r="BE454" s="103" t="str">
        <f>IF(AND(AY454&lt;&gt;"AGUARDANDO",AY454&lt;&gt;"",N454="AUXÍLIO ALUGUEL ATÉ INDENIZAÇÃO"),"SIM","NÃO")</f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4476</v>
      </c>
      <c r="D455" s="103">
        <v>1</v>
      </c>
      <c r="E455" s="103" t="s">
        <v>4432</v>
      </c>
      <c r="F455" s="104" t="s">
        <v>6387</v>
      </c>
      <c r="G455" s="103" t="s">
        <v>4330</v>
      </c>
      <c r="H455" s="103" t="s">
        <v>4331</v>
      </c>
      <c r="I455" s="142" t="s">
        <v>4343</v>
      </c>
      <c r="J455" s="149" t="s">
        <v>6388</v>
      </c>
      <c r="K455" s="149" t="s">
        <v>6389</v>
      </c>
      <c r="L455" s="149" t="s">
        <v>6390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6388</v>
      </c>
      <c r="AC455" s="149" t="s">
        <v>6389</v>
      </c>
      <c r="AD455" s="149" t="s">
        <v>6390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>IF(AY455-KD455=0,"",AY455-O455)</f>
        <v/>
      </c>
      <c r="BD455" s="103" t="str">
        <f>IF(AND(AI455&lt;&gt;"SIM",AI455="UH"),"AA","INDENIZAÇÃO")</f>
        <v>AA</v>
      </c>
      <c r="BE455" s="103" t="str">
        <f>IF(AND(AY455&lt;&gt;"AGUARDANDO",AY455&lt;&gt;"",N455="AUXÍLIO ALUGUEL ATÉ INDENIZAÇÃO"),"SIM","NÃO")</f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6471</v>
      </c>
      <c r="G456" s="103" t="s">
        <v>4330</v>
      </c>
      <c r="H456" s="103" t="s">
        <v>4331</v>
      </c>
      <c r="I456" s="142" t="s">
        <v>4343</v>
      </c>
      <c r="J456" s="149" t="s">
        <v>6472</v>
      </c>
      <c r="K456" s="149" t="s">
        <v>6473</v>
      </c>
      <c r="L456" s="149" t="s">
        <v>6474</v>
      </c>
      <c r="M456" s="103" t="s">
        <v>4333</v>
      </c>
      <c r="N456" s="103" t="s">
        <v>4334</v>
      </c>
      <c r="O456" s="105">
        <v>46188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49" t="s">
        <v>6472</v>
      </c>
      <c r="AC456" s="149" t="s">
        <v>6473</v>
      </c>
      <c r="AD456" s="149" t="s">
        <v>6474</v>
      </c>
      <c r="AE456" s="142" t="s">
        <v>4343</v>
      </c>
      <c r="AF456" s="103" t="s">
        <v>4333</v>
      </c>
      <c r="AG456" s="208">
        <v>42208.36</v>
      </c>
      <c r="AH456" s="208">
        <v>60000</v>
      </c>
      <c r="AI456" s="165" t="s">
        <v>4447</v>
      </c>
      <c r="AJ456" s="104" t="s">
        <v>4438</v>
      </c>
      <c r="AK456" s="103">
        <v>158037657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6475</v>
      </c>
      <c r="AQ456" s="103" t="s">
        <v>4831</v>
      </c>
      <c r="AR456" s="103" t="s">
        <v>4831</v>
      </c>
      <c r="AS456" s="103" t="s">
        <v>4831</v>
      </c>
      <c r="AT456" s="103" t="s">
        <v>4831</v>
      </c>
      <c r="AU456" s="105">
        <v>46233</v>
      </c>
      <c r="AV456" s="103" t="s">
        <v>4831</v>
      </c>
      <c r="AW456" s="106" t="s">
        <v>4454</v>
      </c>
      <c r="AX456" s="109"/>
      <c r="AY456" s="157"/>
      <c r="AZ456" s="157"/>
      <c r="BA456" s="107" t="s">
        <v>4330</v>
      </c>
      <c r="BB456" s="112"/>
      <c r="BC456" s="220"/>
      <c r="BD456" s="103"/>
      <c r="BE456" s="103"/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6395</v>
      </c>
      <c r="G457" s="103" t="s">
        <v>4330</v>
      </c>
      <c r="H457" s="103" t="s">
        <v>4331</v>
      </c>
      <c r="I457" s="103" t="s">
        <v>4343</v>
      </c>
      <c r="J457" s="149" t="s">
        <v>6396</v>
      </c>
      <c r="K457" s="149" t="s">
        <v>6397</v>
      </c>
      <c r="L457" s="149" t="s">
        <v>6398</v>
      </c>
      <c r="M457" s="103" t="s">
        <v>4333</v>
      </c>
      <c r="N457" s="103" t="s">
        <v>4452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6396</v>
      </c>
      <c r="AC457" s="204" t="s">
        <v>6397</v>
      </c>
      <c r="AD457" s="204" t="s">
        <v>6398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>IF(AY457-KD457=0,"",AY457-O457)</f>
        <v/>
      </c>
      <c r="BD457" s="103" t="str">
        <f>IF(AND(AI457&lt;&gt;"SIM",AI457="UH"),"AA","INDENIZAÇÃO")</f>
        <v>INDENIZAÇÃO</v>
      </c>
      <c r="BE457" s="103" t="str">
        <f>IF(AND(AY457&lt;&gt;"AGUARDANDO",AY457&lt;&gt;"",N457="AUXÍLIO ALUGUEL ATÉ INDENIZAÇÃO"),"SIM","NÃO")</f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4476</v>
      </c>
      <c r="D458" s="103">
        <v>1</v>
      </c>
      <c r="E458" s="103" t="s">
        <v>4432</v>
      </c>
      <c r="F458" s="104" t="s">
        <v>6395</v>
      </c>
      <c r="G458" s="103" t="s">
        <v>4330</v>
      </c>
      <c r="H458" s="103" t="s">
        <v>4331</v>
      </c>
      <c r="I458" s="142" t="s">
        <v>4343</v>
      </c>
      <c r="J458" s="149" t="s">
        <v>6399</v>
      </c>
      <c r="K458" s="149" t="s">
        <v>6400</v>
      </c>
      <c r="L458" s="149" t="s">
        <v>6401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6399</v>
      </c>
      <c r="AC458" s="149" t="s">
        <v>6400</v>
      </c>
      <c r="AD458" s="149" t="s">
        <v>6401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>IF(AY458-KD458=0,"",AY458-O458)</f>
        <v/>
      </c>
      <c r="BD458" s="103" t="str">
        <f>IF(AND(AI458&lt;&gt;"SIM",AI458="UH"),"AA","INDENIZAÇÃO")</f>
        <v>AA</v>
      </c>
      <c r="BE458" s="103" t="str">
        <f>IF(AND(AY458&lt;&gt;"AGUARDANDO",AY458&lt;&gt;"",N458="AUXÍLIO ALUGUEL ATÉ INDENIZAÇÃO"),"SIM","NÃO")</f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6402</v>
      </c>
      <c r="G459" s="103" t="s">
        <v>4330</v>
      </c>
      <c r="H459" s="103" t="s">
        <v>4331</v>
      </c>
      <c r="I459" s="103" t="s">
        <v>4343</v>
      </c>
      <c r="J459" s="149" t="s">
        <v>5353</v>
      </c>
      <c r="K459" s="149" t="s">
        <v>5354</v>
      </c>
      <c r="L459" s="149" t="s">
        <v>5355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5353</v>
      </c>
      <c r="AC459" s="149" t="s">
        <v>5354</v>
      </c>
      <c r="AD459" s="149" t="s">
        <v>5355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>IF(AY459-KD459=0,"",AY459-O459)</f>
        <v/>
      </c>
      <c r="BD459" s="103" t="str">
        <f>IF(AND(AI459&lt;&gt;"SIM",AI459="UH"),"AA","INDENIZAÇÃO")</f>
        <v>AA</v>
      </c>
      <c r="BE459" s="103" t="str">
        <f>IF(AND(AY459&lt;&gt;"AGUARDANDO",AY459&lt;&gt;"",N459="AUXÍLIO ALUGUEL ATÉ INDENIZAÇÃO"),"SIM","NÃO")</f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customHeight="1" x14ac:dyDescent="0.25">
      <c r="A460" s="165">
        <v>450</v>
      </c>
      <c r="B460" s="103" t="s">
        <v>4431</v>
      </c>
      <c r="C460" s="103" t="s">
        <v>4439</v>
      </c>
      <c r="D460" s="103">
        <v>1</v>
      </c>
      <c r="E460" s="103" t="s">
        <v>4432</v>
      </c>
      <c r="F460" s="104" t="s">
        <v>6458</v>
      </c>
      <c r="G460" s="103" t="s">
        <v>4330</v>
      </c>
      <c r="H460" s="103" t="s">
        <v>4331</v>
      </c>
      <c r="I460" s="103" t="s">
        <v>4343</v>
      </c>
      <c r="J460" s="149" t="s">
        <v>6462</v>
      </c>
      <c r="K460" s="149" t="s">
        <v>6463</v>
      </c>
      <c r="L460" s="149" t="s">
        <v>6464</v>
      </c>
      <c r="M460" s="103" t="s">
        <v>4333</v>
      </c>
      <c r="N460" s="103" t="s">
        <v>4452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38"/>
      <c r="AB460" s="204" t="s">
        <v>6462</v>
      </c>
      <c r="AC460" s="204" t="s">
        <v>6463</v>
      </c>
      <c r="AD460" s="204" t="s">
        <v>6464</v>
      </c>
      <c r="AE460" s="165" t="s">
        <v>4343</v>
      </c>
      <c r="AF460" s="165" t="s">
        <v>4333</v>
      </c>
      <c r="AG460" s="208">
        <v>33748.89</v>
      </c>
      <c r="AH460" s="208">
        <v>60000</v>
      </c>
      <c r="AI460" s="165" t="s">
        <v>4447</v>
      </c>
      <c r="AJ460" s="104" t="s">
        <v>4438</v>
      </c>
      <c r="AK460" s="103">
        <v>153981037</v>
      </c>
      <c r="AL460" s="103" t="s">
        <v>4338</v>
      </c>
      <c r="AM460" s="103" t="s">
        <v>4338</v>
      </c>
      <c r="AN460" s="103" t="s">
        <v>4339</v>
      </c>
      <c r="AO460" s="112"/>
      <c r="AP460" s="171" t="s">
        <v>6465</v>
      </c>
      <c r="AQ460" s="259" t="s">
        <v>4338</v>
      </c>
      <c r="AR460" s="259" t="s">
        <v>4338</v>
      </c>
      <c r="AS460" s="103" t="s">
        <v>4831</v>
      </c>
      <c r="AT460" s="103" t="s">
        <v>4831</v>
      </c>
      <c r="AU460" s="105">
        <v>46233</v>
      </c>
      <c r="AV460" s="103" t="s">
        <v>4831</v>
      </c>
      <c r="AW460" s="106" t="s">
        <v>4454</v>
      </c>
      <c r="AX460" s="109"/>
      <c r="AY460" s="157"/>
      <c r="AZ460" s="157"/>
      <c r="BA460" s="107" t="s">
        <v>4330</v>
      </c>
      <c r="BB460" s="112"/>
      <c r="BC460" s="220" t="str">
        <f>IF(AY460-KD460=0,"",AY460-O460)</f>
        <v/>
      </c>
      <c r="BD460" s="103" t="str">
        <f>IF(AND(AI460&lt;&gt;"SIM",AI460="UH"),"AA","INDENIZAÇÃO")</f>
        <v>INDENIZAÇÃO</v>
      </c>
      <c r="BE460" s="103" t="str">
        <f>IF(AND(AY460&lt;&gt;"AGUARDANDO",AY460&lt;&gt;"",N460="AUXÍLIO ALUGUEL ATÉ INDENIZAÇÃO"),"SIM","NÃO")</f>
        <v>NÃO</v>
      </c>
      <c r="BF460" s="112"/>
      <c r="BG460" s="147"/>
      <c r="BH460" s="147"/>
      <c r="BI460" s="112"/>
      <c r="BJ460" s="112"/>
      <c r="BK460" s="112"/>
      <c r="BL460" s="112"/>
      <c r="BM460" s="236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4476</v>
      </c>
      <c r="D461" s="103">
        <v>1</v>
      </c>
      <c r="E461" s="103" t="s">
        <v>4432</v>
      </c>
      <c r="F461" s="104" t="s">
        <v>6409</v>
      </c>
      <c r="G461" s="103" t="s">
        <v>4330</v>
      </c>
      <c r="H461" s="103" t="s">
        <v>4331</v>
      </c>
      <c r="I461" s="142" t="s">
        <v>4343</v>
      </c>
      <c r="J461" s="149" t="s">
        <v>6410</v>
      </c>
      <c r="K461" s="149" t="s">
        <v>6411</v>
      </c>
      <c r="L461" s="149" t="s">
        <v>6412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4476</v>
      </c>
      <c r="D462" s="103">
        <v>1</v>
      </c>
      <c r="E462" s="103" t="s">
        <v>4432</v>
      </c>
      <c r="F462" s="104" t="s">
        <v>6413</v>
      </c>
      <c r="G462" s="103" t="s">
        <v>4330</v>
      </c>
      <c r="H462" s="103" t="s">
        <v>4331</v>
      </c>
      <c r="I462" s="142" t="s">
        <v>4343</v>
      </c>
      <c r="J462" s="149" t="s">
        <v>6414</v>
      </c>
      <c r="K462" s="149" t="s">
        <v>6415</v>
      </c>
      <c r="L462" s="149" t="s">
        <v>6416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6414</v>
      </c>
      <c r="AC462" s="149" t="s">
        <v>6415</v>
      </c>
      <c r="AD462" s="149" t="s">
        <v>6416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>IF(AY462-KD462=0,"",AY462-O462)</f>
        <v/>
      </c>
      <c r="BD462" s="103" t="str">
        <f>IF(AND(AI462&lt;&gt;"SIM",AI462="UH"),"AA","INDENIZAÇÃO")</f>
        <v>AA</v>
      </c>
      <c r="BE462" s="103" t="str">
        <f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6413</v>
      </c>
      <c r="G463" s="103" t="s">
        <v>4330</v>
      </c>
      <c r="H463" s="103" t="s">
        <v>4331</v>
      </c>
      <c r="I463" s="103" t="s">
        <v>4343</v>
      </c>
      <c r="J463" s="149" t="s">
        <v>6417</v>
      </c>
      <c r="K463" s="149" t="s">
        <v>6418</v>
      </c>
      <c r="L463" s="149" t="s">
        <v>6419</v>
      </c>
      <c r="M463" s="103" t="s">
        <v>4333</v>
      </c>
      <c r="N463" s="103" t="s">
        <v>4452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6417</v>
      </c>
      <c r="AC463" s="149" t="s">
        <v>6418</v>
      </c>
      <c r="AD463" s="149" t="s">
        <v>6419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>IF(AY463-KD463=0,"",AY463-O463)</f>
        <v/>
      </c>
      <c r="BD463" s="103" t="str">
        <f>IF(AND(AI463&lt;&gt;"SIM",AI463="UH"),"AA","INDENIZAÇÃO")</f>
        <v>INDENIZAÇÃO</v>
      </c>
      <c r="BE463" s="103" t="str">
        <f>IF(AND(AY463&lt;&gt;"AGUARDANDO",AY463&lt;&gt;"",N463="AUXÍLIO ALUGUEL ATÉ INDENIZAÇÃO"),"SIM","NÃO")</f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4476</v>
      </c>
      <c r="D464" s="103">
        <v>1</v>
      </c>
      <c r="E464" s="103" t="s">
        <v>4432</v>
      </c>
      <c r="F464" s="104" t="s">
        <v>6420</v>
      </c>
      <c r="G464" s="103" t="s">
        <v>4330</v>
      </c>
      <c r="H464" s="103" t="s">
        <v>4331</v>
      </c>
      <c r="I464" s="142" t="s">
        <v>4343</v>
      </c>
      <c r="J464" s="149" t="s">
        <v>6421</v>
      </c>
      <c r="K464" s="149" t="s">
        <v>6422</v>
      </c>
      <c r="L464" s="149" t="s">
        <v>6423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6421</v>
      </c>
      <c r="AC464" s="204" t="s">
        <v>6422</v>
      </c>
      <c r="AD464" s="204" t="s">
        <v>6423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>IF(AY464-KD464=0,"",AY464-O464)</f>
        <v/>
      </c>
      <c r="BD464" s="103" t="str">
        <f>IF(AND(AI464&lt;&gt;"SIM",AI464="UH"),"AA","INDENIZAÇÃO")</f>
        <v>AA</v>
      </c>
      <c r="BE464" s="103" t="str">
        <f>IF(AND(AY464&lt;&gt;"AGUARDANDO",AY464&lt;&gt;"",N464="AUXÍLIO ALUGUEL ATÉ INDENIZAÇÃO"),"SIM","NÃO")</f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4993</v>
      </c>
      <c r="G465" s="112" t="s">
        <v>4330</v>
      </c>
      <c r="H465" s="112" t="s">
        <v>4331</v>
      </c>
      <c r="I465" s="112" t="s">
        <v>4343</v>
      </c>
      <c r="J465" s="150" t="s">
        <v>6424</v>
      </c>
      <c r="K465" s="150" t="s">
        <v>6425</v>
      </c>
      <c r="L465" s="150" t="s">
        <v>6426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6424</v>
      </c>
      <c r="AC465" s="150" t="s">
        <v>6425</v>
      </c>
      <c r="AD465" s="150" t="s">
        <v>6426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3" t="s">
        <v>6427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4454</v>
      </c>
      <c r="AZ465" s="157"/>
      <c r="BA465" s="109" t="s">
        <v>4330</v>
      </c>
      <c r="BB465" s="112"/>
      <c r="BC465" s="220" t="e">
        <f>IF(AY465-KD465=0,"",AY465-O465)</f>
        <v>#VALUE!</v>
      </c>
      <c r="BD465" s="103" t="str">
        <f>IF(AND(AI465&lt;&gt;"SIM",AI465="UH"),"AA","INDENIZAÇÃO")</f>
        <v>INDENIZAÇÃO</v>
      </c>
      <c r="BE465" s="103" t="str">
        <f>IF(AND(AY465&lt;&gt;"AGUARDANDO",AY465&lt;&gt;"",N465="AUXÍLIO ALUGUEL ATÉ INDENIZAÇÃO"),"SIM","NÃO")</f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6428</v>
      </c>
      <c r="G466" s="112" t="s">
        <v>4330</v>
      </c>
      <c r="H466" s="112" t="s">
        <v>4331</v>
      </c>
      <c r="I466" s="112" t="s">
        <v>4343</v>
      </c>
      <c r="J466" s="150" t="s">
        <v>6429</v>
      </c>
      <c r="K466" s="150" t="s">
        <v>6430</v>
      </c>
      <c r="L466" s="141" t="s">
        <v>6431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6429</v>
      </c>
      <c r="AC466" s="150" t="s">
        <v>6430</v>
      </c>
      <c r="AD466" s="141" t="s">
        <v>6431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3" t="s">
        <v>6432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4454</v>
      </c>
      <c r="AZ466" s="157"/>
      <c r="BA466" s="109" t="s">
        <v>4330</v>
      </c>
      <c r="BB466" s="112"/>
      <c r="BC466" s="220" t="e">
        <f>IF(AY466-KD466=0,"",AY466-O466)</f>
        <v>#VALUE!</v>
      </c>
      <c r="BD466" s="103" t="str">
        <f>IF(AND(AI466&lt;&gt;"SIM",AI466="UH"),"AA","INDENIZAÇÃO")</f>
        <v>INDENIZAÇÃO</v>
      </c>
      <c r="BE466" s="103" t="str">
        <f>IF(AND(AY466&lt;&gt;"AGUARDANDO",AY466&lt;&gt;"",N466="AUXÍLIO ALUGUEL ATÉ INDENIZAÇÃO"),"SIM","NÃO")</f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4476</v>
      </c>
      <c r="D467" s="103">
        <v>1</v>
      </c>
      <c r="E467" s="103" t="s">
        <v>4432</v>
      </c>
      <c r="F467" s="104" t="s">
        <v>6433</v>
      </c>
      <c r="G467" s="103" t="s">
        <v>4330</v>
      </c>
      <c r="H467" s="103" t="s">
        <v>4331</v>
      </c>
      <c r="I467" s="142" t="s">
        <v>4343</v>
      </c>
      <c r="J467" s="149" t="s">
        <v>6434</v>
      </c>
      <c r="K467" s="149" t="s">
        <v>6435</v>
      </c>
      <c r="L467" s="149" t="s">
        <v>6436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6434</v>
      </c>
      <c r="AC467" s="149" t="s">
        <v>6435</v>
      </c>
      <c r="AD467" s="149" t="s">
        <v>6436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>IF(AY467-KD467=0,"",AY467-O467)</f>
        <v/>
      </c>
      <c r="BD467" s="103" t="str">
        <f>IF(AND(AI467&lt;&gt;"SIM",AI467="UH"),"AA","INDENIZAÇÃO")</f>
        <v>AA</v>
      </c>
      <c r="BE467" s="103" t="str">
        <f>IF(AND(AY467&lt;&gt;"AGUARDANDO",AY467&lt;&gt;"",N467="AUXÍLIO ALUGUEL ATÉ INDENIZAÇÃO"),"SIM","NÃO")</f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4998</v>
      </c>
      <c r="G468" s="103" t="s">
        <v>4330</v>
      </c>
      <c r="H468" s="103" t="s">
        <v>4331</v>
      </c>
      <c r="I468" s="142" t="s">
        <v>4343</v>
      </c>
      <c r="J468" s="114" t="s">
        <v>4999</v>
      </c>
      <c r="K468" s="149"/>
      <c r="L468" s="149" t="s">
        <v>5000</v>
      </c>
      <c r="M468" s="103" t="s">
        <v>4333</v>
      </c>
      <c r="N468" s="103" t="s">
        <v>4452</v>
      </c>
      <c r="O468" s="105">
        <v>46170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 t="s">
        <v>4356</v>
      </c>
      <c r="AA468" s="105"/>
      <c r="AB468" s="114" t="s">
        <v>4999</v>
      </c>
      <c r="AC468" s="149"/>
      <c r="AD468" s="149" t="s">
        <v>5000</v>
      </c>
      <c r="AE468" s="103" t="s">
        <v>4343</v>
      </c>
      <c r="AF468" s="103" t="s">
        <v>4333</v>
      </c>
      <c r="AG468" s="194">
        <v>14813.35</v>
      </c>
      <c r="AH468" s="194">
        <v>44813.35</v>
      </c>
      <c r="AI468" s="103" t="s">
        <v>4447</v>
      </c>
      <c r="AJ468" s="104" t="s">
        <v>4438</v>
      </c>
      <c r="AK468" s="103">
        <v>158035164</v>
      </c>
      <c r="AL468" s="103" t="s">
        <v>4338</v>
      </c>
      <c r="AM468" s="103" t="s">
        <v>4338</v>
      </c>
      <c r="AN468" s="103" t="s">
        <v>4339</v>
      </c>
      <c r="AO468" s="103"/>
      <c r="AP468" s="171" t="s">
        <v>5001</v>
      </c>
      <c r="AQ468" s="103" t="s">
        <v>4831</v>
      </c>
      <c r="AR468" s="103" t="s">
        <v>4831</v>
      </c>
      <c r="AS468" s="103" t="s">
        <v>4831</v>
      </c>
      <c r="AT468" s="103" t="s">
        <v>4831</v>
      </c>
      <c r="AU468" s="105">
        <v>46233</v>
      </c>
      <c r="AV468" s="103" t="s">
        <v>4831</v>
      </c>
      <c r="AW468" s="106" t="s">
        <v>4454</v>
      </c>
      <c r="AX468" s="106"/>
      <c r="AY468" s="157"/>
      <c r="AZ468" s="106"/>
      <c r="BA468" s="107" t="s">
        <v>4330</v>
      </c>
      <c r="BB468" s="136"/>
      <c r="BC468" s="220"/>
      <c r="BD468" s="103"/>
      <c r="BE468" s="103"/>
      <c r="BF468" s="140"/>
      <c r="BG468" s="140"/>
      <c r="BH468" s="140"/>
      <c r="BI468" s="103"/>
      <c r="BJ468" s="154"/>
      <c r="BK468" s="154"/>
      <c r="BL468" s="154"/>
      <c r="BM468" s="237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4476</v>
      </c>
      <c r="D469" s="103">
        <v>1</v>
      </c>
      <c r="E469" s="103" t="s">
        <v>4432</v>
      </c>
      <c r="F469" s="104" t="s">
        <v>6441</v>
      </c>
      <c r="G469" s="103" t="s">
        <v>4330</v>
      </c>
      <c r="H469" s="103" t="s">
        <v>4331</v>
      </c>
      <c r="I469" s="142" t="s">
        <v>4343</v>
      </c>
      <c r="J469" s="149" t="s">
        <v>6442</v>
      </c>
      <c r="K469" s="149" t="s">
        <v>6443</v>
      </c>
      <c r="L469" s="149" t="s">
        <v>6444</v>
      </c>
      <c r="M469" s="103" t="s">
        <v>4333</v>
      </c>
      <c r="N469" s="103" t="s">
        <v>4452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6442</v>
      </c>
      <c r="AC469" s="149" t="s">
        <v>6443</v>
      </c>
      <c r="AD469" s="149" t="s">
        <v>6444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3" t="s">
        <v>6445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4454</v>
      </c>
      <c r="AZ469" s="106"/>
      <c r="BA469" s="107" t="s">
        <v>4330</v>
      </c>
      <c r="BB469" s="136"/>
      <c r="BC469" s="220" t="e">
        <f>IF(AY469-KD469=0,"",AY469-O469)</f>
        <v>#VALUE!</v>
      </c>
      <c r="BD469" s="103" t="str">
        <f>IF(AND(AI469&lt;&gt;"SIM",AI469="UH"),"AA","INDENIZAÇÃO")</f>
        <v>INDENIZAÇÃO</v>
      </c>
      <c r="BE469" s="103" t="str">
        <f>IF(AND(AY469&lt;&gt;"AGUARDANDO",AY469&lt;&gt;"",N469="AUXÍLIO ALUGUEL ATÉ INDENIZAÇÃO"),"SIM","NÃO")</f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4476</v>
      </c>
      <c r="D470" s="103">
        <v>1</v>
      </c>
      <c r="E470" s="103" t="s">
        <v>4432</v>
      </c>
      <c r="F470" s="104" t="s">
        <v>6446</v>
      </c>
      <c r="G470" s="103" t="s">
        <v>4330</v>
      </c>
      <c r="H470" s="103" t="s">
        <v>4331</v>
      </c>
      <c r="I470" s="142" t="s">
        <v>4343</v>
      </c>
      <c r="J470" s="149" t="s">
        <v>6447</v>
      </c>
      <c r="K470" s="149" t="s">
        <v>6448</v>
      </c>
      <c r="L470" s="149" t="s">
        <v>6449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6447</v>
      </c>
      <c r="AC470" s="149" t="s">
        <v>6448</v>
      </c>
      <c r="AD470" s="149" t="s">
        <v>6449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>IF(AY470-KD470=0,"",AY470-O470)</f>
        <v/>
      </c>
      <c r="BD470" s="103" t="str">
        <f>IF(AND(AI470&lt;&gt;"SIM",AI470="UH"),"AA","INDENIZAÇÃO")</f>
        <v>AA</v>
      </c>
      <c r="BE470" s="103" t="str">
        <f>IF(AND(AY470&lt;&gt;"AGUARDANDO",AY470&lt;&gt;"",N470="AUXÍLIO ALUGUEL ATÉ INDENIZAÇÃO"),"SIM","NÃO")</f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6446</v>
      </c>
      <c r="G471" s="103" t="s">
        <v>4330</v>
      </c>
      <c r="H471" s="103" t="s">
        <v>4331</v>
      </c>
      <c r="I471" s="103" t="s">
        <v>4343</v>
      </c>
      <c r="J471" s="149" t="s">
        <v>6450</v>
      </c>
      <c r="K471" s="149" t="s">
        <v>6451</v>
      </c>
      <c r="L471" s="149" t="s">
        <v>6452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6453</v>
      </c>
      <c r="AB471" s="149" t="s">
        <v>6450</v>
      </c>
      <c r="AC471" s="149" t="s">
        <v>6451</v>
      </c>
      <c r="AD471" s="149" t="s">
        <v>6452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>IF(AY471-KD471=0,"",AY471-O471)</f>
        <v/>
      </c>
      <c r="BD471" s="103" t="str">
        <f>IF(AND(AI471&lt;&gt;"SIM",AI471="UH"),"AA","INDENIZAÇÃO")</f>
        <v>AA</v>
      </c>
      <c r="BE471" s="103" t="str">
        <f>IF(AND(AY471&lt;&gt;"AGUARDANDO",AY471&lt;&gt;"",N471="AUXÍLIO ALUGUEL ATÉ INDENIZAÇÃO"),"SIM","NÃO")</f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6454</v>
      </c>
      <c r="G472" s="103" t="s">
        <v>4330</v>
      </c>
      <c r="H472" s="103" t="s">
        <v>4331</v>
      </c>
      <c r="I472" s="103" t="s">
        <v>4343</v>
      </c>
      <c r="J472" s="149" t="s">
        <v>6455</v>
      </c>
      <c r="K472" s="149" t="s">
        <v>6456</v>
      </c>
      <c r="L472" s="149" t="s">
        <v>6457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6455</v>
      </c>
      <c r="AC472" s="149" t="s">
        <v>6456</v>
      </c>
      <c r="AD472" s="149" t="s">
        <v>6457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>IF(AY472-KD472=0,"",AY472-O472)</f>
        <v/>
      </c>
      <c r="BD472" s="103" t="str">
        <f>IF(AND(AI472&lt;&gt;"SIM",AI472="UH"),"AA","INDENIZAÇÃO")</f>
        <v>AA</v>
      </c>
      <c r="BE472" s="103" t="str">
        <f>IF(AND(AY472&lt;&gt;"AGUARDANDO",AY472&lt;&gt;"",N472="AUXÍLIO ALUGUEL ATÉ INDENIZAÇÃO"),"SIM","NÃO")</f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4476</v>
      </c>
      <c r="D473" s="103">
        <v>1</v>
      </c>
      <c r="E473" s="103" t="s">
        <v>4432</v>
      </c>
      <c r="F473" s="104" t="s">
        <v>6458</v>
      </c>
      <c r="G473" s="103" t="s">
        <v>4330</v>
      </c>
      <c r="H473" s="103" t="s">
        <v>4331</v>
      </c>
      <c r="I473" s="142" t="s">
        <v>4343</v>
      </c>
      <c r="J473" s="114" t="s">
        <v>6459</v>
      </c>
      <c r="K473" s="149" t="s">
        <v>6460</v>
      </c>
      <c r="L473" s="149" t="s">
        <v>6461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6459</v>
      </c>
      <c r="AC473" s="149" t="s">
        <v>6460</v>
      </c>
      <c r="AD473" s="149" t="s">
        <v>6461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>IF(AY473-KD473=0,"",AY473-O473)</f>
        <v/>
      </c>
      <c r="BD473" s="103" t="str">
        <f>IF(AND(AI473&lt;&gt;"SIM",AI473="UH"),"AA","INDENIZAÇÃO")</f>
        <v>AA</v>
      </c>
      <c r="BE473" s="103" t="str">
        <f>IF(AND(AY473&lt;&gt;"AGUARDANDO",AY473&lt;&gt;"",N473="AUXÍLIO ALUGUEL ATÉ INDENIZAÇÃO"),"SIM","NÃO")</f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customHeight="1" x14ac:dyDescent="0.25">
      <c r="A474" s="103">
        <v>464</v>
      </c>
      <c r="B474" s="103" t="s">
        <v>4431</v>
      </c>
      <c r="C474" s="103" t="s">
        <v>4476</v>
      </c>
      <c r="D474" s="103">
        <v>1</v>
      </c>
      <c r="E474" s="103" t="s">
        <v>4432</v>
      </c>
      <c r="F474" s="104" t="s">
        <v>6293</v>
      </c>
      <c r="G474" s="103" t="s">
        <v>4330</v>
      </c>
      <c r="H474" s="103" t="s">
        <v>4331</v>
      </c>
      <c r="I474" s="142" t="s">
        <v>4343</v>
      </c>
      <c r="J474" s="149" t="s">
        <v>6294</v>
      </c>
      <c r="K474" s="149" t="s">
        <v>4432</v>
      </c>
      <c r="L474" s="149" t="s">
        <v>6295</v>
      </c>
      <c r="M474" s="103" t="s">
        <v>4333</v>
      </c>
      <c r="N474" s="103" t="s">
        <v>4334</v>
      </c>
      <c r="O474" s="105">
        <v>46129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05"/>
      <c r="AB474" s="149" t="s">
        <v>6294</v>
      </c>
      <c r="AC474" s="149" t="s">
        <v>4432</v>
      </c>
      <c r="AD474" s="149" t="s">
        <v>6295</v>
      </c>
      <c r="AE474" s="103" t="s">
        <v>4343</v>
      </c>
      <c r="AF474" s="103" t="s">
        <v>4333</v>
      </c>
      <c r="AG474" s="208">
        <v>8592.5499999999993</v>
      </c>
      <c r="AH474" s="208">
        <v>38592.550000000003</v>
      </c>
      <c r="AI474" s="165" t="s">
        <v>4336</v>
      </c>
      <c r="AJ474" s="104" t="s">
        <v>4438</v>
      </c>
      <c r="AK474" s="103">
        <v>154259494</v>
      </c>
      <c r="AL474" s="103" t="s">
        <v>4338</v>
      </c>
      <c r="AM474" s="103" t="s">
        <v>4338</v>
      </c>
      <c r="AN474" s="103" t="s">
        <v>4339</v>
      </c>
      <c r="AO474" s="103"/>
      <c r="AP474" s="171" t="s">
        <v>6296</v>
      </c>
      <c r="AQ474" s="308" t="s">
        <v>4338</v>
      </c>
      <c r="AR474" s="309" t="s">
        <v>4338</v>
      </c>
      <c r="AS474" s="103" t="s">
        <v>4831</v>
      </c>
      <c r="AT474" s="103" t="s">
        <v>4831</v>
      </c>
      <c r="AU474" s="105">
        <v>46233</v>
      </c>
      <c r="AV474" s="103" t="s">
        <v>4831</v>
      </c>
      <c r="AW474" s="106" t="s">
        <v>4454</v>
      </c>
      <c r="AX474" s="107"/>
      <c r="AY474" s="157"/>
      <c r="AZ474" s="106"/>
      <c r="BA474" s="107" t="s">
        <v>4330</v>
      </c>
      <c r="BB474" s="136"/>
      <c r="BC474" s="220" t="str">
        <f>IF(AY474-KD474=0,"",AY474-O474)</f>
        <v/>
      </c>
      <c r="BD474" s="103" t="str">
        <f>IF(AND(AI474&lt;&gt;"SIM",AI474="UH"),"AA","INDENIZAÇÃO")</f>
        <v>INDENIZAÇÃO</v>
      </c>
      <c r="BE474" s="103" t="str">
        <f>IF(AND(AY474&lt;&gt;"AGUARDANDO",AY474&lt;&gt;"",N474="AUXÍLIO ALUGUEL ATÉ INDENIZAÇÃO"),"SIM","NÃO")</f>
        <v>NÃO</v>
      </c>
      <c r="BF474" s="140"/>
      <c r="BG474" s="140"/>
      <c r="BH474" s="140"/>
      <c r="BI474" s="140"/>
      <c r="BJ474" s="140"/>
      <c r="BK474" s="140"/>
      <c r="BL474" s="140"/>
      <c r="BM474" s="238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6466</v>
      </c>
      <c r="G475" s="103" t="s">
        <v>4330</v>
      </c>
      <c r="H475" s="103" t="s">
        <v>4331</v>
      </c>
      <c r="I475" s="142" t="s">
        <v>4343</v>
      </c>
      <c r="J475" s="149" t="s">
        <v>6467</v>
      </c>
      <c r="K475" s="149" t="s">
        <v>6468</v>
      </c>
      <c r="L475" s="149" t="s">
        <v>6469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6467</v>
      </c>
      <c r="AC475" s="149" t="s">
        <v>6470</v>
      </c>
      <c r="AD475" s="149" t="s">
        <v>6469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>IF(AY475-KD475=0,"",AY475-O475)</f>
        <v/>
      </c>
      <c r="BD475" s="103" t="str">
        <f>IF(AND(AI475&lt;&gt;"SIM",AI475="UH"),"AA","INDENIZAÇÃO")</f>
        <v>AA</v>
      </c>
      <c r="BE475" s="103" t="str">
        <f>IF(AND(AY475&lt;&gt;"AGUARDANDO",AY475&lt;&gt;"",N475="AUXÍLIO ALUGUEL ATÉ INDENIZAÇÃO"),"SIM","NÃO")</f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 x14ac:dyDescent="0.25">
      <c r="A476" s="103">
        <v>466</v>
      </c>
      <c r="B476" s="103" t="s">
        <v>4431</v>
      </c>
      <c r="C476" s="103" t="s">
        <v>4476</v>
      </c>
      <c r="D476" s="103">
        <v>1</v>
      </c>
      <c r="E476" s="103" t="s">
        <v>4432</v>
      </c>
      <c r="F476" s="104" t="s">
        <v>6402</v>
      </c>
      <c r="G476" s="103" t="s">
        <v>4330</v>
      </c>
      <c r="H476" s="103" t="s">
        <v>4331</v>
      </c>
      <c r="I476" s="142" t="s">
        <v>4343</v>
      </c>
      <c r="J476" s="149" t="s">
        <v>6403</v>
      </c>
      <c r="K476" s="149" t="s">
        <v>6404</v>
      </c>
      <c r="L476" s="149" t="s">
        <v>6405</v>
      </c>
      <c r="M476" s="103" t="s">
        <v>4333</v>
      </c>
      <c r="N476" s="103" t="s">
        <v>4452</v>
      </c>
      <c r="O476" s="105">
        <v>46147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6403</v>
      </c>
      <c r="AC476" s="149" t="s">
        <v>6404</v>
      </c>
      <c r="AD476" s="149" t="s">
        <v>6405</v>
      </c>
      <c r="AE476" s="103" t="s">
        <v>4343</v>
      </c>
      <c r="AF476" s="103" t="s">
        <v>4333</v>
      </c>
      <c r="AG476" s="194" t="s">
        <v>6406</v>
      </c>
      <c r="AH476" s="194" t="s">
        <v>6407</v>
      </c>
      <c r="AI476" s="165" t="s">
        <v>4336</v>
      </c>
      <c r="AJ476" s="104" t="s">
        <v>4438</v>
      </c>
      <c r="AK476" s="103">
        <v>150611486</v>
      </c>
      <c r="AL476" s="103" t="s">
        <v>4338</v>
      </c>
      <c r="AM476" s="103" t="s">
        <v>4338</v>
      </c>
      <c r="AN476" s="103" t="s">
        <v>4339</v>
      </c>
      <c r="AO476" s="103"/>
      <c r="AP476" s="171" t="s">
        <v>6408</v>
      </c>
      <c r="AQ476" s="224" t="s">
        <v>4338</v>
      </c>
      <c r="AR476" s="103" t="s">
        <v>4338</v>
      </c>
      <c r="AS476" s="103" t="s">
        <v>4831</v>
      </c>
      <c r="AT476" s="103" t="s">
        <v>4831</v>
      </c>
      <c r="AU476" s="105">
        <v>46233</v>
      </c>
      <c r="AV476" s="103" t="s">
        <v>4831</v>
      </c>
      <c r="AW476" s="106" t="s">
        <v>4454</v>
      </c>
      <c r="AX476" s="106"/>
      <c r="AY476" s="157"/>
      <c r="AZ476" s="106"/>
      <c r="BA476" s="107" t="s">
        <v>4330</v>
      </c>
      <c r="BB476" s="136"/>
      <c r="BC476" s="220" t="str">
        <f>IF(AY476-KD476=0,"",AY476-O476)</f>
        <v/>
      </c>
      <c r="BD476" s="103" t="str">
        <f>IF(AND(AI476&lt;&gt;"SIM",AI476="UH"),"AA","INDENIZAÇÃO")</f>
        <v>INDENIZAÇÃO</v>
      </c>
      <c r="BE476" s="103" t="str">
        <f>IF(AND(AY476&lt;&gt;"AGUARDANDO",AY476&lt;&gt;"",N476="AUXÍLIO ALUGUEL ATÉ INDENIZAÇÃO"),"SIM","NÃO")</f>
        <v>NÃO</v>
      </c>
      <c r="BF476" s="140"/>
      <c r="BG476" s="140"/>
      <c r="BH476" s="140"/>
      <c r="BI476" s="140"/>
      <c r="BJ476" s="140"/>
      <c r="BK476" s="140"/>
      <c r="BL476" s="140"/>
      <c r="BM476" s="238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4476</v>
      </c>
      <c r="D477" s="103">
        <v>1</v>
      </c>
      <c r="E477" s="103" t="s">
        <v>4432</v>
      </c>
      <c r="F477" s="104" t="s">
        <v>6471</v>
      </c>
      <c r="G477" s="103" t="s">
        <v>4330</v>
      </c>
      <c r="H477" s="103" t="s">
        <v>4331</v>
      </c>
      <c r="I477" s="142" t="s">
        <v>4343</v>
      </c>
      <c r="J477" s="149" t="s">
        <v>6476</v>
      </c>
      <c r="K477" s="149" t="s">
        <v>6477</v>
      </c>
      <c r="L477" s="149" t="s">
        <v>6478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6476</v>
      </c>
      <c r="AC477" s="149" t="s">
        <v>6477</v>
      </c>
      <c r="AD477" s="149" t="s">
        <v>6478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0"/>
      <c r="AR477" s="271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>IF(AY477-KD477=0,"",AY477-O477)</f>
        <v/>
      </c>
      <c r="BD477" s="103" t="str">
        <f>IF(AND(AI477&lt;&gt;"SIM",AI477="UH"),"AA","INDENIZAÇÃO")</f>
        <v>AA</v>
      </c>
      <c r="BE477" s="103" t="str">
        <f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6479</v>
      </c>
      <c r="G478" s="103" t="s">
        <v>4330</v>
      </c>
      <c r="H478" s="103" t="s">
        <v>4361</v>
      </c>
      <c r="I478" s="103" t="s">
        <v>4361</v>
      </c>
      <c r="J478" s="149" t="s">
        <v>6480</v>
      </c>
      <c r="K478" s="149" t="s">
        <v>6481</v>
      </c>
      <c r="L478" s="149" t="s">
        <v>6482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6480</v>
      </c>
      <c r="AC478" s="149" t="s">
        <v>6481</v>
      </c>
      <c r="AD478" s="149" t="s">
        <v>6482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>IF(AY478-KD478=0,"",AY478-O478)</f>
        <v/>
      </c>
      <c r="BD478" s="103" t="str">
        <f>IF(AND(AI478&lt;&gt;"SIM",AI478="UH"),"AA","INDENIZAÇÃO")</f>
        <v>AA</v>
      </c>
      <c r="BE478" s="103" t="str">
        <f>IF(AND(AY478&lt;&gt;"AGUARDANDO",AY478&lt;&gt;"",N478="AUXÍLIO ALUGUEL ATÉ INDENIZAÇÃO"),"SIM","NÃO")</f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5160</v>
      </c>
      <c r="G479" s="103" t="s">
        <v>4330</v>
      </c>
      <c r="H479" s="103" t="s">
        <v>4331</v>
      </c>
      <c r="I479" s="103" t="s">
        <v>4343</v>
      </c>
      <c r="J479" s="149" t="s">
        <v>5161</v>
      </c>
      <c r="K479" s="149" t="s">
        <v>5162</v>
      </c>
      <c r="L479" s="149" t="s">
        <v>5163</v>
      </c>
      <c r="M479" s="103" t="s">
        <v>4333</v>
      </c>
      <c r="N479" s="103" t="s">
        <v>4452</v>
      </c>
      <c r="O479" s="105">
        <v>46188</v>
      </c>
      <c r="P479" s="105" t="s">
        <v>4356</v>
      </c>
      <c r="Q479" s="105" t="s">
        <v>4356</v>
      </c>
      <c r="R479" s="105" t="s">
        <v>4356</v>
      </c>
      <c r="S479" s="105" t="s">
        <v>4356</v>
      </c>
      <c r="T479" s="105" t="s">
        <v>4356</v>
      </c>
      <c r="U479" s="105" t="s">
        <v>4356</v>
      </c>
      <c r="V479" s="105" t="s">
        <v>4356</v>
      </c>
      <c r="W479" s="105" t="s">
        <v>4356</v>
      </c>
      <c r="X479" s="105" t="s">
        <v>4356</v>
      </c>
      <c r="Y479" s="105" t="s">
        <v>4356</v>
      </c>
      <c r="Z479" s="105"/>
      <c r="AA479" s="105"/>
      <c r="AB479" s="204" t="s">
        <v>5164</v>
      </c>
      <c r="AC479" s="204" t="s">
        <v>5162</v>
      </c>
      <c r="AD479" s="204" t="s">
        <v>5163</v>
      </c>
      <c r="AE479" s="165" t="s">
        <v>4343</v>
      </c>
      <c r="AF479" s="165" t="s">
        <v>4333</v>
      </c>
      <c r="AG479" s="208">
        <v>91453.29</v>
      </c>
      <c r="AH479" s="208">
        <v>91453.29</v>
      </c>
      <c r="AI479" s="165" t="s">
        <v>4447</v>
      </c>
      <c r="AJ479" s="104" t="s">
        <v>4438</v>
      </c>
      <c r="AK479" s="103">
        <v>156883512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5165</v>
      </c>
      <c r="AQ479" s="103" t="s">
        <v>4831</v>
      </c>
      <c r="AR479" s="165" t="s">
        <v>4831</v>
      </c>
      <c r="AS479" s="103" t="s">
        <v>4831</v>
      </c>
      <c r="AT479" s="103" t="s">
        <v>4831</v>
      </c>
      <c r="AU479" s="105">
        <v>46233</v>
      </c>
      <c r="AV479" s="103" t="s">
        <v>4831</v>
      </c>
      <c r="AW479" s="106" t="s">
        <v>4454</v>
      </c>
      <c r="AX479" s="109"/>
      <c r="AY479" s="157"/>
      <c r="AZ479" s="157"/>
      <c r="BA479" s="107" t="s">
        <v>4330</v>
      </c>
      <c r="BB479" s="112"/>
      <c r="BC479" s="220" t="str">
        <f>IF(AY479-KD479=0,"",AY479-O479)</f>
        <v/>
      </c>
      <c r="BD479" s="103" t="str">
        <f>IF(AND(AI479&lt;&gt;"SIM",AI479="UH"),"AA","INDENIZAÇÃO")</f>
        <v>INDENIZAÇÃO</v>
      </c>
      <c r="BE479" s="103" t="str">
        <f>IF(AND(AY479&lt;&gt;"AGUARDANDO",AY479&lt;&gt;"",N479="AUXÍLIO ALUGUEL ATÉ INDENIZAÇÃO"),"SIM","NÃO")</f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6489</v>
      </c>
      <c r="G480" s="103" t="s">
        <v>4330</v>
      </c>
      <c r="H480" s="103" t="s">
        <v>4331</v>
      </c>
      <c r="I480" s="103" t="s">
        <v>4343</v>
      </c>
      <c r="J480" s="149" t="s">
        <v>6490</v>
      </c>
      <c r="K480" s="149" t="s">
        <v>6491</v>
      </c>
      <c r="L480" s="149" t="s">
        <v>6492</v>
      </c>
      <c r="M480" s="103" t="s">
        <v>4333</v>
      </c>
      <c r="N480" s="103" t="s">
        <v>4452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6490</v>
      </c>
      <c r="AC480" s="149" t="s">
        <v>6491</v>
      </c>
      <c r="AD480" s="149" t="s">
        <v>6492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6493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4454</v>
      </c>
      <c r="BA480" s="107" t="s">
        <v>4598</v>
      </c>
      <c r="BB480" s="136" t="s">
        <v>4338</v>
      </c>
      <c r="BC480" s="220">
        <f>IF(AY480-KD480=0,"",AY480-O480)</f>
        <v>48</v>
      </c>
      <c r="BD480" s="103" t="str">
        <f>IF(AND(AI480&lt;&gt;"SIM",AI480="UH"),"AA","INDENIZAÇÃO")</f>
        <v>INDENIZAÇÃO</v>
      </c>
      <c r="BE480" s="103" t="str">
        <f>IF(AND(AY480&lt;&gt;"AGUARDANDO",AY480&lt;&gt;"",N480="AUXÍLIO ALUGUEL ATÉ INDENIZAÇÃO"),"SIM","NÃO")</f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4454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6494</v>
      </c>
      <c r="G481" s="103" t="s">
        <v>4330</v>
      </c>
      <c r="H481" s="103" t="s">
        <v>4331</v>
      </c>
      <c r="I481" s="103" t="s">
        <v>4343</v>
      </c>
      <c r="J481" s="149" t="s">
        <v>6495</v>
      </c>
      <c r="K481" s="149" t="s">
        <v>6496</v>
      </c>
      <c r="L481" s="149" t="s">
        <v>6497</v>
      </c>
      <c r="M481" s="103" t="s">
        <v>4333</v>
      </c>
      <c r="N481" s="103" t="s">
        <v>4452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6495</v>
      </c>
      <c r="AC481" s="149" t="s">
        <v>6496</v>
      </c>
      <c r="AD481" s="149" t="s">
        <v>6497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6498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4454</v>
      </c>
      <c r="BA481" s="107" t="s">
        <v>4598</v>
      </c>
      <c r="BB481" s="112" t="s">
        <v>4338</v>
      </c>
      <c r="BC481" s="220">
        <f>IF(AY481-KD481=0,"",AY481-O481)</f>
        <v>48</v>
      </c>
      <c r="BD481" s="103" t="str">
        <f>IF(AND(AI481&lt;&gt;"SIM",AI481="UH"),"AA","INDENIZAÇÃO")</f>
        <v>INDENIZAÇÃO</v>
      </c>
      <c r="BE481" s="103" t="str">
        <f>IF(AND(AY481&lt;&gt;"AGUARDANDO",AY481&lt;&gt;"",N481="AUXÍLIO ALUGUEL ATÉ INDENIZAÇÃO"),"SIM","NÃO")</f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4454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6499</v>
      </c>
      <c r="G482" s="103" t="s">
        <v>4330</v>
      </c>
      <c r="H482" s="103" t="s">
        <v>4331</v>
      </c>
      <c r="I482" s="103" t="s">
        <v>4343</v>
      </c>
      <c r="J482" s="149" t="s">
        <v>6500</v>
      </c>
      <c r="K482" s="149" t="s">
        <v>6501</v>
      </c>
      <c r="L482" s="149" t="s">
        <v>6502</v>
      </c>
      <c r="M482" s="103" t="s">
        <v>4333</v>
      </c>
      <c r="N482" s="103" t="s">
        <v>4452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6500</v>
      </c>
      <c r="AC482" s="149" t="s">
        <v>6501</v>
      </c>
      <c r="AD482" s="149" t="s">
        <v>6502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6503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4454</v>
      </c>
      <c r="BA482" s="107" t="s">
        <v>4598</v>
      </c>
      <c r="BB482" s="112" t="s">
        <v>4338</v>
      </c>
      <c r="BC482" s="220">
        <f>IF(AY482-KD482=0,"",AY482-O482)</f>
        <v>48</v>
      </c>
      <c r="BD482" s="103" t="str">
        <f>IF(AND(AI482&lt;&gt;"SIM",AI482="UH"),"AA","INDENIZAÇÃO")</f>
        <v>INDENIZAÇÃO</v>
      </c>
      <c r="BE482" s="103" t="str">
        <f>IF(AND(AY482&lt;&gt;"AGUARDANDO",AY482&lt;&gt;"",N482="AUXÍLIO ALUGUEL ATÉ INDENIZAÇÃO"),"SIM","NÃO")</f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4454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6504</v>
      </c>
      <c r="G483" s="103" t="s">
        <v>4330</v>
      </c>
      <c r="H483" s="103" t="s">
        <v>4331</v>
      </c>
      <c r="I483" s="98" t="s">
        <v>4343</v>
      </c>
      <c r="J483" s="149" t="s">
        <v>6505</v>
      </c>
      <c r="K483" s="149" t="s">
        <v>6506</v>
      </c>
      <c r="L483" s="149" t="s">
        <v>6507</v>
      </c>
      <c r="M483" s="103" t="s">
        <v>4333</v>
      </c>
      <c r="N483" s="103" t="s">
        <v>4452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6505</v>
      </c>
      <c r="AC483" s="149" t="s">
        <v>6506</v>
      </c>
      <c r="AD483" s="149" t="s">
        <v>6507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6508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79" t="s">
        <v>4454</v>
      </c>
      <c r="BA483" s="278" t="s">
        <v>4598</v>
      </c>
      <c r="BB483" s="99" t="s">
        <v>4338</v>
      </c>
      <c r="BC483" s="220">
        <f>IF(AY483-KD483=0,"",AY483-O483)</f>
        <v>48</v>
      </c>
      <c r="BD483" s="103" t="str">
        <f>IF(AND(AI483&lt;&gt;"SIM",AI483="UH"),"AA","INDENIZAÇÃO")</f>
        <v>INDENIZAÇÃO</v>
      </c>
      <c r="BE483" s="103" t="str">
        <f>IF(AND(AY483&lt;&gt;"AGUARDANDO",AY483&lt;&gt;"",N483="AUXÍLIO ALUGUEL ATÉ INDENIZAÇÃO"),"SIM","NÃO")</f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4454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6509</v>
      </c>
      <c r="G484" s="103" t="s">
        <v>4330</v>
      </c>
      <c r="H484" s="103" t="s">
        <v>4331</v>
      </c>
      <c r="I484" s="98" t="s">
        <v>4343</v>
      </c>
      <c r="J484" s="149" t="s">
        <v>6510</v>
      </c>
      <c r="K484" s="149" t="s">
        <v>6511</v>
      </c>
      <c r="L484" s="149" t="s">
        <v>6512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6510</v>
      </c>
      <c r="AC484" s="149" t="s">
        <v>6511</v>
      </c>
      <c r="AD484" s="149" t="s">
        <v>6512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>IF(AY484-KD484=0,"",AY484-O484)</f>
        <v/>
      </c>
      <c r="BD484" s="103" t="str">
        <f>IF(AND(AI484&lt;&gt;"SIM",AI484="UH"),"AA","INDENIZAÇÃO")</f>
        <v>AA</v>
      </c>
      <c r="BE484" s="103" t="str">
        <f>IF(AND(AY484&lt;&gt;"AGUARDANDO",AY484&lt;&gt;"",N484="AUXÍLIO ALUGUEL ATÉ INDENIZAÇÃO"),"SIM","NÃO")</f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6513</v>
      </c>
      <c r="G485" s="103" t="s">
        <v>4330</v>
      </c>
      <c r="H485" s="103" t="s">
        <v>4331</v>
      </c>
      <c r="I485" s="103" t="s">
        <v>4343</v>
      </c>
      <c r="J485" s="149" t="s">
        <v>6514</v>
      </c>
      <c r="K485" s="149" t="s">
        <v>6515</v>
      </c>
      <c r="L485" s="149" t="s">
        <v>6516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6514</v>
      </c>
      <c r="AC485" s="149" t="s">
        <v>6515</v>
      </c>
      <c r="AD485" s="149" t="s">
        <v>6516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>IF(AY485-KD485=0,"",AY485-O485)</f>
        <v/>
      </c>
      <c r="BD485" s="103" t="str">
        <f>IF(AND(AI485&lt;&gt;"SIM",AI485="UH"),"AA","INDENIZAÇÃO")</f>
        <v>AA</v>
      </c>
      <c r="BE485" s="103" t="str">
        <f>IF(AND(AY485&lt;&gt;"AGUARDANDO",AY485&lt;&gt;"",N485="AUXÍLIO ALUGUEL ATÉ INDENIZAÇÃO"),"SIM","NÃO")</f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6517</v>
      </c>
      <c r="G486" s="103" t="s">
        <v>4330</v>
      </c>
      <c r="H486" s="103" t="s">
        <v>4331</v>
      </c>
      <c r="I486" s="103" t="s">
        <v>4343</v>
      </c>
      <c r="J486" s="149" t="s">
        <v>6518</v>
      </c>
      <c r="K486" s="149" t="s">
        <v>6519</v>
      </c>
      <c r="L486" s="149" t="s">
        <v>6520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6518</v>
      </c>
      <c r="AC486" s="149" t="s">
        <v>6519</v>
      </c>
      <c r="AD486" s="149" t="s">
        <v>6520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>IF(AY486-KD486=0,"",AY486-O486)</f>
        <v/>
      </c>
      <c r="BD486" s="103" t="str">
        <f>IF(AND(AI486&lt;&gt;"SIM",AI486="UH"),"AA","INDENIZAÇÃO")</f>
        <v>AA</v>
      </c>
      <c r="BE486" s="103" t="str">
        <f>IF(AND(AY486&lt;&gt;"AGUARDANDO",AY486&lt;&gt;"",N486="AUXÍLIO ALUGUEL ATÉ INDENIZAÇÃO"),"SIM","NÃO")</f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6521</v>
      </c>
      <c r="G487" s="103" t="s">
        <v>4330</v>
      </c>
      <c r="H487" s="103" t="s">
        <v>4331</v>
      </c>
      <c r="I487" s="103" t="s">
        <v>4343</v>
      </c>
      <c r="J487" s="149" t="s">
        <v>6522</v>
      </c>
      <c r="K487" s="149" t="s">
        <v>6523</v>
      </c>
      <c r="L487" s="149" t="s">
        <v>6524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6522</v>
      </c>
      <c r="AC487" s="149" t="s">
        <v>6523</v>
      </c>
      <c r="AD487" s="149" t="s">
        <v>6524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>IF(AY487-KD487=0,"",AY487-O487)</f>
        <v/>
      </c>
      <c r="BD487" s="103" t="str">
        <f>IF(AND(AI487&lt;&gt;"SIM",AI487="UH"),"AA","INDENIZAÇÃO")</f>
        <v>AA</v>
      </c>
      <c r="BE487" s="103" t="str">
        <f>IF(AND(AY487&lt;&gt;"AGUARDANDO",AY487&lt;&gt;"",N487="AUXÍLIO ALUGUEL ATÉ INDENIZAÇÃO"),"SIM","NÃO")</f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4476</v>
      </c>
      <c r="D488" s="103">
        <v>1</v>
      </c>
      <c r="E488" s="103" t="s">
        <v>4432</v>
      </c>
      <c r="F488" s="104" t="s">
        <v>6525</v>
      </c>
      <c r="G488" s="103" t="s">
        <v>4330</v>
      </c>
      <c r="H488" s="103" t="s">
        <v>4331</v>
      </c>
      <c r="I488" s="142" t="s">
        <v>4343</v>
      </c>
      <c r="J488" s="149" t="s">
        <v>6526</v>
      </c>
      <c r="K488" s="149" t="s">
        <v>6527</v>
      </c>
      <c r="L488" s="149" t="s">
        <v>6528</v>
      </c>
      <c r="M488" s="103" t="s">
        <v>4333</v>
      </c>
      <c r="N488" s="103" t="s">
        <v>4452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6526</v>
      </c>
      <c r="AC488" s="149" t="s">
        <v>6527</v>
      </c>
      <c r="AD488" s="149" t="s">
        <v>6528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3" t="s">
        <v>6529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4454</v>
      </c>
      <c r="AZ488" s="106"/>
      <c r="BA488" s="107" t="s">
        <v>4330</v>
      </c>
      <c r="BB488" s="136"/>
      <c r="BC488" s="220" t="e">
        <f>IF(AY488-KD488=0,"",AY488-O488)</f>
        <v>#VALUE!</v>
      </c>
      <c r="BD488" s="103" t="str">
        <f>IF(AND(AI488&lt;&gt;"SIM",AI488="UH"),"AA","INDENIZAÇÃO")</f>
        <v>INDENIZAÇÃO</v>
      </c>
      <c r="BE488" s="103" t="str">
        <f>IF(AND(AY488&lt;&gt;"AGUARDANDO",AY488&lt;&gt;"",N488="AUXÍLIO ALUGUEL ATÉ INDENIZAÇÃO"),"SIM","NÃO")</f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6530</v>
      </c>
      <c r="G489" s="103" t="s">
        <v>4330</v>
      </c>
      <c r="H489" s="103" t="s">
        <v>4331</v>
      </c>
      <c r="I489" s="103" t="s">
        <v>4343</v>
      </c>
      <c r="J489" s="149" t="s">
        <v>6531</v>
      </c>
      <c r="K489" s="149" t="s">
        <v>6532</v>
      </c>
      <c r="L489" s="149" t="s">
        <v>6533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6531</v>
      </c>
      <c r="AC489" s="149" t="s">
        <v>6532</v>
      </c>
      <c r="AD489" s="149" t="s">
        <v>6533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>IF(AY489-KD489=0,"",AY489-O489)</f>
        <v/>
      </c>
      <c r="BD489" s="103" t="str">
        <f>IF(AND(AI489&lt;&gt;"SIM",AI489="UH"),"AA","INDENIZAÇÃO")</f>
        <v>AA</v>
      </c>
      <c r="BE489" s="103" t="str">
        <f>IF(AND(AY489&lt;&gt;"AGUARDANDO",AY489&lt;&gt;"",N489="AUXÍLIO ALUGUEL ATÉ INDENIZAÇÃO"),"SIM","NÃO")</f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6534</v>
      </c>
      <c r="G490" s="103" t="s">
        <v>4330</v>
      </c>
      <c r="H490" s="103" t="s">
        <v>4331</v>
      </c>
      <c r="I490" s="103" t="s">
        <v>4343</v>
      </c>
      <c r="J490" s="149" t="s">
        <v>6535</v>
      </c>
      <c r="K490" s="149" t="s">
        <v>6536</v>
      </c>
      <c r="L490" s="149" t="s">
        <v>6537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6535</v>
      </c>
      <c r="AC490" s="149" t="s">
        <v>6536</v>
      </c>
      <c r="AD490" s="149" t="s">
        <v>6537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>IF(AY490-KD490=0,"",AY490-O490)</f>
        <v/>
      </c>
      <c r="BD490" s="103" t="str">
        <f>IF(AND(AI490&lt;&gt;"SIM",AI490="UH"),"AA","INDENIZAÇÃO")</f>
        <v>AA</v>
      </c>
      <c r="BE490" s="103" t="str">
        <f>IF(AND(AY490&lt;&gt;"AGUARDANDO",AY490&lt;&gt;"",N490="AUXÍLIO ALUGUEL ATÉ INDENIZAÇÃO"),"SIM","NÃO")</f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4476</v>
      </c>
      <c r="D491" s="103">
        <v>1</v>
      </c>
      <c r="E491" s="103" t="s">
        <v>4432</v>
      </c>
      <c r="F491" s="104" t="s">
        <v>6538</v>
      </c>
      <c r="G491" s="103" t="s">
        <v>4330</v>
      </c>
      <c r="H491" s="103" t="s">
        <v>4331</v>
      </c>
      <c r="I491" s="142" t="s">
        <v>6539</v>
      </c>
      <c r="J491" s="149" t="s">
        <v>6540</v>
      </c>
      <c r="K491" s="149" t="s">
        <v>4432</v>
      </c>
      <c r="L491" s="149" t="s">
        <v>6541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6540</v>
      </c>
      <c r="AC491" s="149" t="s">
        <v>4432</v>
      </c>
      <c r="AD491" s="149" t="s">
        <v>6541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>IF(AY491-KD491=0,"",AY491-O491)</f>
        <v/>
      </c>
      <c r="BD491" s="103" t="str">
        <f>IF(AND(AI491&lt;&gt;"SIM",AI491="UH"),"AA","INDENIZAÇÃO")</f>
        <v>AA</v>
      </c>
      <c r="BE491" s="103" t="str">
        <f>IF(AND(AY491&lt;&gt;"AGUARDANDO",AY491&lt;&gt;"",N491="AUXÍLIO ALUGUEL ATÉ INDENIZAÇÃO"),"SIM","NÃO")</f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4476</v>
      </c>
      <c r="D492" s="103">
        <v>1</v>
      </c>
      <c r="E492" s="103" t="s">
        <v>4432</v>
      </c>
      <c r="F492" s="104" t="s">
        <v>5336</v>
      </c>
      <c r="G492" s="103" t="s">
        <v>4330</v>
      </c>
      <c r="H492" s="103" t="s">
        <v>4331</v>
      </c>
      <c r="I492" s="142" t="s">
        <v>4440</v>
      </c>
      <c r="J492" s="149" t="s">
        <v>6542</v>
      </c>
      <c r="K492" s="149" t="s">
        <v>4432</v>
      </c>
      <c r="L492" s="149" t="s">
        <v>6543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6544</v>
      </c>
      <c r="AC492" s="139" t="s">
        <v>6545</v>
      </c>
      <c r="AD492" s="223" t="s">
        <v>6546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6547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4454</v>
      </c>
      <c r="BA492" s="174" t="s">
        <v>4598</v>
      </c>
      <c r="BB492" s="112" t="s">
        <v>4338</v>
      </c>
      <c r="BC492" s="220">
        <f>IF(AY492-KD492=0,"",AY492-O492)</f>
        <v>74</v>
      </c>
      <c r="BD492" s="103" t="str">
        <f>IF(AND(AI492&lt;&gt;"SIM",AI492="UH"),"AA","INDENIZAÇÃO")</f>
        <v>INDENIZAÇÃO</v>
      </c>
      <c r="BE492" s="103" t="str">
        <f>IF(AND(AY492&lt;&gt;"AGUARDANDO",AY492&lt;&gt;"",N492="AUXÍLIO ALUGUEL ATÉ INDENIZAÇÃO"),"SIM","NÃO")</f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2" t="s">
        <v>4502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4476</v>
      </c>
      <c r="D493" s="103">
        <v>1</v>
      </c>
      <c r="E493" s="103" t="s">
        <v>4432</v>
      </c>
      <c r="F493" s="104" t="s">
        <v>6548</v>
      </c>
      <c r="G493" s="103" t="s">
        <v>4330</v>
      </c>
      <c r="H493" s="103" t="s">
        <v>4331</v>
      </c>
      <c r="I493" s="142" t="s">
        <v>4343</v>
      </c>
      <c r="J493" s="149" t="s">
        <v>6549</v>
      </c>
      <c r="K493" s="149" t="s">
        <v>4432</v>
      </c>
      <c r="L493" s="149" t="s">
        <v>6550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6549</v>
      </c>
      <c r="AC493" s="149" t="s">
        <v>4432</v>
      </c>
      <c r="AD493" s="149" t="s">
        <v>6550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>IF(AY493-KD493=0,"",AY493-O493)</f>
        <v/>
      </c>
      <c r="BD493" s="103" t="str">
        <f>IF(AND(AI493&lt;&gt;"SIM",AI493="UH"),"AA","INDENIZAÇÃO")</f>
        <v>AA</v>
      </c>
      <c r="BE493" s="103" t="str">
        <f>IF(AND(AY493&lt;&gt;"AGUARDANDO",AY493&lt;&gt;"",N493="AUXÍLIO ALUGUEL ATÉ INDENIZAÇÃO"),"SIM","NÃO")</f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4476</v>
      </c>
      <c r="D494" s="103">
        <v>1</v>
      </c>
      <c r="E494" s="103" t="s">
        <v>4432</v>
      </c>
      <c r="F494" s="104" t="s">
        <v>6551</v>
      </c>
      <c r="G494" s="103" t="s">
        <v>4330</v>
      </c>
      <c r="H494" s="103" t="s">
        <v>4331</v>
      </c>
      <c r="I494" s="142" t="s">
        <v>4343</v>
      </c>
      <c r="J494" s="149" t="s">
        <v>6552</v>
      </c>
      <c r="K494" s="149" t="s">
        <v>6553</v>
      </c>
      <c r="L494" s="149" t="s">
        <v>6554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6552</v>
      </c>
      <c r="AC494" s="149" t="s">
        <v>6553</v>
      </c>
      <c r="AD494" s="149" t="s">
        <v>6554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>IF(AY494-KD494=0,"",AY494-O494)</f>
        <v/>
      </c>
      <c r="BD494" s="103" t="str">
        <f>IF(AND(AI494&lt;&gt;"SIM",AI494="UH"),"AA","INDENIZAÇÃO")</f>
        <v>AA</v>
      </c>
      <c r="BE494" s="103" t="str">
        <f>IF(AND(AY494&lt;&gt;"AGUARDANDO",AY494&lt;&gt;"",N494="AUXÍLIO ALUGUEL ATÉ INDENIZAÇÃO"),"SIM","NÃO")</f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4476</v>
      </c>
      <c r="D495" s="103">
        <v>1</v>
      </c>
      <c r="E495" s="103" t="s">
        <v>4432</v>
      </c>
      <c r="F495" s="104" t="s">
        <v>6555</v>
      </c>
      <c r="G495" s="103" t="s">
        <v>4330</v>
      </c>
      <c r="H495" s="103" t="s">
        <v>4331</v>
      </c>
      <c r="I495" s="142" t="s">
        <v>4343</v>
      </c>
      <c r="J495" s="149" t="s">
        <v>6556</v>
      </c>
      <c r="K495" s="149" t="s">
        <v>6557</v>
      </c>
      <c r="L495" s="149" t="s">
        <v>6558</v>
      </c>
      <c r="M495" s="103" t="s">
        <v>4333</v>
      </c>
      <c r="N495" s="103" t="s">
        <v>4452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6556</v>
      </c>
      <c r="AC495" s="173" t="s">
        <v>6557</v>
      </c>
      <c r="AD495" s="173" t="s">
        <v>6558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6559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4454</v>
      </c>
      <c r="BA495" s="107" t="s">
        <v>4598</v>
      </c>
      <c r="BB495" s="112" t="s">
        <v>4338</v>
      </c>
      <c r="BC495" s="220">
        <f>IF(AY495-KD495=0,"",AY495-O495)</f>
        <v>101</v>
      </c>
      <c r="BD495" s="103" t="str">
        <f>IF(AND(AI495&lt;&gt;"SIM",AI495="UH"),"AA","INDENIZAÇÃO")</f>
        <v>INDENIZAÇÃO</v>
      </c>
      <c r="BE495" s="103" t="str">
        <f>IF(AND(AY495&lt;&gt;"AGUARDANDO",AY495&lt;&gt;"",N495="AUXÍLIO ALUGUEL ATÉ INDENIZAÇÃO"),"SIM","NÃO")</f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2" t="s">
        <v>4502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4476</v>
      </c>
      <c r="D496" s="103">
        <v>1</v>
      </c>
      <c r="E496" s="103" t="s">
        <v>4432</v>
      </c>
      <c r="F496" s="104" t="s">
        <v>6560</v>
      </c>
      <c r="G496" s="103" t="s">
        <v>4330</v>
      </c>
      <c r="H496" s="103" t="s">
        <v>4331</v>
      </c>
      <c r="I496" s="142" t="s">
        <v>4343</v>
      </c>
      <c r="J496" s="149" t="s">
        <v>6561</v>
      </c>
      <c r="K496" s="149" t="s">
        <v>6562</v>
      </c>
      <c r="L496" s="149" t="s">
        <v>6563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6561</v>
      </c>
      <c r="AC496" s="149" t="s">
        <v>6562</v>
      </c>
      <c r="AD496" s="149" t="s">
        <v>6563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>IF(AY496-KD496=0,"",AY496-O496)</f>
        <v/>
      </c>
      <c r="BD496" s="103" t="str">
        <f>IF(AND(AI496&lt;&gt;"SIM",AI496="UH"),"AA","INDENIZAÇÃO")</f>
        <v>AA</v>
      </c>
      <c r="BE496" s="103" t="str">
        <f>IF(AND(AY496&lt;&gt;"AGUARDANDO",AY496&lt;&gt;"",N496="AUXÍLIO ALUGUEL ATÉ INDENIZAÇÃO"),"SIM","NÃO")</f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4476</v>
      </c>
      <c r="D497" s="103">
        <v>1</v>
      </c>
      <c r="E497" s="103" t="s">
        <v>4432</v>
      </c>
      <c r="F497" s="104" t="s">
        <v>6564</v>
      </c>
      <c r="G497" s="103" t="s">
        <v>4330</v>
      </c>
      <c r="H497" s="103" t="s">
        <v>4331</v>
      </c>
      <c r="I497" s="142" t="s">
        <v>4343</v>
      </c>
      <c r="J497" s="149" t="s">
        <v>6565</v>
      </c>
      <c r="K497" s="149"/>
      <c r="L497" s="149" t="s">
        <v>6566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4476</v>
      </c>
      <c r="D498" s="103">
        <v>1</v>
      </c>
      <c r="E498" s="103" t="s">
        <v>4432</v>
      </c>
      <c r="F498" s="104" t="s">
        <v>6567</v>
      </c>
      <c r="G498" s="103" t="s">
        <v>4330</v>
      </c>
      <c r="H498" s="103" t="s">
        <v>4331</v>
      </c>
      <c r="I498" s="142" t="s">
        <v>4343</v>
      </c>
      <c r="J498" s="149" t="s">
        <v>6568</v>
      </c>
      <c r="K498" s="149" t="s">
        <v>6569</v>
      </c>
      <c r="L498" s="149" t="s">
        <v>6570</v>
      </c>
      <c r="M498" s="103" t="s">
        <v>4333</v>
      </c>
      <c r="N498" s="103" t="s">
        <v>4452</v>
      </c>
      <c r="O498" s="105">
        <v>46233</v>
      </c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6568</v>
      </c>
      <c r="AC498" s="149" t="s">
        <v>6569</v>
      </c>
      <c r="AD498" s="149" t="s">
        <v>6570</v>
      </c>
      <c r="AE498" s="103" t="s">
        <v>6126</v>
      </c>
      <c r="AF498" s="103" t="s">
        <v>5635</v>
      </c>
      <c r="AG498" s="194">
        <v>73073.350000000006</v>
      </c>
      <c r="AH498" s="194">
        <v>73073.350000000006</v>
      </c>
      <c r="AI498" s="103" t="s">
        <v>6571</v>
      </c>
      <c r="AJ498" s="104" t="s">
        <v>4438</v>
      </c>
      <c r="AK498" s="104">
        <v>161832348</v>
      </c>
      <c r="AL498" s="142" t="s">
        <v>4364</v>
      </c>
      <c r="AM498" s="103" t="s">
        <v>4348</v>
      </c>
      <c r="AN498" s="103"/>
      <c r="AO498" s="103" t="s">
        <v>6572</v>
      </c>
      <c r="AP498" s="171"/>
      <c r="AQ498" s="107"/>
      <c r="AR498" s="107"/>
      <c r="AS498" s="107"/>
      <c r="AT498" s="174"/>
      <c r="AU498" s="106"/>
      <c r="AV498" s="109"/>
      <c r="AW498" s="278"/>
      <c r="AX498" s="279"/>
      <c r="AY498" s="166"/>
      <c r="AZ498" s="106"/>
      <c r="BA498" s="107"/>
      <c r="BB498" s="136"/>
      <c r="BC498" s="220" t="str">
        <f>IF(AY498-KD498=0,"",AY498-O498)</f>
        <v/>
      </c>
      <c r="BD498" s="103" t="str">
        <f>IF(AND(AI498&lt;&gt;"SIM",AI498="UH"),"AA","INDENIZAÇÃO")</f>
        <v>INDENIZAÇÃO</v>
      </c>
      <c r="BE498" s="103" t="str">
        <f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4476</v>
      </c>
      <c r="D499" s="103">
        <v>1</v>
      </c>
      <c r="E499" s="103" t="s">
        <v>4432</v>
      </c>
      <c r="F499" s="104" t="s">
        <v>6573</v>
      </c>
      <c r="G499" s="103" t="s">
        <v>4330</v>
      </c>
      <c r="H499" s="103" t="s">
        <v>4331</v>
      </c>
      <c r="I499" s="142" t="s">
        <v>4343</v>
      </c>
      <c r="J499" s="149" t="s">
        <v>6574</v>
      </c>
      <c r="K499" s="149" t="s">
        <v>6575</v>
      </c>
      <c r="L499" s="149" t="s">
        <v>6576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6574</v>
      </c>
      <c r="AC499" s="149" t="s">
        <v>6575</v>
      </c>
      <c r="AD499" s="149" t="s">
        <v>6576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>IF(AY499-KD499=0,"",AY499-O499)</f>
        <v/>
      </c>
      <c r="BD499" s="103" t="str">
        <f>IF(AND(AI499&lt;&gt;"SIM",AI499="UH"),"AA","INDENIZAÇÃO")</f>
        <v>AA</v>
      </c>
      <c r="BE499" s="103" t="str">
        <f>IF(AND(AY499&lt;&gt;"AGUARDANDO",AY499&lt;&gt;"",N499="AUXÍLIO ALUGUEL ATÉ INDENIZAÇÃO"),"SIM","NÃO")</f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4476</v>
      </c>
      <c r="D500" s="103">
        <v>1</v>
      </c>
      <c r="E500" s="103" t="s">
        <v>4432</v>
      </c>
      <c r="F500" s="104" t="s">
        <v>6577</v>
      </c>
      <c r="G500" s="103" t="s">
        <v>4330</v>
      </c>
      <c r="H500" s="103" t="s">
        <v>4331</v>
      </c>
      <c r="I500" s="142" t="s">
        <v>4343</v>
      </c>
      <c r="J500" s="149" t="s">
        <v>6578</v>
      </c>
      <c r="K500" s="149" t="s">
        <v>6579</v>
      </c>
      <c r="L500" s="149" t="s">
        <v>6580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6578</v>
      </c>
      <c r="AC500" s="149" t="s">
        <v>6579</v>
      </c>
      <c r="AD500" s="149" t="s">
        <v>6580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>IF(AY500-KD500=0,"",AY500-O500)</f>
        <v/>
      </c>
      <c r="BD500" s="103" t="str">
        <f>IF(AND(AI500&lt;&gt;"SIM",AI500="UH"),"AA","INDENIZAÇÃO")</f>
        <v>AA</v>
      </c>
      <c r="BE500" s="103" t="str">
        <f>IF(AND(AY500&lt;&gt;"AGUARDANDO",AY500&lt;&gt;"",N500="AUXÍLIO ALUGUEL ATÉ INDENIZAÇÃO"),"SIM","NÃO")</f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4476</v>
      </c>
      <c r="D501" s="103">
        <v>1</v>
      </c>
      <c r="E501" s="103" t="s">
        <v>4432</v>
      </c>
      <c r="F501" s="104" t="s">
        <v>6581</v>
      </c>
      <c r="G501" s="103" t="s">
        <v>4330</v>
      </c>
      <c r="H501" s="103" t="s">
        <v>4331</v>
      </c>
      <c r="I501" s="142" t="s">
        <v>4343</v>
      </c>
      <c r="J501" s="149" t="s">
        <v>6582</v>
      </c>
      <c r="K501" s="149" t="s">
        <v>6583</v>
      </c>
      <c r="L501" s="149" t="s">
        <v>6584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6582</v>
      </c>
      <c r="AC501" s="149" t="s">
        <v>6583</v>
      </c>
      <c r="AD501" s="149" t="s">
        <v>6584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>IF(AY501-KD501=0,"",AY501-O501)</f>
        <v/>
      </c>
      <c r="BD501" s="103" t="str">
        <f>IF(AND(AI501&lt;&gt;"SIM",AI501="UH"),"AA","INDENIZAÇÃO")</f>
        <v>AA</v>
      </c>
      <c r="BE501" s="103" t="str">
        <f>IF(AND(AY501&lt;&gt;"AGUARDANDO",AY501&lt;&gt;"",N501="AUXÍLIO ALUGUEL ATÉ INDENIZAÇÃO"),"SIM","NÃO")</f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4476</v>
      </c>
      <c r="D502" s="103">
        <v>1</v>
      </c>
      <c r="E502" s="103" t="s">
        <v>4432</v>
      </c>
      <c r="F502" s="104" t="s">
        <v>6585</v>
      </c>
      <c r="G502" s="103" t="s">
        <v>4330</v>
      </c>
      <c r="H502" s="103" t="s">
        <v>4331</v>
      </c>
      <c r="I502" s="142" t="s">
        <v>4343</v>
      </c>
      <c r="J502" s="149" t="s">
        <v>6586</v>
      </c>
      <c r="K502" s="149" t="s">
        <v>6587</v>
      </c>
      <c r="L502" s="149" t="s">
        <v>6588</v>
      </c>
      <c r="M502" s="103" t="s">
        <v>4333</v>
      </c>
      <c r="N502" s="103" t="s">
        <v>4452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6586</v>
      </c>
      <c r="AC502" s="149" t="s">
        <v>6587</v>
      </c>
      <c r="AD502" s="149" t="s">
        <v>6588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6589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4454</v>
      </c>
      <c r="BA502" s="107" t="s">
        <v>4598</v>
      </c>
      <c r="BB502" s="112" t="s">
        <v>4338</v>
      </c>
      <c r="BC502" s="220">
        <f>IF(AY502-KD502=0,"",AY502-O502)</f>
        <v>94</v>
      </c>
      <c r="BD502" s="103" t="str">
        <f>IF(AND(AI502&lt;&gt;"SIM",AI502="UH"),"AA","INDENIZAÇÃO")</f>
        <v>INDENIZAÇÃO</v>
      </c>
      <c r="BE502" s="103" t="str">
        <f>IF(AND(AY502&lt;&gt;"AGUARDANDO",AY502&lt;&gt;"",N502="AUXÍLIO ALUGUEL ATÉ INDENIZAÇÃO"),"SIM","NÃO")</f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2" t="s">
        <v>4502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4476</v>
      </c>
      <c r="D503" s="103">
        <v>1</v>
      </c>
      <c r="E503" s="103" t="s">
        <v>4432</v>
      </c>
      <c r="F503" s="104" t="s">
        <v>6590</v>
      </c>
      <c r="G503" s="103" t="s">
        <v>4330</v>
      </c>
      <c r="H503" s="103" t="s">
        <v>4331</v>
      </c>
      <c r="I503" s="142" t="s">
        <v>4343</v>
      </c>
      <c r="J503" s="149" t="s">
        <v>6591</v>
      </c>
      <c r="K503" s="149" t="s">
        <v>6592</v>
      </c>
      <c r="L503" s="149" t="s">
        <v>6593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6591</v>
      </c>
      <c r="AC503" s="149" t="s">
        <v>6592</v>
      </c>
      <c r="AD503" s="149" t="s">
        <v>6593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>IF(AY503-KD503=0,"",AY503-O503)</f>
        <v/>
      </c>
      <c r="BD503" s="103" t="str">
        <f>IF(AND(AI503&lt;&gt;"SIM",AI503="UH"),"AA","INDENIZAÇÃO")</f>
        <v>AA</v>
      </c>
      <c r="BE503" s="103" t="str">
        <f>IF(AND(AY503&lt;&gt;"AGUARDANDO",AY503&lt;&gt;"",N503="AUXÍLIO ALUGUEL ATÉ INDENIZAÇÃO"),"SIM","NÃO")</f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4476</v>
      </c>
      <c r="D504" s="103">
        <v>1</v>
      </c>
      <c r="E504" s="103" t="s">
        <v>4432</v>
      </c>
      <c r="F504" s="104" t="s">
        <v>6594</v>
      </c>
      <c r="G504" s="103" t="s">
        <v>4330</v>
      </c>
      <c r="H504" s="103" t="s">
        <v>4331</v>
      </c>
      <c r="I504" s="142" t="s">
        <v>4343</v>
      </c>
      <c r="J504" s="149" t="s">
        <v>6595</v>
      </c>
      <c r="K504" s="149" t="s">
        <v>6596</v>
      </c>
      <c r="L504" s="149" t="s">
        <v>6597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6595</v>
      </c>
      <c r="AC504" s="149" t="s">
        <v>6596</v>
      </c>
      <c r="AD504" s="149" t="s">
        <v>6597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>IF(AY504-KD504=0,"",AY504-O504)</f>
        <v/>
      </c>
      <c r="BD504" s="103" t="str">
        <f>IF(AND(AI504&lt;&gt;"SIM",AI504="UH"),"AA","INDENIZAÇÃO")</f>
        <v>AA</v>
      </c>
      <c r="BE504" s="103" t="str">
        <f>IF(AND(AY504&lt;&gt;"AGUARDANDO",AY504&lt;&gt;"",N504="AUXÍLIO ALUGUEL ATÉ INDENIZAÇÃO"),"SIM","NÃO")</f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4476</v>
      </c>
      <c r="D505" s="103">
        <v>1</v>
      </c>
      <c r="E505" s="103" t="s">
        <v>4432</v>
      </c>
      <c r="F505" s="104" t="s">
        <v>6598</v>
      </c>
      <c r="G505" s="103" t="s">
        <v>4330</v>
      </c>
      <c r="H505" s="103" t="s">
        <v>4331</v>
      </c>
      <c r="I505" s="142" t="s">
        <v>4343</v>
      </c>
      <c r="J505" s="149" t="s">
        <v>6599</v>
      </c>
      <c r="K505" s="149" t="s">
        <v>6341</v>
      </c>
      <c r="L505" s="149" t="s">
        <v>6600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6599</v>
      </c>
      <c r="AC505" s="204" t="s">
        <v>6341</v>
      </c>
      <c r="AD505" s="204" t="s">
        <v>6600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>IF(AY505-KD505=0,"",AY505-O505)</f>
        <v/>
      </c>
      <c r="BD505" s="103" t="str">
        <f>IF(AND(AI505&lt;&gt;"SIM",AI505="UH"),"AA","INDENIZAÇÃO")</f>
        <v>INDENIZAÇÃO</v>
      </c>
      <c r="BE505" s="103" t="str">
        <f>IF(AND(AY505&lt;&gt;"AGUARDANDO",AY505&lt;&gt;"",N505="AUXÍLIO ALUGUEL ATÉ INDENIZAÇÃO"),"SIM","NÃO")</f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4476</v>
      </c>
      <c r="D506" s="103">
        <v>1</v>
      </c>
      <c r="E506" s="103" t="s">
        <v>4432</v>
      </c>
      <c r="F506" s="104" t="s">
        <v>6601</v>
      </c>
      <c r="G506" s="103" t="s">
        <v>4330</v>
      </c>
      <c r="H506" s="103" t="s">
        <v>4331</v>
      </c>
      <c r="I506" s="142" t="s">
        <v>4343</v>
      </c>
      <c r="J506" s="149" t="s">
        <v>6602</v>
      </c>
      <c r="K506" s="149" t="s">
        <v>6603</v>
      </c>
      <c r="L506" s="149" t="s">
        <v>6604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6602</v>
      </c>
      <c r="AC506" s="149" t="s">
        <v>6603</v>
      </c>
      <c r="AD506" s="149" t="s">
        <v>6604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>IF(AY506-KD506=0,"",AY506-O506)</f>
        <v/>
      </c>
      <c r="BD506" s="103" t="str">
        <f>IF(AND(AI506&lt;&gt;"SIM",AI506="UH"),"AA","INDENIZAÇÃO")</f>
        <v>AA</v>
      </c>
      <c r="BE506" s="103" t="str">
        <f>IF(AND(AY506&lt;&gt;"AGUARDANDO",AY506&lt;&gt;"",N506="AUXÍLIO ALUGUEL ATÉ INDENIZAÇÃO"),"SIM","NÃO")</f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4476</v>
      </c>
      <c r="D507" s="103">
        <v>1</v>
      </c>
      <c r="E507" s="103" t="s">
        <v>4432</v>
      </c>
      <c r="F507" s="104" t="s">
        <v>6605</v>
      </c>
      <c r="G507" s="103" t="s">
        <v>4330</v>
      </c>
      <c r="H507" s="103" t="s">
        <v>4331</v>
      </c>
      <c r="I507" s="142" t="s">
        <v>4343</v>
      </c>
      <c r="J507" s="149" t="s">
        <v>6606</v>
      </c>
      <c r="K507" s="149" t="s">
        <v>6607</v>
      </c>
      <c r="L507" s="149" t="s">
        <v>6608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6606</v>
      </c>
      <c r="AC507" s="149" t="s">
        <v>6607</v>
      </c>
      <c r="AD507" s="149" t="s">
        <v>6608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>IF(AY507-KD507=0,"",AY507-O507)</f>
        <v/>
      </c>
      <c r="BD507" s="103" t="str">
        <f>IF(AND(AI507&lt;&gt;"SIM",AI507="UH"),"AA","INDENIZAÇÃO")</f>
        <v>AA</v>
      </c>
      <c r="BE507" s="103" t="str">
        <f>IF(AND(AY507&lt;&gt;"AGUARDANDO",AY507&lt;&gt;"",N507="AUXÍLIO ALUGUEL ATÉ INDENIZAÇÃO"),"SIM","NÃO")</f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4476</v>
      </c>
      <c r="D508" s="103">
        <v>1</v>
      </c>
      <c r="E508" s="103" t="s">
        <v>4432</v>
      </c>
      <c r="F508" s="104" t="s">
        <v>6609</v>
      </c>
      <c r="G508" s="103" t="s">
        <v>4330</v>
      </c>
      <c r="H508" s="103" t="s">
        <v>4331</v>
      </c>
      <c r="I508" s="142" t="s">
        <v>4343</v>
      </c>
      <c r="J508" s="149" t="s">
        <v>6610</v>
      </c>
      <c r="K508" s="149" t="s">
        <v>6611</v>
      </c>
      <c r="L508" s="149" t="s">
        <v>6612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6610</v>
      </c>
      <c r="AC508" s="149" t="s">
        <v>6611</v>
      </c>
      <c r="AD508" s="149" t="s">
        <v>6612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>IF(AY508-KD508=0,"",AY508-O508)</f>
        <v/>
      </c>
      <c r="BD508" s="103" t="str">
        <f>IF(AND(AI508&lt;&gt;"SIM",AI508="UH"),"AA","INDENIZAÇÃO")</f>
        <v>AA</v>
      </c>
      <c r="BE508" s="103" t="str">
        <f>IF(AND(AY508&lt;&gt;"AGUARDANDO",AY508&lt;&gt;"",N508="AUXÍLIO ALUGUEL ATÉ INDENIZAÇÃO"),"SIM","NÃO")</f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4476</v>
      </c>
      <c r="D509" s="103">
        <v>1</v>
      </c>
      <c r="E509" s="103" t="s">
        <v>4432</v>
      </c>
      <c r="F509" s="104" t="s">
        <v>6613</v>
      </c>
      <c r="G509" s="103" t="s">
        <v>4330</v>
      </c>
      <c r="H509" s="103" t="s">
        <v>4331</v>
      </c>
      <c r="I509" s="142" t="s">
        <v>4343</v>
      </c>
      <c r="J509" s="114" t="s">
        <v>6614</v>
      </c>
      <c r="K509" s="149" t="s">
        <v>6615</v>
      </c>
      <c r="L509" s="149" t="s">
        <v>6616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6614</v>
      </c>
      <c r="AC509" s="149" t="s">
        <v>6615</v>
      </c>
      <c r="AD509" s="149" t="s">
        <v>6616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>IF(AY509-KD509=0,"",AY509-O509)</f>
        <v/>
      </c>
      <c r="BD509" s="103" t="str">
        <f>IF(AND(AI509&lt;&gt;"SIM",AI509="UH"),"AA","INDENIZAÇÃO")</f>
        <v>AA</v>
      </c>
      <c r="BE509" s="103" t="str">
        <f>IF(AND(AY509&lt;&gt;"AGUARDANDO",AY509&lt;&gt;"",N509="AUXÍLIO ALUGUEL ATÉ INDENIZAÇÃO"),"SIM","NÃO")</f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4476</v>
      </c>
      <c r="D510" s="103">
        <v>1</v>
      </c>
      <c r="E510" s="103" t="s">
        <v>4432</v>
      </c>
      <c r="F510" s="104" t="s">
        <v>6617</v>
      </c>
      <c r="G510" s="103" t="s">
        <v>4330</v>
      </c>
      <c r="H510" s="103" t="s">
        <v>4331</v>
      </c>
      <c r="I510" s="142" t="s">
        <v>4343</v>
      </c>
      <c r="J510" s="149" t="s">
        <v>6618</v>
      </c>
      <c r="K510" s="149" t="s">
        <v>6619</v>
      </c>
      <c r="L510" s="149" t="s">
        <v>6620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6618</v>
      </c>
      <c r="AC510" s="149" t="s">
        <v>6619</v>
      </c>
      <c r="AD510" s="149" t="s">
        <v>6620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>IF(AY510-KD510=0,"",AY510-O510)</f>
        <v/>
      </c>
      <c r="BD510" s="103" t="str">
        <f>IF(AND(AI510&lt;&gt;"SIM",AI510="UH"),"AA","INDENIZAÇÃO")</f>
        <v>AA</v>
      </c>
      <c r="BE510" s="103" t="str">
        <f>IF(AND(AY510&lt;&gt;"AGUARDANDO",AY510&lt;&gt;"",N510="AUXÍLIO ALUGUEL ATÉ INDENIZAÇÃO"),"SIM","NÃO")</f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4476</v>
      </c>
      <c r="D511" s="103">
        <v>1</v>
      </c>
      <c r="E511" s="103" t="s">
        <v>4432</v>
      </c>
      <c r="F511" s="104" t="s">
        <v>6621</v>
      </c>
      <c r="G511" s="103" t="s">
        <v>4330</v>
      </c>
      <c r="H511" s="103" t="s">
        <v>4331</v>
      </c>
      <c r="I511" s="103" t="s">
        <v>4343</v>
      </c>
      <c r="J511" s="149" t="s">
        <v>6622</v>
      </c>
      <c r="K511" s="149" t="s">
        <v>6341</v>
      </c>
      <c r="L511" s="149" t="s">
        <v>6623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6622</v>
      </c>
      <c r="AC511" s="149" t="s">
        <v>6341</v>
      </c>
      <c r="AD511" s="149" t="s">
        <v>6623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>IF(AY511-KD511=0,"",AY511-O511)</f>
        <v/>
      </c>
      <c r="BD511" s="103" t="str">
        <f>IF(AND(AI511&lt;&gt;"SIM",AI511="UH"),"AA","INDENIZAÇÃO")</f>
        <v>AA</v>
      </c>
      <c r="BE511" s="103" t="str">
        <f>IF(AND(AY511&lt;&gt;"AGUARDANDO",AY511&lt;&gt;"",N511="AUXÍLIO ALUGUEL ATÉ INDENIZAÇÃO"),"SIM","NÃO")</f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6621</v>
      </c>
      <c r="G512" s="103" t="s">
        <v>4330</v>
      </c>
      <c r="H512" s="103" t="s">
        <v>4331</v>
      </c>
      <c r="I512" s="103" t="s">
        <v>4343</v>
      </c>
      <c r="J512" s="149" t="s">
        <v>6624</v>
      </c>
      <c r="K512" s="149" t="s">
        <v>6625</v>
      </c>
      <c r="L512" s="149" t="s">
        <v>6626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6627</v>
      </c>
      <c r="AC512" s="204" t="s">
        <v>6625</v>
      </c>
      <c r="AD512" s="204" t="s">
        <v>6626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>IF(AY512-KD512=0,"",AY512-O512)</f>
        <v/>
      </c>
      <c r="BD512" s="103" t="str">
        <f>IF(AND(AI512&lt;&gt;"SIM",AI512="UH"),"AA","INDENIZAÇÃO")</f>
        <v>AA</v>
      </c>
      <c r="BE512" s="103" t="str">
        <f>IF(AND(AY512&lt;&gt;"AGUARDANDO",AY512&lt;&gt;"",N512="AUXÍLIO ALUGUEL ATÉ INDENIZAÇÃO"),"SIM","NÃO")</f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6628</v>
      </c>
      <c r="G513" s="103" t="s">
        <v>4330</v>
      </c>
      <c r="H513" s="103" t="s">
        <v>4331</v>
      </c>
      <c r="I513" s="103" t="s">
        <v>4343</v>
      </c>
      <c r="J513" s="149" t="s">
        <v>6629</v>
      </c>
      <c r="K513" s="149" t="s">
        <v>4432</v>
      </c>
      <c r="L513" s="149" t="s">
        <v>6630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6629</v>
      </c>
      <c r="AC513" s="149" t="s">
        <v>4432</v>
      </c>
      <c r="AD513" s="149" t="s">
        <v>6630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>IF(AY513-KD513=0,"",AY513-O513)</f>
        <v/>
      </c>
      <c r="BD513" s="103" t="str">
        <f>IF(AND(AI513&lt;&gt;"SIM",AI513="UH"),"AA","INDENIZAÇÃO")</f>
        <v>AA</v>
      </c>
      <c r="BE513" s="103" t="str">
        <f>IF(AND(AY513&lt;&gt;"AGUARDANDO",AY513&lt;&gt;"",N513="AUXÍLIO ALUGUEL ATÉ INDENIZAÇÃO"),"SIM","NÃO")</f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4476</v>
      </c>
      <c r="D514" s="103">
        <v>1</v>
      </c>
      <c r="E514" s="103" t="s">
        <v>4432</v>
      </c>
      <c r="F514" s="104" t="s">
        <v>6631</v>
      </c>
      <c r="G514" s="103" t="s">
        <v>4330</v>
      </c>
      <c r="H514" s="103" t="s">
        <v>4331</v>
      </c>
      <c r="I514" s="142" t="s">
        <v>4343</v>
      </c>
      <c r="J514" s="149" t="s">
        <v>6632</v>
      </c>
      <c r="K514" s="149" t="s">
        <v>6633</v>
      </c>
      <c r="L514" s="149" t="s">
        <v>6634</v>
      </c>
      <c r="M514" s="103" t="s">
        <v>4333</v>
      </c>
      <c r="N514" s="103" t="s">
        <v>4452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6632</v>
      </c>
      <c r="AC514" s="104" t="s">
        <v>6633</v>
      </c>
      <c r="AD514" s="104" t="s">
        <v>6634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6635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4454</v>
      </c>
      <c r="BA514" s="107" t="s">
        <v>4598</v>
      </c>
      <c r="BB514" s="112" t="s">
        <v>4338</v>
      </c>
      <c r="BC514" s="220">
        <f>IF(AY514-KD514=0,"",AY514-O514)</f>
        <v>101</v>
      </c>
      <c r="BD514" s="103" t="str">
        <f>IF(AND(AI514&lt;&gt;"SIM",AI514="UH"),"AA","INDENIZAÇÃO")</f>
        <v>INDENIZAÇÃO</v>
      </c>
      <c r="BE514" s="103" t="str">
        <f>IF(AND(AY514&lt;&gt;"AGUARDANDO",AY514&lt;&gt;"",N514="AUXÍLIO ALUGUEL ATÉ INDENIZAÇÃO"),"SIM","NÃO")</f>
        <v>NÃO</v>
      </c>
      <c r="BF514" s="112" t="s">
        <v>4357</v>
      </c>
      <c r="BG514" s="112" t="s">
        <v>4357</v>
      </c>
      <c r="BH514" s="112" t="s">
        <v>4357</v>
      </c>
      <c r="BI514" s="109" t="s">
        <v>4926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6636</v>
      </c>
      <c r="G515" s="103" t="s">
        <v>4330</v>
      </c>
      <c r="H515" s="103" t="s">
        <v>4331</v>
      </c>
      <c r="I515" s="103" t="s">
        <v>4343</v>
      </c>
      <c r="J515" s="149" t="s">
        <v>6637</v>
      </c>
      <c r="K515" s="149" t="s">
        <v>4432</v>
      </c>
      <c r="L515" s="149" t="s">
        <v>6638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6637</v>
      </c>
      <c r="AC515" s="149" t="s">
        <v>4432</v>
      </c>
      <c r="AD515" s="149" t="s">
        <v>6638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>IF(AY515-KD515=0,"",AY515-O515)</f>
        <v/>
      </c>
      <c r="BD515" s="103" t="str">
        <f>IF(AND(AI515&lt;&gt;"SIM",AI515="UH"),"AA","INDENIZAÇÃO")</f>
        <v>AA</v>
      </c>
      <c r="BE515" s="103" t="str">
        <f>IF(AND(AY515&lt;&gt;"AGUARDANDO",AY515&lt;&gt;"",N515="AUXÍLIO ALUGUEL ATÉ INDENIZAÇÃO"),"SIM","NÃO")</f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6639</v>
      </c>
      <c r="G516" s="103" t="s">
        <v>4330</v>
      </c>
      <c r="H516" s="103" t="s">
        <v>4331</v>
      </c>
      <c r="I516" s="103" t="s">
        <v>4343</v>
      </c>
      <c r="J516" s="149" t="s">
        <v>6640</v>
      </c>
      <c r="K516" s="149" t="s">
        <v>6641</v>
      </c>
      <c r="L516" s="149" t="s">
        <v>6642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6640</v>
      </c>
      <c r="AC516" s="149" t="s">
        <v>6641</v>
      </c>
      <c r="AD516" s="149" t="s">
        <v>6642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>IF(AY516-KD516=0,"",AY516-O516)</f>
        <v/>
      </c>
      <c r="BD516" s="103" t="str">
        <f>IF(AND(AI516&lt;&gt;"SIM",AI516="UH"),"AA","INDENIZAÇÃO")</f>
        <v>AA</v>
      </c>
      <c r="BE516" s="103" t="str">
        <f>IF(AND(AY516&lt;&gt;"AGUARDANDO",AY516&lt;&gt;"",N516="AUXÍLIO ALUGUEL ATÉ INDENIZAÇÃO"),"SIM","NÃO")</f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6643</v>
      </c>
      <c r="G517" s="103" t="s">
        <v>4330</v>
      </c>
      <c r="H517" s="103" t="s">
        <v>4331</v>
      </c>
      <c r="I517" s="103" t="s">
        <v>4343</v>
      </c>
      <c r="J517" s="149" t="s">
        <v>6644</v>
      </c>
      <c r="K517" s="149" t="s">
        <v>6645</v>
      </c>
      <c r="L517" s="149" t="s">
        <v>6646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6644</v>
      </c>
      <c r="AC517" s="149" t="s">
        <v>6645</v>
      </c>
      <c r="AD517" s="149" t="s">
        <v>6646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>IF(AY517-KD517=0,"",AY517-O517)</f>
        <v/>
      </c>
      <c r="BD517" s="103" t="str">
        <f>IF(AND(AI517&lt;&gt;"SIM",AI517="UH"),"AA","INDENIZAÇÃO")</f>
        <v>AA</v>
      </c>
      <c r="BE517" s="103" t="str">
        <f>IF(AND(AY517&lt;&gt;"AGUARDANDO",AY517&lt;&gt;"",N517="AUXÍLIO ALUGUEL ATÉ INDENIZAÇÃO"),"SIM","NÃO")</f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6647</v>
      </c>
      <c r="G518" s="103" t="s">
        <v>4330</v>
      </c>
      <c r="H518" s="103" t="s">
        <v>4331</v>
      </c>
      <c r="I518" s="103" t="s">
        <v>4343</v>
      </c>
      <c r="J518" s="149" t="s">
        <v>6648</v>
      </c>
      <c r="K518" s="149" t="s">
        <v>6649</v>
      </c>
      <c r="L518" s="149" t="s">
        <v>6650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6648</v>
      </c>
      <c r="AC518" s="149" t="s">
        <v>6649</v>
      </c>
      <c r="AD518" s="149" t="s">
        <v>6650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>IF(AY518-KD518=0,"",AY518-O518)</f>
        <v/>
      </c>
      <c r="BD518" s="103" t="str">
        <f>IF(AND(AI518&lt;&gt;"SIM",AI518="UH"),"AA","INDENIZAÇÃO")</f>
        <v>AA</v>
      </c>
      <c r="BE518" s="103" t="str">
        <f>IF(AND(AY518&lt;&gt;"AGUARDANDO",AY518&lt;&gt;"",N518="AUXÍLIO ALUGUEL ATÉ INDENIZAÇÃO"),"SIM","NÃO")</f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6651</v>
      </c>
      <c r="G519" s="103" t="s">
        <v>4330</v>
      </c>
      <c r="H519" s="103" t="s">
        <v>4331</v>
      </c>
      <c r="I519" s="103" t="s">
        <v>4343</v>
      </c>
      <c r="J519" s="149" t="s">
        <v>6652</v>
      </c>
      <c r="K519" s="149" t="s">
        <v>6653</v>
      </c>
      <c r="L519" s="149" t="s">
        <v>4622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6652</v>
      </c>
      <c r="AC519" s="149" t="s">
        <v>6653</v>
      </c>
      <c r="AD519" s="149" t="s">
        <v>4622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>IF(AY519-KD519=0,"",AY519-O519)</f>
        <v/>
      </c>
      <c r="BD519" s="103" t="str">
        <f>IF(AND(AI519&lt;&gt;"SIM",AI519="UH"),"AA","INDENIZAÇÃO")</f>
        <v>AA</v>
      </c>
      <c r="BE519" s="103" t="str">
        <f>IF(AND(AY519&lt;&gt;"AGUARDANDO",AY519&lt;&gt;"",N519="AUXÍLIO ALUGUEL ATÉ INDENIZAÇÃO"),"SIM","NÃO")</f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6654</v>
      </c>
      <c r="G520" s="103" t="s">
        <v>4330</v>
      </c>
      <c r="H520" s="103" t="s">
        <v>4331</v>
      </c>
      <c r="I520" s="103" t="s">
        <v>4343</v>
      </c>
      <c r="J520" s="149" t="s">
        <v>6655</v>
      </c>
      <c r="K520" s="149" t="s">
        <v>6656</v>
      </c>
      <c r="L520" s="149" t="s">
        <v>6657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6655</v>
      </c>
      <c r="AC520" s="149" t="s">
        <v>6656</v>
      </c>
      <c r="AD520" s="149" t="s">
        <v>6657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>IF(AY520-KD520=0,"",AY520-O520)</f>
        <v/>
      </c>
      <c r="BD520" s="103" t="str">
        <f>IF(AND(AI520&lt;&gt;"SIM",AI520="UH"),"AA","INDENIZAÇÃO")</f>
        <v>AA</v>
      </c>
      <c r="BE520" s="103" t="str">
        <f>IF(AND(AY520&lt;&gt;"AGUARDANDO",AY520&lt;&gt;"",N520="AUXÍLIO ALUGUEL ATÉ INDENIZAÇÃO"),"SIM","NÃO")</f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6658</v>
      </c>
      <c r="G521" s="103" t="s">
        <v>4330</v>
      </c>
      <c r="H521" s="103" t="s">
        <v>4331</v>
      </c>
      <c r="I521" s="103" t="s">
        <v>4343</v>
      </c>
      <c r="J521" s="149" t="s">
        <v>6659</v>
      </c>
      <c r="K521" s="149" t="s">
        <v>6660</v>
      </c>
      <c r="L521" s="149" t="s">
        <v>6661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6659</v>
      </c>
      <c r="AC521" s="149" t="s">
        <v>6660</v>
      </c>
      <c r="AD521" s="149" t="s">
        <v>6661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>IF(AY521-KD521=0,"",AY521-O521)</f>
        <v/>
      </c>
      <c r="BD521" s="103" t="str">
        <f>IF(AND(AI521&lt;&gt;"SIM",AI521="UH"),"AA","INDENIZAÇÃO")</f>
        <v>AA</v>
      </c>
      <c r="BE521" s="103" t="str">
        <f>IF(AND(AY521&lt;&gt;"AGUARDANDO",AY521&lt;&gt;"",N521="AUXÍLIO ALUGUEL ATÉ INDENIZAÇÃO"),"SIM","NÃO")</f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6662</v>
      </c>
      <c r="G522" s="103" t="s">
        <v>4330</v>
      </c>
      <c r="H522" s="103" t="s">
        <v>4331</v>
      </c>
      <c r="I522" s="103" t="s">
        <v>4343</v>
      </c>
      <c r="J522" s="149" t="s">
        <v>6663</v>
      </c>
      <c r="K522" s="149" t="s">
        <v>6664</v>
      </c>
      <c r="L522" s="149" t="s">
        <v>6665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6663</v>
      </c>
      <c r="AC522" s="149" t="s">
        <v>6664</v>
      </c>
      <c r="AD522" s="149" t="s">
        <v>6665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>IF(AY522-KD522=0,"",AY522-O522)</f>
        <v/>
      </c>
      <c r="BD522" s="103" t="str">
        <f>IF(AND(AI522&lt;&gt;"SIM",AI522="UH"),"AA","INDENIZAÇÃO")</f>
        <v>AA</v>
      </c>
      <c r="BE522" s="103" t="str">
        <f>IF(AND(AY522&lt;&gt;"AGUARDANDO",AY522&lt;&gt;"",N522="AUXÍLIO ALUGUEL ATÉ INDENIZAÇÃO"),"SIM","NÃO")</f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6387</v>
      </c>
      <c r="G523" s="112" t="s">
        <v>4330</v>
      </c>
      <c r="H523" s="112" t="s">
        <v>4331</v>
      </c>
      <c r="I523" s="112" t="s">
        <v>4343</v>
      </c>
      <c r="J523" s="150" t="s">
        <v>6391</v>
      </c>
      <c r="K523" s="150" t="s">
        <v>6392</v>
      </c>
      <c r="L523" s="150" t="s">
        <v>6393</v>
      </c>
      <c r="M523" s="112" t="s">
        <v>4333</v>
      </c>
      <c r="N523" s="112" t="s">
        <v>4334</v>
      </c>
      <c r="O523" s="108">
        <v>46127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5"/>
      <c r="AA523" s="105"/>
      <c r="AB523" s="150" t="s">
        <v>6391</v>
      </c>
      <c r="AC523" s="150" t="s">
        <v>6392</v>
      </c>
      <c r="AD523" s="150" t="s">
        <v>6393</v>
      </c>
      <c r="AE523" s="112" t="s">
        <v>4343</v>
      </c>
      <c r="AF523" s="112" t="s">
        <v>4333</v>
      </c>
      <c r="AG523" s="194">
        <v>155748.63</v>
      </c>
      <c r="AH523" s="194">
        <v>155748.63</v>
      </c>
      <c r="AI523" s="103" t="s">
        <v>4447</v>
      </c>
      <c r="AJ523" s="104" t="s">
        <v>4438</v>
      </c>
      <c r="AK523" s="103">
        <v>153979223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6394</v>
      </c>
      <c r="AQ523" s="259" t="s">
        <v>4338</v>
      </c>
      <c r="AR523" s="195" t="s">
        <v>4338</v>
      </c>
      <c r="AS523" s="103" t="s">
        <v>4831</v>
      </c>
      <c r="AT523" s="103" t="s">
        <v>4831</v>
      </c>
      <c r="AU523" s="105">
        <v>46233</v>
      </c>
      <c r="AV523" s="103" t="s">
        <v>4831</v>
      </c>
      <c r="AW523" s="106" t="s">
        <v>4454</v>
      </c>
      <c r="AX523" s="109"/>
      <c r="AY523" s="157"/>
      <c r="AZ523" s="157"/>
      <c r="BA523" s="107" t="s">
        <v>4330</v>
      </c>
      <c r="BB523" s="112"/>
      <c r="BC523" s="220" t="str">
        <f>IF(AY523-KD523=0,"",AY523-O523)</f>
        <v/>
      </c>
      <c r="BD523" s="103" t="str">
        <f>IF(AND(AI523&lt;&gt;"SIM",AI523="UH"),"AA","INDENIZAÇÃO")</f>
        <v>INDENIZAÇÃO</v>
      </c>
      <c r="BE523" s="103" t="str">
        <f>IF(AND(AY523&lt;&gt;"AGUARDANDO",AY523&lt;&gt;"",N523="AUXÍLIO ALUGUEL ATÉ INDENIZAÇÃO"),"SIM","NÃO")</f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6671</v>
      </c>
      <c r="G524" s="103" t="s">
        <v>4330</v>
      </c>
      <c r="H524" s="103" t="s">
        <v>4331</v>
      </c>
      <c r="I524" s="103" t="s">
        <v>4343</v>
      </c>
      <c r="J524" s="149" t="s">
        <v>6672</v>
      </c>
      <c r="K524" s="149" t="s">
        <v>6673</v>
      </c>
      <c r="L524" s="149" t="s">
        <v>6674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6672</v>
      </c>
      <c r="AC524" s="149" t="s">
        <v>6673</v>
      </c>
      <c r="AD524" s="149" t="s">
        <v>6674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>IF(AY524-KD524=0,"",AY524-O524)</f>
        <v/>
      </c>
      <c r="BD524" s="103" t="str">
        <f>IF(AND(AI524&lt;&gt;"SIM",AI524="UH"),"AA","INDENIZAÇÃO")</f>
        <v>AA</v>
      </c>
      <c r="BE524" s="103" t="str">
        <f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6675</v>
      </c>
      <c r="G525" s="103" t="s">
        <v>4330</v>
      </c>
      <c r="H525" s="103" t="s">
        <v>4331</v>
      </c>
      <c r="I525" s="103" t="s">
        <v>4343</v>
      </c>
      <c r="J525" s="149" t="s">
        <v>6676</v>
      </c>
      <c r="K525" s="149" t="s">
        <v>6677</v>
      </c>
      <c r="L525" s="149" t="s">
        <v>6678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6676</v>
      </c>
      <c r="AC525" s="149" t="s">
        <v>6677</v>
      </c>
      <c r="AD525" s="149" t="s">
        <v>6678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>IF(AY525-KD525=0,"",AY525-O525)</f>
        <v/>
      </c>
      <c r="BD525" s="103" t="str">
        <f>IF(AND(AI525&lt;&gt;"SIM",AI525="UH"),"AA","INDENIZAÇÃO")</f>
        <v>AA</v>
      </c>
      <c r="BE525" s="103" t="str">
        <f>IF(AND(AY525&lt;&gt;"AGUARDANDO",AY525&lt;&gt;"",N525="AUXÍLIO ALUGUEL ATÉ INDENIZAÇÃO"),"SIM","NÃO")</f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6679</v>
      </c>
      <c r="G526" s="103" t="s">
        <v>4330</v>
      </c>
      <c r="H526" s="103" t="s">
        <v>4331</v>
      </c>
      <c r="I526" s="103" t="s">
        <v>4343</v>
      </c>
      <c r="J526" s="149" t="s">
        <v>6680</v>
      </c>
      <c r="K526" s="149" t="s">
        <v>6681</v>
      </c>
      <c r="L526" s="149" t="s">
        <v>6682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6680</v>
      </c>
      <c r="AC526" s="149" t="s">
        <v>6681</v>
      </c>
      <c r="AD526" s="149" t="s">
        <v>6682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>IF(AY526-KD526=0,"",AY526-O526)</f>
        <v/>
      </c>
      <c r="BD526" s="103" t="str">
        <f>IF(AND(AI526&lt;&gt;"SIM",AI526="UH"),"AA","INDENIZAÇÃO")</f>
        <v>AA</v>
      </c>
      <c r="BE526" s="103" t="str">
        <f>IF(AND(AY526&lt;&gt;"AGUARDANDO",AY526&lt;&gt;"",N526="AUXÍLIO ALUGUEL ATÉ INDENIZAÇÃO"),"SIM","NÃO")</f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6683</v>
      </c>
      <c r="G527" s="103" t="s">
        <v>4330</v>
      </c>
      <c r="H527" s="103" t="s">
        <v>4331</v>
      </c>
      <c r="I527" s="103" t="s">
        <v>4343</v>
      </c>
      <c r="J527" s="149" t="s">
        <v>6684</v>
      </c>
      <c r="K527" s="149" t="s">
        <v>6685</v>
      </c>
      <c r="L527" s="149" t="s">
        <v>6686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6684</v>
      </c>
      <c r="AC527" s="149" t="s">
        <v>6685</v>
      </c>
      <c r="AD527" s="149" t="s">
        <v>6686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>IF(AY527-KD527=0,"",AY527-O527)</f>
        <v/>
      </c>
      <c r="BD527" s="103" t="str">
        <f>IF(AND(AI527&lt;&gt;"SIM",AI527="UH"),"AA","INDENIZAÇÃO")</f>
        <v>AA</v>
      </c>
      <c r="BE527" s="103" t="str">
        <f>IF(AND(AY527&lt;&gt;"AGUARDANDO",AY527&lt;&gt;"",N527="AUXÍLIO ALUGUEL ATÉ INDENIZAÇÃO"),"SIM","NÃO")</f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6687</v>
      </c>
      <c r="G528" s="103" t="s">
        <v>4330</v>
      </c>
      <c r="H528" s="103" t="s">
        <v>4331</v>
      </c>
      <c r="I528" s="103" t="s">
        <v>4343</v>
      </c>
      <c r="J528" s="149" t="s">
        <v>6688</v>
      </c>
      <c r="K528" s="149" t="s">
        <v>6689</v>
      </c>
      <c r="L528" s="149" t="s">
        <v>6690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6688</v>
      </c>
      <c r="AC528" s="149" t="s">
        <v>6689</v>
      </c>
      <c r="AD528" s="149" t="s">
        <v>6690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>IF(AY528-KD528=0,"",AY528-O528)</f>
        <v/>
      </c>
      <c r="BD528" s="103" t="str">
        <f>IF(AND(AI528&lt;&gt;"SIM",AI528="UH"),"AA","INDENIZAÇÃO")</f>
        <v>AA</v>
      </c>
      <c r="BE528" s="103" t="str">
        <f>IF(AND(AY528&lt;&gt;"AGUARDANDO",AY528&lt;&gt;"",N528="AUXÍLIO ALUGUEL ATÉ INDENIZAÇÃO"),"SIM","NÃO")</f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6691</v>
      </c>
      <c r="G529" s="103" t="s">
        <v>4330</v>
      </c>
      <c r="H529" s="103" t="s">
        <v>4331</v>
      </c>
      <c r="I529" s="103" t="s">
        <v>4343</v>
      </c>
      <c r="J529" s="149" t="s">
        <v>6692</v>
      </c>
      <c r="K529" s="149" t="s">
        <v>6693</v>
      </c>
      <c r="L529" s="149" t="s">
        <v>6694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6692</v>
      </c>
      <c r="AC529" s="149" t="s">
        <v>6693</v>
      </c>
      <c r="AD529" s="149" t="s">
        <v>6694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>IF(AY529-KD529=0,"",AY529-O529)</f>
        <v/>
      </c>
      <c r="BD529" s="103" t="str">
        <f>IF(AND(AI529&lt;&gt;"SIM",AI529="UH"),"AA","INDENIZAÇÃO")</f>
        <v>AA</v>
      </c>
      <c r="BE529" s="103" t="str">
        <f>IF(AND(AY529&lt;&gt;"AGUARDANDO",AY529&lt;&gt;"",N529="AUXÍLIO ALUGUEL ATÉ INDENIZAÇÃO"),"SIM","NÃO")</f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6695</v>
      </c>
      <c r="G530" s="103" t="s">
        <v>4330</v>
      </c>
      <c r="H530" s="103" t="s">
        <v>4331</v>
      </c>
      <c r="I530" s="103" t="s">
        <v>4343</v>
      </c>
      <c r="J530" s="149" t="s">
        <v>6696</v>
      </c>
      <c r="K530" s="149">
        <v>30.475688000000002</v>
      </c>
      <c r="L530" s="149" t="s">
        <v>6697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6696</v>
      </c>
      <c r="AC530" s="149">
        <v>30.475688000000002</v>
      </c>
      <c r="AD530" s="149" t="s">
        <v>6697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>IF(AY530-KD530=0,"",AY530-O530)</f>
        <v/>
      </c>
      <c r="BD530" s="103" t="str">
        <f>IF(AND(AI530&lt;&gt;"SIM",AI530="UH"),"AA","INDENIZAÇÃO")</f>
        <v>AA</v>
      </c>
      <c r="BE530" s="103" t="str">
        <f>IF(AND(AY530&lt;&gt;"AGUARDANDO",AY530&lt;&gt;"",N530="AUXÍLIO ALUGUEL ATÉ INDENIZAÇÃO"),"SIM","NÃO")</f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6698</v>
      </c>
      <c r="G531" s="103" t="s">
        <v>4330</v>
      </c>
      <c r="H531" s="103" t="s">
        <v>4331</v>
      </c>
      <c r="I531" s="103" t="s">
        <v>4343</v>
      </c>
      <c r="J531" s="149" t="s">
        <v>6699</v>
      </c>
      <c r="K531" s="149"/>
      <c r="L531" s="149" t="s">
        <v>6700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6701</v>
      </c>
      <c r="G532" s="103" t="s">
        <v>4330</v>
      </c>
      <c r="H532" s="103" t="s">
        <v>4331</v>
      </c>
      <c r="I532" s="103" t="s">
        <v>4343</v>
      </c>
      <c r="J532" s="149" t="s">
        <v>6702</v>
      </c>
      <c r="K532" s="149" t="s">
        <v>6703</v>
      </c>
      <c r="L532" s="149" t="s">
        <v>6704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6702</v>
      </c>
      <c r="AC532" s="149" t="s">
        <v>6703</v>
      </c>
      <c r="AD532" s="149" t="s">
        <v>6704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>IF(AY532-KD532=0,"",AY532-O532)</f>
        <v/>
      </c>
      <c r="BD532" s="103" t="str">
        <f>IF(AND(AI532&lt;&gt;"SIM",AI532="UH"),"AA","INDENIZAÇÃO")</f>
        <v>AA</v>
      </c>
      <c r="BE532" s="103" t="str">
        <f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6705</v>
      </c>
      <c r="G533" s="103" t="s">
        <v>4330</v>
      </c>
      <c r="H533" s="103" t="s">
        <v>4331</v>
      </c>
      <c r="I533" s="103" t="s">
        <v>4343</v>
      </c>
      <c r="J533" s="149" t="s">
        <v>6706</v>
      </c>
      <c r="K533" s="149" t="s">
        <v>6707</v>
      </c>
      <c r="L533" s="149" t="s">
        <v>6708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6706</v>
      </c>
      <c r="AC533" s="149" t="s">
        <v>6707</v>
      </c>
      <c r="AD533" s="149" t="s">
        <v>6708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>IF(AY533-KD533=0,"",AY533-O533)</f>
        <v/>
      </c>
      <c r="BD533" s="103" t="str">
        <f>IF(AND(AI533&lt;&gt;"SIM",AI533="UH"),"AA","INDENIZAÇÃO")</f>
        <v>AA</v>
      </c>
      <c r="BE533" s="103" t="str">
        <f>IF(AND(AY533&lt;&gt;"AGUARDANDO",AY533&lt;&gt;"",N533="AUXÍLIO ALUGUEL ATÉ INDENIZAÇÃO"),"SIM","NÃO")</f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6709</v>
      </c>
      <c r="G534" s="103" t="s">
        <v>4330</v>
      </c>
      <c r="H534" s="103" t="s">
        <v>4331</v>
      </c>
      <c r="I534" s="103" t="s">
        <v>4343</v>
      </c>
      <c r="J534" s="149" t="s">
        <v>6710</v>
      </c>
      <c r="K534" s="149" t="s">
        <v>6711</v>
      </c>
      <c r="L534" s="149" t="s">
        <v>6712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6710</v>
      </c>
      <c r="AC534" s="149" t="s">
        <v>6711</v>
      </c>
      <c r="AD534" s="149" t="s">
        <v>6712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>IF(AY534-KD534=0,"",AY534-O534)</f>
        <v/>
      </c>
      <c r="BD534" s="103" t="str">
        <f>IF(AND(AI534&lt;&gt;"SIM",AI534="UH"),"AA","INDENIZAÇÃO")</f>
        <v>AA</v>
      </c>
      <c r="BE534" s="103" t="str">
        <f>IF(AND(AY534&lt;&gt;"AGUARDANDO",AY534&lt;&gt;"",N534="AUXÍLIO ALUGUEL ATÉ INDENIZAÇÃO"),"SIM","NÃO")</f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6713</v>
      </c>
      <c r="G535" s="103" t="s">
        <v>4330</v>
      </c>
      <c r="H535" s="103" t="s">
        <v>4331</v>
      </c>
      <c r="I535" s="103" t="s">
        <v>4343</v>
      </c>
      <c r="J535" s="149" t="s">
        <v>6714</v>
      </c>
      <c r="K535" s="149" t="s">
        <v>6715</v>
      </c>
      <c r="L535" s="149" t="s">
        <v>6716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6714</v>
      </c>
      <c r="AC535" s="149" t="s">
        <v>6715</v>
      </c>
      <c r="AD535" s="149" t="s">
        <v>6716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>IF(AY535-KD535=0,"",AY535-O535)</f>
        <v/>
      </c>
      <c r="BD535" s="103" t="str">
        <f>IF(AND(AI535&lt;&gt;"SIM",AI535="UH"),"AA","INDENIZAÇÃO")</f>
        <v>AA</v>
      </c>
      <c r="BE535" s="103" t="str">
        <f>IF(AND(AY535&lt;&gt;"AGUARDANDO",AY535&lt;&gt;"",N535="AUXÍLIO ALUGUEL ATÉ INDENIZAÇÃO"),"SIM","NÃO")</f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5830</v>
      </c>
      <c r="G536" s="103" t="s">
        <v>4330</v>
      </c>
      <c r="H536" s="103" t="s">
        <v>4331</v>
      </c>
      <c r="I536" s="103" t="s">
        <v>4343</v>
      </c>
      <c r="J536" s="149" t="s">
        <v>6717</v>
      </c>
      <c r="K536" s="149" t="s">
        <v>6718</v>
      </c>
      <c r="L536" s="149" t="s">
        <v>6719</v>
      </c>
      <c r="M536" s="103" t="s">
        <v>4333</v>
      </c>
      <c r="N536" s="103" t="s">
        <v>4452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6717</v>
      </c>
      <c r="AC536" s="149" t="s">
        <v>6718</v>
      </c>
      <c r="AD536" s="149" t="s">
        <v>6719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6720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4454</v>
      </c>
      <c r="BA536" s="107" t="s">
        <v>4598</v>
      </c>
      <c r="BB536" s="112" t="s">
        <v>4338</v>
      </c>
      <c r="BC536" s="220">
        <f>IF(AY536-KD536=0,"",AY536-O536)</f>
        <v>48</v>
      </c>
      <c r="BD536" s="103" t="str">
        <f>IF(AND(AI536&lt;&gt;"SIM",AI536="UH"),"AA","INDENIZAÇÃO")</f>
        <v>INDENIZAÇÃO</v>
      </c>
      <c r="BE536" s="103" t="str">
        <f>IF(AND(AY536&lt;&gt;"AGUARDANDO",AY536&lt;&gt;"",N536="AUXÍLIO ALUGUEL ATÉ INDENIZAÇÃO"),"SIM","NÃO")</f>
        <v>NÃO</v>
      </c>
      <c r="BF536" s="112" t="s">
        <v>4357</v>
      </c>
      <c r="BG536" s="112" t="s">
        <v>4357</v>
      </c>
      <c r="BH536" s="112" t="s">
        <v>4357</v>
      </c>
      <c r="BI536" s="109" t="s">
        <v>4926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5039</v>
      </c>
      <c r="G537" s="103" t="s">
        <v>4330</v>
      </c>
      <c r="H537" s="103" t="s">
        <v>4331</v>
      </c>
      <c r="I537" s="103" t="s">
        <v>4343</v>
      </c>
      <c r="J537" s="149" t="s">
        <v>6721</v>
      </c>
      <c r="K537" s="149" t="s">
        <v>6722</v>
      </c>
      <c r="L537" s="149" t="s">
        <v>6723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6721</v>
      </c>
      <c r="AC537" s="149" t="s">
        <v>6722</v>
      </c>
      <c r="AD537" s="149" t="s">
        <v>6723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>IF(AY537-KD537=0,"",AY537-O537)</f>
        <v/>
      </c>
      <c r="BD537" s="103" t="str">
        <f>IF(AND(AI537&lt;&gt;"SIM",AI537="UH"),"AA","INDENIZAÇÃO")</f>
        <v>AA</v>
      </c>
      <c r="BE537" s="103" t="str">
        <f>IF(AND(AY537&lt;&gt;"AGUARDANDO",AY537&lt;&gt;"",N537="AUXÍLIO ALUGUEL ATÉ INDENIZAÇÃO"),"SIM","NÃO")</f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4476</v>
      </c>
      <c r="D538" s="103">
        <v>1</v>
      </c>
      <c r="E538" s="103" t="s">
        <v>4432</v>
      </c>
      <c r="F538" s="104" t="s">
        <v>6724</v>
      </c>
      <c r="G538" s="103" t="s">
        <v>4330</v>
      </c>
      <c r="H538" s="103" t="s">
        <v>4331</v>
      </c>
      <c r="I538" s="142" t="s">
        <v>4343</v>
      </c>
      <c r="J538" s="149" t="s">
        <v>6725</v>
      </c>
      <c r="K538" s="149" t="s">
        <v>6726</v>
      </c>
      <c r="L538" s="149" t="s">
        <v>6727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6725</v>
      </c>
      <c r="AC538" s="149" t="s">
        <v>6726</v>
      </c>
      <c r="AD538" s="149" t="s">
        <v>6727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>IF(AY538-KD538=0,"",AY538-O538)</f>
        <v/>
      </c>
      <c r="BD538" s="103" t="str">
        <f>IF(AND(AI538&lt;&gt;"SIM",AI538="UH"),"AA","INDENIZAÇÃO")</f>
        <v>AA</v>
      </c>
      <c r="BE538" s="103" t="str">
        <f>IF(AND(AY538&lt;&gt;"AGUARDANDO",AY538&lt;&gt;"",N538="AUXÍLIO ALUGUEL ATÉ INDENIZAÇÃO"),"SIM","NÃO")</f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6724</v>
      </c>
      <c r="G539" s="103" t="s">
        <v>4330</v>
      </c>
      <c r="H539" s="103" t="s">
        <v>4331</v>
      </c>
      <c r="I539" s="103" t="s">
        <v>4343</v>
      </c>
      <c r="J539" s="149" t="s">
        <v>4647</v>
      </c>
      <c r="K539" s="149" t="s">
        <v>4432</v>
      </c>
      <c r="L539" s="149" t="s">
        <v>4648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4647</v>
      </c>
      <c r="AC539" s="149" t="s">
        <v>4432</v>
      </c>
      <c r="AD539" s="149" t="s">
        <v>4648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>IF(AY539-KD539=0,"",AY539-O539)</f>
        <v/>
      </c>
      <c r="BD539" s="103" t="str">
        <f>IF(AND(AI539&lt;&gt;"SIM",AI539="UH"),"AA","INDENIZAÇÃO")</f>
        <v>AA</v>
      </c>
      <c r="BE539" s="103" t="str">
        <f>IF(AND(AY539&lt;&gt;"AGUARDANDO",AY539&lt;&gt;"",N539="AUXÍLIO ALUGUEL ATÉ INDENIZAÇÃO"),"SIM","NÃO")</f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6728</v>
      </c>
      <c r="G540" s="103" t="s">
        <v>4330</v>
      </c>
      <c r="H540" s="103" t="s">
        <v>4331</v>
      </c>
      <c r="I540" s="103" t="s">
        <v>4361</v>
      </c>
      <c r="J540" s="149" t="s">
        <v>6729</v>
      </c>
      <c r="K540" s="149" t="s">
        <v>6730</v>
      </c>
      <c r="L540" s="149" t="s">
        <v>6731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6729</v>
      </c>
      <c r="AC540" s="149" t="s">
        <v>6730</v>
      </c>
      <c r="AD540" s="149" t="s">
        <v>6731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>IF(AY540-KD540=0,"",AY540-O540)</f>
        <v/>
      </c>
      <c r="BD540" s="103" t="str">
        <f>IF(AND(AI540&lt;&gt;"SIM",AI540="UH"),"AA","INDENIZAÇÃO")</f>
        <v>AA</v>
      </c>
      <c r="BE540" s="103" t="str">
        <f>IF(AND(AY540&lt;&gt;"AGUARDANDO",AY540&lt;&gt;"",N540="AUXÍLIO ALUGUEL ATÉ INDENIZAÇÃO"),"SIM","NÃO")</f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4476</v>
      </c>
      <c r="D541" s="103">
        <v>1</v>
      </c>
      <c r="E541" s="103" t="s">
        <v>4432</v>
      </c>
      <c r="F541" s="104" t="s">
        <v>6732</v>
      </c>
      <c r="G541" s="103" t="s">
        <v>4330</v>
      </c>
      <c r="H541" s="103" t="s">
        <v>4331</v>
      </c>
      <c r="I541" s="142" t="s">
        <v>4343</v>
      </c>
      <c r="J541" s="149" t="s">
        <v>6733</v>
      </c>
      <c r="K541" s="149" t="s">
        <v>4457</v>
      </c>
      <c r="L541" s="149" t="s">
        <v>6734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6733</v>
      </c>
      <c r="AC541" s="149" t="s">
        <v>4457</v>
      </c>
      <c r="AD541" s="149" t="s">
        <v>6734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>IF(AY541-KD541=0,"",AY541-O541)</f>
        <v/>
      </c>
      <c r="BD541" s="103" t="str">
        <f>IF(AND(AI541&lt;&gt;"SIM",AI541="UH"),"AA","INDENIZAÇÃO")</f>
        <v>AA</v>
      </c>
      <c r="BE541" s="103" t="str">
        <f>IF(AND(AY541&lt;&gt;"AGUARDANDO",AY541&lt;&gt;"",N541="AUXÍLIO ALUGUEL ATÉ INDENIZAÇÃO"),"SIM","NÃO")</f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6732</v>
      </c>
      <c r="G542" s="103" t="s">
        <v>4330</v>
      </c>
      <c r="H542" s="103" t="s">
        <v>4331</v>
      </c>
      <c r="I542" s="103" t="s">
        <v>4343</v>
      </c>
      <c r="J542" s="149" t="s">
        <v>6735</v>
      </c>
      <c r="K542" s="149" t="s">
        <v>6736</v>
      </c>
      <c r="L542" s="149" t="s">
        <v>6737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6735</v>
      </c>
      <c r="AC542" s="149" t="s">
        <v>6736</v>
      </c>
      <c r="AD542" s="149" t="s">
        <v>6737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>IF(AY542-KD542=0,"",AY542-O542)</f>
        <v/>
      </c>
      <c r="BD542" s="103" t="str">
        <f>IF(AND(AI542&lt;&gt;"SIM",AI542="UH"),"AA","INDENIZAÇÃO")</f>
        <v>AA</v>
      </c>
      <c r="BE542" s="103" t="str">
        <f>IF(AND(AY542&lt;&gt;"AGUARDANDO",AY542&lt;&gt;"",N542="AUXÍLIO ALUGUEL ATÉ INDENIZAÇÃO"),"SIM","NÃO")</f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4476</v>
      </c>
      <c r="D543" s="103">
        <v>1</v>
      </c>
      <c r="E543" s="103" t="s">
        <v>4432</v>
      </c>
      <c r="F543" s="104" t="s">
        <v>5857</v>
      </c>
      <c r="G543" s="103" t="s">
        <v>4351</v>
      </c>
      <c r="H543" s="103" t="s">
        <v>4351</v>
      </c>
      <c r="I543" s="153" t="s">
        <v>4332</v>
      </c>
      <c r="J543" s="149" t="s">
        <v>6738</v>
      </c>
      <c r="K543" s="149" t="s">
        <v>6739</v>
      </c>
      <c r="L543" s="149" t="s">
        <v>6740</v>
      </c>
      <c r="M543" s="103" t="s">
        <v>4333</v>
      </c>
      <c r="N543" s="103" t="s">
        <v>4452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6738</v>
      </c>
      <c r="AC543" s="149" t="s">
        <v>6739</v>
      </c>
      <c r="AD543" s="149" t="s">
        <v>6740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6741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4454</v>
      </c>
      <c r="BA543" s="174" t="s">
        <v>4598</v>
      </c>
      <c r="BB543" s="112" t="s">
        <v>4338</v>
      </c>
      <c r="BC543" s="220">
        <f>IF(AY543-KD543=0,"",AY543-O543)</f>
        <v>49</v>
      </c>
      <c r="BD543" s="103" t="str">
        <f>IF(AND(AI543&lt;&gt;"SIM",AI543="UH"),"AA","INDENIZAÇÃO")</f>
        <v>INDENIZAÇÃO</v>
      </c>
      <c r="BE543" s="103" t="str">
        <f>IF(AND(AY543&lt;&gt;"AGUARDANDO",AY543&lt;&gt;"",N543="AUXÍLIO ALUGUEL ATÉ INDENIZAÇÃO"),"SIM","NÃO")</f>
        <v>NÃO</v>
      </c>
      <c r="BF543" s="112" t="s">
        <v>4357</v>
      </c>
      <c r="BG543" s="112" t="s">
        <v>4357</v>
      </c>
      <c r="BH543" s="112" t="s">
        <v>4357</v>
      </c>
      <c r="BI543" s="109" t="s">
        <v>4926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5752</v>
      </c>
      <c r="G544" s="103" t="s">
        <v>4330</v>
      </c>
      <c r="H544" s="103" t="s">
        <v>4331</v>
      </c>
      <c r="I544" s="103" t="s">
        <v>4343</v>
      </c>
      <c r="J544" s="149" t="s">
        <v>6742</v>
      </c>
      <c r="K544" s="149" t="s">
        <v>6743</v>
      </c>
      <c r="L544" s="149" t="s">
        <v>6744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6742</v>
      </c>
      <c r="AC544" s="149" t="s">
        <v>6743</v>
      </c>
      <c r="AD544" s="149" t="s">
        <v>6744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>IF(AY544-KD544=0,"",AY544-O544)</f>
        <v/>
      </c>
      <c r="BD544" s="103" t="str">
        <f>IF(AND(AI544&lt;&gt;"SIM",AI544="UH"),"AA","INDENIZAÇÃO")</f>
        <v>AA</v>
      </c>
      <c r="BE544" s="103" t="str">
        <f>IF(AND(AY544&lt;&gt;"AGUARDANDO",AY544&lt;&gt;"",N544="AUXÍLIO ALUGUEL ATÉ INDENIZAÇÃO"),"SIM","NÃO")</f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6745</v>
      </c>
      <c r="G545" s="103" t="s">
        <v>4330</v>
      </c>
      <c r="H545" s="103" t="s">
        <v>4331</v>
      </c>
      <c r="I545" s="103" t="s">
        <v>4343</v>
      </c>
      <c r="J545" s="149" t="s">
        <v>6746</v>
      </c>
      <c r="K545" s="149" t="s">
        <v>6747</v>
      </c>
      <c r="L545" s="149" t="s">
        <v>6748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6746</v>
      </c>
      <c r="AC545" s="149" t="s">
        <v>6747</v>
      </c>
      <c r="AD545" s="149" t="s">
        <v>6748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>IF(AY545-KD545=0,"",AY545-O545)</f>
        <v/>
      </c>
      <c r="BD545" s="103" t="str">
        <f>IF(AND(AI545&lt;&gt;"SIM",AI545="UH"),"AA","INDENIZAÇÃO")</f>
        <v>AA</v>
      </c>
      <c r="BE545" s="103" t="str">
        <f>IF(AND(AY545&lt;&gt;"AGUARDANDO",AY545&lt;&gt;"",N545="AUXÍLIO ALUGUEL ATÉ INDENIZAÇÃO"),"SIM","NÃO")</f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4476</v>
      </c>
      <c r="D546" s="103">
        <v>1</v>
      </c>
      <c r="E546" s="103" t="s">
        <v>4432</v>
      </c>
      <c r="F546" s="104" t="s">
        <v>6749</v>
      </c>
      <c r="G546" s="103" t="s">
        <v>4330</v>
      </c>
      <c r="H546" s="103" t="s">
        <v>4331</v>
      </c>
      <c r="I546" s="103" t="s">
        <v>4343</v>
      </c>
      <c r="J546" s="149" t="s">
        <v>6750</v>
      </c>
      <c r="K546" s="149" t="s">
        <v>6751</v>
      </c>
      <c r="L546" s="149" t="s">
        <v>6752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6750</v>
      </c>
      <c r="AC546" s="149" t="s">
        <v>6751</v>
      </c>
      <c r="AD546" s="149" t="s">
        <v>6752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>IF(AY546-KD546=0,"",AY546-O546)</f>
        <v/>
      </c>
      <c r="BD546" s="103" t="str">
        <f>IF(AND(AI546&lt;&gt;"SIM",AI546="UH"),"AA","INDENIZAÇÃO")</f>
        <v>AA</v>
      </c>
      <c r="BE546" s="103" t="str">
        <f>IF(AND(AY546&lt;&gt;"AGUARDANDO",AY546&lt;&gt;"",N546="AUXÍLIO ALUGUEL ATÉ INDENIZAÇÃO"),"SIM","NÃO")</f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6749</v>
      </c>
      <c r="G547" s="103" t="s">
        <v>4330</v>
      </c>
      <c r="H547" s="103" t="s">
        <v>4331</v>
      </c>
      <c r="I547" s="103" t="s">
        <v>4343</v>
      </c>
      <c r="J547" s="149" t="s">
        <v>6753</v>
      </c>
      <c r="K547" s="149" t="s">
        <v>6754</v>
      </c>
      <c r="L547" s="149" t="s">
        <v>6755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6753</v>
      </c>
      <c r="AC547" s="149" t="s">
        <v>6754</v>
      </c>
      <c r="AD547" s="149" t="s">
        <v>6755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>IF(AY547-KD547=0,"",AY547-O547)</f>
        <v/>
      </c>
      <c r="BD547" s="103" t="str">
        <f>IF(AND(AI547&lt;&gt;"SIM",AI547="UH"),"AA","INDENIZAÇÃO")</f>
        <v>AA</v>
      </c>
      <c r="BE547" s="103" t="str">
        <f>IF(AND(AY547&lt;&gt;"AGUARDANDO",AY547&lt;&gt;"",N547="AUXÍLIO ALUGUEL ATÉ INDENIZAÇÃO"),"SIM","NÃO")</f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4476</v>
      </c>
      <c r="D548" s="103">
        <v>1</v>
      </c>
      <c r="E548" s="103" t="s">
        <v>4432</v>
      </c>
      <c r="F548" s="104" t="s">
        <v>6756</v>
      </c>
      <c r="G548" s="103" t="s">
        <v>4330</v>
      </c>
      <c r="H548" s="103" t="s">
        <v>4331</v>
      </c>
      <c r="I548" s="142" t="s">
        <v>4343</v>
      </c>
      <c r="J548" s="149" t="s">
        <v>6757</v>
      </c>
      <c r="K548" s="149" t="s">
        <v>6758</v>
      </c>
      <c r="L548" s="149" t="s">
        <v>6759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6757</v>
      </c>
      <c r="AC548" s="149" t="s">
        <v>6758</v>
      </c>
      <c r="AD548" s="149" t="s">
        <v>6759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>IF(AY548-KD548=0,"",AY548-O548)</f>
        <v/>
      </c>
      <c r="BD548" s="103" t="str">
        <f>IF(AND(AI548&lt;&gt;"SIM",AI548="UH"),"AA","INDENIZAÇÃO")</f>
        <v>AA</v>
      </c>
      <c r="BE548" s="103" t="str">
        <f>IF(AND(AY548&lt;&gt;"AGUARDANDO",AY548&lt;&gt;"",N548="AUXÍLIO ALUGUEL ATÉ INDENIZAÇÃO"),"SIM","NÃO")</f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6756</v>
      </c>
      <c r="G549" s="103" t="s">
        <v>4330</v>
      </c>
      <c r="H549" s="103" t="s">
        <v>4331</v>
      </c>
      <c r="I549" s="103" t="s">
        <v>4343</v>
      </c>
      <c r="J549" s="149" t="s">
        <v>6760</v>
      </c>
      <c r="K549" s="149" t="s">
        <v>6761</v>
      </c>
      <c r="L549" s="149" t="s">
        <v>6762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6760</v>
      </c>
      <c r="AC549" s="149" t="s">
        <v>6761</v>
      </c>
      <c r="AD549" s="149" t="s">
        <v>6762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>IF(AY549-KD549=0,"",AY549-O549)</f>
        <v/>
      </c>
      <c r="BD549" s="103" t="str">
        <f>IF(AND(AI549&lt;&gt;"SIM",AI549="UH"),"AA","INDENIZAÇÃO")</f>
        <v>AA</v>
      </c>
      <c r="BE549" s="103" t="str">
        <f>IF(AND(AY549&lt;&gt;"AGUARDANDO",AY549&lt;&gt;"",N549="AUXÍLIO ALUGUEL ATÉ INDENIZAÇÃO"),"SIM","NÃO")</f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4476</v>
      </c>
      <c r="D550" s="103">
        <v>1</v>
      </c>
      <c r="E550" s="103" t="s">
        <v>4432</v>
      </c>
      <c r="F550" s="104" t="s">
        <v>6763</v>
      </c>
      <c r="G550" s="103" t="s">
        <v>4330</v>
      </c>
      <c r="H550" s="103" t="s">
        <v>4331</v>
      </c>
      <c r="I550" s="103" t="s">
        <v>4343</v>
      </c>
      <c r="J550" s="149" t="s">
        <v>6764</v>
      </c>
      <c r="K550" s="149" t="s">
        <v>6765</v>
      </c>
      <c r="L550" s="149" t="s">
        <v>6766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6764</v>
      </c>
      <c r="AC550" s="149" t="s">
        <v>6765</v>
      </c>
      <c r="AD550" s="149" t="s">
        <v>6766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>IF(AY550-KD550=0,"",AY550-O550)</f>
        <v/>
      </c>
      <c r="BD550" s="103" t="str">
        <f>IF(AND(AI550&lt;&gt;"SIM",AI550="UH"),"AA","INDENIZAÇÃO")</f>
        <v>AA</v>
      </c>
      <c r="BE550" s="103" t="str">
        <f>IF(AND(AY550&lt;&gt;"AGUARDANDO",AY550&lt;&gt;"",N550="AUXÍLIO ALUGUEL ATÉ INDENIZAÇÃO"),"SIM","NÃO")</f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4844</v>
      </c>
      <c r="G551" s="103" t="s">
        <v>4330</v>
      </c>
      <c r="H551" s="103" t="s">
        <v>4331</v>
      </c>
      <c r="I551" s="103" t="s">
        <v>4440</v>
      </c>
      <c r="J551" s="149" t="s">
        <v>4845</v>
      </c>
      <c r="K551" s="149" t="s">
        <v>4846</v>
      </c>
      <c r="L551" s="149" t="s">
        <v>4847</v>
      </c>
      <c r="M551" s="103" t="s">
        <v>4333</v>
      </c>
      <c r="N551" s="103" t="s">
        <v>4345</v>
      </c>
      <c r="O551" s="105">
        <v>46188</v>
      </c>
      <c r="P551" s="105">
        <v>46176</v>
      </c>
      <c r="Q551" s="105" t="s">
        <v>4436</v>
      </c>
      <c r="R551" s="105">
        <v>46174</v>
      </c>
      <c r="S551" s="105">
        <v>46176</v>
      </c>
      <c r="T551" s="105">
        <v>46202</v>
      </c>
      <c r="U551" s="105">
        <v>46204</v>
      </c>
      <c r="V551" s="105" t="s">
        <v>4437</v>
      </c>
      <c r="W551" s="105" t="s">
        <v>4437</v>
      </c>
      <c r="X551" s="105">
        <v>46223</v>
      </c>
      <c r="Y551" s="105"/>
      <c r="Z551" s="105"/>
      <c r="AA551" s="105"/>
      <c r="AB551" s="114" t="s">
        <v>4848</v>
      </c>
      <c r="AC551" s="114" t="s">
        <v>4849</v>
      </c>
      <c r="AD551" s="114" t="s">
        <v>4850</v>
      </c>
      <c r="AE551" s="138" t="s">
        <v>4332</v>
      </c>
      <c r="AF551" s="112" t="s">
        <v>4333</v>
      </c>
      <c r="AG551" s="194">
        <v>74383.570000000007</v>
      </c>
      <c r="AH551" s="194">
        <v>74383.570000000007</v>
      </c>
      <c r="AI551" s="212" t="s">
        <v>4447</v>
      </c>
      <c r="AJ551" s="114" t="s">
        <v>4438</v>
      </c>
      <c r="AK551" s="103">
        <v>158034573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4851</v>
      </c>
      <c r="AQ551" s="165" t="s">
        <v>4831</v>
      </c>
      <c r="AR551" s="103" t="s">
        <v>4831</v>
      </c>
      <c r="AS551" s="103" t="s">
        <v>4831</v>
      </c>
      <c r="AT551" s="103" t="s">
        <v>4831</v>
      </c>
      <c r="AU551" s="105">
        <v>46233</v>
      </c>
      <c r="AV551" s="103" t="s">
        <v>4831</v>
      </c>
      <c r="AW551" s="106" t="s">
        <v>4454</v>
      </c>
      <c r="AX551" s="106"/>
      <c r="AY551" s="157"/>
      <c r="AZ551" s="106"/>
      <c r="BA551" s="107" t="s">
        <v>4330</v>
      </c>
      <c r="BB551" s="112"/>
      <c r="BC551" s="220" t="str">
        <f>IF(AY551-KD551=0,"",AY551-O551)</f>
        <v/>
      </c>
      <c r="BD551" s="103" t="str">
        <f>IF(AND(AI551&lt;&gt;"SIM",AI551="UH"),"AA","INDENIZAÇÃO")</f>
        <v>INDENIZAÇÃO</v>
      </c>
      <c r="BE551" s="103" t="str">
        <f>IF(AND(AY551&lt;&gt;"AGUARDANDO",AY551&lt;&gt;"",N551="AUXÍLIO ALUGUEL ATÉ INDENIZAÇÃO"),"SIM","NÃO")</f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4476</v>
      </c>
      <c r="D552" s="103">
        <v>1</v>
      </c>
      <c r="E552" s="103" t="s">
        <v>4432</v>
      </c>
      <c r="F552" s="104" t="s">
        <v>5193</v>
      </c>
      <c r="G552" s="103" t="s">
        <v>4330</v>
      </c>
      <c r="H552" s="103" t="s">
        <v>4331</v>
      </c>
      <c r="I552" s="103" t="s">
        <v>4343</v>
      </c>
      <c r="J552" s="149" t="s">
        <v>6772</v>
      </c>
      <c r="K552" s="149" t="s">
        <v>6773</v>
      </c>
      <c r="L552" s="149" t="s">
        <v>6774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6772</v>
      </c>
      <c r="AC552" s="149" t="s">
        <v>6773</v>
      </c>
      <c r="AD552" s="149" t="s">
        <v>6774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>IF(AY552-KD552=0,"",AY552-O552)</f>
        <v/>
      </c>
      <c r="BD552" s="103" t="str">
        <f>IF(AND(AI552&lt;&gt;"SIM",AI552="UH"),"AA","INDENIZAÇÃO")</f>
        <v>AA</v>
      </c>
      <c r="BE552" s="103" t="str">
        <f>IF(AND(AY552&lt;&gt;"AGUARDANDO",AY552&lt;&gt;"",N552="AUXÍLIO ALUGUEL ATÉ INDENIZAÇÃO"),"SIM","NÃO")</f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4476</v>
      </c>
      <c r="D553" s="103">
        <v>1</v>
      </c>
      <c r="E553" s="103" t="s">
        <v>4432</v>
      </c>
      <c r="F553" s="104" t="s">
        <v>6775</v>
      </c>
      <c r="G553" s="112" t="s">
        <v>4330</v>
      </c>
      <c r="H553" s="112" t="s">
        <v>4331</v>
      </c>
      <c r="I553" s="142" t="s">
        <v>4343</v>
      </c>
      <c r="J553" s="150" t="s">
        <v>6776</v>
      </c>
      <c r="K553" s="141" t="s">
        <v>6777</v>
      </c>
      <c r="L553" s="141" t="s">
        <v>6778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6776</v>
      </c>
      <c r="AC553" s="141" t="s">
        <v>6777</v>
      </c>
      <c r="AD553" s="141" t="s">
        <v>6778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3" t="s">
        <v>6779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4454</v>
      </c>
      <c r="AZ553" s="106"/>
      <c r="BA553" s="107" t="s">
        <v>4330</v>
      </c>
      <c r="BB553" s="112"/>
      <c r="BC553" s="220" t="e">
        <f>IF(AY553-KD553=0,"",AY553-O553)</f>
        <v>#VALUE!</v>
      </c>
      <c r="BD553" s="103" t="str">
        <f>IF(AND(AI553&lt;&gt;"SIM",AI553="UH"),"AA","INDENIZAÇÃO")</f>
        <v>INDENIZAÇÃO</v>
      </c>
      <c r="BE553" s="103" t="str">
        <f>IF(AND(AY553&lt;&gt;"AGUARDANDO",AY553&lt;&gt;"",N553="AUXÍLIO ALUGUEL ATÉ INDENIZAÇÃO"),"SIM","NÃO")</f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6780</v>
      </c>
      <c r="G554" s="103" t="s">
        <v>4330</v>
      </c>
      <c r="H554" s="103" t="s">
        <v>4331</v>
      </c>
      <c r="I554" s="103" t="s">
        <v>4343</v>
      </c>
      <c r="J554" s="149" t="s">
        <v>6781</v>
      </c>
      <c r="K554" s="149" t="s">
        <v>6782</v>
      </c>
      <c r="L554" s="149" t="s">
        <v>6783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6781</v>
      </c>
      <c r="AC554" s="149" t="s">
        <v>6782</v>
      </c>
      <c r="AD554" s="149" t="s">
        <v>6783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>IF(AY554-KD554=0,"",AY554-O554)</f>
        <v/>
      </c>
      <c r="BD554" s="103" t="str">
        <f>IF(AND(AI554&lt;&gt;"SIM",AI554="UH"),"AA","INDENIZAÇÃO")</f>
        <v>AA</v>
      </c>
      <c r="BE554" s="103" t="str">
        <f>IF(AND(AY554&lt;&gt;"AGUARDANDO",AY554&lt;&gt;"",N554="AUXÍLIO ALUGUEL ATÉ INDENIZAÇÃO"),"SIM","NÃO")</f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4476</v>
      </c>
      <c r="D555" s="103">
        <v>1</v>
      </c>
      <c r="E555" s="103" t="s">
        <v>4432</v>
      </c>
      <c r="F555" s="104" t="s">
        <v>6780</v>
      </c>
      <c r="G555" s="103" t="s">
        <v>4330</v>
      </c>
      <c r="H555" s="103" t="s">
        <v>4331</v>
      </c>
      <c r="I555" s="142" t="s">
        <v>4343</v>
      </c>
      <c r="J555" s="149" t="s">
        <v>6784</v>
      </c>
      <c r="K555" s="149" t="s">
        <v>6785</v>
      </c>
      <c r="L555" s="149" t="s">
        <v>6786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6784</v>
      </c>
      <c r="AC555" s="149" t="s">
        <v>6785</v>
      </c>
      <c r="AD555" s="149" t="s">
        <v>6786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>IF(AY555-KD555=0,"",AY555-O555)</f>
        <v/>
      </c>
      <c r="BD555" s="103" t="str">
        <f>IF(AND(AI555&lt;&gt;"SIM",AI555="UH"),"AA","INDENIZAÇÃO")</f>
        <v>AA</v>
      </c>
      <c r="BE555" s="103" t="str">
        <f>IF(AND(AY555&lt;&gt;"AGUARDANDO",AY555&lt;&gt;"",N555="AUXÍLIO ALUGUEL ATÉ INDENIZAÇÃO"),"SIM","NÃO")</f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4476</v>
      </c>
      <c r="D556" s="103">
        <v>1</v>
      </c>
      <c r="E556" s="103" t="s">
        <v>4432</v>
      </c>
      <c r="F556" s="104" t="s">
        <v>6787</v>
      </c>
      <c r="G556" s="103" t="s">
        <v>4330</v>
      </c>
      <c r="H556" s="103" t="s">
        <v>4331</v>
      </c>
      <c r="I556" s="142" t="s">
        <v>4343</v>
      </c>
      <c r="J556" s="149" t="s">
        <v>6788</v>
      </c>
      <c r="K556" s="149" t="s">
        <v>6789</v>
      </c>
      <c r="L556" s="149" t="s">
        <v>6790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6788</v>
      </c>
      <c r="AC556" s="149" t="s">
        <v>6789</v>
      </c>
      <c r="AD556" s="149" t="s">
        <v>6790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>IF(AY556-KD556=0,"",AY556-O556)</f>
        <v/>
      </c>
      <c r="BD556" s="103" t="str">
        <f>IF(AND(AI556&lt;&gt;"SIM",AI556="UH"),"AA","INDENIZAÇÃO")</f>
        <v>AA</v>
      </c>
      <c r="BE556" s="103" t="str">
        <f>IF(AND(AY556&lt;&gt;"AGUARDANDO",AY556&lt;&gt;"",N556="AUXÍLIO ALUGUEL ATÉ INDENIZAÇÃO"),"SIM","NÃO")</f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6787</v>
      </c>
      <c r="G557" s="103" t="s">
        <v>4330</v>
      </c>
      <c r="H557" s="103" t="s">
        <v>4331</v>
      </c>
      <c r="I557" s="103" t="s">
        <v>4343</v>
      </c>
      <c r="J557" s="149" t="s">
        <v>6791</v>
      </c>
      <c r="K557" s="149" t="s">
        <v>6792</v>
      </c>
      <c r="L557" s="149" t="s">
        <v>6793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6791</v>
      </c>
      <c r="AC557" s="149" t="s">
        <v>6792</v>
      </c>
      <c r="AD557" s="149" t="s">
        <v>6793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>IF(AY557-KD557=0,"",AY557-O557)</f>
        <v/>
      </c>
      <c r="BD557" s="103" t="str">
        <f>IF(AND(AI557&lt;&gt;"SIM",AI557="UH"),"AA","INDENIZAÇÃO")</f>
        <v>AA</v>
      </c>
      <c r="BE557" s="103" t="str">
        <f>IF(AND(AY557&lt;&gt;"AGUARDANDO",AY557&lt;&gt;"",N557="AUXÍLIO ALUGUEL ATÉ INDENIZAÇÃO"),"SIM","NÃO")</f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6794</v>
      </c>
      <c r="G558" s="103" t="s">
        <v>4330</v>
      </c>
      <c r="H558" s="103" t="s">
        <v>4331</v>
      </c>
      <c r="I558" s="103" t="s">
        <v>4343</v>
      </c>
      <c r="J558" s="149" t="s">
        <v>6795</v>
      </c>
      <c r="K558" s="149" t="s">
        <v>6796</v>
      </c>
      <c r="L558" s="149" t="s">
        <v>6797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6795</v>
      </c>
      <c r="AC558" s="149" t="s">
        <v>6796</v>
      </c>
      <c r="AD558" s="149" t="s">
        <v>6797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>IF(AY558-KD558=0,"",AY558-O558)</f>
        <v/>
      </c>
      <c r="BD558" s="103" t="str">
        <f>IF(AND(AI558&lt;&gt;"SIM",AI558="UH"),"AA","INDENIZAÇÃO")</f>
        <v>AA</v>
      </c>
      <c r="BE558" s="103" t="str">
        <f>IF(AND(AY558&lt;&gt;"AGUARDANDO",AY558&lt;&gt;"",N558="AUXÍLIO ALUGUEL ATÉ INDENIZAÇÃO"),"SIM","NÃO")</f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6798</v>
      </c>
      <c r="G559" s="103" t="s">
        <v>4330</v>
      </c>
      <c r="H559" s="103" t="s">
        <v>4331</v>
      </c>
      <c r="I559" s="103" t="s">
        <v>4343</v>
      </c>
      <c r="J559" s="149" t="s">
        <v>6799</v>
      </c>
      <c r="K559" s="149" t="s">
        <v>6800</v>
      </c>
      <c r="L559" s="149" t="s">
        <v>6801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6799</v>
      </c>
      <c r="AC559" s="149" t="s">
        <v>6800</v>
      </c>
      <c r="AD559" s="149" t="s">
        <v>6801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>IF(AY559-KD559=0,"",AY559-O559)</f>
        <v/>
      </c>
      <c r="BD559" s="103" t="str">
        <f>IF(AND(AI559&lt;&gt;"SIM",AI559="UH"),"AA","INDENIZAÇÃO")</f>
        <v>AA</v>
      </c>
      <c r="BE559" s="103" t="str">
        <f>IF(AND(AY559&lt;&gt;"AGUARDANDO",AY559&lt;&gt;"",N559="AUXÍLIO ALUGUEL ATÉ INDENIZAÇÃO"),"SIM","NÃO")</f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4476</v>
      </c>
      <c r="D560" s="103">
        <v>1</v>
      </c>
      <c r="E560" s="103" t="s">
        <v>4432</v>
      </c>
      <c r="F560" s="104" t="s">
        <v>6802</v>
      </c>
      <c r="G560" s="103" t="s">
        <v>4330</v>
      </c>
      <c r="H560" s="103" t="s">
        <v>4331</v>
      </c>
      <c r="I560" s="142" t="s">
        <v>4343</v>
      </c>
      <c r="J560" s="149" t="s">
        <v>6803</v>
      </c>
      <c r="K560" s="149" t="s">
        <v>6804</v>
      </c>
      <c r="L560" s="149" t="s">
        <v>6805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6803</v>
      </c>
      <c r="AC560" s="149" t="s">
        <v>6804</v>
      </c>
      <c r="AD560" s="149" t="s">
        <v>6805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>IF(AY560-KD560=0,"",AY560-O560)</f>
        <v/>
      </c>
      <c r="BD560" s="103" t="str">
        <f>IF(AND(AI560&lt;&gt;"SIM",AI560="UH"),"AA","INDENIZAÇÃO")</f>
        <v>AA</v>
      </c>
      <c r="BE560" s="103" t="str">
        <f>IF(AND(AY560&lt;&gt;"AGUARDANDO",AY560&lt;&gt;"",N560="AUXÍLIO ALUGUEL ATÉ INDENIZAÇÃO"),"SIM","NÃO")</f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6802</v>
      </c>
      <c r="G561" s="103" t="s">
        <v>4330</v>
      </c>
      <c r="H561" s="103" t="s">
        <v>4331</v>
      </c>
      <c r="I561" s="103" t="s">
        <v>4343</v>
      </c>
      <c r="J561" s="149" t="s">
        <v>6806</v>
      </c>
      <c r="K561" s="149" t="s">
        <v>6807</v>
      </c>
      <c r="L561" s="149" t="s">
        <v>6808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6806</v>
      </c>
      <c r="AC561" s="149" t="s">
        <v>6807</v>
      </c>
      <c r="AD561" s="149" t="s">
        <v>6808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>IF(AY561-KD561=0,"",AY561-O561)</f>
        <v/>
      </c>
      <c r="BD561" s="103" t="str">
        <f>IF(AND(AI561&lt;&gt;"SIM",AI561="UH"),"AA","INDENIZAÇÃO")</f>
        <v>AA</v>
      </c>
      <c r="BE561" s="103" t="str">
        <f>IF(AND(AY561&lt;&gt;"AGUARDANDO",AY561&lt;&gt;"",N561="AUXÍLIO ALUGUEL ATÉ INDENIZAÇÃO"),"SIM","NÃO")</f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6809</v>
      </c>
      <c r="G562" s="103" t="s">
        <v>4330</v>
      </c>
      <c r="H562" s="103" t="s">
        <v>4331</v>
      </c>
      <c r="I562" s="103" t="s">
        <v>4343</v>
      </c>
      <c r="J562" s="149" t="s">
        <v>6810</v>
      </c>
      <c r="K562" s="149" t="s">
        <v>6811</v>
      </c>
      <c r="L562" s="149" t="s">
        <v>6812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6810</v>
      </c>
      <c r="AC562" s="149" t="s">
        <v>6811</v>
      </c>
      <c r="AD562" s="149" t="s">
        <v>6812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>IF(AY562-KD562=0,"",AY562-O562)</f>
        <v/>
      </c>
      <c r="BD562" s="103" t="str">
        <f>IF(AND(AI562&lt;&gt;"SIM",AI562="UH"),"AA","INDENIZAÇÃO")</f>
        <v>AA</v>
      </c>
      <c r="BE562" s="103" t="str">
        <f>IF(AND(AY562&lt;&gt;"AGUARDANDO",AY562&lt;&gt;"",N562="AUXÍLIO ALUGUEL ATÉ INDENIZAÇÃO"),"SIM","NÃO")</f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4476</v>
      </c>
      <c r="D563" s="103">
        <v>1</v>
      </c>
      <c r="E563" s="103" t="s">
        <v>4432</v>
      </c>
      <c r="F563" s="104" t="s">
        <v>6813</v>
      </c>
      <c r="G563" s="103" t="s">
        <v>4330</v>
      </c>
      <c r="H563" s="103" t="s">
        <v>4331</v>
      </c>
      <c r="I563" s="142" t="s">
        <v>4343</v>
      </c>
      <c r="J563" s="149" t="s">
        <v>6814</v>
      </c>
      <c r="K563" s="149" t="s">
        <v>6815</v>
      </c>
      <c r="L563" s="149" t="s">
        <v>6816</v>
      </c>
      <c r="M563" s="103" t="s">
        <v>4333</v>
      </c>
      <c r="N563" s="103" t="s">
        <v>4452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6814</v>
      </c>
      <c r="AC563" s="149" t="s">
        <v>6815</v>
      </c>
      <c r="AD563" s="149" t="s">
        <v>6816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6817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4454</v>
      </c>
      <c r="BA563" s="107" t="s">
        <v>4598</v>
      </c>
      <c r="BB563" s="112" t="s">
        <v>4338</v>
      </c>
      <c r="BC563" s="220">
        <f>IF(AY563-KD563=0,"",AY563-O563)</f>
        <v>94</v>
      </c>
      <c r="BD563" s="103" t="str">
        <f>IF(AND(AI563&lt;&gt;"SIM",AI563="UH"),"AA","INDENIZAÇÃO")</f>
        <v>INDENIZAÇÃO</v>
      </c>
      <c r="BE563" s="103" t="str">
        <f>IF(AND(AY563&lt;&gt;"AGUARDANDO",AY563&lt;&gt;"",N563="AUXÍLIO ALUGUEL ATÉ INDENIZAÇÃO"),"SIM","NÃO")</f>
        <v>NÃO</v>
      </c>
      <c r="BF563" s="112" t="s">
        <v>4357</v>
      </c>
      <c r="BG563" s="112" t="s">
        <v>4357</v>
      </c>
      <c r="BH563" s="112" t="s">
        <v>4357</v>
      </c>
      <c r="BI563" s="109" t="s">
        <v>4926</v>
      </c>
      <c r="BJ563" s="109"/>
      <c r="BK563" s="109"/>
      <c r="BL563" s="109"/>
      <c r="BM563" s="239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4476</v>
      </c>
      <c r="D564" s="103">
        <v>1</v>
      </c>
      <c r="E564" s="103" t="s">
        <v>4432</v>
      </c>
      <c r="F564" s="104" t="s">
        <v>6818</v>
      </c>
      <c r="G564" s="103" t="s">
        <v>4330</v>
      </c>
      <c r="H564" s="103" t="s">
        <v>4331</v>
      </c>
      <c r="I564" s="142" t="s">
        <v>4343</v>
      </c>
      <c r="J564" s="149" t="s">
        <v>6819</v>
      </c>
      <c r="K564" s="149" t="s">
        <v>4432</v>
      </c>
      <c r="L564" s="149" t="s">
        <v>6820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6819</v>
      </c>
      <c r="AC564" s="149" t="s">
        <v>4432</v>
      </c>
      <c r="AD564" s="149" t="s">
        <v>6820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3" t="s">
        <v>6821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4454</v>
      </c>
      <c r="AZ564" s="106"/>
      <c r="BA564" s="107" t="s">
        <v>4330</v>
      </c>
      <c r="BB564" s="112"/>
      <c r="BC564" s="220" t="e">
        <f>IF(AY564-KD564=0,"",AY564-O564)</f>
        <v>#VALUE!</v>
      </c>
      <c r="BD564" s="103" t="str">
        <f>IF(AND(AI564&lt;&gt;"SIM",AI564="UH"),"AA","INDENIZAÇÃO")</f>
        <v>INDENIZAÇÃO</v>
      </c>
      <c r="BE564" s="103" t="str">
        <f>IF(AND(AY564&lt;&gt;"AGUARDANDO",AY564&lt;&gt;"",N564="AUXÍLIO ALUGUEL ATÉ INDENIZAÇÃO"),"SIM","NÃO")</f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6822</v>
      </c>
      <c r="G565" s="103" t="s">
        <v>4330</v>
      </c>
      <c r="H565" s="103" t="s">
        <v>4331</v>
      </c>
      <c r="I565" s="103" t="s">
        <v>4343</v>
      </c>
      <c r="J565" s="149" t="s">
        <v>6823</v>
      </c>
      <c r="K565" s="149" t="s">
        <v>6824</v>
      </c>
      <c r="L565" s="149" t="s">
        <v>6825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6823</v>
      </c>
      <c r="AC565" s="149" t="s">
        <v>6824</v>
      </c>
      <c r="AD565" s="149" t="s">
        <v>6825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>IF(AY565-KD565=0,"",AY565-O565)</f>
        <v/>
      </c>
      <c r="BD565" s="103" t="str">
        <f>IF(AND(AI565&lt;&gt;"SIM",AI565="UH"),"AA","INDENIZAÇÃO")</f>
        <v>AA</v>
      </c>
      <c r="BE565" s="103" t="str">
        <f>IF(AND(AY565&lt;&gt;"AGUARDANDO",AY565&lt;&gt;"",N565="AUXÍLIO ALUGUEL ATÉ INDENIZAÇÃO"),"SIM","NÃO")</f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4476</v>
      </c>
      <c r="D566" s="103">
        <v>1</v>
      </c>
      <c r="E566" s="103" t="s">
        <v>4432</v>
      </c>
      <c r="F566" s="104" t="s">
        <v>6822</v>
      </c>
      <c r="G566" s="103" t="s">
        <v>4330</v>
      </c>
      <c r="H566" s="103" t="s">
        <v>4331</v>
      </c>
      <c r="I566" s="142" t="s">
        <v>4343</v>
      </c>
      <c r="J566" s="149" t="s">
        <v>6826</v>
      </c>
      <c r="K566" s="149" t="s">
        <v>6827</v>
      </c>
      <c r="L566" s="149" t="s">
        <v>6828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6826</v>
      </c>
      <c r="AC566" s="149" t="s">
        <v>6827</v>
      </c>
      <c r="AD566" s="149" t="s">
        <v>6828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>IF(AY566-KD566=0,"",AY566-O566)</f>
        <v/>
      </c>
      <c r="BD566" s="103" t="str">
        <f>IF(AND(AI566&lt;&gt;"SIM",AI566="UH"),"AA","INDENIZAÇÃO")</f>
        <v>AA</v>
      </c>
      <c r="BE566" s="103" t="str">
        <f>IF(AND(AY566&lt;&gt;"AGUARDANDO",AY566&lt;&gt;"",N566="AUXÍLIO ALUGUEL ATÉ INDENIZAÇÃO"),"SIM","NÃO")</f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6829</v>
      </c>
      <c r="G567" s="103" t="s">
        <v>4330</v>
      </c>
      <c r="H567" s="103" t="s">
        <v>4331</v>
      </c>
      <c r="I567" s="103" t="s">
        <v>4343</v>
      </c>
      <c r="J567" s="149" t="s">
        <v>6830</v>
      </c>
      <c r="K567" s="149" t="s">
        <v>6831</v>
      </c>
      <c r="L567" s="149" t="s">
        <v>6832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6830</v>
      </c>
      <c r="AC567" s="149" t="s">
        <v>6831</v>
      </c>
      <c r="AD567" s="149" t="s">
        <v>6832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>IF(AY567-KD567=0,"",AY567-O567)</f>
        <v/>
      </c>
      <c r="BD567" s="103" t="str">
        <f>IF(AND(AI567&lt;&gt;"SIM",AI567="UH"),"AA","INDENIZAÇÃO")</f>
        <v>AA</v>
      </c>
      <c r="BE567" s="103" t="str">
        <f>IF(AND(AY567&lt;&gt;"AGUARDANDO",AY567&lt;&gt;"",N567="AUXÍLIO ALUGUEL ATÉ INDENIZAÇÃO"),"SIM","NÃO")</f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6833</v>
      </c>
      <c r="G568" s="103" t="s">
        <v>4330</v>
      </c>
      <c r="H568" s="103" t="s">
        <v>4331</v>
      </c>
      <c r="I568" s="103" t="s">
        <v>4343</v>
      </c>
      <c r="J568" s="149" t="s">
        <v>6834</v>
      </c>
      <c r="K568" s="149" t="s">
        <v>6835</v>
      </c>
      <c r="L568" s="149" t="s">
        <v>6836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6834</v>
      </c>
      <c r="AC568" s="149" t="s">
        <v>6835</v>
      </c>
      <c r="AD568" s="149" t="s">
        <v>6836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>IF(AY568-KD568=0,"",AY568-O568)</f>
        <v/>
      </c>
      <c r="BD568" s="103" t="str">
        <f>IF(AND(AI568&lt;&gt;"SIM",AI568="UH"),"AA","INDENIZAÇÃO")</f>
        <v>AA</v>
      </c>
      <c r="BE568" s="103" t="str">
        <f>IF(AND(AY568&lt;&gt;"AGUARDANDO",AY568&lt;&gt;"",N568="AUXÍLIO ALUGUEL ATÉ INDENIZAÇÃO"),"SIM","NÃO")</f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6837</v>
      </c>
      <c r="G569" s="103" t="s">
        <v>4330</v>
      </c>
      <c r="H569" s="103" t="s">
        <v>4331</v>
      </c>
      <c r="I569" s="103" t="s">
        <v>4343</v>
      </c>
      <c r="J569" s="149" t="s">
        <v>6838</v>
      </c>
      <c r="K569" s="149" t="s">
        <v>4432</v>
      </c>
      <c r="L569" s="149" t="s">
        <v>6839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6838</v>
      </c>
      <c r="AC569" s="149" t="s">
        <v>4432</v>
      </c>
      <c r="AD569" s="149" t="s">
        <v>6839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>IF(AY569-KD569=0,"",AY569-O569)</f>
        <v/>
      </c>
      <c r="BD569" s="103" t="str">
        <f>IF(AND(AI569&lt;&gt;"SIM",AI569="UH"),"AA","INDENIZAÇÃO")</f>
        <v>AA</v>
      </c>
      <c r="BE569" s="103" t="str">
        <f>IF(AND(AY569&lt;&gt;"AGUARDANDO",AY569&lt;&gt;"",N569="AUXÍLIO ALUGUEL ATÉ INDENIZAÇÃO"),"SIM","NÃO")</f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6840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6841</v>
      </c>
      <c r="L570" s="149" t="s">
        <v>6842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6841</v>
      </c>
      <c r="AD570" s="149" t="s">
        <v>6842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>IF(AY570-KD570=0,"",AY570-O570)</f>
        <v/>
      </c>
      <c r="BD570" s="103" t="str">
        <f>IF(AND(AI570&lt;&gt;"SIM",AI570="UH"),"AA","INDENIZAÇÃO")</f>
        <v>AA</v>
      </c>
      <c r="BE570" s="103" t="str">
        <f>IF(AND(AY570&lt;&gt;"AGUARDANDO",AY570&lt;&gt;"",N570="AUXÍLIO ALUGUEL ATÉ INDENIZAÇÃO"),"SIM","NÃO")</f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6843</v>
      </c>
      <c r="G571" s="103" t="s">
        <v>4330</v>
      </c>
      <c r="H571" s="103" t="s">
        <v>4331</v>
      </c>
      <c r="I571" s="103" t="s">
        <v>4343</v>
      </c>
      <c r="J571" s="149" t="s">
        <v>6844</v>
      </c>
      <c r="K571" s="149" t="s">
        <v>6845</v>
      </c>
      <c r="L571" s="149" t="s">
        <v>6846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6844</v>
      </c>
      <c r="AC571" s="149" t="s">
        <v>6845</v>
      </c>
      <c r="AD571" s="149" t="s">
        <v>6846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>IF(AY571-KD571=0,"",AY571-O571)</f>
        <v/>
      </c>
      <c r="BD571" s="103" t="str">
        <f>IF(AND(AI571&lt;&gt;"SIM",AI571="UH"),"AA","INDENIZAÇÃO")</f>
        <v>AA</v>
      </c>
      <c r="BE571" s="103" t="str">
        <f>IF(AND(AY571&lt;&gt;"AGUARDANDO",AY571&lt;&gt;"",N571="AUXÍLIO ALUGUEL ATÉ INDENIZAÇÃO"),"SIM","NÃO")</f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4476</v>
      </c>
      <c r="D572" s="103">
        <v>1</v>
      </c>
      <c r="E572" s="103" t="s">
        <v>4432</v>
      </c>
      <c r="F572" s="104" t="s">
        <v>6847</v>
      </c>
      <c r="G572" s="103" t="s">
        <v>4330</v>
      </c>
      <c r="H572" s="103" t="s">
        <v>4331</v>
      </c>
      <c r="I572" s="142" t="s">
        <v>4343</v>
      </c>
      <c r="J572" s="149" t="s">
        <v>6848</v>
      </c>
      <c r="K572" s="149" t="s">
        <v>6849</v>
      </c>
      <c r="L572" s="149" t="s">
        <v>6850</v>
      </c>
      <c r="M572" s="103" t="s">
        <v>4333</v>
      </c>
      <c r="N572" s="103" t="s">
        <v>4452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6848</v>
      </c>
      <c r="AC572" s="149" t="s">
        <v>6849</v>
      </c>
      <c r="AD572" s="149" t="s">
        <v>6850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6851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4454</v>
      </c>
      <c r="BA572" s="107" t="s">
        <v>4598</v>
      </c>
      <c r="BB572" s="112" t="s">
        <v>4338</v>
      </c>
      <c r="BC572" s="220">
        <f>IF(AY572-KD572=0,"",AY572-O572)</f>
        <v>115</v>
      </c>
      <c r="BD572" s="103" t="str">
        <f>IF(AND(AI572&lt;&gt;"SIM",AI572="UH"),"AA","INDENIZAÇÃO")</f>
        <v>INDENIZAÇÃO</v>
      </c>
      <c r="BE572" s="103" t="str">
        <f>IF(AND(AY572&lt;&gt;"AGUARDANDO",AY572&lt;&gt;"",N572="AUXÍLIO ALUGUEL ATÉ INDENIZAÇÃO"),"SIM","NÃO")</f>
        <v>NÃO</v>
      </c>
      <c r="BF572" s="112" t="s">
        <v>4357</v>
      </c>
      <c r="BG572" s="112" t="s">
        <v>4357</v>
      </c>
      <c r="BH572" s="112" t="s">
        <v>4357</v>
      </c>
      <c r="BI572" s="109" t="s">
        <v>4926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4476</v>
      </c>
      <c r="D573" s="103">
        <v>1</v>
      </c>
      <c r="E573" s="103" t="s">
        <v>4432</v>
      </c>
      <c r="F573" s="104" t="s">
        <v>6852</v>
      </c>
      <c r="G573" s="103" t="s">
        <v>4330</v>
      </c>
      <c r="H573" s="103" t="s">
        <v>4331</v>
      </c>
      <c r="I573" s="142" t="s">
        <v>4343</v>
      </c>
      <c r="J573" s="150" t="s">
        <v>6853</v>
      </c>
      <c r="K573" s="149" t="s">
        <v>4457</v>
      </c>
      <c r="L573" s="149" t="s">
        <v>6854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6853</v>
      </c>
      <c r="AC573" s="149" t="s">
        <v>4457</v>
      </c>
      <c r="AD573" s="149" t="s">
        <v>6854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>IF(AY573-KD573=0,"",AY573-O573)</f>
        <v/>
      </c>
      <c r="BD573" s="103" t="str">
        <f>IF(AND(AI573&lt;&gt;"SIM",AI573="UH"),"AA","INDENIZAÇÃO")</f>
        <v>AA</v>
      </c>
      <c r="BE573" s="103" t="str">
        <f>IF(AND(AY573&lt;&gt;"AGUARDANDO",AY573&lt;&gt;"",N573="AUXÍLIO ALUGUEL ATÉ INDENIZAÇÃO"),"SIM","NÃO")</f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6855</v>
      </c>
      <c r="K574" s="149" t="s">
        <v>6856</v>
      </c>
      <c r="L574" s="149" t="s">
        <v>6857</v>
      </c>
      <c r="M574" s="103" t="s">
        <v>4333</v>
      </c>
      <c r="N574" s="103" t="s">
        <v>4452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6855</v>
      </c>
      <c r="AC574" s="149" t="s">
        <v>6856</v>
      </c>
      <c r="AD574" s="149" t="s">
        <v>6857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6858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4454</v>
      </c>
      <c r="BA574" s="107" t="s">
        <v>4598</v>
      </c>
      <c r="BB574" s="112" t="s">
        <v>4338</v>
      </c>
      <c r="BC574" s="220">
        <f>IF(AY574-KD574=0,"",AY574-O574)</f>
        <v>82</v>
      </c>
      <c r="BD574" s="103" t="str">
        <f>IF(AND(AI574&lt;&gt;"SIM",AI574="UH"),"AA","INDENIZAÇÃO")</f>
        <v>INDENIZAÇÃO</v>
      </c>
      <c r="BE574" s="103" t="str">
        <f>IF(AND(AY574&lt;&gt;"AGUARDANDO",AY574&lt;&gt;"",N574="AUXÍLIO ALUGUEL ATÉ INDENIZAÇÃO"),"SIM","NÃO")</f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4454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5761</v>
      </c>
      <c r="G575" s="103" t="s">
        <v>4330</v>
      </c>
      <c r="H575" s="103" t="s">
        <v>4331</v>
      </c>
      <c r="I575" s="142" t="s">
        <v>4343</v>
      </c>
      <c r="J575" s="149" t="s">
        <v>6859</v>
      </c>
      <c r="K575" s="149" t="s">
        <v>6860</v>
      </c>
      <c r="L575" s="149" t="s">
        <v>6861</v>
      </c>
      <c r="M575" s="103" t="s">
        <v>4333</v>
      </c>
      <c r="N575" s="103" t="s">
        <v>4452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6859</v>
      </c>
      <c r="AC575" s="149" t="s">
        <v>6860</v>
      </c>
      <c r="AD575" s="149" t="s">
        <v>6861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4476</v>
      </c>
      <c r="D576" s="103">
        <v>1</v>
      </c>
      <c r="E576" s="103" t="s">
        <v>4432</v>
      </c>
      <c r="F576" s="104" t="s">
        <v>6862</v>
      </c>
      <c r="G576" s="103" t="s">
        <v>4330</v>
      </c>
      <c r="H576" s="103" t="s">
        <v>4331</v>
      </c>
      <c r="I576" s="142" t="s">
        <v>4343</v>
      </c>
      <c r="J576" s="149" t="s">
        <v>6863</v>
      </c>
      <c r="K576" s="149" t="s">
        <v>6864</v>
      </c>
      <c r="L576" s="149" t="s">
        <v>6865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6863</v>
      </c>
      <c r="AC576" s="149" t="s">
        <v>6864</v>
      </c>
      <c r="AD576" s="149" t="s">
        <v>6865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4476</v>
      </c>
      <c r="D577" s="103">
        <v>1</v>
      </c>
      <c r="E577" s="103" t="s">
        <v>4432</v>
      </c>
      <c r="F577" s="104" t="s">
        <v>6866</v>
      </c>
      <c r="G577" s="103" t="s">
        <v>4330</v>
      </c>
      <c r="H577" s="103" t="s">
        <v>4331</v>
      </c>
      <c r="I577" s="142" t="s">
        <v>4343</v>
      </c>
      <c r="J577" s="149" t="s">
        <v>6867</v>
      </c>
      <c r="K577" s="149" t="s">
        <v>6868</v>
      </c>
      <c r="L577" s="149" t="s">
        <v>6869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4476</v>
      </c>
      <c r="D578" s="103">
        <v>1</v>
      </c>
      <c r="E578" s="103" t="s">
        <v>4432</v>
      </c>
      <c r="F578" s="104" t="s">
        <v>6870</v>
      </c>
      <c r="G578" s="103" t="s">
        <v>4330</v>
      </c>
      <c r="H578" s="103" t="s">
        <v>4331</v>
      </c>
      <c r="I578" s="142" t="s">
        <v>4343</v>
      </c>
      <c r="J578" s="149" t="s">
        <v>6871</v>
      </c>
      <c r="K578" s="149" t="s">
        <v>6872</v>
      </c>
      <c r="L578" s="149" t="s">
        <v>6873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6871</v>
      </c>
      <c r="AC578" s="149" t="s">
        <v>6872</v>
      </c>
      <c r="AD578" s="149" t="s">
        <v>6873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4476</v>
      </c>
      <c r="D579" s="103">
        <v>1</v>
      </c>
      <c r="E579" s="103" t="s">
        <v>4432</v>
      </c>
      <c r="F579" s="104" t="s">
        <v>6874</v>
      </c>
      <c r="G579" s="103" t="s">
        <v>4330</v>
      </c>
      <c r="H579" s="103" t="s">
        <v>4331</v>
      </c>
      <c r="I579" s="142" t="s">
        <v>4343</v>
      </c>
      <c r="J579" s="114" t="s">
        <v>6875</v>
      </c>
      <c r="K579" s="149" t="s">
        <v>6876</v>
      </c>
      <c r="L579" s="149" t="s">
        <v>6877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6875</v>
      </c>
      <c r="AC579" s="149" t="s">
        <v>6876</v>
      </c>
      <c r="AD579" s="149" t="s">
        <v>6877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4476</v>
      </c>
      <c r="D580" s="103">
        <v>1</v>
      </c>
      <c r="E580" s="103" t="s">
        <v>4432</v>
      </c>
      <c r="F580" s="104" t="s">
        <v>6878</v>
      </c>
      <c r="G580" s="103" t="s">
        <v>4330</v>
      </c>
      <c r="H580" s="103" t="s">
        <v>4331</v>
      </c>
      <c r="I580" s="142" t="s">
        <v>4343</v>
      </c>
      <c r="J580" s="149" t="s">
        <v>6879</v>
      </c>
      <c r="K580" s="149" t="s">
        <v>6880</v>
      </c>
      <c r="L580" s="149" t="s">
        <v>6881</v>
      </c>
      <c r="M580" s="103" t="s">
        <v>4333</v>
      </c>
      <c r="N580" s="103" t="s">
        <v>4452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6879</v>
      </c>
      <c r="AC580" s="204" t="s">
        <v>6880</v>
      </c>
      <c r="AD580" s="204" t="s">
        <v>6881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6882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4454</v>
      </c>
      <c r="BA580" s="107" t="s">
        <v>4598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4926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4476</v>
      </c>
      <c r="D581" s="103">
        <v>1</v>
      </c>
      <c r="E581" s="103" t="s">
        <v>4432</v>
      </c>
      <c r="F581" s="104" t="s">
        <v>6883</v>
      </c>
      <c r="G581" s="103" t="s">
        <v>4330</v>
      </c>
      <c r="H581" s="103" t="s">
        <v>4331</v>
      </c>
      <c r="I581" s="246" t="s">
        <v>4343</v>
      </c>
      <c r="J581" s="149" t="s">
        <v>6884</v>
      </c>
      <c r="K581" s="149" t="s">
        <v>6885</v>
      </c>
      <c r="L581" s="149" t="s">
        <v>6886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6884</v>
      </c>
      <c r="AC581" s="149" t="s">
        <v>6885</v>
      </c>
      <c r="AD581" s="149" t="s">
        <v>6886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4476</v>
      </c>
      <c r="D582" s="103">
        <v>1</v>
      </c>
      <c r="E582" s="103" t="s">
        <v>4432</v>
      </c>
      <c r="F582" s="104" t="s">
        <v>6887</v>
      </c>
      <c r="G582" s="103" t="s">
        <v>4330</v>
      </c>
      <c r="H582" s="103" t="s">
        <v>4331</v>
      </c>
      <c r="I582" s="246" t="s">
        <v>4343</v>
      </c>
      <c r="J582" s="149" t="s">
        <v>6888</v>
      </c>
      <c r="K582" s="149" t="s">
        <v>6889</v>
      </c>
      <c r="L582" s="149" t="s">
        <v>6890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6891</v>
      </c>
      <c r="G583" s="103" t="s">
        <v>4330</v>
      </c>
      <c r="H583" s="103" t="s">
        <v>4331</v>
      </c>
      <c r="I583" s="103" t="s">
        <v>4343</v>
      </c>
      <c r="J583" s="149" t="s">
        <v>6892</v>
      </c>
      <c r="K583" s="149" t="s">
        <v>6893</v>
      </c>
      <c r="L583" s="149" t="s">
        <v>6894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6892</v>
      </c>
      <c r="AC583" s="149" t="s">
        <v>6893</v>
      </c>
      <c r="AD583" s="149" t="s">
        <v>6894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4476</v>
      </c>
      <c r="D584" s="103">
        <v>1</v>
      </c>
      <c r="E584" s="103" t="s">
        <v>4432</v>
      </c>
      <c r="F584" s="104" t="s">
        <v>6895</v>
      </c>
      <c r="G584" s="103" t="s">
        <v>4330</v>
      </c>
      <c r="H584" s="103" t="s">
        <v>4331</v>
      </c>
      <c r="I584" s="103" t="s">
        <v>4343</v>
      </c>
      <c r="J584" s="114" t="s">
        <v>6896</v>
      </c>
      <c r="K584" s="149" t="s">
        <v>4457</v>
      </c>
      <c r="L584" s="149" t="s">
        <v>6897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6896</v>
      </c>
      <c r="AC584" s="149" t="s">
        <v>4457</v>
      </c>
      <c r="AD584" s="149" t="s">
        <v>6897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4476</v>
      </c>
      <c r="D585" s="103">
        <v>1</v>
      </c>
      <c r="E585" s="103" t="s">
        <v>4432</v>
      </c>
      <c r="F585" s="104" t="s">
        <v>6898</v>
      </c>
      <c r="G585" s="103" t="s">
        <v>4330</v>
      </c>
      <c r="H585" s="103" t="s">
        <v>4331</v>
      </c>
      <c r="I585" s="103" t="s">
        <v>4343</v>
      </c>
      <c r="J585" s="114" t="s">
        <v>6899</v>
      </c>
      <c r="K585" s="149" t="s">
        <v>4457</v>
      </c>
      <c r="L585" s="149" t="s">
        <v>6900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6899</v>
      </c>
      <c r="AC585" s="149" t="s">
        <v>4457</v>
      </c>
      <c r="AD585" s="149" t="s">
        <v>6900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4476</v>
      </c>
      <c r="D586" s="103">
        <v>1</v>
      </c>
      <c r="E586" s="103" t="s">
        <v>4432</v>
      </c>
      <c r="F586" s="104" t="s">
        <v>6901</v>
      </c>
      <c r="G586" s="103" t="s">
        <v>4330</v>
      </c>
      <c r="H586" s="103" t="s">
        <v>4331</v>
      </c>
      <c r="I586" s="142" t="s">
        <v>4343</v>
      </c>
      <c r="J586" s="114" t="s">
        <v>6902</v>
      </c>
      <c r="K586" s="149" t="s">
        <v>6903</v>
      </c>
      <c r="L586" s="149" t="s">
        <v>6904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6902</v>
      </c>
      <c r="AC586" s="149" t="s">
        <v>6903</v>
      </c>
      <c r="AD586" s="149" t="s">
        <v>6904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4941</v>
      </c>
      <c r="G587" s="103" t="s">
        <v>4330</v>
      </c>
      <c r="H587" s="103" t="s">
        <v>4331</v>
      </c>
      <c r="I587" s="142" t="s">
        <v>5303</v>
      </c>
      <c r="J587" s="149" t="s">
        <v>6905</v>
      </c>
      <c r="K587" s="149" t="s">
        <v>6906</v>
      </c>
      <c r="L587" s="149" t="s">
        <v>6907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6908</v>
      </c>
      <c r="AC587" s="149" t="s">
        <v>6909</v>
      </c>
      <c r="AD587" s="149" t="s">
        <v>6910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3" t="s">
        <v>6911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4454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4476</v>
      </c>
      <c r="D588" s="103">
        <v>1</v>
      </c>
      <c r="E588" s="103" t="s">
        <v>4432</v>
      </c>
      <c r="F588" s="104" t="s">
        <v>6912</v>
      </c>
      <c r="G588" s="103" t="s">
        <v>4330</v>
      </c>
      <c r="H588" s="103" t="s">
        <v>4331</v>
      </c>
      <c r="I588" s="142" t="s">
        <v>4343</v>
      </c>
      <c r="J588" s="114" t="s">
        <v>6913</v>
      </c>
      <c r="K588" s="149" t="s">
        <v>6914</v>
      </c>
      <c r="L588" s="149" t="s">
        <v>6915</v>
      </c>
      <c r="M588" s="103" t="s">
        <v>4333</v>
      </c>
      <c r="N588" s="103" t="s">
        <v>4452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6913</v>
      </c>
      <c r="AC588" s="149" t="s">
        <v>6914</v>
      </c>
      <c r="AD588" s="149" t="s">
        <v>6915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4476</v>
      </c>
      <c r="D589" s="103">
        <v>1</v>
      </c>
      <c r="E589" s="103" t="s">
        <v>4432</v>
      </c>
      <c r="F589" s="104" t="s">
        <v>6916</v>
      </c>
      <c r="G589" s="103" t="s">
        <v>4330</v>
      </c>
      <c r="H589" s="103" t="s">
        <v>4331</v>
      </c>
      <c r="I589" s="142" t="s">
        <v>4343</v>
      </c>
      <c r="J589" s="149" t="s">
        <v>6917</v>
      </c>
      <c r="K589" s="149" t="s">
        <v>6918</v>
      </c>
      <c r="L589" s="149" t="s">
        <v>6919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6917</v>
      </c>
      <c r="AC589" s="149" t="s">
        <v>6918</v>
      </c>
      <c r="AD589" s="149" t="s">
        <v>6919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4476</v>
      </c>
      <c r="D590" s="103">
        <v>1</v>
      </c>
      <c r="E590" s="103" t="s">
        <v>4432</v>
      </c>
      <c r="F590" s="104" t="s">
        <v>6920</v>
      </c>
      <c r="G590" s="103" t="s">
        <v>4330</v>
      </c>
      <c r="H590" s="103" t="s">
        <v>4331</v>
      </c>
      <c r="I590" s="142" t="s">
        <v>4343</v>
      </c>
      <c r="J590" s="114" t="s">
        <v>6921</v>
      </c>
      <c r="K590" s="149" t="s">
        <v>6922</v>
      </c>
      <c r="L590" s="149" t="s">
        <v>6923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6921</v>
      </c>
      <c r="AC590" s="149" t="s">
        <v>6922</v>
      </c>
      <c r="AD590" s="149" t="s">
        <v>6923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4476</v>
      </c>
      <c r="D591" s="103">
        <v>1</v>
      </c>
      <c r="E591" s="103" t="s">
        <v>4432</v>
      </c>
      <c r="F591" s="104" t="s">
        <v>6924</v>
      </c>
      <c r="G591" s="103" t="s">
        <v>4330</v>
      </c>
      <c r="H591" s="103" t="s">
        <v>4331</v>
      </c>
      <c r="I591" s="142" t="s">
        <v>4343</v>
      </c>
      <c r="J591" s="114" t="s">
        <v>6925</v>
      </c>
      <c r="K591" s="149" t="s">
        <v>6926</v>
      </c>
      <c r="L591" s="149" t="s">
        <v>6927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6925</v>
      </c>
      <c r="AC591" s="149" t="s">
        <v>6926</v>
      </c>
      <c r="AD591" s="149" t="s">
        <v>6927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 t="s">
        <v>4337</v>
      </c>
      <c r="AM591" s="103" t="s">
        <v>4338</v>
      </c>
      <c r="AN591" s="103" t="s">
        <v>4368</v>
      </c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4476</v>
      </c>
      <c r="D592" s="103">
        <v>1</v>
      </c>
      <c r="E592" s="103" t="s">
        <v>4432</v>
      </c>
      <c r="F592" s="104" t="s">
        <v>6928</v>
      </c>
      <c r="G592" s="103" t="s">
        <v>4330</v>
      </c>
      <c r="H592" s="103" t="s">
        <v>4331</v>
      </c>
      <c r="I592" s="142" t="s">
        <v>4343</v>
      </c>
      <c r="J592" s="114" t="s">
        <v>6929</v>
      </c>
      <c r="K592" s="149"/>
      <c r="L592" s="149" t="s">
        <v>6930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4476</v>
      </c>
      <c r="D593" s="103">
        <v>1</v>
      </c>
      <c r="E593" s="103" t="s">
        <v>4432</v>
      </c>
      <c r="F593" s="104" t="s">
        <v>6931</v>
      </c>
      <c r="G593" s="103" t="s">
        <v>4330</v>
      </c>
      <c r="H593" s="103" t="s">
        <v>4331</v>
      </c>
      <c r="I593" s="142" t="s">
        <v>4343</v>
      </c>
      <c r="J593" s="149" t="s">
        <v>6932</v>
      </c>
      <c r="K593" s="149" t="s">
        <v>6933</v>
      </c>
      <c r="L593" s="149" t="s">
        <v>6934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6932</v>
      </c>
      <c r="AC593" s="149" t="s">
        <v>6933</v>
      </c>
      <c r="AD593" s="149" t="s">
        <v>6934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>IF(AY593-KD593=0,"",AY593-O593)</f>
        <v/>
      </c>
      <c r="BD593" s="103" t="str">
        <f>IF(AND(AI593&lt;&gt;"SIM",AI593="UH"),"AA","INDENIZAÇÃO")</f>
        <v>AA</v>
      </c>
      <c r="BE593" s="103" t="str">
        <f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 x14ac:dyDescent="0.25">
      <c r="A594" s="165">
        <v>583</v>
      </c>
      <c r="B594" s="103" t="s">
        <v>4431</v>
      </c>
      <c r="C594" s="103" t="s">
        <v>4439</v>
      </c>
      <c r="D594" s="103">
        <v>1</v>
      </c>
      <c r="E594" s="103" t="s">
        <v>4432</v>
      </c>
      <c r="F594" s="104" t="s">
        <v>6433</v>
      </c>
      <c r="G594" s="103" t="s">
        <v>4330</v>
      </c>
      <c r="H594" s="103" t="s">
        <v>4331</v>
      </c>
      <c r="I594" s="103" t="s">
        <v>4343</v>
      </c>
      <c r="J594" s="149" t="s">
        <v>6437</v>
      </c>
      <c r="K594" s="149" t="s">
        <v>6438</v>
      </c>
      <c r="L594" s="149" t="s">
        <v>6439</v>
      </c>
      <c r="M594" s="103" t="s">
        <v>4333</v>
      </c>
      <c r="N594" s="103" t="s">
        <v>4452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6437</v>
      </c>
      <c r="AC594" s="204" t="s">
        <v>6438</v>
      </c>
      <c r="AD594" s="204" t="s">
        <v>6439</v>
      </c>
      <c r="AE594" s="165" t="s">
        <v>4343</v>
      </c>
      <c r="AF594" s="165" t="s">
        <v>4333</v>
      </c>
      <c r="AG594" s="208">
        <v>24525.65</v>
      </c>
      <c r="AH594" s="208">
        <f>AG594+30000</f>
        <v>54525.65</v>
      </c>
      <c r="AI594" s="165" t="s">
        <v>4447</v>
      </c>
      <c r="AJ594" s="104" t="s">
        <v>4438</v>
      </c>
      <c r="AK594" s="103">
        <v>153980840</v>
      </c>
      <c r="AL594" s="103" t="s">
        <v>4338</v>
      </c>
      <c r="AM594" s="103" t="s">
        <v>4338</v>
      </c>
      <c r="AN594" s="103" t="s">
        <v>4339</v>
      </c>
      <c r="AO594" s="112"/>
      <c r="AP594" s="171" t="s">
        <v>6440</v>
      </c>
      <c r="AQ594" s="259" t="s">
        <v>4338</v>
      </c>
      <c r="AR594" s="112" t="s">
        <v>4338</v>
      </c>
      <c r="AS594" s="103" t="s">
        <v>4831</v>
      </c>
      <c r="AT594" s="103" t="s">
        <v>4831</v>
      </c>
      <c r="AU594" s="105">
        <v>46233</v>
      </c>
      <c r="AV594" s="103" t="s">
        <v>4831</v>
      </c>
      <c r="AW594" s="106" t="s">
        <v>4454</v>
      </c>
      <c r="AX594" s="109"/>
      <c r="AY594" s="157"/>
      <c r="AZ594" s="157"/>
      <c r="BA594" s="107" t="s">
        <v>4330</v>
      </c>
      <c r="BB594" s="112"/>
      <c r="BC594" s="220" t="str">
        <f>IF(AY594-KD594=0,"",AY594-O594)</f>
        <v/>
      </c>
      <c r="BD594" s="103" t="str">
        <f>IF(AND(AI594&lt;&gt;"SIM",AI594="UH"),"AA","INDENIZAÇÃO")</f>
        <v>INDENIZAÇÃO</v>
      </c>
      <c r="BE594" s="103" t="str">
        <f>IF(AND(AY594&lt;&gt;"AGUARDANDO",AY594&lt;&gt;"",N594="AUXÍLIO ALUGUEL ATÉ INDENIZAÇÃO"),"SIM","NÃO")</f>
        <v>NÃO</v>
      </c>
      <c r="BF594" s="112"/>
      <c r="BG594" s="147"/>
      <c r="BH594" s="147"/>
      <c r="BI594" s="112"/>
      <c r="BJ594" s="112"/>
      <c r="BK594" s="112"/>
      <c r="BL594" s="112"/>
      <c r="BM594" s="236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4476</v>
      </c>
      <c r="D595" s="103">
        <v>1</v>
      </c>
      <c r="E595" s="103" t="s">
        <v>4432</v>
      </c>
      <c r="F595" s="104" t="s">
        <v>6940</v>
      </c>
      <c r="G595" s="103" t="s">
        <v>4330</v>
      </c>
      <c r="H595" s="103" t="s">
        <v>4331</v>
      </c>
      <c r="I595" s="142" t="s">
        <v>4343</v>
      </c>
      <c r="J595" s="149" t="s">
        <v>6941</v>
      </c>
      <c r="K595" s="149" t="s">
        <v>6942</v>
      </c>
      <c r="L595" s="149" t="s">
        <v>6943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6941</v>
      </c>
      <c r="AC595" s="149" t="s">
        <v>6942</v>
      </c>
      <c r="AD595" s="149" t="s">
        <v>6943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ref="BC593:BC603" si="12">IF(AY595-KD595=0,"",AY595-O595)</f>
        <v/>
      </c>
      <c r="BD595" s="103" t="str">
        <f t="shared" ref="BD593:BD603" si="13">IF(AND(AI595&lt;&gt;"SIM",AI595="UH"),"AA","INDENIZAÇÃO")</f>
        <v>AA</v>
      </c>
      <c r="BE595" s="103" t="str">
        <f t="shared" ref="BE593:BE603" si="14">IF(AND(AY595&lt;&gt;"AGUARDANDO",AY595&lt;&gt;"",N595="AUXÍLIO ALUGUEL ATÉ INDENIZAÇÃO"),"SIM","NÃO")</f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4476</v>
      </c>
      <c r="D596" s="103">
        <v>1</v>
      </c>
      <c r="E596" s="103" t="s">
        <v>4432</v>
      </c>
      <c r="F596" s="104" t="s">
        <v>6944</v>
      </c>
      <c r="G596" s="103" t="s">
        <v>4330</v>
      </c>
      <c r="H596" s="103" t="s">
        <v>4331</v>
      </c>
      <c r="I596" s="142" t="s">
        <v>4343</v>
      </c>
      <c r="J596" s="149" t="s">
        <v>6945</v>
      </c>
      <c r="K596" s="149" t="s">
        <v>6946</v>
      </c>
      <c r="L596" s="149" t="s">
        <v>6947</v>
      </c>
      <c r="M596" s="103" t="s">
        <v>4333</v>
      </c>
      <c r="N596" s="103" t="s">
        <v>4452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6945</v>
      </c>
      <c r="AC596" s="149" t="s">
        <v>6946</v>
      </c>
      <c r="AD596" s="149" t="s">
        <v>6947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6948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4454</v>
      </c>
      <c r="BA596" s="107" t="s">
        <v>4598</v>
      </c>
      <c r="BB596" s="112" t="s">
        <v>4338</v>
      </c>
      <c r="BC596" s="220">
        <f t="shared" si="12"/>
        <v>116</v>
      </c>
      <c r="BD596" s="103" t="str">
        <f t="shared" si="13"/>
        <v>INDENIZAÇÃO</v>
      </c>
      <c r="BE596" s="103" t="str">
        <f t="shared" si="14"/>
        <v>NÃO</v>
      </c>
      <c r="BF596" s="112" t="s">
        <v>4357</v>
      </c>
      <c r="BG596" s="112" t="s">
        <v>4357</v>
      </c>
      <c r="BH596" s="112" t="s">
        <v>4357</v>
      </c>
      <c r="BI596" s="109" t="s">
        <v>4926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4476</v>
      </c>
      <c r="D597" s="103">
        <v>1</v>
      </c>
      <c r="E597" s="103" t="s">
        <v>4432</v>
      </c>
      <c r="F597" s="104" t="s">
        <v>6949</v>
      </c>
      <c r="G597" s="103" t="s">
        <v>4330</v>
      </c>
      <c r="H597" s="103" t="s">
        <v>4331</v>
      </c>
      <c r="I597" s="142" t="s">
        <v>4343</v>
      </c>
      <c r="J597" s="150" t="s">
        <v>6950</v>
      </c>
      <c r="K597" s="149" t="s">
        <v>6951</v>
      </c>
      <c r="L597" s="149" t="s">
        <v>6952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6950</v>
      </c>
      <c r="AC597" s="149" t="s">
        <v>6951</v>
      </c>
      <c r="AD597" s="149" t="s">
        <v>6952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12"/>
        <v/>
      </c>
      <c r="BD597" s="103" t="str">
        <f t="shared" si="13"/>
        <v>AA</v>
      </c>
      <c r="BE597" s="103" t="str">
        <f t="shared" si="14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4476</v>
      </c>
      <c r="D598" s="103">
        <v>1</v>
      </c>
      <c r="E598" s="103" t="s">
        <v>4432</v>
      </c>
      <c r="F598" s="104" t="s">
        <v>6953</v>
      </c>
      <c r="G598" s="103" t="s">
        <v>4330</v>
      </c>
      <c r="H598" s="103" t="s">
        <v>4331</v>
      </c>
      <c r="I598" s="142" t="s">
        <v>4343</v>
      </c>
      <c r="J598" s="114" t="s">
        <v>6954</v>
      </c>
      <c r="K598" s="149" t="s">
        <v>6955</v>
      </c>
      <c r="L598" s="149" t="s">
        <v>6956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6954</v>
      </c>
      <c r="AC598" s="149" t="s">
        <v>6955</v>
      </c>
      <c r="AD598" s="149" t="s">
        <v>6956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12"/>
        <v/>
      </c>
      <c r="BD598" s="103" t="str">
        <f t="shared" si="13"/>
        <v>AA</v>
      </c>
      <c r="BE598" s="103" t="str">
        <f t="shared" si="14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4476</v>
      </c>
      <c r="D599" s="103">
        <v>1</v>
      </c>
      <c r="E599" s="103" t="s">
        <v>4432</v>
      </c>
      <c r="F599" s="104" t="s">
        <v>6957</v>
      </c>
      <c r="G599" s="103" t="s">
        <v>4330</v>
      </c>
      <c r="H599" s="103" t="s">
        <v>4331</v>
      </c>
      <c r="I599" s="142" t="s">
        <v>4343</v>
      </c>
      <c r="J599" s="149" t="s">
        <v>6958</v>
      </c>
      <c r="K599" s="149" t="s">
        <v>6959</v>
      </c>
      <c r="L599" s="149" t="s">
        <v>6960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6958</v>
      </c>
      <c r="AC599" s="149" t="s">
        <v>6959</v>
      </c>
      <c r="AD599" s="149" t="s">
        <v>6960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12"/>
        <v/>
      </c>
      <c r="BD599" s="103" t="str">
        <f t="shared" si="13"/>
        <v>AA</v>
      </c>
      <c r="BE599" s="103" t="str">
        <f t="shared" si="14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4476</v>
      </c>
      <c r="D600" s="103">
        <v>1</v>
      </c>
      <c r="E600" s="103" t="s">
        <v>4432</v>
      </c>
      <c r="F600" s="104" t="s">
        <v>6961</v>
      </c>
      <c r="G600" s="103" t="s">
        <v>4330</v>
      </c>
      <c r="H600" s="103" t="s">
        <v>4331</v>
      </c>
      <c r="I600" s="142" t="s">
        <v>4343</v>
      </c>
      <c r="J600" s="149" t="s">
        <v>6962</v>
      </c>
      <c r="K600" s="149" t="s">
        <v>6963</v>
      </c>
      <c r="L600" s="149" t="s">
        <v>6964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6962</v>
      </c>
      <c r="AC600" s="149" t="s">
        <v>6963</v>
      </c>
      <c r="AD600" s="149" t="s">
        <v>6964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12"/>
        <v/>
      </c>
      <c r="BD600" s="103" t="str">
        <f t="shared" si="13"/>
        <v>AA</v>
      </c>
      <c r="BE600" s="103" t="str">
        <f t="shared" si="14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4476</v>
      </c>
      <c r="D601" s="103">
        <v>1</v>
      </c>
      <c r="E601" s="103" t="s">
        <v>4432</v>
      </c>
      <c r="F601" s="104" t="s">
        <v>6965</v>
      </c>
      <c r="G601" s="103" t="s">
        <v>4330</v>
      </c>
      <c r="H601" s="103" t="s">
        <v>4331</v>
      </c>
      <c r="I601" s="142" t="s">
        <v>4343</v>
      </c>
      <c r="J601" s="149" t="s">
        <v>6966</v>
      </c>
      <c r="K601" s="149" t="s">
        <v>6967</v>
      </c>
      <c r="L601" s="149" t="s">
        <v>6968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6966</v>
      </c>
      <c r="AC601" s="149" t="s">
        <v>6967</v>
      </c>
      <c r="AD601" s="149" t="s">
        <v>6968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12"/>
        <v/>
      </c>
      <c r="BD601" s="103" t="str">
        <f t="shared" si="13"/>
        <v>AA</v>
      </c>
      <c r="BE601" s="103" t="str">
        <f t="shared" si="14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4476</v>
      </c>
      <c r="D602" s="103">
        <v>1</v>
      </c>
      <c r="E602" s="103" t="s">
        <v>4432</v>
      </c>
      <c r="F602" s="104" t="s">
        <v>6969</v>
      </c>
      <c r="G602" s="103" t="s">
        <v>4330</v>
      </c>
      <c r="H602" s="103" t="s">
        <v>4331</v>
      </c>
      <c r="I602" s="142" t="s">
        <v>4343</v>
      </c>
      <c r="J602" s="149" t="s">
        <v>6970</v>
      </c>
      <c r="K602" s="149" t="s">
        <v>6971</v>
      </c>
      <c r="L602" s="149" t="s">
        <v>6972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6970</v>
      </c>
      <c r="AC602" s="149" t="s">
        <v>6971</v>
      </c>
      <c r="AD602" s="149" t="s">
        <v>6972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12"/>
        <v/>
      </c>
      <c r="BD602" s="103" t="str">
        <f t="shared" si="13"/>
        <v>AA</v>
      </c>
      <c r="BE602" s="103" t="str">
        <f t="shared" si="14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4476</v>
      </c>
      <c r="D603" s="103">
        <v>1</v>
      </c>
      <c r="E603" s="103" t="s">
        <v>4432</v>
      </c>
      <c r="F603" s="104" t="s">
        <v>6973</v>
      </c>
      <c r="G603" s="103" t="s">
        <v>4330</v>
      </c>
      <c r="H603" s="103" t="s">
        <v>4331</v>
      </c>
      <c r="I603" s="142" t="s">
        <v>4343</v>
      </c>
      <c r="J603" s="149" t="s">
        <v>6974</v>
      </c>
      <c r="K603" s="149" t="s">
        <v>6975</v>
      </c>
      <c r="L603" s="149" t="s">
        <v>6976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6974</v>
      </c>
      <c r="AC603" s="149" t="s">
        <v>6975</v>
      </c>
      <c r="AD603" s="149" t="s">
        <v>6976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12"/>
        <v/>
      </c>
      <c r="BD603" s="103" t="str">
        <f t="shared" si="13"/>
        <v>AA</v>
      </c>
      <c r="BE603" s="103" t="str">
        <f t="shared" si="14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4476</v>
      </c>
      <c r="D604" s="103">
        <v>1</v>
      </c>
      <c r="E604" s="103" t="s">
        <v>4432</v>
      </c>
      <c r="F604" s="104" t="s">
        <v>6977</v>
      </c>
      <c r="G604" s="103" t="s">
        <v>4330</v>
      </c>
      <c r="H604" s="103" t="s">
        <v>4331</v>
      </c>
      <c r="I604" s="142" t="s">
        <v>4343</v>
      </c>
      <c r="J604" s="149" t="s">
        <v>6978</v>
      </c>
      <c r="K604" s="149" t="s">
        <v>6979</v>
      </c>
      <c r="L604" s="149" t="s">
        <v>6980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4476</v>
      </c>
      <c r="D605" s="103">
        <v>1</v>
      </c>
      <c r="E605" s="103" t="s">
        <v>4432</v>
      </c>
      <c r="F605" s="104" t="s">
        <v>6981</v>
      </c>
      <c r="G605" s="103" t="s">
        <v>4330</v>
      </c>
      <c r="H605" s="103" t="s">
        <v>4331</v>
      </c>
      <c r="I605" s="142" t="s">
        <v>4343</v>
      </c>
      <c r="J605" s="149" t="s">
        <v>6982</v>
      </c>
      <c r="K605" s="149" t="s">
        <v>6983</v>
      </c>
      <c r="L605" s="149" t="s">
        <v>6984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4476</v>
      </c>
      <c r="D606" s="103">
        <v>1</v>
      </c>
      <c r="E606" s="103" t="s">
        <v>4432</v>
      </c>
      <c r="F606" s="104" t="s">
        <v>6985</v>
      </c>
      <c r="G606" s="103" t="s">
        <v>4330</v>
      </c>
      <c r="H606" s="103" t="s">
        <v>4331</v>
      </c>
      <c r="I606" s="142" t="s">
        <v>4343</v>
      </c>
      <c r="J606" s="149" t="s">
        <v>6986</v>
      </c>
      <c r="K606" s="149" t="s">
        <v>6987</v>
      </c>
      <c r="L606" s="149" t="s">
        <v>6988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6986</v>
      </c>
      <c r="AC606" s="149" t="s">
        <v>6987</v>
      </c>
      <c r="AD606" s="149" t="s">
        <v>6988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4476</v>
      </c>
      <c r="D607" s="103">
        <v>1</v>
      </c>
      <c r="E607" s="103" t="s">
        <v>4432</v>
      </c>
      <c r="F607" s="104" t="s">
        <v>6989</v>
      </c>
      <c r="G607" s="103" t="s">
        <v>4330</v>
      </c>
      <c r="H607" s="103" t="s">
        <v>4331</v>
      </c>
      <c r="I607" s="142" t="s">
        <v>4343</v>
      </c>
      <c r="J607" s="149" t="s">
        <v>6990</v>
      </c>
      <c r="K607" s="149" t="s">
        <v>6991</v>
      </c>
      <c r="L607" s="149" t="s">
        <v>6992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4476</v>
      </c>
      <c r="D608" s="103">
        <v>1</v>
      </c>
      <c r="E608" s="103" t="s">
        <v>4432</v>
      </c>
      <c r="F608" s="104" t="s">
        <v>6993</v>
      </c>
      <c r="G608" s="103" t="s">
        <v>4330</v>
      </c>
      <c r="H608" s="103" t="s">
        <v>4331</v>
      </c>
      <c r="I608" s="142" t="s">
        <v>4440</v>
      </c>
      <c r="J608" s="149" t="s">
        <v>6994</v>
      </c>
      <c r="K608" s="149" t="s">
        <v>6995</v>
      </c>
      <c r="L608" s="149" t="s">
        <v>6996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6997</v>
      </c>
      <c r="AC608" s="149" t="s">
        <v>6998</v>
      </c>
      <c r="AD608" s="149" t="s">
        <v>6999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7000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4454</v>
      </c>
      <c r="BA608" s="107" t="s">
        <v>4598</v>
      </c>
      <c r="BB608" s="112" t="s">
        <v>4338</v>
      </c>
      <c r="BC608" s="220">
        <f t="shared" ref="BC608:BC671" si="15">IF(AY608-KD608=0,"",AY608-O608)</f>
        <v>50</v>
      </c>
      <c r="BD608" s="103" t="str">
        <f t="shared" ref="BD608:BD671" si="16">IF(AND(AI608&lt;&gt;"SIM",AI608="UH"),"AA","INDENIZAÇÃO")</f>
        <v>INDENIZAÇÃO</v>
      </c>
      <c r="BE608" s="103" t="str">
        <f t="shared" ref="BE608:BE671" si="17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4926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4476</v>
      </c>
      <c r="D609" s="103">
        <v>1</v>
      </c>
      <c r="E609" s="103" t="s">
        <v>4432</v>
      </c>
      <c r="F609" s="104" t="s">
        <v>7001</v>
      </c>
      <c r="G609" s="98" t="s">
        <v>4330</v>
      </c>
      <c r="H609" s="103" t="s">
        <v>4342</v>
      </c>
      <c r="I609" s="151" t="s">
        <v>4332</v>
      </c>
      <c r="J609" s="149" t="s">
        <v>7002</v>
      </c>
      <c r="K609" s="149" t="s">
        <v>7003</v>
      </c>
      <c r="L609" s="149" t="s">
        <v>7004</v>
      </c>
      <c r="M609" s="103" t="s">
        <v>4333</v>
      </c>
      <c r="N609" s="103" t="s">
        <v>4452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7002</v>
      </c>
      <c r="AC609" s="149" t="s">
        <v>7003</v>
      </c>
      <c r="AD609" s="149" t="s">
        <v>7004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7005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4454</v>
      </c>
      <c r="BA609" s="107" t="s">
        <v>4598</v>
      </c>
      <c r="BB609" s="112" t="s">
        <v>4338</v>
      </c>
      <c r="BC609" s="220">
        <f t="shared" si="15"/>
        <v>50</v>
      </c>
      <c r="BD609" s="103" t="str">
        <f t="shared" si="16"/>
        <v>INDENIZAÇÃO</v>
      </c>
      <c r="BE609" s="103" t="str">
        <f t="shared" si="17"/>
        <v>NÃO</v>
      </c>
      <c r="BF609" s="112" t="s">
        <v>4357</v>
      </c>
      <c r="BG609" s="112" t="s">
        <v>4357</v>
      </c>
      <c r="BH609" s="112" t="s">
        <v>4357</v>
      </c>
      <c r="BI609" s="109" t="s">
        <v>4926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4476</v>
      </c>
      <c r="D610" s="103">
        <v>1</v>
      </c>
      <c r="E610" s="103" t="s">
        <v>4432</v>
      </c>
      <c r="F610" s="104" t="s">
        <v>7006</v>
      </c>
      <c r="G610" s="103" t="s">
        <v>4330</v>
      </c>
      <c r="H610" s="103" t="s">
        <v>4352</v>
      </c>
      <c r="I610" s="142" t="s">
        <v>4343</v>
      </c>
      <c r="J610" s="149" t="s">
        <v>7007</v>
      </c>
      <c r="K610" s="149" t="s">
        <v>7008</v>
      </c>
      <c r="L610" s="149" t="s">
        <v>7009</v>
      </c>
      <c r="M610" s="103" t="s">
        <v>4333</v>
      </c>
      <c r="N610" s="103" t="s">
        <v>4452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7007</v>
      </c>
      <c r="AC610" s="149" t="s">
        <v>7008</v>
      </c>
      <c r="AD610" s="149" t="s">
        <v>7009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7010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4454</v>
      </c>
      <c r="BA610" s="107" t="s">
        <v>4598</v>
      </c>
      <c r="BB610" s="112" t="s">
        <v>4338</v>
      </c>
      <c r="BC610" s="220">
        <f t="shared" si="15"/>
        <v>116</v>
      </c>
      <c r="BD610" s="103" t="str">
        <f t="shared" si="16"/>
        <v>INDENIZAÇÃO</v>
      </c>
      <c r="BE610" s="103" t="str">
        <f t="shared" si="17"/>
        <v>NÃO</v>
      </c>
      <c r="BF610" s="112" t="s">
        <v>4357</v>
      </c>
      <c r="BG610" s="112" t="s">
        <v>4357</v>
      </c>
      <c r="BH610" s="112" t="s">
        <v>4357</v>
      </c>
      <c r="BI610" s="109" t="s">
        <v>4926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4476</v>
      </c>
      <c r="D611" s="103">
        <v>1</v>
      </c>
      <c r="E611" s="103" t="s">
        <v>4432</v>
      </c>
      <c r="F611" s="104" t="s">
        <v>6483</v>
      </c>
      <c r="G611" s="98" t="s">
        <v>4330</v>
      </c>
      <c r="H611" s="103" t="s">
        <v>4331</v>
      </c>
      <c r="I611" s="246" t="s">
        <v>4343</v>
      </c>
      <c r="J611" s="149" t="s">
        <v>7011</v>
      </c>
      <c r="K611" s="149" t="s">
        <v>7012</v>
      </c>
      <c r="L611" s="149" t="s">
        <v>7013</v>
      </c>
      <c r="M611" s="103" t="s">
        <v>4333</v>
      </c>
      <c r="N611" s="103" t="s">
        <v>4452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7011</v>
      </c>
      <c r="AC611" s="149" t="s">
        <v>7012</v>
      </c>
      <c r="AD611" s="149" t="s">
        <v>7013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7014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4454</v>
      </c>
      <c r="BA611" s="107" t="s">
        <v>4598</v>
      </c>
      <c r="BB611" s="112" t="s">
        <v>4338</v>
      </c>
      <c r="BC611" s="220">
        <f t="shared" si="15"/>
        <v>97</v>
      </c>
      <c r="BD611" s="103" t="str">
        <f t="shared" si="16"/>
        <v>INDENIZAÇÃO</v>
      </c>
      <c r="BE611" s="103" t="str">
        <f t="shared" si="17"/>
        <v>NÃO</v>
      </c>
      <c r="BF611" s="112" t="s">
        <v>4357</v>
      </c>
      <c r="BG611" s="112" t="s">
        <v>4357</v>
      </c>
      <c r="BH611" s="112" t="s">
        <v>4357</v>
      </c>
      <c r="BI611" s="109" t="s">
        <v>4926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4476</v>
      </c>
      <c r="D612" s="103">
        <v>1</v>
      </c>
      <c r="E612" s="103" t="s">
        <v>4432</v>
      </c>
      <c r="F612" s="104" t="s">
        <v>7015</v>
      </c>
      <c r="G612" s="103" t="s">
        <v>4330</v>
      </c>
      <c r="H612" s="103" t="s">
        <v>4331</v>
      </c>
      <c r="I612" s="142" t="s">
        <v>4343</v>
      </c>
      <c r="J612" s="149" t="s">
        <v>7016</v>
      </c>
      <c r="K612" s="149" t="s">
        <v>7017</v>
      </c>
      <c r="L612" s="149" t="s">
        <v>7018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7016</v>
      </c>
      <c r="AC612" s="149" t="s">
        <v>7017</v>
      </c>
      <c r="AD612" s="149" t="s">
        <v>7018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15"/>
        <v/>
      </c>
      <c r="BD612" s="103" t="str">
        <f t="shared" si="16"/>
        <v>AA</v>
      </c>
      <c r="BE612" s="103" t="str">
        <f t="shared" si="17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4476</v>
      </c>
      <c r="D613" s="103">
        <v>1</v>
      </c>
      <c r="E613" s="103" t="s">
        <v>4432</v>
      </c>
      <c r="F613" s="104" t="s">
        <v>7019</v>
      </c>
      <c r="G613" s="103" t="s">
        <v>4330</v>
      </c>
      <c r="H613" s="103" t="s">
        <v>4331</v>
      </c>
      <c r="I613" s="142" t="s">
        <v>7020</v>
      </c>
      <c r="J613" s="149" t="s">
        <v>7021</v>
      </c>
      <c r="K613" s="149" t="s">
        <v>7022</v>
      </c>
      <c r="L613" s="149" t="s">
        <v>7023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7021</v>
      </c>
      <c r="AC613" s="149" t="s">
        <v>7022</v>
      </c>
      <c r="AD613" s="149" t="s">
        <v>7023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15"/>
        <v/>
      </c>
      <c r="BD613" s="103" t="str">
        <f t="shared" si="16"/>
        <v>AA</v>
      </c>
      <c r="BE613" s="103" t="str">
        <f t="shared" si="17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4476</v>
      </c>
      <c r="D614" s="103">
        <v>1</v>
      </c>
      <c r="E614" s="103" t="s">
        <v>4432</v>
      </c>
      <c r="F614" s="104" t="s">
        <v>7024</v>
      </c>
      <c r="G614" s="103" t="s">
        <v>4330</v>
      </c>
      <c r="H614" s="103" t="s">
        <v>4331</v>
      </c>
      <c r="I614" s="142" t="s">
        <v>4343</v>
      </c>
      <c r="J614" s="149" t="s">
        <v>7025</v>
      </c>
      <c r="K614" s="149" t="s">
        <v>7026</v>
      </c>
      <c r="L614" s="149" t="s">
        <v>7027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7025</v>
      </c>
      <c r="AC614" s="149" t="s">
        <v>7026</v>
      </c>
      <c r="AD614" s="149" t="s">
        <v>7027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15"/>
        <v/>
      </c>
      <c r="BD614" s="103" t="str">
        <f t="shared" si="16"/>
        <v>AA</v>
      </c>
      <c r="BE614" s="103" t="str">
        <f t="shared" si="17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4476</v>
      </c>
      <c r="D615" s="103">
        <v>1</v>
      </c>
      <c r="E615" s="103" t="s">
        <v>4432</v>
      </c>
      <c r="F615" s="104" t="s">
        <v>7028</v>
      </c>
      <c r="G615" s="103" t="s">
        <v>4330</v>
      </c>
      <c r="H615" s="103" t="s">
        <v>4331</v>
      </c>
      <c r="I615" s="142" t="s">
        <v>7020</v>
      </c>
      <c r="J615" s="149" t="s">
        <v>7029</v>
      </c>
      <c r="K615" s="149" t="s">
        <v>7030</v>
      </c>
      <c r="L615" s="149" t="s">
        <v>7031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7029</v>
      </c>
      <c r="AC615" s="149" t="s">
        <v>7030</v>
      </c>
      <c r="AD615" s="149" t="s">
        <v>7031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15"/>
        <v/>
      </c>
      <c r="BD615" s="103" t="str">
        <f t="shared" si="16"/>
        <v>AA</v>
      </c>
      <c r="BE615" s="103" t="str">
        <f t="shared" si="17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4476</v>
      </c>
      <c r="D616" s="103">
        <v>1</v>
      </c>
      <c r="E616" s="103" t="s">
        <v>4432</v>
      </c>
      <c r="F616" s="104" t="s">
        <v>7032</v>
      </c>
      <c r="G616" s="103" t="s">
        <v>4351</v>
      </c>
      <c r="H616" s="103" t="s">
        <v>5973</v>
      </c>
      <c r="I616" s="153" t="s">
        <v>4332</v>
      </c>
      <c r="J616" s="149" t="s">
        <v>7033</v>
      </c>
      <c r="K616" s="149" t="s">
        <v>7034</v>
      </c>
      <c r="L616" s="149" t="s">
        <v>7035</v>
      </c>
      <c r="M616" s="103" t="s">
        <v>4333</v>
      </c>
      <c r="N616" s="103" t="s">
        <v>4452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7033</v>
      </c>
      <c r="AC616" s="204" t="s">
        <v>7034</v>
      </c>
      <c r="AD616" s="204" t="s">
        <v>7035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7036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4454</v>
      </c>
      <c r="BA616" s="245" t="s">
        <v>4598</v>
      </c>
      <c r="BB616" s="249" t="s">
        <v>4338</v>
      </c>
      <c r="BC616" s="220">
        <f t="shared" si="15"/>
        <v>104</v>
      </c>
      <c r="BD616" s="103" t="str">
        <f t="shared" si="16"/>
        <v>INDENIZAÇÃO</v>
      </c>
      <c r="BE616" s="103" t="str">
        <f t="shared" si="17"/>
        <v>NÃO</v>
      </c>
      <c r="BF616" s="250" t="s">
        <v>4357</v>
      </c>
      <c r="BG616" s="250" t="s">
        <v>4357</v>
      </c>
      <c r="BH616" s="250" t="s">
        <v>4357</v>
      </c>
      <c r="BI616" s="251" t="s">
        <v>4926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4476</v>
      </c>
      <c r="D617" s="103">
        <v>1</v>
      </c>
      <c r="E617" s="103" t="s">
        <v>4432</v>
      </c>
      <c r="F617" s="104" t="s">
        <v>7037</v>
      </c>
      <c r="G617" s="103" t="s">
        <v>4330</v>
      </c>
      <c r="H617" s="103" t="s">
        <v>4331</v>
      </c>
      <c r="I617" s="142" t="s">
        <v>4343</v>
      </c>
      <c r="J617" s="149" t="s">
        <v>7038</v>
      </c>
      <c r="K617" s="149" t="s">
        <v>7039</v>
      </c>
      <c r="L617" s="149" t="s">
        <v>7040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7038</v>
      </c>
      <c r="AC617" s="149" t="s">
        <v>7039</v>
      </c>
      <c r="AD617" s="149" t="s">
        <v>7040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15"/>
        <v/>
      </c>
      <c r="BD617" s="103" t="str">
        <f t="shared" si="16"/>
        <v>AA</v>
      </c>
      <c r="BE617" s="103" t="str">
        <f t="shared" si="17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4476</v>
      </c>
      <c r="D618" s="103">
        <v>1</v>
      </c>
      <c r="E618" s="103" t="s">
        <v>4432</v>
      </c>
      <c r="F618" s="104" t="s">
        <v>7041</v>
      </c>
      <c r="G618" s="103" t="s">
        <v>4330</v>
      </c>
      <c r="H618" s="103" t="s">
        <v>4331</v>
      </c>
      <c r="I618" s="142" t="s">
        <v>4343</v>
      </c>
      <c r="J618" s="114" t="s">
        <v>7042</v>
      </c>
      <c r="K618" s="149" t="s">
        <v>7043</v>
      </c>
      <c r="L618" s="149" t="s">
        <v>7044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7042</v>
      </c>
      <c r="AC618" s="149" t="s">
        <v>7043</v>
      </c>
      <c r="AD618" s="149" t="s">
        <v>7044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15"/>
        <v/>
      </c>
      <c r="BD618" s="103" t="str">
        <f t="shared" si="16"/>
        <v>AA</v>
      </c>
      <c r="BE618" s="103" t="str">
        <f t="shared" si="17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4476</v>
      </c>
      <c r="D619" s="103">
        <v>1</v>
      </c>
      <c r="E619" s="103" t="s">
        <v>4432</v>
      </c>
      <c r="F619" s="104" t="s">
        <v>7045</v>
      </c>
      <c r="G619" s="103" t="s">
        <v>4351</v>
      </c>
      <c r="H619" s="103" t="s">
        <v>4351</v>
      </c>
      <c r="I619" s="153" t="s">
        <v>4332</v>
      </c>
      <c r="J619" s="149" t="s">
        <v>7046</v>
      </c>
      <c r="K619" s="149" t="s">
        <v>7047</v>
      </c>
      <c r="L619" s="149" t="s">
        <v>7048</v>
      </c>
      <c r="M619" s="103" t="s">
        <v>4333</v>
      </c>
      <c r="N619" s="103" t="s">
        <v>4452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7046</v>
      </c>
      <c r="AC619" s="204" t="s">
        <v>7047</v>
      </c>
      <c r="AD619" s="204" t="s">
        <v>7048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15"/>
        <v/>
      </c>
      <c r="BD619" s="103" t="str">
        <f t="shared" si="16"/>
        <v>INDENIZAÇÃO</v>
      </c>
      <c r="BE619" s="103" t="str">
        <f t="shared" si="17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4476</v>
      </c>
      <c r="D620" s="103">
        <v>1</v>
      </c>
      <c r="E620" s="103" t="s">
        <v>4432</v>
      </c>
      <c r="F620" s="104" t="s">
        <v>7049</v>
      </c>
      <c r="G620" s="103" t="s">
        <v>4330</v>
      </c>
      <c r="H620" s="103" t="s">
        <v>4331</v>
      </c>
      <c r="I620" s="246" t="s">
        <v>4343</v>
      </c>
      <c r="J620" s="149" t="s">
        <v>7050</v>
      </c>
      <c r="K620" s="149" t="s">
        <v>4457</v>
      </c>
      <c r="L620" s="149" t="s">
        <v>7051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7050</v>
      </c>
      <c r="AC620" s="149" t="s">
        <v>4457</v>
      </c>
      <c r="AD620" s="149" t="s">
        <v>7051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15"/>
        <v/>
      </c>
      <c r="BD620" s="103" t="str">
        <f t="shared" si="16"/>
        <v>AA</v>
      </c>
      <c r="BE620" s="103" t="str">
        <f t="shared" si="17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4476</v>
      </c>
      <c r="D621" s="103">
        <v>1</v>
      </c>
      <c r="E621" s="103" t="s">
        <v>4432</v>
      </c>
      <c r="F621" s="104" t="s">
        <v>7052</v>
      </c>
      <c r="G621" s="103" t="s">
        <v>4330</v>
      </c>
      <c r="H621" s="103" t="s">
        <v>4331</v>
      </c>
      <c r="I621" s="142" t="s">
        <v>4343</v>
      </c>
      <c r="J621" s="149" t="s">
        <v>7053</v>
      </c>
      <c r="K621" s="149" t="s">
        <v>7054</v>
      </c>
      <c r="L621" s="149" t="s">
        <v>7055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7053</v>
      </c>
      <c r="AC621" s="149" t="s">
        <v>7054</v>
      </c>
      <c r="AD621" s="149" t="s">
        <v>7055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15"/>
        <v/>
      </c>
      <c r="BD621" s="103" t="str">
        <f t="shared" si="16"/>
        <v>AA</v>
      </c>
      <c r="BE621" s="103" t="str">
        <f t="shared" si="17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7056</v>
      </c>
      <c r="G622" s="103" t="s">
        <v>5421</v>
      </c>
      <c r="H622" s="103" t="s">
        <v>4331</v>
      </c>
      <c r="I622" s="103" t="s">
        <v>4343</v>
      </c>
      <c r="J622" s="149" t="s">
        <v>7057</v>
      </c>
      <c r="K622" s="149" t="s">
        <v>7058</v>
      </c>
      <c r="L622" s="149" t="s">
        <v>7059</v>
      </c>
      <c r="M622" s="103" t="s">
        <v>4333</v>
      </c>
      <c r="N622" s="103" t="s">
        <v>4452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7057</v>
      </c>
      <c r="AC622" s="204" t="s">
        <v>7058</v>
      </c>
      <c r="AD622" s="204" t="s">
        <v>7059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7060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4454</v>
      </c>
      <c r="BA622" s="245" t="s">
        <v>4598</v>
      </c>
      <c r="BB622" s="249" t="s">
        <v>4338</v>
      </c>
      <c r="BC622" s="220">
        <f t="shared" si="15"/>
        <v>59</v>
      </c>
      <c r="BD622" s="103" t="str">
        <f t="shared" si="16"/>
        <v>INDENIZAÇÃO</v>
      </c>
      <c r="BE622" s="103" t="str">
        <f t="shared" si="17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4454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4476</v>
      </c>
      <c r="D623" s="103">
        <v>1</v>
      </c>
      <c r="E623" s="103" t="s">
        <v>4432</v>
      </c>
      <c r="F623" s="104" t="s">
        <v>7061</v>
      </c>
      <c r="G623" s="103" t="s">
        <v>4330</v>
      </c>
      <c r="H623" s="103" t="s">
        <v>4352</v>
      </c>
      <c r="I623" s="142" t="s">
        <v>4343</v>
      </c>
      <c r="J623" s="149" t="s">
        <v>7062</v>
      </c>
      <c r="K623" s="149" t="s">
        <v>4457</v>
      </c>
      <c r="L623" s="149" t="s">
        <v>7063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7062</v>
      </c>
      <c r="AC623" s="149" t="s">
        <v>4457</v>
      </c>
      <c r="AD623" s="149" t="s">
        <v>7063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15"/>
        <v/>
      </c>
      <c r="BD623" s="103" t="str">
        <f t="shared" si="16"/>
        <v>AA</v>
      </c>
      <c r="BE623" s="103" t="str">
        <f t="shared" si="17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4476</v>
      </c>
      <c r="D624" s="103">
        <v>1</v>
      </c>
      <c r="E624" s="103" t="s">
        <v>4432</v>
      </c>
      <c r="F624" s="104" t="s">
        <v>7064</v>
      </c>
      <c r="G624" s="103" t="s">
        <v>4330</v>
      </c>
      <c r="H624" s="103" t="s">
        <v>4331</v>
      </c>
      <c r="I624" s="142" t="s">
        <v>4343</v>
      </c>
      <c r="J624" s="149" t="s">
        <v>7065</v>
      </c>
      <c r="K624" s="104" t="s">
        <v>7066</v>
      </c>
      <c r="L624" s="104" t="s">
        <v>7067</v>
      </c>
      <c r="M624" s="103" t="s">
        <v>4333</v>
      </c>
      <c r="N624" s="103" t="s">
        <v>4452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7065</v>
      </c>
      <c r="AC624" s="104" t="s">
        <v>7066</v>
      </c>
      <c r="AD624" s="104" t="s">
        <v>7067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5" t="s">
        <v>7068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4454</v>
      </c>
      <c r="BA624" s="245" t="s">
        <v>4598</v>
      </c>
      <c r="BB624" s="249" t="s">
        <v>4338</v>
      </c>
      <c r="BC624" s="220">
        <f t="shared" si="15"/>
        <v>96</v>
      </c>
      <c r="BD624" s="103" t="str">
        <f t="shared" si="16"/>
        <v>INDENIZAÇÃO</v>
      </c>
      <c r="BE624" s="103" t="str">
        <f t="shared" si="17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2" t="s">
        <v>4502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4476</v>
      </c>
      <c r="D625" s="103">
        <v>1</v>
      </c>
      <c r="E625" s="103" t="s">
        <v>4432</v>
      </c>
      <c r="F625" s="104" t="s">
        <v>7069</v>
      </c>
      <c r="G625" s="103" t="s">
        <v>4330</v>
      </c>
      <c r="H625" s="103" t="s">
        <v>4331</v>
      </c>
      <c r="I625" s="142" t="s">
        <v>4343</v>
      </c>
      <c r="J625" s="149" t="s">
        <v>7070</v>
      </c>
      <c r="K625" s="149" t="s">
        <v>7071</v>
      </c>
      <c r="L625" s="149" t="s">
        <v>7072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7070</v>
      </c>
      <c r="AC625" s="149" t="s">
        <v>7071</v>
      </c>
      <c r="AD625" s="149" t="s">
        <v>7072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15"/>
        <v/>
      </c>
      <c r="BD625" s="103" t="str">
        <f t="shared" si="16"/>
        <v>AA</v>
      </c>
      <c r="BE625" s="103" t="str">
        <f t="shared" si="17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4476</v>
      </c>
      <c r="D626" s="103">
        <v>1</v>
      </c>
      <c r="E626" s="103" t="s">
        <v>4432</v>
      </c>
      <c r="F626" s="104" t="s">
        <v>7073</v>
      </c>
      <c r="G626" s="103" t="s">
        <v>4330</v>
      </c>
      <c r="H626" s="103" t="s">
        <v>4331</v>
      </c>
      <c r="I626" s="142" t="s">
        <v>4343</v>
      </c>
      <c r="J626" s="114" t="s">
        <v>7074</v>
      </c>
      <c r="K626" s="149" t="s">
        <v>7075</v>
      </c>
      <c r="L626" s="149" t="s">
        <v>7076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7074</v>
      </c>
      <c r="AC626" s="149" t="s">
        <v>7075</v>
      </c>
      <c r="AD626" s="149" t="s">
        <v>7076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15"/>
        <v/>
      </c>
      <c r="BD626" s="103" t="str">
        <f t="shared" si="16"/>
        <v>AA</v>
      </c>
      <c r="BE626" s="103" t="str">
        <f t="shared" si="17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4476</v>
      </c>
      <c r="D627" s="103">
        <v>1</v>
      </c>
      <c r="E627" s="103" t="s">
        <v>4432</v>
      </c>
      <c r="F627" s="104" t="s">
        <v>7077</v>
      </c>
      <c r="G627" s="103" t="s">
        <v>4330</v>
      </c>
      <c r="H627" s="103" t="s">
        <v>4331</v>
      </c>
      <c r="I627" s="142" t="s">
        <v>4343</v>
      </c>
      <c r="J627" s="114" t="s">
        <v>7078</v>
      </c>
      <c r="K627" s="149" t="s">
        <v>4457</v>
      </c>
      <c r="L627" s="149" t="s">
        <v>7079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7078</v>
      </c>
      <c r="AC627" s="149" t="s">
        <v>4457</v>
      </c>
      <c r="AD627" s="149" t="s">
        <v>7079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15"/>
        <v/>
      </c>
      <c r="BD627" s="103" t="str">
        <f t="shared" si="16"/>
        <v>AA</v>
      </c>
      <c r="BE627" s="103" t="str">
        <f t="shared" si="17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4900</v>
      </c>
      <c r="G628" s="103" t="s">
        <v>4330</v>
      </c>
      <c r="H628" s="103" t="s">
        <v>4331</v>
      </c>
      <c r="I628" s="142" t="s">
        <v>4343</v>
      </c>
      <c r="J628" s="149" t="s">
        <v>7080</v>
      </c>
      <c r="K628" s="149" t="s">
        <v>7081</v>
      </c>
      <c r="L628" s="149" t="s">
        <v>7082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7080</v>
      </c>
      <c r="AC628" s="149" t="s">
        <v>7081</v>
      </c>
      <c r="AD628" s="149" t="s">
        <v>7082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7083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4454</v>
      </c>
      <c r="BA628" s="245" t="s">
        <v>4598</v>
      </c>
      <c r="BB628" s="249" t="s">
        <v>4338</v>
      </c>
      <c r="BC628" s="220">
        <f t="shared" si="15"/>
        <v>203</v>
      </c>
      <c r="BD628" s="103" t="str">
        <f t="shared" si="16"/>
        <v>INDENIZAÇÃO</v>
      </c>
      <c r="BE628" s="103" t="str">
        <f t="shared" si="17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2" t="s">
        <v>4502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4476</v>
      </c>
      <c r="D629" s="103">
        <v>1</v>
      </c>
      <c r="E629" s="103" t="s">
        <v>4432</v>
      </c>
      <c r="F629" s="104" t="s">
        <v>7084</v>
      </c>
      <c r="G629" s="103" t="s">
        <v>4330</v>
      </c>
      <c r="H629" s="103" t="s">
        <v>4331</v>
      </c>
      <c r="I629" s="142" t="s">
        <v>4343</v>
      </c>
      <c r="J629" s="149" t="s">
        <v>7085</v>
      </c>
      <c r="K629" s="149" t="s">
        <v>7086</v>
      </c>
      <c r="L629" s="149" t="s">
        <v>7087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7085</v>
      </c>
      <c r="AC629" s="149" t="s">
        <v>7086</v>
      </c>
      <c r="AD629" s="149" t="s">
        <v>7087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15"/>
        <v/>
      </c>
      <c r="BD629" s="103" t="str">
        <f t="shared" si="16"/>
        <v>AA</v>
      </c>
      <c r="BE629" s="103" t="str">
        <f t="shared" si="17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4476</v>
      </c>
      <c r="D630" s="103">
        <v>1</v>
      </c>
      <c r="E630" s="103" t="s">
        <v>4432</v>
      </c>
      <c r="F630" s="104" t="s">
        <v>7088</v>
      </c>
      <c r="G630" s="103" t="s">
        <v>4330</v>
      </c>
      <c r="H630" s="103" t="s">
        <v>4331</v>
      </c>
      <c r="I630" s="142" t="s">
        <v>4343</v>
      </c>
      <c r="J630" s="149" t="s">
        <v>7089</v>
      </c>
      <c r="K630" s="149" t="s">
        <v>7090</v>
      </c>
      <c r="L630" s="149" t="s">
        <v>7091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7089</v>
      </c>
      <c r="AC630" s="149" t="s">
        <v>7090</v>
      </c>
      <c r="AD630" s="149" t="s">
        <v>7091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15"/>
        <v/>
      </c>
      <c r="BD630" s="103" t="str">
        <f t="shared" si="16"/>
        <v>AA</v>
      </c>
      <c r="BE630" s="103" t="str">
        <f t="shared" si="17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4476</v>
      </c>
      <c r="D631" s="103">
        <v>1</v>
      </c>
      <c r="E631" s="103" t="s">
        <v>4432</v>
      </c>
      <c r="F631" s="104" t="s">
        <v>5124</v>
      </c>
      <c r="G631" s="103" t="s">
        <v>4330</v>
      </c>
      <c r="H631" s="103" t="s">
        <v>4331</v>
      </c>
      <c r="I631" s="142" t="s">
        <v>4343</v>
      </c>
      <c r="J631" s="114" t="s">
        <v>7092</v>
      </c>
      <c r="K631" s="149" t="s">
        <v>7093</v>
      </c>
      <c r="L631" s="149" t="s">
        <v>7094</v>
      </c>
      <c r="M631" s="103" t="s">
        <v>4333</v>
      </c>
      <c r="N631" s="103" t="s">
        <v>4452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7092</v>
      </c>
      <c r="AC631" s="204" t="s">
        <v>7093</v>
      </c>
      <c r="AD631" s="204" t="s">
        <v>7094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7095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4454</v>
      </c>
      <c r="BA631" s="245" t="s">
        <v>4598</v>
      </c>
      <c r="BB631" s="249" t="s">
        <v>4338</v>
      </c>
      <c r="BC631" s="220">
        <f t="shared" si="15"/>
        <v>144</v>
      </c>
      <c r="BD631" s="103" t="str">
        <f t="shared" si="16"/>
        <v>INDENIZAÇÃO</v>
      </c>
      <c r="BE631" s="103" t="str">
        <f t="shared" si="17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2" t="s">
        <v>4502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4476</v>
      </c>
      <c r="D632" s="103">
        <v>1</v>
      </c>
      <c r="E632" s="103" t="s">
        <v>4432</v>
      </c>
      <c r="F632" s="104" t="s">
        <v>7096</v>
      </c>
      <c r="G632" s="103" t="s">
        <v>4330</v>
      </c>
      <c r="H632" s="103" t="s">
        <v>4331</v>
      </c>
      <c r="I632" s="142" t="s">
        <v>4343</v>
      </c>
      <c r="J632" s="149" t="s">
        <v>7097</v>
      </c>
      <c r="K632" s="149" t="s">
        <v>7098</v>
      </c>
      <c r="L632" s="149" t="s">
        <v>7099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7097</v>
      </c>
      <c r="AC632" s="149" t="s">
        <v>7098</v>
      </c>
      <c r="AD632" s="149" t="s">
        <v>7099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15"/>
        <v/>
      </c>
      <c r="BD632" s="103" t="str">
        <f t="shared" si="16"/>
        <v>AA</v>
      </c>
      <c r="BE632" s="103" t="str">
        <f t="shared" si="17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4476</v>
      </c>
      <c r="D633" s="103">
        <v>1</v>
      </c>
      <c r="E633" s="103" t="s">
        <v>4432</v>
      </c>
      <c r="F633" s="104" t="s">
        <v>7100</v>
      </c>
      <c r="G633" s="103" t="s">
        <v>4330</v>
      </c>
      <c r="H633" s="103" t="s">
        <v>4331</v>
      </c>
      <c r="I633" s="142" t="s">
        <v>4343</v>
      </c>
      <c r="J633" s="114" t="s">
        <v>7101</v>
      </c>
      <c r="K633" s="149" t="s">
        <v>7102</v>
      </c>
      <c r="L633" s="149" t="s">
        <v>7103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7101</v>
      </c>
      <c r="AC633" s="204" t="s">
        <v>7102</v>
      </c>
      <c r="AD633" s="204" t="s">
        <v>7103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15"/>
        <v/>
      </c>
      <c r="BD633" s="103" t="str">
        <f t="shared" si="16"/>
        <v>AA</v>
      </c>
      <c r="BE633" s="103" t="str">
        <f t="shared" si="17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4476</v>
      </c>
      <c r="D634" s="103">
        <v>1</v>
      </c>
      <c r="E634" s="103" t="s">
        <v>4432</v>
      </c>
      <c r="F634" s="104" t="s">
        <v>7104</v>
      </c>
      <c r="G634" s="103" t="s">
        <v>4330</v>
      </c>
      <c r="H634" s="103" t="s">
        <v>4331</v>
      </c>
      <c r="I634" s="142" t="s">
        <v>4343</v>
      </c>
      <c r="J634" s="149" t="s">
        <v>7105</v>
      </c>
      <c r="K634" s="149" t="s">
        <v>7106</v>
      </c>
      <c r="L634" s="149" t="s">
        <v>7107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7105</v>
      </c>
      <c r="AC634" s="149" t="s">
        <v>7106</v>
      </c>
      <c r="AD634" s="149" t="s">
        <v>7107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15"/>
        <v/>
      </c>
      <c r="BD634" s="103" t="str">
        <f t="shared" si="16"/>
        <v>AA</v>
      </c>
      <c r="BE634" s="103" t="str">
        <f t="shared" si="17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7108</v>
      </c>
      <c r="G635" s="103" t="s">
        <v>4351</v>
      </c>
      <c r="H635" s="103" t="s">
        <v>4351</v>
      </c>
      <c r="I635" s="153" t="s">
        <v>4332</v>
      </c>
      <c r="J635" s="149" t="s">
        <v>7109</v>
      </c>
      <c r="K635" s="149" t="s">
        <v>7110</v>
      </c>
      <c r="L635" s="149" t="s">
        <v>7111</v>
      </c>
      <c r="M635" s="103" t="s">
        <v>4333</v>
      </c>
      <c r="N635" s="103" t="s">
        <v>4452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7109</v>
      </c>
      <c r="AC635" s="149" t="s">
        <v>7110</v>
      </c>
      <c r="AD635" s="149" t="s">
        <v>7112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5" t="s">
        <v>7113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4454</v>
      </c>
      <c r="BA635" s="245" t="s">
        <v>4598</v>
      </c>
      <c r="BB635" s="249" t="s">
        <v>4338</v>
      </c>
      <c r="BC635" s="220">
        <f t="shared" si="15"/>
        <v>70</v>
      </c>
      <c r="BD635" s="103" t="str">
        <f t="shared" si="16"/>
        <v>INDENIZAÇÃO</v>
      </c>
      <c r="BE635" s="103" t="str">
        <f t="shared" si="17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2" t="s">
        <v>4502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4476</v>
      </c>
      <c r="D636" s="103">
        <v>1</v>
      </c>
      <c r="E636" s="103" t="s">
        <v>4432</v>
      </c>
      <c r="F636" s="104" t="s">
        <v>7114</v>
      </c>
      <c r="G636" s="103" t="s">
        <v>4330</v>
      </c>
      <c r="H636" s="103" t="s">
        <v>4331</v>
      </c>
      <c r="I636" s="142" t="s">
        <v>4343</v>
      </c>
      <c r="J636" s="149" t="s">
        <v>7115</v>
      </c>
      <c r="K636" s="149" t="s">
        <v>7116</v>
      </c>
      <c r="L636" s="149" t="s">
        <v>7117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7115</v>
      </c>
      <c r="AC636" s="149" t="s">
        <v>7116</v>
      </c>
      <c r="AD636" s="149" t="s">
        <v>7117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15"/>
        <v/>
      </c>
      <c r="BD636" s="103" t="str">
        <f t="shared" si="16"/>
        <v>AA</v>
      </c>
      <c r="BE636" s="103" t="str">
        <f t="shared" si="17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4476</v>
      </c>
      <c r="D637" s="103">
        <v>1</v>
      </c>
      <c r="E637" s="103" t="s">
        <v>4432</v>
      </c>
      <c r="F637" s="104" t="s">
        <v>5425</v>
      </c>
      <c r="G637" s="103" t="s">
        <v>4330</v>
      </c>
      <c r="H637" s="103" t="s">
        <v>4331</v>
      </c>
      <c r="I637" s="142" t="s">
        <v>4343</v>
      </c>
      <c r="J637" s="149" t="s">
        <v>7118</v>
      </c>
      <c r="K637" s="149" t="s">
        <v>7119</v>
      </c>
      <c r="L637" s="149" t="s">
        <v>7120</v>
      </c>
      <c r="M637" s="103" t="s">
        <v>4333</v>
      </c>
      <c r="N637" s="103" t="s">
        <v>4452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7118</v>
      </c>
      <c r="AC637" s="204" t="s">
        <v>7119</v>
      </c>
      <c r="AD637" s="204" t="s">
        <v>7120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7121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4454</v>
      </c>
      <c r="BA637" s="245" t="s">
        <v>4598</v>
      </c>
      <c r="BB637" s="249" t="s">
        <v>4338</v>
      </c>
      <c r="BC637" s="220">
        <f t="shared" si="15"/>
        <v>96</v>
      </c>
      <c r="BD637" s="103" t="str">
        <f t="shared" si="16"/>
        <v>INDENIZAÇÃO</v>
      </c>
      <c r="BE637" s="103" t="str">
        <f t="shared" si="17"/>
        <v>NÃO</v>
      </c>
      <c r="BF637" s="250" t="s">
        <v>4357</v>
      </c>
      <c r="BG637" s="250" t="s">
        <v>4357</v>
      </c>
      <c r="BH637" s="250" t="s">
        <v>4357</v>
      </c>
      <c r="BI637" s="251" t="s">
        <v>4926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4476</v>
      </c>
      <c r="D638" s="103">
        <v>1</v>
      </c>
      <c r="E638" s="103" t="s">
        <v>4432</v>
      </c>
      <c r="F638" s="104" t="s">
        <v>7122</v>
      </c>
      <c r="G638" s="103" t="s">
        <v>4330</v>
      </c>
      <c r="H638" s="103" t="s">
        <v>4331</v>
      </c>
      <c r="I638" s="142" t="s">
        <v>4343</v>
      </c>
      <c r="J638" s="149" t="s">
        <v>7123</v>
      </c>
      <c r="K638" s="149" t="s">
        <v>7124</v>
      </c>
      <c r="L638" s="149" t="s">
        <v>7125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7123</v>
      </c>
      <c r="AC638" s="149" t="s">
        <v>7124</v>
      </c>
      <c r="AD638" s="149" t="s">
        <v>7125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15"/>
        <v/>
      </c>
      <c r="BD638" s="103" t="str">
        <f t="shared" si="16"/>
        <v>AA</v>
      </c>
      <c r="BE638" s="103" t="str">
        <f t="shared" si="17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4476</v>
      </c>
      <c r="D639" s="103">
        <v>1</v>
      </c>
      <c r="E639" s="103" t="s">
        <v>4432</v>
      </c>
      <c r="F639" s="104" t="s">
        <v>4608</v>
      </c>
      <c r="G639" s="103" t="s">
        <v>4330</v>
      </c>
      <c r="H639" s="103" t="s">
        <v>4331</v>
      </c>
      <c r="I639" s="142" t="s">
        <v>4343</v>
      </c>
      <c r="J639" s="149" t="s">
        <v>7126</v>
      </c>
      <c r="K639" s="149" t="s">
        <v>7127</v>
      </c>
      <c r="L639" s="149" t="s">
        <v>7128</v>
      </c>
      <c r="M639" s="103" t="s">
        <v>4333</v>
      </c>
      <c r="N639" s="103" t="s">
        <v>4452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7126</v>
      </c>
      <c r="AC639" s="173" t="s">
        <v>7127</v>
      </c>
      <c r="AD639" s="173" t="s">
        <v>7128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7129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4454</v>
      </c>
      <c r="BA639" s="245" t="s">
        <v>4598</v>
      </c>
      <c r="BB639" s="249" t="s">
        <v>4338</v>
      </c>
      <c r="BC639" s="220">
        <f t="shared" si="15"/>
        <v>137</v>
      </c>
      <c r="BD639" s="103" t="str">
        <f t="shared" si="16"/>
        <v>INDENIZAÇÃO</v>
      </c>
      <c r="BE639" s="103" t="str">
        <f t="shared" si="17"/>
        <v>NÃO</v>
      </c>
      <c r="BF639" s="250" t="s">
        <v>4357</v>
      </c>
      <c r="BG639" s="250" t="s">
        <v>4357</v>
      </c>
      <c r="BH639" s="250" t="s">
        <v>4357</v>
      </c>
      <c r="BI639" s="251" t="s">
        <v>4926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4476</v>
      </c>
      <c r="D640" s="103">
        <v>1</v>
      </c>
      <c r="E640" s="103" t="s">
        <v>4432</v>
      </c>
      <c r="F640" s="104" t="s">
        <v>5607</v>
      </c>
      <c r="G640" s="103" t="s">
        <v>4330</v>
      </c>
      <c r="H640" s="103" t="s">
        <v>4331</v>
      </c>
      <c r="I640" s="142" t="s">
        <v>4343</v>
      </c>
      <c r="J640" s="149" t="s">
        <v>7130</v>
      </c>
      <c r="K640" s="149" t="s">
        <v>7131</v>
      </c>
      <c r="L640" s="149" t="s">
        <v>7132</v>
      </c>
      <c r="M640" s="103" t="s">
        <v>4333</v>
      </c>
      <c r="N640" s="103" t="s">
        <v>4452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7130</v>
      </c>
      <c r="AC640" s="104" t="s">
        <v>7131</v>
      </c>
      <c r="AD640" s="104" t="s">
        <v>7132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7133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4454</v>
      </c>
      <c r="BA640" s="288" t="s">
        <v>4598</v>
      </c>
      <c r="BB640" s="249" t="s">
        <v>4338</v>
      </c>
      <c r="BC640" s="220">
        <f t="shared" si="15"/>
        <v>137</v>
      </c>
      <c r="BD640" s="103" t="str">
        <f t="shared" si="16"/>
        <v>INDENIZAÇÃO</v>
      </c>
      <c r="BE640" s="103" t="str">
        <f t="shared" si="17"/>
        <v>NÃO</v>
      </c>
      <c r="BF640" s="250" t="s">
        <v>4357</v>
      </c>
      <c r="BG640" s="250" t="s">
        <v>4357</v>
      </c>
      <c r="BH640" s="250" t="s">
        <v>4357</v>
      </c>
      <c r="BI640" s="251" t="s">
        <v>4926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4476</v>
      </c>
      <c r="D641" s="103">
        <v>1</v>
      </c>
      <c r="E641" s="103" t="s">
        <v>4432</v>
      </c>
      <c r="F641" s="104" t="s">
        <v>5849</v>
      </c>
      <c r="G641" s="103" t="s">
        <v>4330</v>
      </c>
      <c r="H641" s="103" t="s">
        <v>4331</v>
      </c>
      <c r="I641" s="103" t="s">
        <v>4343</v>
      </c>
      <c r="J641" s="149" t="s">
        <v>7134</v>
      </c>
      <c r="K641" s="149" t="s">
        <v>7135</v>
      </c>
      <c r="L641" s="149" t="s">
        <v>7136</v>
      </c>
      <c r="M641" s="103" t="s">
        <v>4333</v>
      </c>
      <c r="N641" s="103" t="s">
        <v>4452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7134</v>
      </c>
      <c r="AC641" s="149" t="s">
        <v>7135</v>
      </c>
      <c r="AD641" s="149" t="s">
        <v>7136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7137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4454</v>
      </c>
      <c r="BA641" s="288" t="s">
        <v>4598</v>
      </c>
      <c r="BB641" s="249" t="s">
        <v>4338</v>
      </c>
      <c r="BC641" s="220">
        <f t="shared" si="15"/>
        <v>71</v>
      </c>
      <c r="BD641" s="103" t="str">
        <f t="shared" si="16"/>
        <v>INDENIZAÇÃO</v>
      </c>
      <c r="BE641" s="103" t="str">
        <f t="shared" si="17"/>
        <v>NÃO</v>
      </c>
      <c r="BF641" s="250" t="s">
        <v>4357</v>
      </c>
      <c r="BG641" s="250" t="s">
        <v>4357</v>
      </c>
      <c r="BH641" s="250" t="s">
        <v>4357</v>
      </c>
      <c r="BI641" s="251" t="s">
        <v>4926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4476</v>
      </c>
      <c r="D642" s="103">
        <v>1</v>
      </c>
      <c r="E642" s="103" t="s">
        <v>4432</v>
      </c>
      <c r="F642" s="104" t="s">
        <v>7138</v>
      </c>
      <c r="G642" s="103" t="s">
        <v>5973</v>
      </c>
      <c r="H642" s="103" t="s">
        <v>5973</v>
      </c>
      <c r="I642" s="153" t="s">
        <v>4332</v>
      </c>
      <c r="J642" s="149" t="s">
        <v>7139</v>
      </c>
      <c r="K642" s="149" t="s">
        <v>7140</v>
      </c>
      <c r="L642" s="149" t="s">
        <v>7141</v>
      </c>
      <c r="M642" s="103" t="s">
        <v>4333</v>
      </c>
      <c r="N642" s="103" t="s">
        <v>4452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7139</v>
      </c>
      <c r="AC642" s="149" t="s">
        <v>7140</v>
      </c>
      <c r="AD642" s="149" t="s">
        <v>7141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7142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4454</v>
      </c>
      <c r="BA642" s="288" t="s">
        <v>4598</v>
      </c>
      <c r="BB642" s="249" t="s">
        <v>4338</v>
      </c>
      <c r="BC642" s="220">
        <f t="shared" si="15"/>
        <v>106</v>
      </c>
      <c r="BD642" s="103" t="str">
        <f t="shared" si="16"/>
        <v>INDENIZAÇÃO</v>
      </c>
      <c r="BE642" s="103" t="str">
        <f t="shared" si="17"/>
        <v>NÃO</v>
      </c>
      <c r="BF642" s="250" t="s">
        <v>4357</v>
      </c>
      <c r="BG642" s="250" t="s">
        <v>4357</v>
      </c>
      <c r="BH642" s="250" t="s">
        <v>4357</v>
      </c>
      <c r="BI642" s="251" t="s">
        <v>4926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4476</v>
      </c>
      <c r="D643" s="103">
        <v>1</v>
      </c>
      <c r="E643" s="103" t="s">
        <v>4432</v>
      </c>
      <c r="F643" s="104" t="s">
        <v>7143</v>
      </c>
      <c r="G643" s="103" t="s">
        <v>4330</v>
      </c>
      <c r="H643" s="103" t="s">
        <v>4331</v>
      </c>
      <c r="I643" s="142" t="s">
        <v>4343</v>
      </c>
      <c r="J643" s="149" t="s">
        <v>7144</v>
      </c>
      <c r="K643" s="149" t="s">
        <v>7145</v>
      </c>
      <c r="L643" s="149" t="s">
        <v>7146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7144</v>
      </c>
      <c r="AC643" s="149" t="s">
        <v>7145</v>
      </c>
      <c r="AD643" s="149" t="s">
        <v>7146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15"/>
        <v/>
      </c>
      <c r="BD643" s="103" t="str">
        <f t="shared" si="16"/>
        <v>AA</v>
      </c>
      <c r="BE643" s="103" t="str">
        <f t="shared" si="17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4476</v>
      </c>
      <c r="D644" s="103">
        <v>1</v>
      </c>
      <c r="E644" s="103" t="s">
        <v>4432</v>
      </c>
      <c r="F644" s="104" t="s">
        <v>7147</v>
      </c>
      <c r="G644" s="103" t="s">
        <v>4330</v>
      </c>
      <c r="H644" s="103" t="s">
        <v>4331</v>
      </c>
      <c r="I644" s="142" t="s">
        <v>4343</v>
      </c>
      <c r="J644" s="149" t="s">
        <v>7148</v>
      </c>
      <c r="K644" s="149" t="s">
        <v>7149</v>
      </c>
      <c r="L644" s="149" t="s">
        <v>7150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7148</v>
      </c>
      <c r="AC644" s="149" t="s">
        <v>7149</v>
      </c>
      <c r="AD644" s="149" t="s">
        <v>7150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15"/>
        <v/>
      </c>
      <c r="BD644" s="103" t="str">
        <f t="shared" si="16"/>
        <v>AA</v>
      </c>
      <c r="BE644" s="103" t="str">
        <f t="shared" si="17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4476</v>
      </c>
      <c r="D645" s="103">
        <v>1</v>
      </c>
      <c r="E645" s="103" t="s">
        <v>4432</v>
      </c>
      <c r="F645" s="104" t="s">
        <v>7151</v>
      </c>
      <c r="G645" s="103" t="s">
        <v>4330</v>
      </c>
      <c r="H645" s="103" t="s">
        <v>4331</v>
      </c>
      <c r="I645" s="142" t="s">
        <v>4343</v>
      </c>
      <c r="J645" s="149" t="s">
        <v>7152</v>
      </c>
      <c r="K645" s="149" t="s">
        <v>7153</v>
      </c>
      <c r="L645" s="149" t="s">
        <v>7154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7152</v>
      </c>
      <c r="AC645" s="149" t="s">
        <v>7153</v>
      </c>
      <c r="AD645" s="149" t="s">
        <v>7154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15"/>
        <v/>
      </c>
      <c r="BD645" s="103" t="str">
        <f t="shared" si="16"/>
        <v>AA</v>
      </c>
      <c r="BE645" s="103" t="str">
        <f t="shared" si="17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4476</v>
      </c>
      <c r="D646" s="103">
        <v>1</v>
      </c>
      <c r="E646" s="103" t="s">
        <v>4432</v>
      </c>
      <c r="F646" s="104" t="s">
        <v>7155</v>
      </c>
      <c r="G646" s="103" t="s">
        <v>4330</v>
      </c>
      <c r="H646" s="103" t="s">
        <v>4331</v>
      </c>
      <c r="I646" s="142" t="s">
        <v>4343</v>
      </c>
      <c r="J646" s="149" t="s">
        <v>7156</v>
      </c>
      <c r="K646" s="149" t="s">
        <v>7157</v>
      </c>
      <c r="L646" s="149" t="s">
        <v>7158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7156</v>
      </c>
      <c r="AC646" s="149" t="s">
        <v>7157</v>
      </c>
      <c r="AD646" s="149" t="s">
        <v>7158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15"/>
        <v/>
      </c>
      <c r="BD646" s="103" t="str">
        <f t="shared" si="16"/>
        <v>AA</v>
      </c>
      <c r="BE646" s="103" t="str">
        <f t="shared" si="17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4476</v>
      </c>
      <c r="D647" s="103">
        <v>1</v>
      </c>
      <c r="E647" s="103" t="s">
        <v>4432</v>
      </c>
      <c r="F647" s="104" t="s">
        <v>7159</v>
      </c>
      <c r="G647" s="103" t="s">
        <v>4330</v>
      </c>
      <c r="H647" s="103" t="s">
        <v>4331</v>
      </c>
      <c r="I647" s="142" t="s">
        <v>4343</v>
      </c>
      <c r="J647" s="149" t="s">
        <v>7160</v>
      </c>
      <c r="K647" s="149" t="s">
        <v>7161</v>
      </c>
      <c r="L647" s="149" t="s">
        <v>7162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7160</v>
      </c>
      <c r="AC647" s="149" t="s">
        <v>7161</v>
      </c>
      <c r="AD647" s="149" t="s">
        <v>7162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15"/>
        <v/>
      </c>
      <c r="BD647" s="103" t="str">
        <f t="shared" si="16"/>
        <v>AA</v>
      </c>
      <c r="BE647" s="103" t="str">
        <f t="shared" si="17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4476</v>
      </c>
      <c r="D648" s="103">
        <v>1</v>
      </c>
      <c r="E648" s="103" t="s">
        <v>4432</v>
      </c>
      <c r="F648" s="104" t="s">
        <v>7163</v>
      </c>
      <c r="G648" s="103" t="s">
        <v>4330</v>
      </c>
      <c r="H648" s="103" t="s">
        <v>4331</v>
      </c>
      <c r="I648" s="142" t="s">
        <v>4343</v>
      </c>
      <c r="J648" s="149" t="s">
        <v>7164</v>
      </c>
      <c r="K648" s="149" t="s">
        <v>7165</v>
      </c>
      <c r="L648" s="149" t="s">
        <v>7166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7164</v>
      </c>
      <c r="AC648" s="149" t="s">
        <v>7165</v>
      </c>
      <c r="AD648" s="149" t="s">
        <v>7166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15"/>
        <v/>
      </c>
      <c r="BD648" s="103" t="str">
        <f t="shared" si="16"/>
        <v>AA</v>
      </c>
      <c r="BE648" s="103" t="str">
        <f t="shared" si="17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4476</v>
      </c>
      <c r="D649" s="103">
        <v>1</v>
      </c>
      <c r="E649" s="103" t="s">
        <v>4432</v>
      </c>
      <c r="F649" s="104" t="s">
        <v>6628</v>
      </c>
      <c r="G649" s="103" t="s">
        <v>4330</v>
      </c>
      <c r="H649" s="103" t="s">
        <v>4331</v>
      </c>
      <c r="I649" s="142" t="s">
        <v>5303</v>
      </c>
      <c r="J649" s="149" t="s">
        <v>7167</v>
      </c>
      <c r="K649" s="149" t="s">
        <v>7168</v>
      </c>
      <c r="L649" s="149" t="s">
        <v>7169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7170</v>
      </c>
      <c r="AB649" s="149" t="s">
        <v>7171</v>
      </c>
      <c r="AC649" s="149" t="s">
        <v>7172</v>
      </c>
      <c r="AD649" s="149" t="s">
        <v>7173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7174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4454</v>
      </c>
      <c r="BA649" s="174" t="s">
        <v>4598</v>
      </c>
      <c r="BB649" s="136" t="s">
        <v>4338</v>
      </c>
      <c r="BC649" s="220">
        <f t="shared" si="15"/>
        <v>118</v>
      </c>
      <c r="BD649" s="103" t="str">
        <f t="shared" si="16"/>
        <v>INDENIZAÇÃO</v>
      </c>
      <c r="BE649" s="103" t="str">
        <f t="shared" si="17"/>
        <v>NÃO</v>
      </c>
      <c r="BF649" s="140" t="s">
        <v>4357</v>
      </c>
      <c r="BG649" s="140" t="s">
        <v>4357</v>
      </c>
      <c r="BH649" s="140" t="s">
        <v>4357</v>
      </c>
      <c r="BI649" s="154" t="s">
        <v>4926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4476</v>
      </c>
      <c r="D650" s="103">
        <v>1</v>
      </c>
      <c r="E650" s="103" t="s">
        <v>4432</v>
      </c>
      <c r="F650" s="104" t="s">
        <v>7175</v>
      </c>
      <c r="G650" s="98" t="s">
        <v>4330</v>
      </c>
      <c r="H650" s="103" t="s">
        <v>4331</v>
      </c>
      <c r="I650" s="246" t="s">
        <v>4343</v>
      </c>
      <c r="J650" s="149" t="s">
        <v>7176</v>
      </c>
      <c r="K650" s="149" t="s">
        <v>7177</v>
      </c>
      <c r="L650" s="149" t="s">
        <v>7178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7176</v>
      </c>
      <c r="AC650" s="149" t="s">
        <v>7177</v>
      </c>
      <c r="AD650" s="149" t="s">
        <v>7178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15"/>
        <v/>
      </c>
      <c r="BD650" s="103" t="str">
        <f t="shared" si="16"/>
        <v>AA</v>
      </c>
      <c r="BE650" s="103" t="str">
        <f t="shared" si="17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4476</v>
      </c>
      <c r="D651" s="103">
        <v>1</v>
      </c>
      <c r="E651" s="103" t="s">
        <v>4432</v>
      </c>
      <c r="F651" s="104" t="s">
        <v>7179</v>
      </c>
      <c r="G651" s="103" t="s">
        <v>4330</v>
      </c>
      <c r="H651" s="103" t="s">
        <v>4331</v>
      </c>
      <c r="I651" s="142" t="s">
        <v>4343</v>
      </c>
      <c r="J651" s="149" t="s">
        <v>7180</v>
      </c>
      <c r="K651" s="149" t="s">
        <v>7181</v>
      </c>
      <c r="L651" s="149" t="s">
        <v>7182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7180</v>
      </c>
      <c r="AC651" s="149" t="s">
        <v>7181</v>
      </c>
      <c r="AD651" s="149" t="s">
        <v>7182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15"/>
        <v/>
      </c>
      <c r="BD651" s="103" t="str">
        <f t="shared" si="16"/>
        <v>AA</v>
      </c>
      <c r="BE651" s="103" t="str">
        <f t="shared" si="17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4476</v>
      </c>
      <c r="D652" s="103">
        <v>1</v>
      </c>
      <c r="E652" s="103" t="s">
        <v>4432</v>
      </c>
      <c r="F652" s="104" t="s">
        <v>7183</v>
      </c>
      <c r="G652" s="103" t="s">
        <v>4330</v>
      </c>
      <c r="H652" s="103" t="s">
        <v>4331</v>
      </c>
      <c r="I652" s="142" t="s">
        <v>7020</v>
      </c>
      <c r="J652" s="149" t="s">
        <v>7184</v>
      </c>
      <c r="K652" s="149" t="s">
        <v>7185</v>
      </c>
      <c r="L652" s="149" t="s">
        <v>7186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7184</v>
      </c>
      <c r="AC652" s="149" t="s">
        <v>7185</v>
      </c>
      <c r="AD652" s="149" t="s">
        <v>7186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15"/>
        <v/>
      </c>
      <c r="BD652" s="103" t="str">
        <f t="shared" si="16"/>
        <v>AA</v>
      </c>
      <c r="BE652" s="103" t="str">
        <f t="shared" si="17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4476</v>
      </c>
      <c r="D653" s="103">
        <v>1</v>
      </c>
      <c r="E653" s="103" t="s">
        <v>4432</v>
      </c>
      <c r="F653" s="104" t="s">
        <v>6843</v>
      </c>
      <c r="G653" s="103" t="s">
        <v>4330</v>
      </c>
      <c r="H653" s="103" t="s">
        <v>4331</v>
      </c>
      <c r="I653" s="142" t="s">
        <v>4343</v>
      </c>
      <c r="J653" s="150" t="s">
        <v>7187</v>
      </c>
      <c r="K653" s="149" t="s">
        <v>7188</v>
      </c>
      <c r="L653" s="149" t="s">
        <v>7189</v>
      </c>
      <c r="M653" s="103" t="s">
        <v>4333</v>
      </c>
      <c r="N653" s="103" t="s">
        <v>4452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7187</v>
      </c>
      <c r="AC653" s="149" t="s">
        <v>7188</v>
      </c>
      <c r="AD653" s="149" t="s">
        <v>7189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7190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4454</v>
      </c>
      <c r="BA653" s="245" t="s">
        <v>4598</v>
      </c>
      <c r="BB653" s="249" t="s">
        <v>4338</v>
      </c>
      <c r="BC653" s="220">
        <f t="shared" si="15"/>
        <v>105</v>
      </c>
      <c r="BD653" s="103" t="str">
        <f t="shared" si="16"/>
        <v>INDENIZAÇÃO</v>
      </c>
      <c r="BE653" s="103" t="str">
        <f t="shared" si="17"/>
        <v>NÃO</v>
      </c>
      <c r="BF653" s="250" t="s">
        <v>4357</v>
      </c>
      <c r="BG653" s="250" t="s">
        <v>4357</v>
      </c>
      <c r="BH653" s="250" t="s">
        <v>4357</v>
      </c>
      <c r="BI653" s="251" t="s">
        <v>4926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4476</v>
      </c>
      <c r="D654" s="103">
        <v>1</v>
      </c>
      <c r="E654" s="103" t="s">
        <v>4432</v>
      </c>
      <c r="F654" s="104" t="s">
        <v>7191</v>
      </c>
      <c r="G654" s="103" t="s">
        <v>4330</v>
      </c>
      <c r="H654" s="103" t="s">
        <v>4331</v>
      </c>
      <c r="I654" s="142" t="s">
        <v>4440</v>
      </c>
      <c r="J654" s="149" t="s">
        <v>7192</v>
      </c>
      <c r="K654" s="149" t="s">
        <v>7193</v>
      </c>
      <c r="L654" s="149" t="s">
        <v>7194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7195</v>
      </c>
      <c r="AC654" s="149" t="s">
        <v>7196</v>
      </c>
      <c r="AD654" s="149" t="s">
        <v>7197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7198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4454</v>
      </c>
      <c r="BA654" s="174" t="s">
        <v>4598</v>
      </c>
      <c r="BB654" s="112" t="s">
        <v>4338</v>
      </c>
      <c r="BC654" s="220">
        <f t="shared" si="15"/>
        <v>85</v>
      </c>
      <c r="BD654" s="103" t="str">
        <f t="shared" si="16"/>
        <v>INDENIZAÇÃO</v>
      </c>
      <c r="BE654" s="103" t="str">
        <f t="shared" si="17"/>
        <v>NÃO</v>
      </c>
      <c r="BF654" s="112" t="s">
        <v>4357</v>
      </c>
      <c r="BG654" s="112" t="s">
        <v>4357</v>
      </c>
      <c r="BH654" s="112" t="s">
        <v>4357</v>
      </c>
      <c r="BI654" s="154" t="s">
        <v>4926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4476</v>
      </c>
      <c r="D655" s="103">
        <v>1</v>
      </c>
      <c r="E655" s="103" t="s">
        <v>4432</v>
      </c>
      <c r="F655" s="104" t="s">
        <v>7199</v>
      </c>
      <c r="G655" s="103" t="s">
        <v>4330</v>
      </c>
      <c r="H655" s="103" t="s">
        <v>4331</v>
      </c>
      <c r="I655" s="142" t="s">
        <v>4343</v>
      </c>
      <c r="J655" s="149" t="s">
        <v>7200</v>
      </c>
      <c r="K655" s="149" t="s">
        <v>7201</v>
      </c>
      <c r="L655" s="149" t="s">
        <v>7202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7200</v>
      </c>
      <c r="AC655" s="149" t="s">
        <v>7201</v>
      </c>
      <c r="AD655" s="149" t="s">
        <v>7202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15"/>
        <v/>
      </c>
      <c r="BD655" s="103" t="str">
        <f t="shared" si="16"/>
        <v>AA</v>
      </c>
      <c r="BE655" s="103" t="str">
        <f t="shared" si="17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4476</v>
      </c>
      <c r="D656" s="103">
        <v>1</v>
      </c>
      <c r="E656" s="103" t="s">
        <v>4432</v>
      </c>
      <c r="F656" s="104" t="s">
        <v>7203</v>
      </c>
      <c r="G656" s="103" t="s">
        <v>4330</v>
      </c>
      <c r="H656" s="103" t="s">
        <v>4331</v>
      </c>
      <c r="I656" s="142" t="s">
        <v>4440</v>
      </c>
      <c r="J656" s="149" t="s">
        <v>7204</v>
      </c>
      <c r="K656" s="149" t="s">
        <v>7205</v>
      </c>
      <c r="L656" s="149" t="s">
        <v>7206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6177</v>
      </c>
      <c r="AB656" s="149" t="s">
        <v>7207</v>
      </c>
      <c r="AC656" s="149" t="s">
        <v>7208</v>
      </c>
      <c r="AD656" s="149" t="s">
        <v>7209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7210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4454</v>
      </c>
      <c r="BA656" s="107" t="s">
        <v>4598</v>
      </c>
      <c r="BB656" s="136" t="s">
        <v>4338</v>
      </c>
      <c r="BC656" s="220">
        <f t="shared" si="15"/>
        <v>89</v>
      </c>
      <c r="BD656" s="103" t="str">
        <f t="shared" si="16"/>
        <v>INDENIZAÇÃO</v>
      </c>
      <c r="BE656" s="103" t="str">
        <f t="shared" si="17"/>
        <v>NÃO</v>
      </c>
      <c r="BF656" s="140" t="s">
        <v>4357</v>
      </c>
      <c r="BG656" s="140" t="s">
        <v>4357</v>
      </c>
      <c r="BH656" s="140" t="s">
        <v>4357</v>
      </c>
      <c r="BI656" s="154" t="s">
        <v>4926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4476</v>
      </c>
      <c r="D657" s="103">
        <v>1</v>
      </c>
      <c r="E657" s="103" t="s">
        <v>4432</v>
      </c>
      <c r="F657" s="104" t="s">
        <v>7211</v>
      </c>
      <c r="G657" s="103" t="s">
        <v>4330</v>
      </c>
      <c r="H657" s="103" t="s">
        <v>4331</v>
      </c>
      <c r="I657" s="142" t="s">
        <v>4343</v>
      </c>
      <c r="J657" s="149" t="s">
        <v>7212</v>
      </c>
      <c r="K657" s="149" t="s">
        <v>7213</v>
      </c>
      <c r="L657" s="149" t="s">
        <v>7214</v>
      </c>
      <c r="M657" s="103" t="s">
        <v>4333</v>
      </c>
      <c r="N657" s="103" t="s">
        <v>4452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7212</v>
      </c>
      <c r="AC657" s="149" t="s">
        <v>7213</v>
      </c>
      <c r="AD657" s="149" t="s">
        <v>7214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15"/>
        <v/>
      </c>
      <c r="BD657" s="103" t="str">
        <f t="shared" si="16"/>
        <v>INDENIZAÇÃO</v>
      </c>
      <c r="BE657" s="103" t="str">
        <f t="shared" si="17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7215</v>
      </c>
      <c r="G658" s="103" t="s">
        <v>4330</v>
      </c>
      <c r="H658" s="103" t="s">
        <v>4331</v>
      </c>
      <c r="I658" s="103" t="s">
        <v>4343</v>
      </c>
      <c r="J658" s="149" t="s">
        <v>7216</v>
      </c>
      <c r="K658" s="149" t="s">
        <v>7217</v>
      </c>
      <c r="L658" s="149" t="s">
        <v>7218</v>
      </c>
      <c r="M658" s="103" t="s">
        <v>4333</v>
      </c>
      <c r="N658" s="103" t="s">
        <v>4452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7216</v>
      </c>
      <c r="AC658" s="149" t="s">
        <v>7217</v>
      </c>
      <c r="AD658" s="149" t="s">
        <v>7218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5" t="s">
        <v>7219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4454</v>
      </c>
      <c r="BA658" s="174" t="s">
        <v>4330</v>
      </c>
      <c r="BB658" s="112" t="s">
        <v>4338</v>
      </c>
      <c r="BC658" s="220">
        <f t="shared" si="15"/>
        <v>77</v>
      </c>
      <c r="BD658" s="103" t="str">
        <f t="shared" si="16"/>
        <v>INDENIZAÇÃO</v>
      </c>
      <c r="BE658" s="103" t="str">
        <f t="shared" si="17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2" t="s">
        <v>4502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4503</v>
      </c>
      <c r="G659" s="103" t="s">
        <v>4330</v>
      </c>
      <c r="H659" s="103" t="s">
        <v>4331</v>
      </c>
      <c r="I659" s="142" t="s">
        <v>4343</v>
      </c>
      <c r="J659" s="149" t="s">
        <v>7220</v>
      </c>
      <c r="K659" s="149" t="s">
        <v>7221</v>
      </c>
      <c r="L659" s="149" t="s">
        <v>7222</v>
      </c>
      <c r="M659" s="103" t="s">
        <v>4333</v>
      </c>
      <c r="N659" s="103" t="s">
        <v>4452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7220</v>
      </c>
      <c r="AC659" s="149" t="s">
        <v>7221</v>
      </c>
      <c r="AD659" s="149" t="s">
        <v>7222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7223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4454</v>
      </c>
      <c r="BA659" s="174" t="s">
        <v>4330</v>
      </c>
      <c r="BB659" s="112" t="s">
        <v>4338</v>
      </c>
      <c r="BC659" s="220">
        <f t="shared" si="15"/>
        <v>99</v>
      </c>
      <c r="BD659" s="103" t="str">
        <f t="shared" si="16"/>
        <v>INDENIZAÇÃO</v>
      </c>
      <c r="BE659" s="103" t="str">
        <f t="shared" si="17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2" t="s">
        <v>4502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4476</v>
      </c>
      <c r="D660" s="103">
        <v>1</v>
      </c>
      <c r="E660" s="103" t="s">
        <v>4432</v>
      </c>
      <c r="F660" s="104" t="s">
        <v>7224</v>
      </c>
      <c r="G660" s="103" t="s">
        <v>4330</v>
      </c>
      <c r="H660" s="103" t="s">
        <v>4331</v>
      </c>
      <c r="I660" s="142" t="s">
        <v>4343</v>
      </c>
      <c r="J660" s="114" t="s">
        <v>7225</v>
      </c>
      <c r="K660" s="149" t="s">
        <v>7226</v>
      </c>
      <c r="L660" s="149" t="s">
        <v>7227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7225</v>
      </c>
      <c r="AC660" s="149" t="s">
        <v>7226</v>
      </c>
      <c r="AD660" s="149" t="s">
        <v>7227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15"/>
        <v/>
      </c>
      <c r="BD660" s="103" t="str">
        <f t="shared" si="16"/>
        <v>AA</v>
      </c>
      <c r="BE660" s="103" t="str">
        <f t="shared" si="17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4476</v>
      </c>
      <c r="D661" s="103">
        <v>1</v>
      </c>
      <c r="E661" s="103" t="s">
        <v>4432</v>
      </c>
      <c r="F661" s="104" t="s">
        <v>7228</v>
      </c>
      <c r="G661" s="103" t="s">
        <v>4330</v>
      </c>
      <c r="H661" s="103" t="s">
        <v>4331</v>
      </c>
      <c r="I661" s="142" t="s">
        <v>4343</v>
      </c>
      <c r="J661" s="114" t="s">
        <v>7229</v>
      </c>
      <c r="K661" s="149" t="s">
        <v>7230</v>
      </c>
      <c r="L661" s="149" t="s">
        <v>7231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7229</v>
      </c>
      <c r="AC661" s="149" t="s">
        <v>7230</v>
      </c>
      <c r="AD661" s="149" t="s">
        <v>7231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15"/>
        <v/>
      </c>
      <c r="BD661" s="103" t="str">
        <f t="shared" si="16"/>
        <v>AA</v>
      </c>
      <c r="BE661" s="103" t="str">
        <f t="shared" si="17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4476</v>
      </c>
      <c r="D662" s="103">
        <v>1</v>
      </c>
      <c r="E662" s="103" t="s">
        <v>4432</v>
      </c>
      <c r="F662" s="104" t="s">
        <v>7232</v>
      </c>
      <c r="G662" s="103" t="s">
        <v>4330</v>
      </c>
      <c r="H662" s="103" t="s">
        <v>4331</v>
      </c>
      <c r="I662" s="142" t="s">
        <v>4343</v>
      </c>
      <c r="J662" s="149" t="s">
        <v>7233</v>
      </c>
      <c r="K662" s="149" t="s">
        <v>4457</v>
      </c>
      <c r="L662" s="149" t="s">
        <v>7234</v>
      </c>
      <c r="M662" s="103" t="s">
        <v>4333</v>
      </c>
      <c r="N662" s="103" t="s">
        <v>4452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7233</v>
      </c>
      <c r="AC662" s="149" t="s">
        <v>4457</v>
      </c>
      <c r="AD662" s="149" t="s">
        <v>7234</v>
      </c>
      <c r="AE662" s="103" t="s">
        <v>5249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15"/>
        <v/>
      </c>
      <c r="BD662" s="103" t="str">
        <f t="shared" si="16"/>
        <v>INDENIZAÇÃO</v>
      </c>
      <c r="BE662" s="103" t="str">
        <f t="shared" si="17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4476</v>
      </c>
      <c r="D663" s="103">
        <v>1</v>
      </c>
      <c r="E663" s="103" t="s">
        <v>4432</v>
      </c>
      <c r="F663" s="144" t="s">
        <v>6025</v>
      </c>
      <c r="G663" s="103" t="s">
        <v>4330</v>
      </c>
      <c r="H663" s="103" t="s">
        <v>4331</v>
      </c>
      <c r="I663" s="142" t="s">
        <v>4343</v>
      </c>
      <c r="J663" s="114" t="s">
        <v>7235</v>
      </c>
      <c r="K663" s="149" t="s">
        <v>7236</v>
      </c>
      <c r="L663" s="149" t="s">
        <v>7237</v>
      </c>
      <c r="M663" s="103" t="s">
        <v>4333</v>
      </c>
      <c r="N663" s="103" t="s">
        <v>4452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7235</v>
      </c>
      <c r="AC663" s="149" t="s">
        <v>7236</v>
      </c>
      <c r="AD663" s="149" t="s">
        <v>7237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7238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4454</v>
      </c>
      <c r="BA663" s="107" t="s">
        <v>4330</v>
      </c>
      <c r="BB663" s="112" t="s">
        <v>4338</v>
      </c>
      <c r="BC663" s="220">
        <f t="shared" si="15"/>
        <v>150</v>
      </c>
      <c r="BD663" s="103" t="str">
        <f t="shared" si="16"/>
        <v>INDENIZAÇÃO</v>
      </c>
      <c r="BE663" s="103" t="str">
        <f t="shared" si="17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2" t="s">
        <v>4502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4476</v>
      </c>
      <c r="D664" s="103">
        <v>1</v>
      </c>
      <c r="E664" s="103" t="s">
        <v>4432</v>
      </c>
      <c r="F664" s="104" t="s">
        <v>7239</v>
      </c>
      <c r="G664" s="103" t="s">
        <v>4330</v>
      </c>
      <c r="H664" s="103" t="s">
        <v>4331</v>
      </c>
      <c r="I664" s="142" t="s">
        <v>4343</v>
      </c>
      <c r="J664" s="149" t="s">
        <v>7240</v>
      </c>
      <c r="K664" s="149" t="s">
        <v>7241</v>
      </c>
      <c r="L664" s="149" t="s">
        <v>7242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7240</v>
      </c>
      <c r="AC664" s="149" t="s">
        <v>7241</v>
      </c>
      <c r="AD664" s="149" t="s">
        <v>7242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15"/>
        <v/>
      </c>
      <c r="BD664" s="103" t="str">
        <f t="shared" si="16"/>
        <v>AA</v>
      </c>
      <c r="BE664" s="103" t="str">
        <f t="shared" si="17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4476</v>
      </c>
      <c r="D665" s="103">
        <v>1</v>
      </c>
      <c r="E665" s="103" t="s">
        <v>4432</v>
      </c>
      <c r="F665" s="104" t="s">
        <v>7243</v>
      </c>
      <c r="G665" s="103" t="s">
        <v>4330</v>
      </c>
      <c r="H665" s="103" t="s">
        <v>4331</v>
      </c>
      <c r="I665" s="142" t="s">
        <v>4343</v>
      </c>
      <c r="J665" s="149" t="s">
        <v>7244</v>
      </c>
      <c r="K665" s="149" t="s">
        <v>7245</v>
      </c>
      <c r="L665" s="149" t="s">
        <v>7246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7244</v>
      </c>
      <c r="AC665" s="149" t="s">
        <v>7245</v>
      </c>
      <c r="AD665" s="149" t="s">
        <v>7246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15"/>
        <v/>
      </c>
      <c r="BD665" s="103" t="str">
        <f t="shared" si="16"/>
        <v>AA</v>
      </c>
      <c r="BE665" s="103" t="str">
        <f t="shared" si="17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4476</v>
      </c>
      <c r="D666" s="103">
        <v>1</v>
      </c>
      <c r="E666" s="103" t="s">
        <v>4432</v>
      </c>
      <c r="F666" s="104" t="s">
        <v>7247</v>
      </c>
      <c r="G666" s="103" t="s">
        <v>4330</v>
      </c>
      <c r="H666" s="103" t="s">
        <v>4331</v>
      </c>
      <c r="I666" s="142" t="s">
        <v>4343</v>
      </c>
      <c r="J666" s="149" t="s">
        <v>7248</v>
      </c>
      <c r="K666" s="149" t="s">
        <v>7249</v>
      </c>
      <c r="L666" s="149" t="s">
        <v>7250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7251</v>
      </c>
      <c r="AB666" s="149" t="s">
        <v>7248</v>
      </c>
      <c r="AC666" s="149" t="s">
        <v>7249</v>
      </c>
      <c r="AD666" s="149" t="s">
        <v>7250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15"/>
        <v/>
      </c>
      <c r="BD666" s="103" t="str">
        <f t="shared" si="16"/>
        <v>AA</v>
      </c>
      <c r="BE666" s="103" t="str">
        <f t="shared" si="17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4476</v>
      </c>
      <c r="D667" s="103">
        <v>1</v>
      </c>
      <c r="E667" s="103" t="s">
        <v>4432</v>
      </c>
      <c r="F667" s="104" t="s">
        <v>7252</v>
      </c>
      <c r="G667" s="103" t="s">
        <v>4330</v>
      </c>
      <c r="H667" s="103" t="s">
        <v>4331</v>
      </c>
      <c r="I667" s="142" t="s">
        <v>4343</v>
      </c>
      <c r="J667" s="149" t="s">
        <v>7253</v>
      </c>
      <c r="K667" s="149" t="s">
        <v>7254</v>
      </c>
      <c r="L667" s="149" t="s">
        <v>7255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7253</v>
      </c>
      <c r="AC667" s="149" t="s">
        <v>7254</v>
      </c>
      <c r="AD667" s="149" t="s">
        <v>7255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15"/>
        <v/>
      </c>
      <c r="BD667" s="103" t="str">
        <f t="shared" si="16"/>
        <v>AA</v>
      </c>
      <c r="BE667" s="103" t="str">
        <f t="shared" si="17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4476</v>
      </c>
      <c r="D668" s="103">
        <v>1</v>
      </c>
      <c r="E668" s="103" t="s">
        <v>4432</v>
      </c>
      <c r="F668" s="104" t="s">
        <v>7256</v>
      </c>
      <c r="G668" s="103" t="s">
        <v>4330</v>
      </c>
      <c r="H668" s="103" t="s">
        <v>4331</v>
      </c>
      <c r="I668" s="142" t="s">
        <v>4343</v>
      </c>
      <c r="J668" s="149" t="s">
        <v>7257</v>
      </c>
      <c r="K668" s="149" t="s">
        <v>4457</v>
      </c>
      <c r="L668" s="149" t="s">
        <v>7258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7257</v>
      </c>
      <c r="AC668" s="149" t="s">
        <v>4457</v>
      </c>
      <c r="AD668" s="149" t="s">
        <v>7258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15"/>
        <v/>
      </c>
      <c r="BD668" s="103" t="str">
        <f t="shared" si="16"/>
        <v>AA</v>
      </c>
      <c r="BE668" s="103" t="str">
        <f t="shared" si="17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4476</v>
      </c>
      <c r="D669" s="103">
        <v>1</v>
      </c>
      <c r="E669" s="103" t="s">
        <v>4432</v>
      </c>
      <c r="F669" s="104" t="s">
        <v>7259</v>
      </c>
      <c r="G669" s="103" t="s">
        <v>4330</v>
      </c>
      <c r="H669" s="103" t="s">
        <v>4331</v>
      </c>
      <c r="I669" s="142" t="s">
        <v>4343</v>
      </c>
      <c r="J669" s="149" t="s">
        <v>7260</v>
      </c>
      <c r="K669" s="149" t="s">
        <v>7261</v>
      </c>
      <c r="L669" s="149" t="s">
        <v>7262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7263</v>
      </c>
      <c r="AB669" s="149" t="s">
        <v>7260</v>
      </c>
      <c r="AC669" s="149" t="s">
        <v>7261</v>
      </c>
      <c r="AD669" s="149" t="s">
        <v>7262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15"/>
        <v/>
      </c>
      <c r="BD669" s="103" t="str">
        <f t="shared" si="16"/>
        <v>AA</v>
      </c>
      <c r="BE669" s="103" t="str">
        <f t="shared" si="17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4476</v>
      </c>
      <c r="D670" s="103">
        <v>1</v>
      </c>
      <c r="E670" s="103" t="s">
        <v>4432</v>
      </c>
      <c r="F670" s="104" t="s">
        <v>7264</v>
      </c>
      <c r="G670" s="103" t="s">
        <v>4330</v>
      </c>
      <c r="H670" s="103" t="s">
        <v>4331</v>
      </c>
      <c r="I670" s="142" t="s">
        <v>4343</v>
      </c>
      <c r="J670" s="149" t="s">
        <v>7265</v>
      </c>
      <c r="K670" s="149" t="s">
        <v>7266</v>
      </c>
      <c r="L670" s="149" t="s">
        <v>7267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7265</v>
      </c>
      <c r="AC670" s="149" t="s">
        <v>7266</v>
      </c>
      <c r="AD670" s="149" t="s">
        <v>7267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15"/>
        <v/>
      </c>
      <c r="BD670" s="103" t="str">
        <f t="shared" si="16"/>
        <v>AA</v>
      </c>
      <c r="BE670" s="103" t="str">
        <f t="shared" si="17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5521</v>
      </c>
      <c r="G671" s="103" t="s">
        <v>4330</v>
      </c>
      <c r="H671" s="103" t="s">
        <v>4352</v>
      </c>
      <c r="I671" s="103" t="s">
        <v>4343</v>
      </c>
      <c r="J671" s="149" t="s">
        <v>7268</v>
      </c>
      <c r="K671" s="149" t="s">
        <v>4953</v>
      </c>
      <c r="L671" s="149" t="s">
        <v>7269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7268</v>
      </c>
      <c r="AC671" s="204" t="s">
        <v>4953</v>
      </c>
      <c r="AD671" s="204" t="s">
        <v>7269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7270</v>
      </c>
      <c r="AO671" s="112"/>
      <c r="AP671" s="171" t="s">
        <v>7271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4454</v>
      </c>
      <c r="BA671" s="107" t="s">
        <v>4330</v>
      </c>
      <c r="BB671" s="112" t="s">
        <v>4338</v>
      </c>
      <c r="BC671" s="220">
        <f t="shared" si="15"/>
        <v>53</v>
      </c>
      <c r="BD671" s="103" t="str">
        <f t="shared" si="16"/>
        <v>INDENIZAÇÃO</v>
      </c>
      <c r="BE671" s="103" t="str">
        <f t="shared" si="17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2" t="s">
        <v>4502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4476</v>
      </c>
      <c r="D672" s="103">
        <v>1</v>
      </c>
      <c r="E672" s="103" t="s">
        <v>4432</v>
      </c>
      <c r="F672" s="104" t="s">
        <v>7272</v>
      </c>
      <c r="G672" s="103" t="s">
        <v>4330</v>
      </c>
      <c r="H672" s="103" t="s">
        <v>4331</v>
      </c>
      <c r="I672" s="142" t="s">
        <v>4343</v>
      </c>
      <c r="J672" s="149" t="s">
        <v>7273</v>
      </c>
      <c r="K672" s="149" t="s">
        <v>7274</v>
      </c>
      <c r="L672" s="149" t="s">
        <v>7275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7273</v>
      </c>
      <c r="AC672" s="149" t="s">
        <v>7274</v>
      </c>
      <c r="AD672" s="149" t="s">
        <v>7275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18">IF(AY672-KD672=0,"",AY672-O672)</f>
        <v/>
      </c>
      <c r="BD672" s="103" t="str">
        <f t="shared" ref="BD672:BD735" si="19">IF(AND(AI672&lt;&gt;"SIM",AI672="UH"),"AA","INDENIZAÇÃO")</f>
        <v>AA</v>
      </c>
      <c r="BE672" s="103" t="str">
        <f t="shared" ref="BE672:BE735" si="20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4476</v>
      </c>
      <c r="D673" s="103">
        <v>1</v>
      </c>
      <c r="E673" s="103" t="s">
        <v>4432</v>
      </c>
      <c r="F673" s="104" t="s">
        <v>7276</v>
      </c>
      <c r="G673" s="103" t="s">
        <v>4330</v>
      </c>
      <c r="H673" s="103" t="s">
        <v>4331</v>
      </c>
      <c r="I673" s="142" t="s">
        <v>4343</v>
      </c>
      <c r="J673" s="149" t="s">
        <v>7277</v>
      </c>
      <c r="K673" s="149" t="s">
        <v>7278</v>
      </c>
      <c r="L673" s="149" t="s">
        <v>7279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7277</v>
      </c>
      <c r="AC673" s="149" t="s">
        <v>7278</v>
      </c>
      <c r="AD673" s="149" t="s">
        <v>7279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18"/>
        <v/>
      </c>
      <c r="BD673" s="103" t="str">
        <f t="shared" si="19"/>
        <v>AA</v>
      </c>
      <c r="BE673" s="103" t="str">
        <f t="shared" si="20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4476</v>
      </c>
      <c r="D674" s="103">
        <v>1</v>
      </c>
      <c r="E674" s="103" t="s">
        <v>4432</v>
      </c>
      <c r="F674" s="104" t="s">
        <v>7280</v>
      </c>
      <c r="G674" s="103" t="s">
        <v>4330</v>
      </c>
      <c r="H674" s="103" t="s">
        <v>4331</v>
      </c>
      <c r="I674" s="142" t="s">
        <v>4343</v>
      </c>
      <c r="J674" s="150" t="s">
        <v>7281</v>
      </c>
      <c r="K674" s="149" t="s">
        <v>7282</v>
      </c>
      <c r="L674" s="149" t="s">
        <v>7283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7281</v>
      </c>
      <c r="AC674" s="149" t="s">
        <v>7282</v>
      </c>
      <c r="AD674" s="149" t="s">
        <v>7283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18"/>
        <v/>
      </c>
      <c r="BD674" s="103" t="str">
        <f t="shared" si="19"/>
        <v>AA</v>
      </c>
      <c r="BE674" s="103" t="str">
        <f t="shared" si="20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4476</v>
      </c>
      <c r="D675" s="103">
        <v>1</v>
      </c>
      <c r="E675" s="103" t="s">
        <v>4432</v>
      </c>
      <c r="F675" s="104" t="s">
        <v>7284</v>
      </c>
      <c r="G675" s="103" t="s">
        <v>4330</v>
      </c>
      <c r="H675" s="103" t="s">
        <v>4331</v>
      </c>
      <c r="I675" s="142" t="s">
        <v>4343</v>
      </c>
      <c r="J675" s="150" t="s">
        <v>7285</v>
      </c>
      <c r="K675" s="149" t="s">
        <v>7286</v>
      </c>
      <c r="L675" s="149" t="s">
        <v>7287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7285</v>
      </c>
      <c r="AC675" s="149" t="s">
        <v>7286</v>
      </c>
      <c r="AD675" s="149" t="s">
        <v>7287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18"/>
        <v/>
      </c>
      <c r="BD675" s="103" t="str">
        <f t="shared" si="19"/>
        <v>AA</v>
      </c>
      <c r="BE675" s="103" t="str">
        <f t="shared" si="20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4476</v>
      </c>
      <c r="D676" s="103">
        <v>1</v>
      </c>
      <c r="E676" s="103" t="s">
        <v>4432</v>
      </c>
      <c r="F676" s="104" t="s">
        <v>7288</v>
      </c>
      <c r="G676" s="103" t="s">
        <v>4330</v>
      </c>
      <c r="H676" s="103" t="s">
        <v>4331</v>
      </c>
      <c r="I676" s="142" t="s">
        <v>4343</v>
      </c>
      <c r="J676" s="150" t="s">
        <v>7289</v>
      </c>
      <c r="K676" s="149" t="s">
        <v>4457</v>
      </c>
      <c r="L676" s="149" t="s">
        <v>7290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7289</v>
      </c>
      <c r="AC676" s="149" t="s">
        <v>4457</v>
      </c>
      <c r="AD676" s="149" t="s">
        <v>7290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18"/>
        <v/>
      </c>
      <c r="BD676" s="103" t="str">
        <f t="shared" si="19"/>
        <v>AA</v>
      </c>
      <c r="BE676" s="103" t="str">
        <f t="shared" si="20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4476</v>
      </c>
      <c r="D677" s="103">
        <v>1</v>
      </c>
      <c r="E677" s="103" t="s">
        <v>4432</v>
      </c>
      <c r="F677" s="104" t="s">
        <v>7291</v>
      </c>
      <c r="G677" s="103" t="s">
        <v>4330</v>
      </c>
      <c r="H677" s="103" t="s">
        <v>4331</v>
      </c>
      <c r="I677" s="142" t="s">
        <v>4343</v>
      </c>
      <c r="J677" s="150" t="s">
        <v>7292</v>
      </c>
      <c r="K677" s="149" t="s">
        <v>7293</v>
      </c>
      <c r="L677" s="149" t="s">
        <v>7294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7292</v>
      </c>
      <c r="AC677" s="149" t="s">
        <v>7293</v>
      </c>
      <c r="AD677" s="149" t="s">
        <v>7294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18"/>
        <v/>
      </c>
      <c r="BD677" s="103" t="str">
        <f t="shared" si="19"/>
        <v>AA</v>
      </c>
      <c r="BE677" s="103" t="str">
        <f t="shared" si="20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4476</v>
      </c>
      <c r="D678" s="103">
        <v>1</v>
      </c>
      <c r="E678" s="103" t="s">
        <v>4432</v>
      </c>
      <c r="F678" s="104" t="s">
        <v>7295</v>
      </c>
      <c r="G678" s="103" t="s">
        <v>4330</v>
      </c>
      <c r="H678" s="103" t="s">
        <v>4331</v>
      </c>
      <c r="I678" s="142" t="s">
        <v>4343</v>
      </c>
      <c r="J678" s="150" t="s">
        <v>7296</v>
      </c>
      <c r="K678" s="149" t="s">
        <v>7297</v>
      </c>
      <c r="L678" s="149" t="s">
        <v>7298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7296</v>
      </c>
      <c r="AC678" s="149" t="s">
        <v>7297</v>
      </c>
      <c r="AD678" s="149" t="s">
        <v>7298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18"/>
        <v/>
      </c>
      <c r="BD678" s="103" t="str">
        <f t="shared" si="19"/>
        <v>AA</v>
      </c>
      <c r="BE678" s="103" t="str">
        <f t="shared" si="20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4476</v>
      </c>
      <c r="D679" s="103">
        <v>1</v>
      </c>
      <c r="E679" s="103" t="s">
        <v>4432</v>
      </c>
      <c r="F679" s="104" t="s">
        <v>4565</v>
      </c>
      <c r="G679" s="103" t="s">
        <v>4330</v>
      </c>
      <c r="H679" s="103" t="s">
        <v>4331</v>
      </c>
      <c r="I679" s="142" t="s">
        <v>4440</v>
      </c>
      <c r="J679" s="149" t="s">
        <v>7299</v>
      </c>
      <c r="K679" s="149" t="s">
        <v>7300</v>
      </c>
      <c r="L679" s="149" t="s">
        <v>7301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7302</v>
      </c>
      <c r="AB679" s="149" t="s">
        <v>7303</v>
      </c>
      <c r="AC679" s="104" t="s">
        <v>7304</v>
      </c>
      <c r="AD679" s="104" t="s">
        <v>7305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7306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4454</v>
      </c>
      <c r="BA679" s="174" t="s">
        <v>4598</v>
      </c>
      <c r="BB679" s="112" t="s">
        <v>4338</v>
      </c>
      <c r="BC679" s="220">
        <f t="shared" si="18"/>
        <v>102</v>
      </c>
      <c r="BD679" s="103" t="str">
        <f t="shared" si="19"/>
        <v>INDENIZAÇÃO</v>
      </c>
      <c r="BE679" s="103" t="str">
        <f t="shared" si="20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2" t="s">
        <v>4502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7307</v>
      </c>
      <c r="G680" s="103" t="s">
        <v>4330</v>
      </c>
      <c r="H680" s="103" t="s">
        <v>4331</v>
      </c>
      <c r="I680" s="103" t="s">
        <v>4343</v>
      </c>
      <c r="J680" s="149" t="s">
        <v>7308</v>
      </c>
      <c r="K680" s="149" t="s">
        <v>4457</v>
      </c>
      <c r="L680" s="149" t="s">
        <v>7309</v>
      </c>
      <c r="M680" s="103" t="s">
        <v>4333</v>
      </c>
      <c r="N680" s="103" t="s">
        <v>4452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7308</v>
      </c>
      <c r="AC680" s="149" t="s">
        <v>4457</v>
      </c>
      <c r="AD680" s="149" t="s">
        <v>7309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7310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4454</v>
      </c>
      <c r="BA680" s="107" t="s">
        <v>4598</v>
      </c>
      <c r="BB680" s="112" t="s">
        <v>4338</v>
      </c>
      <c r="BC680" s="220">
        <f t="shared" si="18"/>
        <v>84</v>
      </c>
      <c r="BD680" s="103" t="str">
        <f t="shared" si="19"/>
        <v>INDENIZAÇÃO</v>
      </c>
      <c r="BE680" s="103" t="str">
        <f t="shared" si="20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2" t="s">
        <v>4502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4476</v>
      </c>
      <c r="D681" s="103">
        <v>1</v>
      </c>
      <c r="E681" s="103" t="s">
        <v>4432</v>
      </c>
      <c r="F681" s="104" t="s">
        <v>7311</v>
      </c>
      <c r="G681" s="103" t="s">
        <v>4330</v>
      </c>
      <c r="H681" s="103" t="s">
        <v>4331</v>
      </c>
      <c r="I681" s="142" t="s">
        <v>4343</v>
      </c>
      <c r="J681" s="149" t="s">
        <v>7312</v>
      </c>
      <c r="K681" s="149" t="s">
        <v>7313</v>
      </c>
      <c r="L681" s="149" t="s">
        <v>7314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7312</v>
      </c>
      <c r="AC681" s="149" t="s">
        <v>7313</v>
      </c>
      <c r="AD681" s="149" t="s">
        <v>7314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18"/>
        <v/>
      </c>
      <c r="BD681" s="103" t="str">
        <f t="shared" si="19"/>
        <v>AA</v>
      </c>
      <c r="BE681" s="103" t="str">
        <f t="shared" si="20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4476</v>
      </c>
      <c r="D682" s="103">
        <v>1</v>
      </c>
      <c r="E682" s="103" t="s">
        <v>4432</v>
      </c>
      <c r="F682" s="104" t="s">
        <v>7315</v>
      </c>
      <c r="G682" s="103" t="s">
        <v>4330</v>
      </c>
      <c r="H682" s="103" t="s">
        <v>4331</v>
      </c>
      <c r="I682" s="142" t="s">
        <v>4343</v>
      </c>
      <c r="J682" s="149" t="s">
        <v>5069</v>
      </c>
      <c r="K682" s="149" t="s">
        <v>7316</v>
      </c>
      <c r="L682" s="149" t="s">
        <v>7317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5069</v>
      </c>
      <c r="AC682" s="149" t="s">
        <v>7316</v>
      </c>
      <c r="AD682" s="149" t="s">
        <v>7317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18"/>
        <v/>
      </c>
      <c r="BD682" s="103" t="str">
        <f t="shared" si="19"/>
        <v>AA</v>
      </c>
      <c r="BE682" s="103" t="str">
        <f t="shared" si="20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4476</v>
      </c>
      <c r="D683" s="103">
        <v>1</v>
      </c>
      <c r="E683" s="103" t="s">
        <v>4432</v>
      </c>
      <c r="F683" s="104" t="s">
        <v>7318</v>
      </c>
      <c r="G683" s="103" t="s">
        <v>4330</v>
      </c>
      <c r="H683" s="103" t="s">
        <v>4331</v>
      </c>
      <c r="I683" s="142" t="s">
        <v>4343</v>
      </c>
      <c r="J683" s="149" t="s">
        <v>7319</v>
      </c>
      <c r="K683" s="149" t="s">
        <v>7320</v>
      </c>
      <c r="L683" s="149" t="s">
        <v>7321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7319</v>
      </c>
      <c r="AC683" s="149" t="s">
        <v>7320</v>
      </c>
      <c r="AD683" s="149" t="s">
        <v>7321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18"/>
        <v/>
      </c>
      <c r="BD683" s="103" t="str">
        <f t="shared" si="19"/>
        <v>AA</v>
      </c>
      <c r="BE683" s="103" t="str">
        <f t="shared" si="20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4476</v>
      </c>
      <c r="D684" s="103">
        <v>1</v>
      </c>
      <c r="E684" s="103" t="s">
        <v>4432</v>
      </c>
      <c r="F684" s="104" t="s">
        <v>7322</v>
      </c>
      <c r="G684" s="103" t="s">
        <v>4330</v>
      </c>
      <c r="H684" s="103" t="s">
        <v>4331</v>
      </c>
      <c r="I684" s="142" t="s">
        <v>7020</v>
      </c>
      <c r="J684" s="149" t="s">
        <v>7323</v>
      </c>
      <c r="K684" s="149" t="s">
        <v>7324</v>
      </c>
      <c r="L684" s="149" t="s">
        <v>7325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7323</v>
      </c>
      <c r="AC684" s="149" t="s">
        <v>7324</v>
      </c>
      <c r="AD684" s="149" t="s">
        <v>7325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18"/>
        <v/>
      </c>
      <c r="BD684" s="103" t="str">
        <f t="shared" si="19"/>
        <v>AA</v>
      </c>
      <c r="BE684" s="103" t="str">
        <f t="shared" si="20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4476</v>
      </c>
      <c r="D685" s="103">
        <v>1</v>
      </c>
      <c r="E685" s="103" t="s">
        <v>4432</v>
      </c>
      <c r="F685" s="104" t="s">
        <v>7326</v>
      </c>
      <c r="G685" s="103" t="s">
        <v>4330</v>
      </c>
      <c r="H685" s="103" t="s">
        <v>4331</v>
      </c>
      <c r="I685" s="142" t="s">
        <v>4343</v>
      </c>
      <c r="J685" s="149" t="s">
        <v>7327</v>
      </c>
      <c r="K685" s="149" t="s">
        <v>7328</v>
      </c>
      <c r="L685" s="149" t="s">
        <v>7329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7327</v>
      </c>
      <c r="AC685" s="149" t="s">
        <v>7328</v>
      </c>
      <c r="AD685" s="149" t="s">
        <v>7329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18"/>
        <v/>
      </c>
      <c r="BD685" s="103" t="str">
        <f t="shared" si="19"/>
        <v>AA</v>
      </c>
      <c r="BE685" s="103" t="str">
        <f t="shared" si="20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4476</v>
      </c>
      <c r="D686" s="103">
        <v>1</v>
      </c>
      <c r="E686" s="103" t="s">
        <v>4432</v>
      </c>
      <c r="F686" s="104" t="s">
        <v>7330</v>
      </c>
      <c r="G686" s="103" t="s">
        <v>4330</v>
      </c>
      <c r="H686" s="103" t="s">
        <v>4331</v>
      </c>
      <c r="I686" s="142" t="s">
        <v>4343</v>
      </c>
      <c r="J686" s="149" t="s">
        <v>7331</v>
      </c>
      <c r="K686" s="149" t="s">
        <v>7332</v>
      </c>
      <c r="L686" s="149" t="s">
        <v>7333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7331</v>
      </c>
      <c r="AC686" s="149" t="s">
        <v>7332</v>
      </c>
      <c r="AD686" s="149" t="s">
        <v>7333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18"/>
        <v/>
      </c>
      <c r="BD686" s="103" t="str">
        <f t="shared" si="19"/>
        <v>AA</v>
      </c>
      <c r="BE686" s="103" t="str">
        <f t="shared" si="20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4476</v>
      </c>
      <c r="D687" s="103">
        <v>1</v>
      </c>
      <c r="E687" s="103" t="s">
        <v>4432</v>
      </c>
      <c r="F687" s="104" t="s">
        <v>7334</v>
      </c>
      <c r="G687" s="103" t="s">
        <v>4330</v>
      </c>
      <c r="H687" s="103" t="s">
        <v>4331</v>
      </c>
      <c r="I687" s="142" t="s">
        <v>4343</v>
      </c>
      <c r="J687" s="149" t="s">
        <v>7335</v>
      </c>
      <c r="K687" s="149" t="s">
        <v>7336</v>
      </c>
      <c r="L687" s="149" t="s">
        <v>7337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7335</v>
      </c>
      <c r="AC687" s="149" t="s">
        <v>7336</v>
      </c>
      <c r="AD687" s="149" t="s">
        <v>7337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18"/>
        <v/>
      </c>
      <c r="BD687" s="103" t="str">
        <f t="shared" si="19"/>
        <v>AA</v>
      </c>
      <c r="BE687" s="103" t="str">
        <f t="shared" si="20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4476</v>
      </c>
      <c r="D688" s="103">
        <v>1</v>
      </c>
      <c r="E688" s="103" t="s">
        <v>4432</v>
      </c>
      <c r="F688" s="104" t="s">
        <v>7338</v>
      </c>
      <c r="G688" s="103" t="s">
        <v>4330</v>
      </c>
      <c r="H688" s="103" t="s">
        <v>4331</v>
      </c>
      <c r="I688" s="142" t="s">
        <v>4343</v>
      </c>
      <c r="J688" s="149" t="s">
        <v>7339</v>
      </c>
      <c r="K688" s="149" t="s">
        <v>7340</v>
      </c>
      <c r="L688" s="149" t="s">
        <v>7341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7339</v>
      </c>
      <c r="AC688" s="149" t="s">
        <v>7340</v>
      </c>
      <c r="AD688" s="149" t="s">
        <v>7341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18"/>
        <v/>
      </c>
      <c r="BD688" s="103" t="str">
        <f t="shared" si="19"/>
        <v>AA</v>
      </c>
      <c r="BE688" s="103" t="str">
        <f t="shared" si="20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4476</v>
      </c>
      <c r="D689" s="103">
        <v>1</v>
      </c>
      <c r="E689" s="103" t="s">
        <v>4432</v>
      </c>
      <c r="F689" s="104" t="s">
        <v>7342</v>
      </c>
      <c r="G689" s="103" t="s">
        <v>4330</v>
      </c>
      <c r="H689" s="103" t="s">
        <v>4331</v>
      </c>
      <c r="I689" s="142" t="s">
        <v>4343</v>
      </c>
      <c r="J689" s="114" t="s">
        <v>7343</v>
      </c>
      <c r="K689" s="149" t="s">
        <v>7344</v>
      </c>
      <c r="L689" s="149" t="s">
        <v>7345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7343</v>
      </c>
      <c r="AC689" s="149" t="s">
        <v>7344</v>
      </c>
      <c r="AD689" s="149" t="s">
        <v>7345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18"/>
        <v/>
      </c>
      <c r="BD689" s="103" t="str">
        <f t="shared" si="19"/>
        <v>AA</v>
      </c>
      <c r="BE689" s="103" t="str">
        <f t="shared" si="20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4476</v>
      </c>
      <c r="D690" s="103">
        <v>1</v>
      </c>
      <c r="E690" s="103" t="s">
        <v>4432</v>
      </c>
      <c r="F690" s="104" t="s">
        <v>7346</v>
      </c>
      <c r="G690" s="103" t="s">
        <v>4330</v>
      </c>
      <c r="H690" s="103" t="s">
        <v>4331</v>
      </c>
      <c r="I690" s="142" t="s">
        <v>4343</v>
      </c>
      <c r="J690" s="114" t="s">
        <v>7347</v>
      </c>
      <c r="K690" s="149" t="s">
        <v>7348</v>
      </c>
      <c r="L690" s="149" t="s">
        <v>7349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7347</v>
      </c>
      <c r="AC690" s="149" t="s">
        <v>7348</v>
      </c>
      <c r="AD690" s="149" t="s">
        <v>7349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18"/>
        <v/>
      </c>
      <c r="BD690" s="103" t="str">
        <f t="shared" si="19"/>
        <v>AA</v>
      </c>
      <c r="BE690" s="103" t="str">
        <f t="shared" si="20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4476</v>
      </c>
      <c r="D691" s="103">
        <v>1</v>
      </c>
      <c r="E691" s="103" t="s">
        <v>4432</v>
      </c>
      <c r="F691" s="104" t="s">
        <v>7350</v>
      </c>
      <c r="G691" s="103" t="s">
        <v>4330</v>
      </c>
      <c r="H691" s="103" t="s">
        <v>4331</v>
      </c>
      <c r="I691" s="142" t="s">
        <v>4343</v>
      </c>
      <c r="J691" s="149" t="s">
        <v>7351</v>
      </c>
      <c r="K691" s="149" t="s">
        <v>7352</v>
      </c>
      <c r="L691" s="149" t="s">
        <v>7353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7351</v>
      </c>
      <c r="AC691" s="149" t="s">
        <v>7352</v>
      </c>
      <c r="AD691" s="149" t="s">
        <v>7353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18"/>
        <v/>
      </c>
      <c r="BD691" s="103" t="str">
        <f t="shared" si="19"/>
        <v>AA</v>
      </c>
      <c r="BE691" s="103" t="str">
        <f t="shared" si="20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4476</v>
      </c>
      <c r="D692" s="103">
        <v>1</v>
      </c>
      <c r="E692" s="103" t="s">
        <v>4432</v>
      </c>
      <c r="F692" s="104" t="s">
        <v>7354</v>
      </c>
      <c r="G692" s="103" t="s">
        <v>4330</v>
      </c>
      <c r="H692" s="103" t="s">
        <v>4331</v>
      </c>
      <c r="I692" s="142" t="s">
        <v>4343</v>
      </c>
      <c r="J692" s="149" t="s">
        <v>7355</v>
      </c>
      <c r="K692" s="149" t="s">
        <v>7356</v>
      </c>
      <c r="L692" s="149" t="s">
        <v>7357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7355</v>
      </c>
      <c r="AC692" s="149" t="s">
        <v>7356</v>
      </c>
      <c r="AD692" s="149" t="s">
        <v>7357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18"/>
        <v/>
      </c>
      <c r="BD692" s="103" t="str">
        <f t="shared" si="19"/>
        <v>AA</v>
      </c>
      <c r="BE692" s="103" t="str">
        <f t="shared" si="20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4476</v>
      </c>
      <c r="D693" s="103">
        <v>1</v>
      </c>
      <c r="E693" s="103" t="s">
        <v>4432</v>
      </c>
      <c r="F693" s="104" t="s">
        <v>7358</v>
      </c>
      <c r="G693" s="103" t="s">
        <v>4330</v>
      </c>
      <c r="H693" s="103" t="s">
        <v>4331</v>
      </c>
      <c r="I693" s="142" t="s">
        <v>4343</v>
      </c>
      <c r="J693" s="149" t="s">
        <v>7359</v>
      </c>
      <c r="K693" s="149" t="s">
        <v>7360</v>
      </c>
      <c r="L693" s="149" t="s">
        <v>7361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7359</v>
      </c>
      <c r="AC693" s="149" t="s">
        <v>7360</v>
      </c>
      <c r="AD693" s="149" t="s">
        <v>7361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18"/>
        <v/>
      </c>
      <c r="BD693" s="103" t="str">
        <f t="shared" si="19"/>
        <v>AA</v>
      </c>
      <c r="BE693" s="103" t="str">
        <f t="shared" si="20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4476</v>
      </c>
      <c r="D694" s="103">
        <v>1</v>
      </c>
      <c r="E694" s="103" t="s">
        <v>4432</v>
      </c>
      <c r="F694" s="104" t="s">
        <v>7362</v>
      </c>
      <c r="G694" s="103" t="s">
        <v>4330</v>
      </c>
      <c r="H694" s="103" t="s">
        <v>4331</v>
      </c>
      <c r="I694" s="142" t="s">
        <v>4343</v>
      </c>
      <c r="J694" s="149" t="s">
        <v>7363</v>
      </c>
      <c r="K694" s="149" t="s">
        <v>7364</v>
      </c>
      <c r="L694" s="149" t="s">
        <v>7365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7363</v>
      </c>
      <c r="AC694" s="149" t="s">
        <v>7364</v>
      </c>
      <c r="AD694" s="149" t="s">
        <v>7365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18"/>
        <v/>
      </c>
      <c r="BD694" s="103" t="str">
        <f t="shared" si="19"/>
        <v>AA</v>
      </c>
      <c r="BE694" s="103" t="str">
        <f t="shared" si="20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4476</v>
      </c>
      <c r="D695" s="103">
        <v>1</v>
      </c>
      <c r="E695" s="103" t="s">
        <v>4432</v>
      </c>
      <c r="F695" s="104" t="s">
        <v>7366</v>
      </c>
      <c r="G695" s="103" t="s">
        <v>4330</v>
      </c>
      <c r="H695" s="103" t="s">
        <v>4331</v>
      </c>
      <c r="I695" s="142" t="s">
        <v>4343</v>
      </c>
      <c r="J695" s="149" t="s">
        <v>7367</v>
      </c>
      <c r="K695" s="149" t="s">
        <v>4457</v>
      </c>
      <c r="L695" s="149" t="s">
        <v>7368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7367</v>
      </c>
      <c r="AC695" s="149" t="s">
        <v>4457</v>
      </c>
      <c r="AD695" s="149" t="s">
        <v>7368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18"/>
        <v/>
      </c>
      <c r="BD695" s="103" t="str">
        <f t="shared" si="19"/>
        <v>AA</v>
      </c>
      <c r="BE695" s="103" t="str">
        <f t="shared" si="20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5814</v>
      </c>
      <c r="G696" s="103" t="s">
        <v>4330</v>
      </c>
      <c r="H696" s="103" t="s">
        <v>4331</v>
      </c>
      <c r="I696" s="103" t="s">
        <v>4343</v>
      </c>
      <c r="J696" s="149" t="s">
        <v>7369</v>
      </c>
      <c r="K696" s="149" t="s">
        <v>7370</v>
      </c>
      <c r="L696" s="149" t="s">
        <v>7371</v>
      </c>
      <c r="M696" s="103" t="s">
        <v>4333</v>
      </c>
      <c r="N696" s="103" t="s">
        <v>4452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7369</v>
      </c>
      <c r="AC696" s="149" t="s">
        <v>7370</v>
      </c>
      <c r="AD696" s="149" t="s">
        <v>7371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7372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4454</v>
      </c>
      <c r="BA696" s="174" t="s">
        <v>4598</v>
      </c>
      <c r="BB696" s="112" t="s">
        <v>4338</v>
      </c>
      <c r="BC696" s="220">
        <f t="shared" si="18"/>
        <v>84</v>
      </c>
      <c r="BD696" s="103" t="str">
        <f t="shared" si="19"/>
        <v>INDENIZAÇÃO</v>
      </c>
      <c r="BE696" s="103" t="str">
        <f t="shared" si="20"/>
        <v>NÃO</v>
      </c>
      <c r="BF696" s="112" t="s">
        <v>4357</v>
      </c>
      <c r="BG696" s="112" t="s">
        <v>4357</v>
      </c>
      <c r="BH696" s="112" t="s">
        <v>4357</v>
      </c>
      <c r="BI696" s="109" t="s">
        <v>4926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4476</v>
      </c>
      <c r="D697" s="103">
        <v>1</v>
      </c>
      <c r="E697" s="103" t="s">
        <v>4432</v>
      </c>
      <c r="F697" s="104" t="s">
        <v>7373</v>
      </c>
      <c r="G697" s="103" t="s">
        <v>4330</v>
      </c>
      <c r="H697" s="103" t="s">
        <v>4331</v>
      </c>
      <c r="I697" s="142" t="s">
        <v>4343</v>
      </c>
      <c r="J697" s="149" t="s">
        <v>7374</v>
      </c>
      <c r="K697" s="149" t="s">
        <v>7375</v>
      </c>
      <c r="L697" s="149" t="s">
        <v>7376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7374</v>
      </c>
      <c r="AC697" s="149" t="s">
        <v>7375</v>
      </c>
      <c r="AD697" s="149" t="s">
        <v>7376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18"/>
        <v/>
      </c>
      <c r="BD697" s="103" t="str">
        <f t="shared" si="19"/>
        <v>AA</v>
      </c>
      <c r="BE697" s="103" t="str">
        <f t="shared" si="20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4476</v>
      </c>
      <c r="D698" s="103">
        <v>1</v>
      </c>
      <c r="E698" s="103" t="s">
        <v>4432</v>
      </c>
      <c r="F698" s="104" t="s">
        <v>7377</v>
      </c>
      <c r="G698" s="103" t="s">
        <v>4330</v>
      </c>
      <c r="H698" s="103" t="s">
        <v>4331</v>
      </c>
      <c r="I698" s="142" t="s">
        <v>4343</v>
      </c>
      <c r="J698" s="149" t="s">
        <v>7378</v>
      </c>
      <c r="K698" s="149" t="s">
        <v>4457</v>
      </c>
      <c r="L698" s="149" t="s">
        <v>7379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7378</v>
      </c>
      <c r="AC698" s="149" t="s">
        <v>4457</v>
      </c>
      <c r="AD698" s="149" t="s">
        <v>7379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18"/>
        <v/>
      </c>
      <c r="BD698" s="103" t="str">
        <f t="shared" si="19"/>
        <v>AA</v>
      </c>
      <c r="BE698" s="103" t="str">
        <f t="shared" si="20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4476</v>
      </c>
      <c r="D699" s="103">
        <v>1</v>
      </c>
      <c r="E699" s="103" t="s">
        <v>4432</v>
      </c>
      <c r="F699" s="104" t="s">
        <v>7380</v>
      </c>
      <c r="G699" s="103" t="s">
        <v>4330</v>
      </c>
      <c r="H699" s="103" t="s">
        <v>4331</v>
      </c>
      <c r="I699" s="142" t="s">
        <v>4343</v>
      </c>
      <c r="J699" s="149" t="s">
        <v>7381</v>
      </c>
      <c r="K699" s="149" t="s">
        <v>7382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7381</v>
      </c>
      <c r="AC699" s="149" t="s">
        <v>7382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18"/>
        <v/>
      </c>
      <c r="BD699" s="103" t="str">
        <f t="shared" si="19"/>
        <v>AA</v>
      </c>
      <c r="BE699" s="103" t="str">
        <f t="shared" si="20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4476</v>
      </c>
      <c r="D700" s="103">
        <v>1</v>
      </c>
      <c r="E700" s="103" t="s">
        <v>4432</v>
      </c>
      <c r="F700" s="104" t="s">
        <v>7383</v>
      </c>
      <c r="G700" s="103" t="s">
        <v>4330</v>
      </c>
      <c r="H700" s="103" t="s">
        <v>4331</v>
      </c>
      <c r="I700" s="142" t="s">
        <v>4343</v>
      </c>
      <c r="J700" s="149" t="s">
        <v>7384</v>
      </c>
      <c r="K700" s="149" t="s">
        <v>4457</v>
      </c>
      <c r="L700" s="149" t="s">
        <v>7385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7384</v>
      </c>
      <c r="AC700" s="149" t="s">
        <v>4457</v>
      </c>
      <c r="AD700" s="149" t="s">
        <v>7385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18"/>
        <v/>
      </c>
      <c r="BD700" s="103" t="str">
        <f t="shared" si="19"/>
        <v>AA</v>
      </c>
      <c r="BE700" s="103" t="str">
        <f t="shared" si="20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4476</v>
      </c>
      <c r="D701" s="103">
        <v>1</v>
      </c>
      <c r="E701" s="103" t="s">
        <v>4432</v>
      </c>
      <c r="F701" s="104" t="s">
        <v>7386</v>
      </c>
      <c r="G701" s="103" t="s">
        <v>4330</v>
      </c>
      <c r="H701" s="103" t="s">
        <v>4331</v>
      </c>
      <c r="I701" s="142" t="s">
        <v>4343</v>
      </c>
      <c r="J701" s="149" t="s">
        <v>7387</v>
      </c>
      <c r="K701" s="149" t="s">
        <v>7388</v>
      </c>
      <c r="L701" s="149" t="s">
        <v>7389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7387</v>
      </c>
      <c r="AC701" s="149" t="s">
        <v>7388</v>
      </c>
      <c r="AD701" s="149" t="s">
        <v>7389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18"/>
        <v/>
      </c>
      <c r="BD701" s="103" t="str">
        <f t="shared" si="19"/>
        <v>AA</v>
      </c>
      <c r="BE701" s="103" t="str">
        <f t="shared" si="20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4476</v>
      </c>
      <c r="D702" s="103">
        <v>1</v>
      </c>
      <c r="E702" s="103" t="s">
        <v>4432</v>
      </c>
      <c r="F702" s="104" t="s">
        <v>7390</v>
      </c>
      <c r="G702" s="103" t="s">
        <v>4330</v>
      </c>
      <c r="H702" s="103" t="s">
        <v>4331</v>
      </c>
      <c r="I702" s="142" t="s">
        <v>4343</v>
      </c>
      <c r="J702" s="149" t="s">
        <v>7391</v>
      </c>
      <c r="K702" s="149" t="s">
        <v>4457</v>
      </c>
      <c r="L702" s="149" t="s">
        <v>7392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7391</v>
      </c>
      <c r="AC702" s="149" t="s">
        <v>4457</v>
      </c>
      <c r="AD702" s="149" t="s">
        <v>7392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18"/>
        <v/>
      </c>
      <c r="BD702" s="103" t="str">
        <f t="shared" si="19"/>
        <v>AA</v>
      </c>
      <c r="BE702" s="103" t="str">
        <f t="shared" si="20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4476</v>
      </c>
      <c r="D703" s="103">
        <v>1</v>
      </c>
      <c r="E703" s="103" t="s">
        <v>4432</v>
      </c>
      <c r="F703" s="104" t="s">
        <v>7393</v>
      </c>
      <c r="G703" s="103" t="s">
        <v>4330</v>
      </c>
      <c r="H703" s="103" t="s">
        <v>4331</v>
      </c>
      <c r="I703" s="142" t="s">
        <v>4343</v>
      </c>
      <c r="J703" s="149" t="s">
        <v>7394</v>
      </c>
      <c r="K703" s="149" t="s">
        <v>7395</v>
      </c>
      <c r="L703" s="149" t="s">
        <v>7396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7394</v>
      </c>
      <c r="AC703" s="149" t="s">
        <v>7395</v>
      </c>
      <c r="AD703" s="149" t="s">
        <v>7396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18"/>
        <v/>
      </c>
      <c r="BD703" s="103" t="str">
        <f t="shared" si="19"/>
        <v>AA</v>
      </c>
      <c r="BE703" s="103" t="str">
        <f t="shared" si="20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4476</v>
      </c>
      <c r="D704" s="103">
        <v>1</v>
      </c>
      <c r="E704" s="103" t="s">
        <v>4432</v>
      </c>
      <c r="F704" s="104" t="s">
        <v>7397</v>
      </c>
      <c r="G704" s="103" t="s">
        <v>4330</v>
      </c>
      <c r="H704" s="103" t="s">
        <v>4331</v>
      </c>
      <c r="I704" s="142" t="s">
        <v>4343</v>
      </c>
      <c r="J704" s="149" t="s">
        <v>7398</v>
      </c>
      <c r="K704" s="149" t="s">
        <v>7399</v>
      </c>
      <c r="L704" s="149" t="s">
        <v>7400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7398</v>
      </c>
      <c r="AC704" s="149" t="s">
        <v>7399</v>
      </c>
      <c r="AD704" s="149" t="s">
        <v>7400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18"/>
        <v/>
      </c>
      <c r="BD704" s="103" t="str">
        <f t="shared" si="19"/>
        <v>AA</v>
      </c>
      <c r="BE704" s="103" t="str">
        <f t="shared" si="20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4476</v>
      </c>
      <c r="D705" s="103">
        <v>1</v>
      </c>
      <c r="E705" s="103" t="s">
        <v>4432</v>
      </c>
      <c r="F705" s="104" t="s">
        <v>7401</v>
      </c>
      <c r="G705" s="103" t="s">
        <v>4330</v>
      </c>
      <c r="H705" s="103" t="s">
        <v>4331</v>
      </c>
      <c r="I705" s="142" t="s">
        <v>4343</v>
      </c>
      <c r="J705" s="149" t="s">
        <v>7402</v>
      </c>
      <c r="K705" s="149" t="s">
        <v>7403</v>
      </c>
      <c r="L705" s="149" t="s">
        <v>7404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7402</v>
      </c>
      <c r="AC705" s="149" t="s">
        <v>7403</v>
      </c>
      <c r="AD705" s="149" t="s">
        <v>7404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18"/>
        <v/>
      </c>
      <c r="BD705" s="103" t="str">
        <f t="shared" si="19"/>
        <v>AA</v>
      </c>
      <c r="BE705" s="103" t="str">
        <f t="shared" si="20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4476</v>
      </c>
      <c r="D706" s="103">
        <v>1</v>
      </c>
      <c r="E706" s="103" t="s">
        <v>4432</v>
      </c>
      <c r="F706" s="104" t="s">
        <v>7405</v>
      </c>
      <c r="G706" s="103" t="s">
        <v>4330</v>
      </c>
      <c r="H706" s="103" t="s">
        <v>4331</v>
      </c>
      <c r="I706" s="142" t="s">
        <v>4343</v>
      </c>
      <c r="J706" s="149" t="s">
        <v>7406</v>
      </c>
      <c r="K706" s="149" t="s">
        <v>7407</v>
      </c>
      <c r="L706" s="149" t="s">
        <v>7408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7406</v>
      </c>
      <c r="AC706" s="149" t="s">
        <v>7407</v>
      </c>
      <c r="AD706" s="149" t="s">
        <v>7408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18"/>
        <v/>
      </c>
      <c r="BD706" s="103" t="str">
        <f t="shared" si="19"/>
        <v>AA</v>
      </c>
      <c r="BE706" s="103" t="str">
        <f t="shared" si="20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4476</v>
      </c>
      <c r="D707" s="103">
        <v>1</v>
      </c>
      <c r="E707" s="103" t="s">
        <v>4432</v>
      </c>
      <c r="F707" s="104" t="s">
        <v>7409</v>
      </c>
      <c r="G707" s="103" t="s">
        <v>4330</v>
      </c>
      <c r="H707" s="103" t="s">
        <v>4331</v>
      </c>
      <c r="I707" s="142" t="s">
        <v>4343</v>
      </c>
      <c r="J707" s="149" t="s">
        <v>7410</v>
      </c>
      <c r="K707" s="149" t="s">
        <v>7411</v>
      </c>
      <c r="L707" s="149" t="s">
        <v>7412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7410</v>
      </c>
      <c r="AC707" s="149" t="s">
        <v>7411</v>
      </c>
      <c r="AD707" s="149" t="s">
        <v>7412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18"/>
        <v/>
      </c>
      <c r="BD707" s="103" t="str">
        <f t="shared" si="19"/>
        <v>AA</v>
      </c>
      <c r="BE707" s="103" t="str">
        <f t="shared" si="20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4476</v>
      </c>
      <c r="D708" s="103">
        <v>1</v>
      </c>
      <c r="E708" s="103" t="s">
        <v>4432</v>
      </c>
      <c r="F708" s="104" t="s">
        <v>7413</v>
      </c>
      <c r="G708" s="103" t="s">
        <v>4330</v>
      </c>
      <c r="H708" s="103" t="s">
        <v>4331</v>
      </c>
      <c r="I708" s="142" t="s">
        <v>4343</v>
      </c>
      <c r="J708" s="149" t="s">
        <v>7414</v>
      </c>
      <c r="K708" s="149" t="s">
        <v>7415</v>
      </c>
      <c r="L708" s="149" t="s">
        <v>7416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7414</v>
      </c>
      <c r="AC708" s="149" t="s">
        <v>7415</v>
      </c>
      <c r="AD708" s="149" t="s">
        <v>7416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18"/>
        <v/>
      </c>
      <c r="BD708" s="103" t="str">
        <f t="shared" si="19"/>
        <v>AA</v>
      </c>
      <c r="BE708" s="103" t="str">
        <f t="shared" si="20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4476</v>
      </c>
      <c r="D709" s="103">
        <v>1</v>
      </c>
      <c r="E709" s="103" t="s">
        <v>4432</v>
      </c>
      <c r="F709" s="104" t="s">
        <v>7417</v>
      </c>
      <c r="G709" s="103" t="s">
        <v>4330</v>
      </c>
      <c r="H709" s="103" t="s">
        <v>4331</v>
      </c>
      <c r="I709" s="142" t="s">
        <v>4343</v>
      </c>
      <c r="J709" s="149" t="s">
        <v>7418</v>
      </c>
      <c r="K709" s="149" t="s">
        <v>7419</v>
      </c>
      <c r="L709" s="149" t="s">
        <v>7420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7418</v>
      </c>
      <c r="AC709" s="149" t="s">
        <v>7419</v>
      </c>
      <c r="AD709" s="149" t="s">
        <v>7420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18"/>
        <v/>
      </c>
      <c r="BD709" s="103" t="str">
        <f t="shared" si="19"/>
        <v>AA</v>
      </c>
      <c r="BE709" s="103" t="str">
        <f t="shared" si="20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4476</v>
      </c>
      <c r="D710" s="103">
        <v>1</v>
      </c>
      <c r="E710" s="103" t="s">
        <v>4432</v>
      </c>
      <c r="F710" s="104" t="s">
        <v>7421</v>
      </c>
      <c r="G710" s="103" t="s">
        <v>4330</v>
      </c>
      <c r="H710" s="103" t="s">
        <v>4331</v>
      </c>
      <c r="I710" s="142" t="s">
        <v>4343</v>
      </c>
      <c r="J710" s="149" t="s">
        <v>7422</v>
      </c>
      <c r="K710" s="149" t="s">
        <v>7423</v>
      </c>
      <c r="L710" s="149" t="s">
        <v>7424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7422</v>
      </c>
      <c r="AC710" s="149" t="s">
        <v>7423</v>
      </c>
      <c r="AD710" s="149" t="s">
        <v>7424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18"/>
        <v/>
      </c>
      <c r="BD710" s="103" t="str">
        <f t="shared" si="19"/>
        <v>AA</v>
      </c>
      <c r="BE710" s="103" t="str">
        <f t="shared" si="20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4476</v>
      </c>
      <c r="D711" s="103">
        <v>1</v>
      </c>
      <c r="E711" s="103" t="s">
        <v>4432</v>
      </c>
      <c r="F711" s="104" t="s">
        <v>7425</v>
      </c>
      <c r="G711" s="103" t="s">
        <v>4330</v>
      </c>
      <c r="H711" s="103" t="s">
        <v>4331</v>
      </c>
      <c r="I711" s="142" t="s">
        <v>4343</v>
      </c>
      <c r="J711" s="149" t="s">
        <v>7426</v>
      </c>
      <c r="K711" s="149" t="s">
        <v>4457</v>
      </c>
      <c r="L711" s="149" t="s">
        <v>7427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7426</v>
      </c>
      <c r="AC711" s="149" t="s">
        <v>4457</v>
      </c>
      <c r="AD711" s="149" t="s">
        <v>7427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18"/>
        <v/>
      </c>
      <c r="BD711" s="103" t="str">
        <f t="shared" si="19"/>
        <v>AA</v>
      </c>
      <c r="BE711" s="103" t="str">
        <f t="shared" si="20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4476</v>
      </c>
      <c r="D712" s="103">
        <v>1</v>
      </c>
      <c r="E712" s="103" t="s">
        <v>4432</v>
      </c>
      <c r="F712" s="104" t="s">
        <v>7428</v>
      </c>
      <c r="G712" s="103" t="s">
        <v>4330</v>
      </c>
      <c r="H712" s="103" t="s">
        <v>4331</v>
      </c>
      <c r="I712" s="142" t="s">
        <v>4343</v>
      </c>
      <c r="J712" s="149" t="s">
        <v>7429</v>
      </c>
      <c r="K712" s="149" t="s">
        <v>7430</v>
      </c>
      <c r="L712" s="149" t="s">
        <v>7431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7429</v>
      </c>
      <c r="AC712" s="149" t="s">
        <v>7430</v>
      </c>
      <c r="AD712" s="149" t="s">
        <v>7431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18"/>
        <v/>
      </c>
      <c r="BD712" s="103" t="str">
        <f t="shared" si="19"/>
        <v>AA</v>
      </c>
      <c r="BE712" s="103" t="str">
        <f t="shared" si="20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4476</v>
      </c>
      <c r="D713" s="103">
        <v>1</v>
      </c>
      <c r="E713" s="103" t="s">
        <v>4432</v>
      </c>
      <c r="F713" s="104" t="s">
        <v>7432</v>
      </c>
      <c r="G713" s="103" t="s">
        <v>4330</v>
      </c>
      <c r="H713" s="103" t="s">
        <v>4331</v>
      </c>
      <c r="I713" s="142" t="s">
        <v>4343</v>
      </c>
      <c r="J713" s="149" t="s">
        <v>7433</v>
      </c>
      <c r="K713" s="149" t="s">
        <v>7434</v>
      </c>
      <c r="L713" s="149" t="s">
        <v>7435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7433</v>
      </c>
      <c r="AC713" s="149" t="s">
        <v>7434</v>
      </c>
      <c r="AD713" s="149" t="s">
        <v>7435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18"/>
        <v/>
      </c>
      <c r="BD713" s="103" t="str">
        <f t="shared" si="19"/>
        <v>AA</v>
      </c>
      <c r="BE713" s="103" t="str">
        <f t="shared" si="20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4476</v>
      </c>
      <c r="D714" s="103">
        <v>1</v>
      </c>
      <c r="E714" s="103" t="s">
        <v>4432</v>
      </c>
      <c r="F714" s="104" t="s">
        <v>7436</v>
      </c>
      <c r="G714" s="103" t="s">
        <v>4330</v>
      </c>
      <c r="H714" s="103" t="s">
        <v>4331</v>
      </c>
      <c r="I714" s="142" t="s">
        <v>4343</v>
      </c>
      <c r="J714" s="150" t="s">
        <v>7437</v>
      </c>
      <c r="K714" s="149" t="s">
        <v>7438</v>
      </c>
      <c r="L714" s="149" t="s">
        <v>7439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7437</v>
      </c>
      <c r="AC714" s="149" t="s">
        <v>7438</v>
      </c>
      <c r="AD714" s="149" t="s">
        <v>7439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18"/>
        <v/>
      </c>
      <c r="BD714" s="103" t="str">
        <f t="shared" si="19"/>
        <v>AA</v>
      </c>
      <c r="BE714" s="103" t="str">
        <f t="shared" si="20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4476</v>
      </c>
      <c r="D715" s="103">
        <v>1</v>
      </c>
      <c r="E715" s="103" t="s">
        <v>4432</v>
      </c>
      <c r="F715" s="104" t="s">
        <v>7440</v>
      </c>
      <c r="G715" s="103" t="s">
        <v>4330</v>
      </c>
      <c r="H715" s="103" t="s">
        <v>4331</v>
      </c>
      <c r="I715" s="142" t="s">
        <v>4440</v>
      </c>
      <c r="J715" s="149" t="s">
        <v>7441</v>
      </c>
      <c r="K715" s="149" t="s">
        <v>6341</v>
      </c>
      <c r="L715" s="149" t="s">
        <v>7442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7443</v>
      </c>
      <c r="AC715" s="149" t="s">
        <v>7444</v>
      </c>
      <c r="AD715" s="149" t="s">
        <v>7445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7446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2" t="s">
        <v>4454</v>
      </c>
      <c r="BA715" s="107" t="s">
        <v>4598</v>
      </c>
      <c r="BB715" s="136" t="s">
        <v>4338</v>
      </c>
      <c r="BC715" s="220">
        <f t="shared" si="18"/>
        <v>131</v>
      </c>
      <c r="BD715" s="103" t="str">
        <f t="shared" si="19"/>
        <v>INDENIZAÇÃO</v>
      </c>
      <c r="BE715" s="103" t="str">
        <f t="shared" si="20"/>
        <v>NÃO</v>
      </c>
      <c r="BF715" s="140" t="s">
        <v>4357</v>
      </c>
      <c r="BG715" s="140" t="s">
        <v>4357</v>
      </c>
      <c r="BH715" s="140" t="s">
        <v>4357</v>
      </c>
      <c r="BI715" s="154" t="s">
        <v>4926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7447</v>
      </c>
      <c r="G716" s="103" t="s">
        <v>4330</v>
      </c>
      <c r="H716" s="103" t="s">
        <v>4331</v>
      </c>
      <c r="I716" s="142" t="s">
        <v>4343</v>
      </c>
      <c r="J716" s="149" t="s">
        <v>7448</v>
      </c>
      <c r="K716" s="149" t="s">
        <v>4953</v>
      </c>
      <c r="L716" s="149" t="s">
        <v>7449</v>
      </c>
      <c r="M716" s="103" t="s">
        <v>4333</v>
      </c>
      <c r="N716" s="103" t="s">
        <v>4452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7448</v>
      </c>
      <c r="AC716" s="149" t="s">
        <v>4953</v>
      </c>
      <c r="AD716" s="149" t="s">
        <v>7449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3" t="s">
        <v>7450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3">
        <v>46220</v>
      </c>
      <c r="AZ716" s="109" t="s">
        <v>4454</v>
      </c>
      <c r="BA716" s="174" t="s">
        <v>4598</v>
      </c>
      <c r="BB716" s="136" t="s">
        <v>4338</v>
      </c>
      <c r="BC716" s="220">
        <f t="shared" si="18"/>
        <v>78</v>
      </c>
      <c r="BD716" s="103" t="str">
        <f t="shared" si="19"/>
        <v>INDENIZAÇÃO</v>
      </c>
      <c r="BE716" s="103" t="str">
        <f t="shared" si="20"/>
        <v>NÃO</v>
      </c>
      <c r="BF716" s="140" t="s">
        <v>4357</v>
      </c>
      <c r="BG716" s="140" t="s">
        <v>4357</v>
      </c>
      <c r="BH716" s="140" t="s">
        <v>4357</v>
      </c>
      <c r="BI716" s="154" t="s">
        <v>4926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6420</v>
      </c>
      <c r="G717" s="103" t="s">
        <v>4330</v>
      </c>
      <c r="H717" s="103" t="s">
        <v>4331</v>
      </c>
      <c r="I717" s="103" t="s">
        <v>4343</v>
      </c>
      <c r="J717" s="149" t="s">
        <v>7451</v>
      </c>
      <c r="K717" s="149" t="s">
        <v>7452</v>
      </c>
      <c r="L717" s="149" t="s">
        <v>7453</v>
      </c>
      <c r="M717" s="103" t="s">
        <v>4333</v>
      </c>
      <c r="N717" s="103" t="s">
        <v>4452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7451</v>
      </c>
      <c r="AC717" s="149" t="s">
        <v>7452</v>
      </c>
      <c r="AD717" s="149" t="s">
        <v>7453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3" t="s">
        <v>7454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3">
        <v>46223</v>
      </c>
      <c r="AZ717" s="109" t="s">
        <v>4454</v>
      </c>
      <c r="BA717" s="174" t="s">
        <v>4598</v>
      </c>
      <c r="BB717" s="136" t="s">
        <v>4338</v>
      </c>
      <c r="BC717" s="220">
        <f t="shared" si="18"/>
        <v>94</v>
      </c>
      <c r="BD717" s="103" t="str">
        <f t="shared" si="19"/>
        <v>INDENIZAÇÃO</v>
      </c>
      <c r="BE717" s="103" t="str">
        <f t="shared" si="20"/>
        <v>NÃO</v>
      </c>
      <c r="BF717" s="140" t="s">
        <v>4357</v>
      </c>
      <c r="BG717" s="140" t="s">
        <v>4357</v>
      </c>
      <c r="BH717" s="140" t="s">
        <v>4357</v>
      </c>
      <c r="BI717" s="154" t="s">
        <v>4926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4476</v>
      </c>
      <c r="D718" s="103">
        <v>1</v>
      </c>
      <c r="E718" s="103" t="s">
        <v>4432</v>
      </c>
      <c r="F718" s="104" t="s">
        <v>7455</v>
      </c>
      <c r="G718" s="103" t="s">
        <v>4330</v>
      </c>
      <c r="H718" s="103" t="s">
        <v>4331</v>
      </c>
      <c r="I718" s="142" t="s">
        <v>4343</v>
      </c>
      <c r="J718" s="149" t="s">
        <v>7456</v>
      </c>
      <c r="K718" s="149" t="s">
        <v>7457</v>
      </c>
      <c r="L718" s="149" t="s">
        <v>7458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7456</v>
      </c>
      <c r="AC718" s="149" t="s">
        <v>7457</v>
      </c>
      <c r="AD718" s="149" t="s">
        <v>7458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18"/>
        <v/>
      </c>
      <c r="BD718" s="103" t="str">
        <f t="shared" si="19"/>
        <v>AA</v>
      </c>
      <c r="BE718" s="103" t="str">
        <f t="shared" si="20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4476</v>
      </c>
      <c r="D719" s="103">
        <v>1</v>
      </c>
      <c r="E719" s="103" t="s">
        <v>4432</v>
      </c>
      <c r="F719" s="104" t="s">
        <v>7459</v>
      </c>
      <c r="G719" s="103" t="s">
        <v>4330</v>
      </c>
      <c r="H719" s="103" t="s">
        <v>4331</v>
      </c>
      <c r="I719" s="142" t="s">
        <v>4343</v>
      </c>
      <c r="J719" s="149" t="s">
        <v>6364</v>
      </c>
      <c r="K719" s="149" t="s">
        <v>7460</v>
      </c>
      <c r="L719" s="149" t="s">
        <v>7461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6364</v>
      </c>
      <c r="AC719" s="149" t="s">
        <v>7460</v>
      </c>
      <c r="AD719" s="149" t="s">
        <v>7461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18"/>
        <v/>
      </c>
      <c r="BD719" s="103" t="str">
        <f t="shared" si="19"/>
        <v>AA</v>
      </c>
      <c r="BE719" s="103" t="str">
        <f t="shared" si="20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4476</v>
      </c>
      <c r="D720" s="103">
        <v>1</v>
      </c>
      <c r="E720" s="103" t="s">
        <v>4432</v>
      </c>
      <c r="F720" s="104" t="s">
        <v>7462</v>
      </c>
      <c r="G720" s="103" t="s">
        <v>4330</v>
      </c>
      <c r="H720" s="103" t="s">
        <v>4331</v>
      </c>
      <c r="I720" s="142" t="s">
        <v>4343</v>
      </c>
      <c r="J720" s="149" t="s">
        <v>4770</v>
      </c>
      <c r="K720" s="149" t="s">
        <v>7463</v>
      </c>
      <c r="L720" s="149" t="s">
        <v>7464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4770</v>
      </c>
      <c r="AC720" s="149" t="s">
        <v>7463</v>
      </c>
      <c r="AD720" s="149" t="s">
        <v>7464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18"/>
        <v/>
      </c>
      <c r="BD720" s="103" t="str">
        <f t="shared" si="19"/>
        <v>AA</v>
      </c>
      <c r="BE720" s="103" t="str">
        <f t="shared" si="20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4476</v>
      </c>
      <c r="D721" s="103">
        <v>1</v>
      </c>
      <c r="E721" s="103" t="s">
        <v>4432</v>
      </c>
      <c r="F721" s="104" t="s">
        <v>7465</v>
      </c>
      <c r="G721" s="103" t="s">
        <v>4330</v>
      </c>
      <c r="H721" s="103" t="s">
        <v>4331</v>
      </c>
      <c r="I721" s="142" t="s">
        <v>4343</v>
      </c>
      <c r="J721" s="149" t="s">
        <v>7466</v>
      </c>
      <c r="K721" s="149" t="s">
        <v>7467</v>
      </c>
      <c r="L721" s="149" t="s">
        <v>7468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7466</v>
      </c>
      <c r="AC721" s="149" t="s">
        <v>7467</v>
      </c>
      <c r="AD721" s="149" t="s">
        <v>7468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18"/>
        <v/>
      </c>
      <c r="BD721" s="103" t="str">
        <f t="shared" si="19"/>
        <v>AA</v>
      </c>
      <c r="BE721" s="103" t="str">
        <f t="shared" si="20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4476</v>
      </c>
      <c r="D722" s="103">
        <v>1</v>
      </c>
      <c r="E722" s="103" t="s">
        <v>4432</v>
      </c>
      <c r="F722" s="104" t="s">
        <v>7469</v>
      </c>
      <c r="G722" s="103" t="s">
        <v>4330</v>
      </c>
      <c r="H722" s="103" t="s">
        <v>4331</v>
      </c>
      <c r="I722" s="142" t="s">
        <v>4343</v>
      </c>
      <c r="J722" s="114" t="s">
        <v>7470</v>
      </c>
      <c r="K722" s="149" t="s">
        <v>7471</v>
      </c>
      <c r="L722" s="149" t="s">
        <v>7472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7470</v>
      </c>
      <c r="AC722" s="149" t="s">
        <v>7471</v>
      </c>
      <c r="AD722" s="149" t="s">
        <v>7472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18"/>
        <v/>
      </c>
      <c r="BD722" s="103" t="str">
        <f t="shared" si="19"/>
        <v>AA</v>
      </c>
      <c r="BE722" s="103" t="str">
        <f t="shared" si="20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6237</v>
      </c>
      <c r="G723" s="112" t="s">
        <v>4330</v>
      </c>
      <c r="H723" s="112" t="s">
        <v>4331</v>
      </c>
      <c r="I723" s="112" t="s">
        <v>4343</v>
      </c>
      <c r="J723" s="150" t="s">
        <v>7473</v>
      </c>
      <c r="K723" s="150" t="s">
        <v>7474</v>
      </c>
      <c r="L723" s="150" t="s">
        <v>7475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4" t="s">
        <v>7473</v>
      </c>
      <c r="AC723" s="284" t="s">
        <v>7474</v>
      </c>
      <c r="AD723" s="284" t="s">
        <v>7475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3" t="s">
        <v>7476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3">
        <v>46223</v>
      </c>
      <c r="AZ723" s="109" t="s">
        <v>4454</v>
      </c>
      <c r="BA723" s="174" t="s">
        <v>4598</v>
      </c>
      <c r="BB723" s="136" t="s">
        <v>4338</v>
      </c>
      <c r="BC723" s="220">
        <f t="shared" si="18"/>
        <v>96</v>
      </c>
      <c r="BD723" s="103" t="str">
        <f t="shared" si="19"/>
        <v>INDENIZAÇÃO</v>
      </c>
      <c r="BE723" s="103" t="str">
        <f t="shared" si="20"/>
        <v>NÃO</v>
      </c>
      <c r="BF723" s="140" t="s">
        <v>4357</v>
      </c>
      <c r="BG723" s="140" t="s">
        <v>4357</v>
      </c>
      <c r="BH723" s="140" t="s">
        <v>4357</v>
      </c>
      <c r="BI723" s="154" t="s">
        <v>4926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4476</v>
      </c>
      <c r="D724" s="103">
        <v>1</v>
      </c>
      <c r="E724" s="103" t="s">
        <v>4432</v>
      </c>
      <c r="F724" s="104" t="s">
        <v>7477</v>
      </c>
      <c r="G724" s="103" t="s">
        <v>4330</v>
      </c>
      <c r="H724" s="103" t="s">
        <v>4331</v>
      </c>
      <c r="I724" s="142" t="s">
        <v>4343</v>
      </c>
      <c r="J724" s="149" t="s">
        <v>7478</v>
      </c>
      <c r="K724" s="149" t="s">
        <v>7479</v>
      </c>
      <c r="L724" s="149" t="s">
        <v>7480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7478</v>
      </c>
      <c r="AC724" s="149" t="s">
        <v>7479</v>
      </c>
      <c r="AD724" s="149" t="s">
        <v>7480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18"/>
        <v/>
      </c>
      <c r="BD724" s="103" t="str">
        <f t="shared" si="19"/>
        <v>AA</v>
      </c>
      <c r="BE724" s="103" t="str">
        <f t="shared" si="20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5814</v>
      </c>
      <c r="G725" s="103" t="s">
        <v>4330</v>
      </c>
      <c r="H725" s="103" t="s">
        <v>4331</v>
      </c>
      <c r="I725" s="142" t="s">
        <v>4343</v>
      </c>
      <c r="J725" s="149" t="s">
        <v>7481</v>
      </c>
      <c r="K725" s="149" t="s">
        <v>7482</v>
      </c>
      <c r="L725" s="149" t="s">
        <v>7483</v>
      </c>
      <c r="M725" s="103" t="s">
        <v>4333</v>
      </c>
      <c r="N725" s="103" t="s">
        <v>4452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7481</v>
      </c>
      <c r="AC725" s="204" t="s">
        <v>7482</v>
      </c>
      <c r="AD725" s="204" t="s">
        <v>7483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3" t="s">
        <v>7484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6">
        <v>46223</v>
      </c>
      <c r="AY725" s="283">
        <v>46223</v>
      </c>
      <c r="AZ725" s="109" t="s">
        <v>4454</v>
      </c>
      <c r="BA725" s="107" t="s">
        <v>4598</v>
      </c>
      <c r="BB725" s="136" t="s">
        <v>4338</v>
      </c>
      <c r="BC725" s="220">
        <f t="shared" si="18"/>
        <v>81</v>
      </c>
      <c r="BD725" s="103" t="str">
        <f t="shared" si="19"/>
        <v>INDENIZAÇÃO</v>
      </c>
      <c r="BE725" s="103" t="str">
        <f t="shared" si="20"/>
        <v>NÃO</v>
      </c>
      <c r="BF725" s="140" t="s">
        <v>4357</v>
      </c>
      <c r="BG725" s="140" t="s">
        <v>4357</v>
      </c>
      <c r="BH725" s="140" t="s">
        <v>4357</v>
      </c>
      <c r="BI725" s="154" t="s">
        <v>4926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4476</v>
      </c>
      <c r="D726" s="103">
        <v>1</v>
      </c>
      <c r="E726" s="103" t="s">
        <v>4432</v>
      </c>
      <c r="F726" s="104" t="s">
        <v>7485</v>
      </c>
      <c r="G726" s="103" t="s">
        <v>4330</v>
      </c>
      <c r="H726" s="103" t="s">
        <v>4331</v>
      </c>
      <c r="I726" s="142" t="s">
        <v>4343</v>
      </c>
      <c r="J726" s="149" t="s">
        <v>7486</v>
      </c>
      <c r="K726" s="149" t="s">
        <v>7487</v>
      </c>
      <c r="L726" s="149" t="s">
        <v>7488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7486</v>
      </c>
      <c r="AC726" s="149" t="s">
        <v>7487</v>
      </c>
      <c r="AD726" s="149" t="s">
        <v>7488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18"/>
        <v/>
      </c>
      <c r="BD726" s="103" t="str">
        <f t="shared" si="19"/>
        <v>AA</v>
      </c>
      <c r="BE726" s="103" t="str">
        <f t="shared" si="20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4476</v>
      </c>
      <c r="D727" s="103">
        <v>1</v>
      </c>
      <c r="E727" s="103" t="s">
        <v>4432</v>
      </c>
      <c r="F727" s="104" t="s">
        <v>7489</v>
      </c>
      <c r="G727" s="103" t="s">
        <v>4330</v>
      </c>
      <c r="H727" s="103" t="s">
        <v>4331</v>
      </c>
      <c r="I727" s="142" t="s">
        <v>4343</v>
      </c>
      <c r="J727" s="114" t="s">
        <v>7490</v>
      </c>
      <c r="K727" s="149" t="s">
        <v>7491</v>
      </c>
      <c r="L727" s="149" t="s">
        <v>7492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7490</v>
      </c>
      <c r="AC727" s="149" t="s">
        <v>7491</v>
      </c>
      <c r="AD727" s="149" t="s">
        <v>7492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18"/>
        <v/>
      </c>
      <c r="BD727" s="103" t="str">
        <f t="shared" si="19"/>
        <v>AA</v>
      </c>
      <c r="BE727" s="103" t="str">
        <f t="shared" si="20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4476</v>
      </c>
      <c r="D728" s="103">
        <v>1</v>
      </c>
      <c r="E728" s="103" t="s">
        <v>4432</v>
      </c>
      <c r="F728" s="104" t="s">
        <v>7493</v>
      </c>
      <c r="G728" s="103" t="s">
        <v>4330</v>
      </c>
      <c r="H728" s="103" t="s">
        <v>4331</v>
      </c>
      <c r="I728" s="142" t="s">
        <v>4343</v>
      </c>
      <c r="J728" s="114" t="s">
        <v>7494</v>
      </c>
      <c r="K728" s="149" t="s">
        <v>7495</v>
      </c>
      <c r="L728" s="149" t="s">
        <v>7496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7494</v>
      </c>
      <c r="AC728" s="149" t="s">
        <v>7495</v>
      </c>
      <c r="AD728" s="149" t="s">
        <v>7496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18"/>
        <v/>
      </c>
      <c r="BD728" s="103" t="str">
        <f t="shared" si="19"/>
        <v>AA</v>
      </c>
      <c r="BE728" s="103" t="str">
        <f t="shared" si="20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4476</v>
      </c>
      <c r="D729" s="103">
        <v>1</v>
      </c>
      <c r="E729" s="103" t="s">
        <v>4432</v>
      </c>
      <c r="F729" s="104" t="s">
        <v>7497</v>
      </c>
      <c r="G729" s="103" t="s">
        <v>4330</v>
      </c>
      <c r="H729" s="103" t="s">
        <v>4331</v>
      </c>
      <c r="I729" s="142" t="s">
        <v>4343</v>
      </c>
      <c r="J729" s="114" t="s">
        <v>7498</v>
      </c>
      <c r="K729" s="149" t="s">
        <v>7499</v>
      </c>
      <c r="L729" s="149" t="s">
        <v>7500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7498</v>
      </c>
      <c r="AC729" s="149" t="s">
        <v>7499</v>
      </c>
      <c r="AD729" s="149" t="s">
        <v>7500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18"/>
        <v/>
      </c>
      <c r="BD729" s="103" t="str">
        <f t="shared" si="19"/>
        <v>AA</v>
      </c>
      <c r="BE729" s="103" t="str">
        <f t="shared" si="20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4476</v>
      </c>
      <c r="D730" s="103">
        <v>1</v>
      </c>
      <c r="E730" s="103" t="s">
        <v>4432</v>
      </c>
      <c r="F730" s="104" t="s">
        <v>7501</v>
      </c>
      <c r="G730" s="103" t="s">
        <v>4330</v>
      </c>
      <c r="H730" s="103" t="s">
        <v>4331</v>
      </c>
      <c r="I730" s="142" t="s">
        <v>4343</v>
      </c>
      <c r="J730" s="114" t="s">
        <v>7502</v>
      </c>
      <c r="K730" s="149" t="s">
        <v>7503</v>
      </c>
      <c r="L730" s="149" t="s">
        <v>7504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7502</v>
      </c>
      <c r="AC730" s="149" t="s">
        <v>7503</v>
      </c>
      <c r="AD730" s="149" t="s">
        <v>7505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18"/>
        <v/>
      </c>
      <c r="BD730" s="103" t="str">
        <f t="shared" si="19"/>
        <v>AA</v>
      </c>
      <c r="BE730" s="103" t="str">
        <f t="shared" si="20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4476</v>
      </c>
      <c r="D731" s="103">
        <v>1</v>
      </c>
      <c r="E731" s="103" t="s">
        <v>4432</v>
      </c>
      <c r="F731" s="104" t="s">
        <v>7506</v>
      </c>
      <c r="G731" s="103" t="s">
        <v>4330</v>
      </c>
      <c r="H731" s="103" t="s">
        <v>4331</v>
      </c>
      <c r="I731" s="142" t="s">
        <v>4343</v>
      </c>
      <c r="J731" s="114" t="s">
        <v>7507</v>
      </c>
      <c r="K731" s="149" t="s">
        <v>7508</v>
      </c>
      <c r="L731" s="149" t="s">
        <v>7509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7507</v>
      </c>
      <c r="AC731" s="149" t="s">
        <v>7508</v>
      </c>
      <c r="AD731" s="149" t="s">
        <v>7509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18"/>
        <v/>
      </c>
      <c r="BD731" s="103" t="str">
        <f t="shared" si="19"/>
        <v>AA</v>
      </c>
      <c r="BE731" s="103" t="str">
        <f t="shared" si="20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4476</v>
      </c>
      <c r="D732" s="103">
        <v>1</v>
      </c>
      <c r="E732" s="103" t="s">
        <v>4432</v>
      </c>
      <c r="F732" s="104" t="s">
        <v>7510</v>
      </c>
      <c r="G732" s="103" t="s">
        <v>4330</v>
      </c>
      <c r="H732" s="103" t="s">
        <v>4331</v>
      </c>
      <c r="I732" s="142" t="s">
        <v>4343</v>
      </c>
      <c r="J732" s="114" t="s">
        <v>7511</v>
      </c>
      <c r="K732" s="149" t="s">
        <v>7512</v>
      </c>
      <c r="L732" s="149" t="s">
        <v>7513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7511</v>
      </c>
      <c r="AC732" s="149" t="s">
        <v>7512</v>
      </c>
      <c r="AD732" s="149" t="s">
        <v>7513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18"/>
        <v/>
      </c>
      <c r="BD732" s="103" t="str">
        <f t="shared" si="19"/>
        <v>AA</v>
      </c>
      <c r="BE732" s="103" t="str">
        <f t="shared" si="20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4476</v>
      </c>
      <c r="D733" s="103">
        <v>1</v>
      </c>
      <c r="E733" s="103" t="s">
        <v>4432</v>
      </c>
      <c r="F733" s="104" t="s">
        <v>7514</v>
      </c>
      <c r="G733" s="103" t="s">
        <v>4330</v>
      </c>
      <c r="H733" s="103" t="s">
        <v>4331</v>
      </c>
      <c r="I733" s="142" t="s">
        <v>4343</v>
      </c>
      <c r="J733" s="149" t="s">
        <v>7515</v>
      </c>
      <c r="K733" s="149" t="s">
        <v>7516</v>
      </c>
      <c r="L733" s="149" t="s">
        <v>7517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7515</v>
      </c>
      <c r="AC733" s="149" t="s">
        <v>7516</v>
      </c>
      <c r="AD733" s="149" t="s">
        <v>7517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18"/>
        <v/>
      </c>
      <c r="BD733" s="103" t="str">
        <f t="shared" si="19"/>
        <v>AA</v>
      </c>
      <c r="BE733" s="103" t="str">
        <f t="shared" si="20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4476</v>
      </c>
      <c r="D734" s="103">
        <v>1</v>
      </c>
      <c r="E734" s="103" t="s">
        <v>4432</v>
      </c>
      <c r="F734" s="104" t="s">
        <v>7518</v>
      </c>
      <c r="G734" s="103" t="s">
        <v>4330</v>
      </c>
      <c r="H734" s="103" t="s">
        <v>4331</v>
      </c>
      <c r="I734" s="142" t="s">
        <v>4343</v>
      </c>
      <c r="J734" s="114" t="s">
        <v>7519</v>
      </c>
      <c r="K734" s="149" t="s">
        <v>7520</v>
      </c>
      <c r="L734" s="149" t="s">
        <v>7521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7519</v>
      </c>
      <c r="AC734" s="149" t="s">
        <v>7520</v>
      </c>
      <c r="AD734" s="149" t="s">
        <v>7521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18"/>
        <v/>
      </c>
      <c r="BD734" s="103" t="str">
        <f t="shared" si="19"/>
        <v>AA</v>
      </c>
      <c r="BE734" s="103" t="str">
        <f t="shared" si="20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4476</v>
      </c>
      <c r="D735" s="103">
        <v>1</v>
      </c>
      <c r="E735" s="103" t="s">
        <v>4432</v>
      </c>
      <c r="F735" s="104" t="s">
        <v>7522</v>
      </c>
      <c r="G735" s="103" t="s">
        <v>4330</v>
      </c>
      <c r="H735" s="103" t="s">
        <v>4331</v>
      </c>
      <c r="I735" s="142" t="s">
        <v>4343</v>
      </c>
      <c r="J735" s="149" t="s">
        <v>7523</v>
      </c>
      <c r="K735" s="149" t="s">
        <v>4457</v>
      </c>
      <c r="L735" s="149" t="s">
        <v>7524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7523</v>
      </c>
      <c r="AC735" s="149" t="s">
        <v>4457</v>
      </c>
      <c r="AD735" s="149" t="s">
        <v>7524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18"/>
        <v/>
      </c>
      <c r="BD735" s="103" t="str">
        <f t="shared" si="19"/>
        <v>AA</v>
      </c>
      <c r="BE735" s="103" t="str">
        <f t="shared" si="20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4476</v>
      </c>
      <c r="D736" s="103">
        <v>1</v>
      </c>
      <c r="E736" s="103" t="s">
        <v>4432</v>
      </c>
      <c r="F736" s="104" t="s">
        <v>7525</v>
      </c>
      <c r="G736" s="103" t="s">
        <v>4330</v>
      </c>
      <c r="H736" s="103" t="s">
        <v>4331</v>
      </c>
      <c r="I736" s="142" t="s">
        <v>4343</v>
      </c>
      <c r="J736" s="149" t="s">
        <v>7526</v>
      </c>
      <c r="K736" s="149" t="s">
        <v>7527</v>
      </c>
      <c r="L736" s="149" t="s">
        <v>7528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7526</v>
      </c>
      <c r="AC736" s="149" t="s">
        <v>7527</v>
      </c>
      <c r="AD736" s="149" t="s">
        <v>7528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21">IF(AY736-KD736=0,"",AY736-O736)</f>
        <v/>
      </c>
      <c r="BD736" s="103" t="str">
        <f t="shared" ref="BD736:BD799" si="22">IF(AND(AI736&lt;&gt;"SIM",AI736="UH"),"AA","INDENIZAÇÃO")</f>
        <v>AA</v>
      </c>
      <c r="BE736" s="103" t="str">
        <f t="shared" ref="BE736:BE799" si="23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4476</v>
      </c>
      <c r="D737" s="103">
        <v>1</v>
      </c>
      <c r="E737" s="103" t="s">
        <v>4432</v>
      </c>
      <c r="F737" s="104" t="s">
        <v>7529</v>
      </c>
      <c r="G737" s="103" t="s">
        <v>4330</v>
      </c>
      <c r="H737" s="103" t="s">
        <v>4331</v>
      </c>
      <c r="I737" s="142" t="s">
        <v>4343</v>
      </c>
      <c r="J737" s="149" t="s">
        <v>7530</v>
      </c>
      <c r="K737" s="149" t="s">
        <v>7531</v>
      </c>
      <c r="L737" s="149" t="s">
        <v>7532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7530</v>
      </c>
      <c r="AC737" s="149" t="s">
        <v>7531</v>
      </c>
      <c r="AD737" s="149" t="s">
        <v>7532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21"/>
        <v/>
      </c>
      <c r="BD737" s="103" t="str">
        <f t="shared" si="22"/>
        <v>AA</v>
      </c>
      <c r="BE737" s="103" t="str">
        <f t="shared" si="23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4476</v>
      </c>
      <c r="D738" s="103">
        <v>1</v>
      </c>
      <c r="E738" s="103" t="s">
        <v>4432</v>
      </c>
      <c r="F738" s="104" t="s">
        <v>7533</v>
      </c>
      <c r="G738" s="103" t="s">
        <v>4330</v>
      </c>
      <c r="H738" s="103" t="s">
        <v>4331</v>
      </c>
      <c r="I738" s="142" t="s">
        <v>4343</v>
      </c>
      <c r="J738" s="114" t="s">
        <v>7534</v>
      </c>
      <c r="K738" s="149" t="s">
        <v>7535</v>
      </c>
      <c r="L738" s="149" t="s">
        <v>7536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7534</v>
      </c>
      <c r="AC738" s="149" t="s">
        <v>7535</v>
      </c>
      <c r="AD738" s="149" t="s">
        <v>7536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21"/>
        <v/>
      </c>
      <c r="BD738" s="103" t="str">
        <f t="shared" si="22"/>
        <v>AA</v>
      </c>
      <c r="BE738" s="103" t="str">
        <f t="shared" si="23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4476</v>
      </c>
      <c r="D739" s="103">
        <v>1</v>
      </c>
      <c r="E739" s="103" t="s">
        <v>4432</v>
      </c>
      <c r="F739" s="104" t="s">
        <v>7537</v>
      </c>
      <c r="G739" s="103" t="s">
        <v>4330</v>
      </c>
      <c r="H739" s="103" t="s">
        <v>4331</v>
      </c>
      <c r="I739" s="142" t="s">
        <v>4343</v>
      </c>
      <c r="J739" s="149" t="s">
        <v>7538</v>
      </c>
      <c r="K739" s="149" t="s">
        <v>7539</v>
      </c>
      <c r="L739" s="149" t="s">
        <v>7540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7538</v>
      </c>
      <c r="AC739" s="149" t="s">
        <v>7539</v>
      </c>
      <c r="AD739" s="149" t="s">
        <v>7540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21"/>
        <v/>
      </c>
      <c r="BD739" s="103" t="str">
        <f t="shared" si="22"/>
        <v>AA</v>
      </c>
      <c r="BE739" s="103" t="str">
        <f t="shared" si="23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4476</v>
      </c>
      <c r="D740" s="103">
        <v>1</v>
      </c>
      <c r="E740" s="103" t="s">
        <v>4432</v>
      </c>
      <c r="F740" s="104" t="s">
        <v>7541</v>
      </c>
      <c r="G740" s="103" t="s">
        <v>4330</v>
      </c>
      <c r="H740" s="103" t="s">
        <v>4331</v>
      </c>
      <c r="I740" s="142" t="s">
        <v>4343</v>
      </c>
      <c r="J740" s="149" t="s">
        <v>7542</v>
      </c>
      <c r="K740" s="149" t="s">
        <v>7543</v>
      </c>
      <c r="L740" s="149" t="s">
        <v>7544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7542</v>
      </c>
      <c r="AC740" s="149" t="s">
        <v>7543</v>
      </c>
      <c r="AD740" s="149" t="s">
        <v>7544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21"/>
        <v/>
      </c>
      <c r="BD740" s="103" t="str">
        <f t="shared" si="22"/>
        <v>AA</v>
      </c>
      <c r="BE740" s="103" t="str">
        <f t="shared" si="23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4476</v>
      </c>
      <c r="D741" s="103">
        <v>1</v>
      </c>
      <c r="E741" s="103" t="s">
        <v>4432</v>
      </c>
      <c r="F741" s="104" t="s">
        <v>7545</v>
      </c>
      <c r="G741" s="103" t="s">
        <v>4330</v>
      </c>
      <c r="H741" s="103" t="s">
        <v>4331</v>
      </c>
      <c r="I741" s="142" t="s">
        <v>4343</v>
      </c>
      <c r="J741" s="149" t="s">
        <v>7546</v>
      </c>
      <c r="K741" s="149" t="s">
        <v>7547</v>
      </c>
      <c r="L741" s="149" t="s">
        <v>7548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7546</v>
      </c>
      <c r="AC741" s="149" t="s">
        <v>7547</v>
      </c>
      <c r="AD741" s="149" t="s">
        <v>7548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21"/>
        <v/>
      </c>
      <c r="BD741" s="103" t="str">
        <f t="shared" si="22"/>
        <v>AA</v>
      </c>
      <c r="BE741" s="103" t="str">
        <f t="shared" si="23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4476</v>
      </c>
      <c r="D742" s="103">
        <v>1</v>
      </c>
      <c r="E742" s="103" t="s">
        <v>4432</v>
      </c>
      <c r="F742" s="104" t="s">
        <v>7549</v>
      </c>
      <c r="G742" s="103" t="s">
        <v>4330</v>
      </c>
      <c r="H742" s="103" t="s">
        <v>4331</v>
      </c>
      <c r="I742" s="142" t="s">
        <v>4343</v>
      </c>
      <c r="J742" s="149" t="s">
        <v>7550</v>
      </c>
      <c r="K742" s="149" t="s">
        <v>7551</v>
      </c>
      <c r="L742" s="149" t="s">
        <v>7552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7550</v>
      </c>
      <c r="AC742" s="149" t="s">
        <v>7551</v>
      </c>
      <c r="AD742" s="149" t="s">
        <v>7552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21"/>
        <v/>
      </c>
      <c r="BD742" s="103" t="str">
        <f t="shared" si="22"/>
        <v>AA</v>
      </c>
      <c r="BE742" s="103" t="str">
        <f t="shared" si="23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4476</v>
      </c>
      <c r="D743" s="103">
        <v>1</v>
      </c>
      <c r="E743" s="103" t="s">
        <v>4432</v>
      </c>
      <c r="F743" s="104" t="s">
        <v>7553</v>
      </c>
      <c r="G743" s="103" t="s">
        <v>4330</v>
      </c>
      <c r="H743" s="103" t="s">
        <v>4331</v>
      </c>
      <c r="I743" s="142" t="s">
        <v>4343</v>
      </c>
      <c r="J743" s="114" t="s">
        <v>7554</v>
      </c>
      <c r="K743" s="149" t="s">
        <v>7555</v>
      </c>
      <c r="L743" s="149" t="s">
        <v>7556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7554</v>
      </c>
      <c r="AC743" s="149" t="s">
        <v>7555</v>
      </c>
      <c r="AD743" s="149" t="s">
        <v>7556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21"/>
        <v/>
      </c>
      <c r="BD743" s="103" t="str">
        <f t="shared" si="22"/>
        <v>AA</v>
      </c>
      <c r="BE743" s="103" t="str">
        <f t="shared" si="23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4476</v>
      </c>
      <c r="D744" s="103">
        <v>1</v>
      </c>
      <c r="E744" s="103" t="s">
        <v>4432</v>
      </c>
      <c r="F744" s="104" t="s">
        <v>7557</v>
      </c>
      <c r="G744" s="103" t="s">
        <v>4330</v>
      </c>
      <c r="H744" s="103" t="s">
        <v>4331</v>
      </c>
      <c r="I744" s="142" t="s">
        <v>4343</v>
      </c>
      <c r="J744" s="149" t="s">
        <v>7558</v>
      </c>
      <c r="K744" s="149" t="s">
        <v>7559</v>
      </c>
      <c r="L744" s="149" t="s">
        <v>7560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7558</v>
      </c>
      <c r="AC744" s="149" t="s">
        <v>7559</v>
      </c>
      <c r="AD744" s="149" t="s">
        <v>7560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21"/>
        <v/>
      </c>
      <c r="BD744" s="103" t="str">
        <f t="shared" si="22"/>
        <v>AA</v>
      </c>
      <c r="BE744" s="103" t="str">
        <f t="shared" si="23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4476</v>
      </c>
      <c r="D745" s="103">
        <v>1</v>
      </c>
      <c r="E745" s="103" t="s">
        <v>4432</v>
      </c>
      <c r="F745" s="104" t="s">
        <v>7561</v>
      </c>
      <c r="G745" s="103" t="s">
        <v>4330</v>
      </c>
      <c r="H745" s="103" t="s">
        <v>4331</v>
      </c>
      <c r="I745" s="142" t="s">
        <v>4343</v>
      </c>
      <c r="J745" s="149" t="s">
        <v>7562</v>
      </c>
      <c r="K745" s="149" t="s">
        <v>7563</v>
      </c>
      <c r="L745" s="149" t="s">
        <v>7564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7562</v>
      </c>
      <c r="AC745" s="149" t="s">
        <v>7563</v>
      </c>
      <c r="AD745" s="149" t="s">
        <v>7564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21"/>
        <v/>
      </c>
      <c r="BD745" s="103" t="str">
        <f t="shared" si="22"/>
        <v>AA</v>
      </c>
      <c r="BE745" s="103" t="str">
        <f t="shared" si="23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4476</v>
      </c>
      <c r="D746" s="103">
        <v>1</v>
      </c>
      <c r="E746" s="103" t="s">
        <v>4432</v>
      </c>
      <c r="F746" s="104" t="s">
        <v>7565</v>
      </c>
      <c r="G746" s="103" t="s">
        <v>4330</v>
      </c>
      <c r="H746" s="103" t="s">
        <v>4331</v>
      </c>
      <c r="I746" s="142" t="s">
        <v>4343</v>
      </c>
      <c r="J746" s="149" t="s">
        <v>7566</v>
      </c>
      <c r="K746" s="149" t="s">
        <v>7567</v>
      </c>
      <c r="L746" s="149" t="s">
        <v>7568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7569</v>
      </c>
      <c r="AB746" s="149" t="s">
        <v>7566</v>
      </c>
      <c r="AC746" s="149" t="s">
        <v>7567</v>
      </c>
      <c r="AD746" s="149" t="s">
        <v>7568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21"/>
        <v/>
      </c>
      <c r="BD746" s="103" t="str">
        <f t="shared" si="22"/>
        <v>AA</v>
      </c>
      <c r="BE746" s="103" t="str">
        <f t="shared" si="23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4476</v>
      </c>
      <c r="D747" s="103">
        <v>1</v>
      </c>
      <c r="E747" s="103" t="s">
        <v>4432</v>
      </c>
      <c r="F747" s="104" t="s">
        <v>7570</v>
      </c>
      <c r="G747" s="103" t="s">
        <v>4330</v>
      </c>
      <c r="H747" s="103" t="s">
        <v>4331</v>
      </c>
      <c r="I747" s="142" t="s">
        <v>4343</v>
      </c>
      <c r="J747" s="149" t="s">
        <v>7571</v>
      </c>
      <c r="K747" s="149" t="s">
        <v>7572</v>
      </c>
      <c r="L747" s="149" t="s">
        <v>7573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7571</v>
      </c>
      <c r="AC747" s="149" t="s">
        <v>7572</v>
      </c>
      <c r="AD747" s="149" t="s">
        <v>7573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21"/>
        <v/>
      </c>
      <c r="BD747" s="103" t="str">
        <f t="shared" si="22"/>
        <v>AA</v>
      </c>
      <c r="BE747" s="103" t="str">
        <f t="shared" si="23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4476</v>
      </c>
      <c r="D748" s="103">
        <v>1</v>
      </c>
      <c r="E748" s="103" t="s">
        <v>4432</v>
      </c>
      <c r="F748" s="104" t="s">
        <v>7574</v>
      </c>
      <c r="G748" s="103" t="s">
        <v>4330</v>
      </c>
      <c r="H748" s="103" t="s">
        <v>4331</v>
      </c>
      <c r="I748" s="142" t="s">
        <v>4343</v>
      </c>
      <c r="J748" s="149" t="s">
        <v>7575</v>
      </c>
      <c r="K748" s="149" t="s">
        <v>7576</v>
      </c>
      <c r="L748" s="149" t="s">
        <v>7577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7575</v>
      </c>
      <c r="AC748" s="149" t="s">
        <v>7576</v>
      </c>
      <c r="AD748" s="149" t="s">
        <v>7577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21"/>
        <v/>
      </c>
      <c r="BD748" s="103" t="str">
        <f t="shared" si="22"/>
        <v>AA</v>
      </c>
      <c r="BE748" s="103" t="str">
        <f t="shared" si="23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4476</v>
      </c>
      <c r="D749" s="103">
        <v>1</v>
      </c>
      <c r="E749" s="103" t="s">
        <v>4432</v>
      </c>
      <c r="F749" s="104" t="s">
        <v>7578</v>
      </c>
      <c r="G749" s="103" t="s">
        <v>4330</v>
      </c>
      <c r="H749" s="103" t="s">
        <v>4331</v>
      </c>
      <c r="I749" s="142" t="s">
        <v>4343</v>
      </c>
      <c r="J749" s="114" t="s">
        <v>7579</v>
      </c>
      <c r="K749" s="149" t="s">
        <v>7580</v>
      </c>
      <c r="L749" s="149" t="s">
        <v>7581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7579</v>
      </c>
      <c r="AC749" s="149" t="s">
        <v>7580</v>
      </c>
      <c r="AD749" s="149" t="s">
        <v>7581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21"/>
        <v/>
      </c>
      <c r="BD749" s="103" t="str">
        <f t="shared" si="22"/>
        <v>AA</v>
      </c>
      <c r="BE749" s="103" t="str">
        <f t="shared" si="23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4476</v>
      </c>
      <c r="D750" s="103">
        <v>1</v>
      </c>
      <c r="E750" s="103" t="s">
        <v>4432</v>
      </c>
      <c r="F750" s="104" t="s">
        <v>7582</v>
      </c>
      <c r="G750" s="103" t="s">
        <v>4330</v>
      </c>
      <c r="H750" s="103" t="s">
        <v>4331</v>
      </c>
      <c r="I750" s="142" t="s">
        <v>4343</v>
      </c>
      <c r="J750" s="114" t="s">
        <v>7583</v>
      </c>
      <c r="K750" s="149" t="s">
        <v>7584</v>
      </c>
      <c r="L750" s="149" t="s">
        <v>7585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7583</v>
      </c>
      <c r="AC750" s="149" t="s">
        <v>7584</v>
      </c>
      <c r="AD750" s="149" t="s">
        <v>7585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21"/>
        <v/>
      </c>
      <c r="BD750" s="103" t="str">
        <f t="shared" si="22"/>
        <v>AA</v>
      </c>
      <c r="BE750" s="103" t="str">
        <f t="shared" si="23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4476</v>
      </c>
      <c r="D751" s="103">
        <v>1</v>
      </c>
      <c r="E751" s="103" t="s">
        <v>4432</v>
      </c>
      <c r="F751" s="104" t="s">
        <v>7586</v>
      </c>
      <c r="G751" s="103" t="s">
        <v>4330</v>
      </c>
      <c r="H751" s="103" t="s">
        <v>4331</v>
      </c>
      <c r="I751" s="142" t="s">
        <v>7020</v>
      </c>
      <c r="J751" s="149" t="s">
        <v>7587</v>
      </c>
      <c r="K751" s="149" t="s">
        <v>4457</v>
      </c>
      <c r="L751" s="149" t="s">
        <v>7588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7587</v>
      </c>
      <c r="AC751" s="149" t="s">
        <v>4457</v>
      </c>
      <c r="AD751" s="149" t="s">
        <v>7588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21"/>
        <v/>
      </c>
      <c r="BD751" s="103" t="str">
        <f t="shared" si="22"/>
        <v>AA</v>
      </c>
      <c r="BE751" s="103" t="str">
        <f t="shared" si="23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4476</v>
      </c>
      <c r="D752" s="103">
        <v>1</v>
      </c>
      <c r="E752" s="103" t="s">
        <v>4432</v>
      </c>
      <c r="F752" s="104" t="s">
        <v>7589</v>
      </c>
      <c r="G752" s="103" t="s">
        <v>4330</v>
      </c>
      <c r="H752" s="103" t="s">
        <v>4331</v>
      </c>
      <c r="I752" s="142" t="s">
        <v>4343</v>
      </c>
      <c r="J752" s="149" t="s">
        <v>7590</v>
      </c>
      <c r="K752" s="149" t="s">
        <v>7591</v>
      </c>
      <c r="L752" s="149" t="s">
        <v>7592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7590</v>
      </c>
      <c r="AC752" s="149" t="s">
        <v>7591</v>
      </c>
      <c r="AD752" s="149" t="s">
        <v>7592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21"/>
        <v/>
      </c>
      <c r="BD752" s="103" t="str">
        <f t="shared" si="22"/>
        <v>AA</v>
      </c>
      <c r="BE752" s="103" t="str">
        <f t="shared" si="23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4476</v>
      </c>
      <c r="D753" s="103">
        <v>1</v>
      </c>
      <c r="E753" s="103" t="s">
        <v>4432</v>
      </c>
      <c r="F753" s="104" t="s">
        <v>7593</v>
      </c>
      <c r="G753" s="103" t="s">
        <v>4330</v>
      </c>
      <c r="H753" s="103" t="s">
        <v>4331</v>
      </c>
      <c r="I753" s="142" t="s">
        <v>4343</v>
      </c>
      <c r="J753" s="149" t="s">
        <v>7594</v>
      </c>
      <c r="K753" s="149" t="s">
        <v>7595</v>
      </c>
      <c r="L753" s="149" t="s">
        <v>7596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7594</v>
      </c>
      <c r="AC753" s="149" t="s">
        <v>7595</v>
      </c>
      <c r="AD753" s="149" t="s">
        <v>7596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21"/>
        <v/>
      </c>
      <c r="BD753" s="103" t="str">
        <f t="shared" si="22"/>
        <v>AA</v>
      </c>
      <c r="BE753" s="103" t="str">
        <f t="shared" si="23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4476</v>
      </c>
      <c r="D754" s="103">
        <v>1</v>
      </c>
      <c r="E754" s="103" t="s">
        <v>4432</v>
      </c>
      <c r="F754" s="104" t="s">
        <v>7597</v>
      </c>
      <c r="G754" s="103" t="s">
        <v>4330</v>
      </c>
      <c r="H754" s="103" t="s">
        <v>4331</v>
      </c>
      <c r="I754" s="142" t="s">
        <v>4343</v>
      </c>
      <c r="J754" s="149" t="s">
        <v>7598</v>
      </c>
      <c r="K754" s="149" t="s">
        <v>7599</v>
      </c>
      <c r="L754" s="149" t="s">
        <v>7600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7598</v>
      </c>
      <c r="AC754" s="149" t="s">
        <v>7599</v>
      </c>
      <c r="AD754" s="149" t="s">
        <v>7600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21"/>
        <v/>
      </c>
      <c r="BD754" s="103" t="str">
        <f t="shared" si="22"/>
        <v>AA</v>
      </c>
      <c r="BE754" s="103" t="str">
        <f t="shared" si="23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4476</v>
      </c>
      <c r="D755" s="103">
        <v>1</v>
      </c>
      <c r="E755" s="103" t="s">
        <v>4432</v>
      </c>
      <c r="F755" s="104" t="s">
        <v>7601</v>
      </c>
      <c r="G755" s="103" t="s">
        <v>4330</v>
      </c>
      <c r="H755" s="103" t="s">
        <v>4331</v>
      </c>
      <c r="I755" s="142" t="s">
        <v>4343</v>
      </c>
      <c r="J755" s="149" t="s">
        <v>7602</v>
      </c>
      <c r="K755" s="149" t="s">
        <v>7603</v>
      </c>
      <c r="L755" s="149" t="s">
        <v>7604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7602</v>
      </c>
      <c r="AC755" s="149" t="s">
        <v>7603</v>
      </c>
      <c r="AD755" s="149" t="s">
        <v>7604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21"/>
        <v/>
      </c>
      <c r="BD755" s="103" t="str">
        <f t="shared" si="22"/>
        <v>AA</v>
      </c>
      <c r="BE755" s="103" t="str">
        <f t="shared" si="23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4476</v>
      </c>
      <c r="D756" s="103">
        <v>1</v>
      </c>
      <c r="E756" s="103" t="s">
        <v>4432</v>
      </c>
      <c r="F756" s="104" t="s">
        <v>7605</v>
      </c>
      <c r="G756" s="103" t="s">
        <v>4330</v>
      </c>
      <c r="H756" s="103" t="s">
        <v>4331</v>
      </c>
      <c r="I756" s="142" t="s">
        <v>4343</v>
      </c>
      <c r="J756" s="149" t="s">
        <v>7606</v>
      </c>
      <c r="K756" s="149" t="s">
        <v>7607</v>
      </c>
      <c r="L756" s="149" t="s">
        <v>7608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7606</v>
      </c>
      <c r="AC756" s="149" t="s">
        <v>7607</v>
      </c>
      <c r="AD756" s="149" t="s">
        <v>7608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21"/>
        <v/>
      </c>
      <c r="BD756" s="103" t="str">
        <f t="shared" si="22"/>
        <v>AA</v>
      </c>
      <c r="BE756" s="103" t="str">
        <f t="shared" si="23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4476</v>
      </c>
      <c r="D757" s="103">
        <v>1</v>
      </c>
      <c r="E757" s="103" t="s">
        <v>4432</v>
      </c>
      <c r="F757" s="104" t="s">
        <v>7609</v>
      </c>
      <c r="G757" s="103" t="s">
        <v>4330</v>
      </c>
      <c r="H757" s="103" t="s">
        <v>4331</v>
      </c>
      <c r="I757" s="142" t="s">
        <v>4343</v>
      </c>
      <c r="J757" s="149" t="s">
        <v>7610</v>
      </c>
      <c r="K757" s="149" t="s">
        <v>7611</v>
      </c>
      <c r="L757" s="149" t="s">
        <v>7612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7610</v>
      </c>
      <c r="AC757" s="149" t="s">
        <v>7611</v>
      </c>
      <c r="AD757" s="149" t="s">
        <v>7612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21"/>
        <v/>
      </c>
      <c r="BD757" s="103" t="str">
        <f t="shared" si="22"/>
        <v>AA</v>
      </c>
      <c r="BE757" s="103" t="str">
        <f t="shared" si="23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4476</v>
      </c>
      <c r="D758" s="103">
        <v>1</v>
      </c>
      <c r="E758" s="103" t="s">
        <v>4432</v>
      </c>
      <c r="F758" s="104" t="s">
        <v>7613</v>
      </c>
      <c r="G758" s="103" t="s">
        <v>4330</v>
      </c>
      <c r="H758" s="103" t="s">
        <v>4331</v>
      </c>
      <c r="I758" s="142" t="s">
        <v>4343</v>
      </c>
      <c r="J758" s="149" t="s">
        <v>7614</v>
      </c>
      <c r="K758" s="149" t="s">
        <v>7615</v>
      </c>
      <c r="L758" s="149" t="s">
        <v>7616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7614</v>
      </c>
      <c r="AC758" s="149" t="s">
        <v>7615</v>
      </c>
      <c r="AD758" s="149" t="s">
        <v>7616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21"/>
        <v/>
      </c>
      <c r="BD758" s="103" t="str">
        <f t="shared" si="22"/>
        <v>AA</v>
      </c>
      <c r="BE758" s="103" t="str">
        <f t="shared" si="23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4476</v>
      </c>
      <c r="D759" s="103">
        <v>1</v>
      </c>
      <c r="E759" s="103" t="s">
        <v>4432</v>
      </c>
      <c r="F759" s="104" t="s">
        <v>7617</v>
      </c>
      <c r="G759" s="103" t="s">
        <v>4330</v>
      </c>
      <c r="H759" s="103" t="s">
        <v>4331</v>
      </c>
      <c r="I759" s="142" t="s">
        <v>4343</v>
      </c>
      <c r="J759" s="149" t="s">
        <v>7618</v>
      </c>
      <c r="K759" s="149" t="s">
        <v>7619</v>
      </c>
      <c r="L759" s="149" t="s">
        <v>7620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7618</v>
      </c>
      <c r="AC759" s="149" t="s">
        <v>7619</v>
      </c>
      <c r="AD759" s="149" t="s">
        <v>7620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21"/>
        <v/>
      </c>
      <c r="BD759" s="103" t="str">
        <f t="shared" si="22"/>
        <v>AA</v>
      </c>
      <c r="BE759" s="103" t="str">
        <f t="shared" si="23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4476</v>
      </c>
      <c r="D760" s="103">
        <v>1</v>
      </c>
      <c r="E760" s="103" t="s">
        <v>4432</v>
      </c>
      <c r="F760" s="104" t="s">
        <v>7621</v>
      </c>
      <c r="G760" s="103" t="s">
        <v>4330</v>
      </c>
      <c r="H760" s="103" t="s">
        <v>4331</v>
      </c>
      <c r="I760" s="142" t="s">
        <v>4343</v>
      </c>
      <c r="J760" s="149" t="s">
        <v>7622</v>
      </c>
      <c r="K760" s="149" t="s">
        <v>7623</v>
      </c>
      <c r="L760" s="149" t="s">
        <v>7624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7622</v>
      </c>
      <c r="AC760" s="149" t="s">
        <v>7623</v>
      </c>
      <c r="AD760" s="149" t="s">
        <v>7624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21"/>
        <v/>
      </c>
      <c r="BD760" s="103" t="str">
        <f t="shared" si="22"/>
        <v>AA</v>
      </c>
      <c r="BE760" s="103" t="str">
        <f t="shared" si="23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4476</v>
      </c>
      <c r="D761" s="103">
        <v>1</v>
      </c>
      <c r="E761" s="103" t="s">
        <v>4432</v>
      </c>
      <c r="F761" s="104" t="s">
        <v>7625</v>
      </c>
      <c r="G761" s="103" t="s">
        <v>4330</v>
      </c>
      <c r="H761" s="103" t="s">
        <v>4331</v>
      </c>
      <c r="I761" s="142" t="s">
        <v>4343</v>
      </c>
      <c r="J761" s="149" t="s">
        <v>7626</v>
      </c>
      <c r="K761" s="149" t="s">
        <v>7627</v>
      </c>
      <c r="L761" s="149" t="s">
        <v>7628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7626</v>
      </c>
      <c r="AC761" s="149" t="s">
        <v>7627</v>
      </c>
      <c r="AD761" s="149" t="s">
        <v>7628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21"/>
        <v/>
      </c>
      <c r="BD761" s="103" t="str">
        <f t="shared" si="22"/>
        <v>AA</v>
      </c>
      <c r="BE761" s="103" t="str">
        <f t="shared" si="23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4476</v>
      </c>
      <c r="D762" s="103">
        <v>1</v>
      </c>
      <c r="E762" s="103" t="s">
        <v>4432</v>
      </c>
      <c r="F762" s="104" t="s">
        <v>7629</v>
      </c>
      <c r="G762" s="103" t="s">
        <v>4330</v>
      </c>
      <c r="H762" s="103" t="s">
        <v>4331</v>
      </c>
      <c r="I762" s="142" t="s">
        <v>4343</v>
      </c>
      <c r="J762" s="114" t="s">
        <v>7630</v>
      </c>
      <c r="K762" s="149" t="s">
        <v>7631</v>
      </c>
      <c r="L762" s="149" t="s">
        <v>7632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7630</v>
      </c>
      <c r="AC762" s="149" t="s">
        <v>7631</v>
      </c>
      <c r="AD762" s="149" t="s">
        <v>7632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21"/>
        <v/>
      </c>
      <c r="BD762" s="103" t="str">
        <f t="shared" si="22"/>
        <v>AA</v>
      </c>
      <c r="BE762" s="103" t="str">
        <f t="shared" si="23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4476</v>
      </c>
      <c r="D763" s="103">
        <v>1</v>
      </c>
      <c r="E763" s="103" t="s">
        <v>4432</v>
      </c>
      <c r="F763" s="104" t="s">
        <v>7633</v>
      </c>
      <c r="G763" s="103" t="s">
        <v>4330</v>
      </c>
      <c r="H763" s="103" t="s">
        <v>4331</v>
      </c>
      <c r="I763" s="142" t="s">
        <v>4343</v>
      </c>
      <c r="J763" s="149" t="s">
        <v>7634</v>
      </c>
      <c r="K763" s="149" t="s">
        <v>7635</v>
      </c>
      <c r="L763" s="149" t="s">
        <v>7636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7634</v>
      </c>
      <c r="AC763" s="149" t="s">
        <v>7635</v>
      </c>
      <c r="AD763" s="149" t="s">
        <v>7636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21"/>
        <v/>
      </c>
      <c r="BD763" s="103" t="str">
        <f t="shared" si="22"/>
        <v>AA</v>
      </c>
      <c r="BE763" s="103" t="str">
        <f t="shared" si="23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4476</v>
      </c>
      <c r="D764" s="103">
        <v>1</v>
      </c>
      <c r="E764" s="103" t="s">
        <v>4432</v>
      </c>
      <c r="F764" s="104" t="s">
        <v>7637</v>
      </c>
      <c r="G764" s="103" t="s">
        <v>4330</v>
      </c>
      <c r="H764" s="103" t="s">
        <v>4331</v>
      </c>
      <c r="I764" s="142" t="s">
        <v>4343</v>
      </c>
      <c r="J764" s="149" t="s">
        <v>7638</v>
      </c>
      <c r="K764" s="149" t="s">
        <v>7639</v>
      </c>
      <c r="L764" s="149" t="s">
        <v>7640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7638</v>
      </c>
      <c r="AC764" s="149" t="s">
        <v>7639</v>
      </c>
      <c r="AD764" s="149" t="s">
        <v>7640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21"/>
        <v/>
      </c>
      <c r="BD764" s="103" t="str">
        <f t="shared" si="22"/>
        <v>AA</v>
      </c>
      <c r="BE764" s="103" t="str">
        <f t="shared" si="23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4476</v>
      </c>
      <c r="D765" s="103">
        <v>1</v>
      </c>
      <c r="E765" s="103" t="s">
        <v>4432</v>
      </c>
      <c r="F765" s="104" t="s">
        <v>7641</v>
      </c>
      <c r="G765" s="103" t="s">
        <v>4330</v>
      </c>
      <c r="H765" s="103" t="s">
        <v>4331</v>
      </c>
      <c r="I765" s="142" t="s">
        <v>4343</v>
      </c>
      <c r="J765" s="149" t="s">
        <v>7642</v>
      </c>
      <c r="K765" s="149" t="s">
        <v>7643</v>
      </c>
      <c r="L765" s="149" t="s">
        <v>7644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7642</v>
      </c>
      <c r="AC765" s="149" t="s">
        <v>7643</v>
      </c>
      <c r="AD765" s="149" t="s">
        <v>7644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21"/>
        <v/>
      </c>
      <c r="BD765" s="103" t="str">
        <f t="shared" si="22"/>
        <v>AA</v>
      </c>
      <c r="BE765" s="103" t="str">
        <f t="shared" si="23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7645</v>
      </c>
      <c r="G766" s="103" t="s">
        <v>4330</v>
      </c>
      <c r="H766" s="103" t="s">
        <v>4331</v>
      </c>
      <c r="I766" s="142" t="s">
        <v>4343</v>
      </c>
      <c r="J766" s="149" t="s">
        <v>7646</v>
      </c>
      <c r="K766" s="149" t="s">
        <v>4953</v>
      </c>
      <c r="L766" s="149" t="s">
        <v>7647</v>
      </c>
      <c r="M766" s="103" t="s">
        <v>4333</v>
      </c>
      <c r="N766" s="103" t="s">
        <v>4452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7646</v>
      </c>
      <c r="AC766" s="204" t="s">
        <v>4953</v>
      </c>
      <c r="AD766" s="204" t="s">
        <v>7647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6"/>
      <c r="AP766" s="273" t="s">
        <v>7648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6" t="s">
        <v>4338</v>
      </c>
      <c r="AX766" s="276">
        <v>46223</v>
      </c>
      <c r="AY766" s="287">
        <v>46223</v>
      </c>
      <c r="AZ766" s="109" t="s">
        <v>4454</v>
      </c>
      <c r="BA766" s="107" t="s">
        <v>4598</v>
      </c>
      <c r="BB766" s="136" t="s">
        <v>4338</v>
      </c>
      <c r="BC766" s="220">
        <f t="shared" si="21"/>
        <v>81</v>
      </c>
      <c r="BD766" s="103" t="str">
        <f t="shared" si="22"/>
        <v>INDENIZAÇÃO</v>
      </c>
      <c r="BE766" s="103" t="str">
        <f t="shared" si="23"/>
        <v>NÃO</v>
      </c>
      <c r="BF766" s="102" t="s">
        <v>4357</v>
      </c>
      <c r="BG766" s="102" t="s">
        <v>4357</v>
      </c>
      <c r="BH766" s="102" t="s">
        <v>4357</v>
      </c>
      <c r="BI766" s="290" t="s">
        <v>4926</v>
      </c>
      <c r="BJ766" s="290"/>
      <c r="BK766" s="290"/>
      <c r="BL766" s="290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4476</v>
      </c>
      <c r="D767" s="103">
        <v>1</v>
      </c>
      <c r="E767" s="103" t="s">
        <v>4432</v>
      </c>
      <c r="F767" s="104" t="s">
        <v>7649</v>
      </c>
      <c r="G767" s="103" t="s">
        <v>4330</v>
      </c>
      <c r="H767" s="103" t="s">
        <v>4331</v>
      </c>
      <c r="I767" s="142" t="s">
        <v>4343</v>
      </c>
      <c r="J767" s="149" t="s">
        <v>7650</v>
      </c>
      <c r="K767" s="149" t="s">
        <v>4457</v>
      </c>
      <c r="L767" s="149" t="s">
        <v>7651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7650</v>
      </c>
      <c r="AC767" s="149" t="s">
        <v>4457</v>
      </c>
      <c r="AD767" s="149" t="s">
        <v>7651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21"/>
        <v/>
      </c>
      <c r="BD767" s="103" t="str">
        <f t="shared" si="22"/>
        <v>AA</v>
      </c>
      <c r="BE767" s="103" t="str">
        <f t="shared" si="23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4476</v>
      </c>
      <c r="D768" s="103">
        <v>1</v>
      </c>
      <c r="E768" s="103" t="s">
        <v>4432</v>
      </c>
      <c r="F768" s="104" t="s">
        <v>7652</v>
      </c>
      <c r="G768" s="103" t="s">
        <v>4330</v>
      </c>
      <c r="H768" s="103" t="s">
        <v>4331</v>
      </c>
      <c r="I768" s="142" t="s">
        <v>4343</v>
      </c>
      <c r="J768" s="149" t="s">
        <v>7653</v>
      </c>
      <c r="K768" s="149" t="s">
        <v>7654</v>
      </c>
      <c r="L768" s="149" t="s">
        <v>7655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7653</v>
      </c>
      <c r="AC768" s="149" t="s">
        <v>7654</v>
      </c>
      <c r="AD768" s="149" t="s">
        <v>7655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21"/>
        <v/>
      </c>
      <c r="BD768" s="103" t="str">
        <f t="shared" si="22"/>
        <v>AA</v>
      </c>
      <c r="BE768" s="103" t="str">
        <f t="shared" si="23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4476</v>
      </c>
      <c r="D769" s="103">
        <v>1</v>
      </c>
      <c r="E769" s="103" t="s">
        <v>4432</v>
      </c>
      <c r="F769" s="104" t="s">
        <v>7656</v>
      </c>
      <c r="G769" s="103" t="s">
        <v>4330</v>
      </c>
      <c r="H769" s="103" t="s">
        <v>4331</v>
      </c>
      <c r="I769" s="142" t="s">
        <v>4343</v>
      </c>
      <c r="J769" s="149" t="s">
        <v>7657</v>
      </c>
      <c r="K769" s="149" t="s">
        <v>7658</v>
      </c>
      <c r="L769" s="149" t="s">
        <v>7659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7657</v>
      </c>
      <c r="AC769" s="149" t="s">
        <v>7658</v>
      </c>
      <c r="AD769" s="149" t="s">
        <v>7659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21"/>
        <v/>
      </c>
      <c r="BD769" s="103" t="str">
        <f t="shared" si="22"/>
        <v>AA</v>
      </c>
      <c r="BE769" s="103" t="str">
        <f t="shared" si="23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4476</v>
      </c>
      <c r="D770" s="103">
        <v>1</v>
      </c>
      <c r="E770" s="103" t="s">
        <v>4432</v>
      </c>
      <c r="F770" s="104" t="s">
        <v>7660</v>
      </c>
      <c r="G770" s="103" t="s">
        <v>4330</v>
      </c>
      <c r="H770" s="103" t="s">
        <v>4331</v>
      </c>
      <c r="I770" s="142" t="s">
        <v>4343</v>
      </c>
      <c r="J770" s="149" t="s">
        <v>7661</v>
      </c>
      <c r="K770" s="149" t="s">
        <v>7662</v>
      </c>
      <c r="L770" s="149" t="s">
        <v>7663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7661</v>
      </c>
      <c r="AC770" s="149" t="s">
        <v>7662</v>
      </c>
      <c r="AD770" s="149" t="s">
        <v>7663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21"/>
        <v/>
      </c>
      <c r="BD770" s="103" t="str">
        <f t="shared" si="22"/>
        <v>AA</v>
      </c>
      <c r="BE770" s="103" t="str">
        <f t="shared" si="23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4476</v>
      </c>
      <c r="D771" s="103">
        <v>1</v>
      </c>
      <c r="E771" s="103" t="s">
        <v>4432</v>
      </c>
      <c r="F771" s="104" t="s">
        <v>7664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7665</v>
      </c>
      <c r="L771" s="149" t="s">
        <v>7666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7665</v>
      </c>
      <c r="AD771" s="149" t="s">
        <v>7666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21"/>
        <v/>
      </c>
      <c r="BD771" s="103" t="str">
        <f t="shared" si="22"/>
        <v>AA</v>
      </c>
      <c r="BE771" s="103" t="str">
        <f t="shared" si="23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4476</v>
      </c>
      <c r="D772" s="103">
        <v>1</v>
      </c>
      <c r="E772" s="103" t="s">
        <v>4432</v>
      </c>
      <c r="F772" s="104" t="s">
        <v>7667</v>
      </c>
      <c r="G772" s="103" t="s">
        <v>4330</v>
      </c>
      <c r="H772" s="103" t="s">
        <v>4331</v>
      </c>
      <c r="I772" s="142" t="s">
        <v>4343</v>
      </c>
      <c r="J772" s="149" t="s">
        <v>7668</v>
      </c>
      <c r="K772" s="149" t="s">
        <v>7669</v>
      </c>
      <c r="L772" s="149" t="s">
        <v>7670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7668</v>
      </c>
      <c r="AC772" s="149" t="s">
        <v>7669</v>
      </c>
      <c r="AD772" s="149" t="s">
        <v>7670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21"/>
        <v/>
      </c>
      <c r="BD772" s="103" t="str">
        <f t="shared" si="22"/>
        <v>AA</v>
      </c>
      <c r="BE772" s="103" t="str">
        <f t="shared" si="23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4476</v>
      </c>
      <c r="D773" s="103">
        <v>1</v>
      </c>
      <c r="E773" s="103" t="s">
        <v>4432</v>
      </c>
      <c r="F773" s="104" t="s">
        <v>7671</v>
      </c>
      <c r="G773" s="103" t="s">
        <v>4330</v>
      </c>
      <c r="H773" s="103" t="s">
        <v>4331</v>
      </c>
      <c r="I773" s="142" t="s">
        <v>4343</v>
      </c>
      <c r="J773" s="149" t="s">
        <v>7672</v>
      </c>
      <c r="K773" s="149" t="s">
        <v>7673</v>
      </c>
      <c r="L773" s="149" t="s">
        <v>7674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7672</v>
      </c>
      <c r="AC773" s="149" t="s">
        <v>7673</v>
      </c>
      <c r="AD773" s="149" t="s">
        <v>7674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21"/>
        <v/>
      </c>
      <c r="BD773" s="103" t="str">
        <f t="shared" si="22"/>
        <v>AA</v>
      </c>
      <c r="BE773" s="103" t="str">
        <f t="shared" si="23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4476</v>
      </c>
      <c r="D774" s="103">
        <v>1</v>
      </c>
      <c r="E774" s="103" t="s">
        <v>4432</v>
      </c>
      <c r="F774" s="104" t="s">
        <v>7675</v>
      </c>
      <c r="G774" s="103" t="s">
        <v>4330</v>
      </c>
      <c r="H774" s="103" t="s">
        <v>4331</v>
      </c>
      <c r="I774" s="142" t="s">
        <v>4343</v>
      </c>
      <c r="J774" s="149" t="s">
        <v>7676</v>
      </c>
      <c r="K774" s="149" t="s">
        <v>7677</v>
      </c>
      <c r="L774" s="149" t="s">
        <v>7678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7676</v>
      </c>
      <c r="AC774" s="149" t="s">
        <v>7677</v>
      </c>
      <c r="AD774" s="149" t="s">
        <v>7678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21"/>
        <v/>
      </c>
      <c r="BD774" s="103" t="str">
        <f t="shared" si="22"/>
        <v>AA</v>
      </c>
      <c r="BE774" s="103" t="str">
        <f t="shared" si="23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4476</v>
      </c>
      <c r="D775" s="103">
        <v>1</v>
      </c>
      <c r="E775" s="103" t="s">
        <v>4432</v>
      </c>
      <c r="F775" s="104" t="s">
        <v>7679</v>
      </c>
      <c r="G775" s="103" t="s">
        <v>4330</v>
      </c>
      <c r="H775" s="103" t="s">
        <v>4331</v>
      </c>
      <c r="I775" s="142" t="s">
        <v>4343</v>
      </c>
      <c r="J775" s="149" t="s">
        <v>7680</v>
      </c>
      <c r="K775" s="149" t="s">
        <v>7681</v>
      </c>
      <c r="L775" s="149" t="s">
        <v>7682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7680</v>
      </c>
      <c r="AC775" s="149" t="s">
        <v>7681</v>
      </c>
      <c r="AD775" s="149" t="s">
        <v>7682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21"/>
        <v/>
      </c>
      <c r="BD775" s="103" t="str">
        <f t="shared" si="22"/>
        <v>AA</v>
      </c>
      <c r="BE775" s="103" t="str">
        <f t="shared" si="23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4476</v>
      </c>
      <c r="D776" s="103">
        <v>1</v>
      </c>
      <c r="E776" s="103" t="s">
        <v>4432</v>
      </c>
      <c r="F776" s="104" t="s">
        <v>7683</v>
      </c>
      <c r="G776" s="103" t="s">
        <v>4330</v>
      </c>
      <c r="H776" s="103" t="s">
        <v>4331</v>
      </c>
      <c r="I776" s="142" t="s">
        <v>4343</v>
      </c>
      <c r="J776" s="149" t="s">
        <v>7684</v>
      </c>
      <c r="K776" s="149" t="s">
        <v>7685</v>
      </c>
      <c r="L776" s="149" t="s">
        <v>7686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7684</v>
      </c>
      <c r="AC776" s="149" t="s">
        <v>7685</v>
      </c>
      <c r="AD776" s="149" t="s">
        <v>7686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21"/>
        <v/>
      </c>
      <c r="BD776" s="103" t="str">
        <f t="shared" si="22"/>
        <v>AA</v>
      </c>
      <c r="BE776" s="103" t="str">
        <f t="shared" si="23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4476</v>
      </c>
      <c r="D777" s="103">
        <v>1</v>
      </c>
      <c r="E777" s="103" t="s">
        <v>4432</v>
      </c>
      <c r="F777" s="104" t="s">
        <v>7687</v>
      </c>
      <c r="G777" s="103" t="s">
        <v>4330</v>
      </c>
      <c r="H777" s="103" t="s">
        <v>4331</v>
      </c>
      <c r="I777" s="142" t="s">
        <v>4343</v>
      </c>
      <c r="J777" s="149" t="s">
        <v>7688</v>
      </c>
      <c r="K777" s="149" t="s">
        <v>7689</v>
      </c>
      <c r="L777" s="149" t="s">
        <v>7690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7688</v>
      </c>
      <c r="AC777" s="149" t="s">
        <v>7689</v>
      </c>
      <c r="AD777" s="149" t="s">
        <v>7690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21"/>
        <v/>
      </c>
      <c r="BD777" s="103" t="str">
        <f t="shared" si="22"/>
        <v>AA</v>
      </c>
      <c r="BE777" s="103" t="str">
        <f t="shared" si="23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4476</v>
      </c>
      <c r="D778" s="103">
        <v>1</v>
      </c>
      <c r="E778" s="103" t="s">
        <v>4432</v>
      </c>
      <c r="F778" s="104" t="s">
        <v>7691</v>
      </c>
      <c r="G778" s="103" t="s">
        <v>4330</v>
      </c>
      <c r="H778" s="103" t="s">
        <v>4331</v>
      </c>
      <c r="I778" s="142" t="s">
        <v>4343</v>
      </c>
      <c r="J778" s="149" t="s">
        <v>7692</v>
      </c>
      <c r="K778" s="149" t="s">
        <v>7693</v>
      </c>
      <c r="L778" s="149" t="s">
        <v>7694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7692</v>
      </c>
      <c r="AC778" s="149" t="s">
        <v>7693</v>
      </c>
      <c r="AD778" s="149" t="s">
        <v>7694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21"/>
        <v/>
      </c>
      <c r="BD778" s="103" t="str">
        <f t="shared" si="22"/>
        <v>AA</v>
      </c>
      <c r="BE778" s="103" t="str">
        <f t="shared" si="23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4476</v>
      </c>
      <c r="D779" s="103">
        <v>1</v>
      </c>
      <c r="E779" s="103" t="s">
        <v>4432</v>
      </c>
      <c r="F779" s="104" t="s">
        <v>7695</v>
      </c>
      <c r="G779" s="103" t="s">
        <v>4330</v>
      </c>
      <c r="H779" s="103" t="s">
        <v>4331</v>
      </c>
      <c r="I779" s="142" t="s">
        <v>4343</v>
      </c>
      <c r="J779" s="149" t="s">
        <v>7696</v>
      </c>
      <c r="K779" s="149" t="s">
        <v>7697</v>
      </c>
      <c r="L779" s="149" t="s">
        <v>7698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7696</v>
      </c>
      <c r="AC779" s="149" t="s">
        <v>7697</v>
      </c>
      <c r="AD779" s="149" t="s">
        <v>7698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21"/>
        <v/>
      </c>
      <c r="BD779" s="103" t="str">
        <f t="shared" si="22"/>
        <v>AA</v>
      </c>
      <c r="BE779" s="103" t="str">
        <f t="shared" si="23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4476</v>
      </c>
      <c r="D780" s="103">
        <v>1</v>
      </c>
      <c r="E780" s="103" t="s">
        <v>4432</v>
      </c>
      <c r="F780" s="104" t="s">
        <v>7699</v>
      </c>
      <c r="G780" s="103" t="s">
        <v>4330</v>
      </c>
      <c r="H780" s="103" t="s">
        <v>4331</v>
      </c>
      <c r="I780" s="142" t="s">
        <v>4343</v>
      </c>
      <c r="J780" s="149" t="s">
        <v>7700</v>
      </c>
      <c r="K780" s="149" t="s">
        <v>7701</v>
      </c>
      <c r="L780" s="149" t="s">
        <v>7702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7700</v>
      </c>
      <c r="AC780" s="149" t="s">
        <v>7701</v>
      </c>
      <c r="AD780" s="149" t="s">
        <v>7702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21"/>
        <v/>
      </c>
      <c r="BD780" s="103" t="str">
        <f t="shared" si="22"/>
        <v>AA</v>
      </c>
      <c r="BE780" s="103" t="str">
        <f t="shared" si="23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4476</v>
      </c>
      <c r="D781" s="103">
        <v>1</v>
      </c>
      <c r="E781" s="103" t="s">
        <v>4432</v>
      </c>
      <c r="F781" s="104" t="s">
        <v>7703</v>
      </c>
      <c r="G781" s="103" t="s">
        <v>4330</v>
      </c>
      <c r="H781" s="103" t="s">
        <v>4331</v>
      </c>
      <c r="I781" s="142" t="s">
        <v>4343</v>
      </c>
      <c r="J781" s="149" t="s">
        <v>7704</v>
      </c>
      <c r="K781" s="149" t="s">
        <v>7705</v>
      </c>
      <c r="L781" s="149" t="s">
        <v>7706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7704</v>
      </c>
      <c r="AC781" s="149" t="s">
        <v>7705</v>
      </c>
      <c r="AD781" s="149" t="s">
        <v>7706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21"/>
        <v/>
      </c>
      <c r="BD781" s="103" t="str">
        <f t="shared" si="22"/>
        <v>AA</v>
      </c>
      <c r="BE781" s="103" t="str">
        <f t="shared" si="23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4476</v>
      </c>
      <c r="D782" s="103">
        <v>1</v>
      </c>
      <c r="E782" s="103" t="s">
        <v>4432</v>
      </c>
      <c r="F782" s="104" t="s">
        <v>7707</v>
      </c>
      <c r="G782" s="103" t="s">
        <v>4330</v>
      </c>
      <c r="H782" s="103" t="s">
        <v>4331</v>
      </c>
      <c r="I782" s="142" t="s">
        <v>4343</v>
      </c>
      <c r="J782" s="149" t="s">
        <v>7708</v>
      </c>
      <c r="K782" s="149" t="s">
        <v>7709</v>
      </c>
      <c r="L782" s="149" t="s">
        <v>7710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7708</v>
      </c>
      <c r="AC782" s="149" t="s">
        <v>7709</v>
      </c>
      <c r="AD782" s="149" t="s">
        <v>7710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21"/>
        <v/>
      </c>
      <c r="BD782" s="103" t="str">
        <f t="shared" si="22"/>
        <v>AA</v>
      </c>
      <c r="BE782" s="103" t="str">
        <f t="shared" si="23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4476</v>
      </c>
      <c r="D783" s="103">
        <v>1</v>
      </c>
      <c r="E783" s="103" t="s">
        <v>4432</v>
      </c>
      <c r="F783" s="104" t="s">
        <v>7711</v>
      </c>
      <c r="G783" s="103" t="s">
        <v>4330</v>
      </c>
      <c r="H783" s="103" t="s">
        <v>4331</v>
      </c>
      <c r="I783" s="142" t="s">
        <v>4343</v>
      </c>
      <c r="J783" s="149" t="s">
        <v>7712</v>
      </c>
      <c r="K783" s="149" t="s">
        <v>7713</v>
      </c>
      <c r="L783" s="149" t="s">
        <v>7714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7712</v>
      </c>
      <c r="AC783" s="149" t="s">
        <v>7713</v>
      </c>
      <c r="AD783" s="149" t="s">
        <v>7714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21"/>
        <v/>
      </c>
      <c r="BD783" s="103" t="str">
        <f t="shared" si="22"/>
        <v>AA</v>
      </c>
      <c r="BE783" s="103" t="str">
        <f t="shared" si="23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4476</v>
      </c>
      <c r="D784" s="103">
        <v>1</v>
      </c>
      <c r="E784" s="103" t="s">
        <v>4432</v>
      </c>
      <c r="F784" s="104" t="s">
        <v>7715</v>
      </c>
      <c r="G784" s="103" t="s">
        <v>4330</v>
      </c>
      <c r="H784" s="103" t="s">
        <v>4331</v>
      </c>
      <c r="I784" s="142" t="s">
        <v>4343</v>
      </c>
      <c r="J784" s="149" t="s">
        <v>7716</v>
      </c>
      <c r="K784" s="149" t="s">
        <v>7717</v>
      </c>
      <c r="L784" s="149" t="s">
        <v>7718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7716</v>
      </c>
      <c r="AC784" s="149" t="s">
        <v>7717</v>
      </c>
      <c r="AD784" s="149" t="s">
        <v>7718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21"/>
        <v/>
      </c>
      <c r="BD784" s="103" t="str">
        <f t="shared" si="22"/>
        <v>AA</v>
      </c>
      <c r="BE784" s="103" t="str">
        <f t="shared" si="23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4476</v>
      </c>
      <c r="D785" s="103">
        <v>1</v>
      </c>
      <c r="E785" s="103" t="s">
        <v>4432</v>
      </c>
      <c r="F785" s="104" t="s">
        <v>7719</v>
      </c>
      <c r="G785" s="103" t="s">
        <v>4330</v>
      </c>
      <c r="H785" s="103" t="s">
        <v>4331</v>
      </c>
      <c r="I785" s="142" t="s">
        <v>4343</v>
      </c>
      <c r="J785" s="149" t="s">
        <v>7720</v>
      </c>
      <c r="K785" s="149" t="s">
        <v>7721</v>
      </c>
      <c r="L785" s="149" t="s">
        <v>7722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7720</v>
      </c>
      <c r="AC785" s="149" t="s">
        <v>7721</v>
      </c>
      <c r="AD785" s="149" t="s">
        <v>7722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21"/>
        <v/>
      </c>
      <c r="BD785" s="103" t="str">
        <f t="shared" si="22"/>
        <v>AA</v>
      </c>
      <c r="BE785" s="103" t="str">
        <f t="shared" si="23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4476</v>
      </c>
      <c r="D786" s="103">
        <v>1</v>
      </c>
      <c r="E786" s="103" t="s">
        <v>4432</v>
      </c>
      <c r="F786" s="104" t="s">
        <v>7723</v>
      </c>
      <c r="G786" s="103" t="s">
        <v>4330</v>
      </c>
      <c r="H786" s="103" t="s">
        <v>4331</v>
      </c>
      <c r="I786" s="142" t="s">
        <v>4343</v>
      </c>
      <c r="J786" s="149" t="s">
        <v>7724</v>
      </c>
      <c r="K786" s="149" t="s">
        <v>7725</v>
      </c>
      <c r="L786" s="149" t="s">
        <v>7726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7724</v>
      </c>
      <c r="AC786" s="149" t="s">
        <v>7725</v>
      </c>
      <c r="AD786" s="149" t="s">
        <v>7726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21"/>
        <v/>
      </c>
      <c r="BD786" s="103" t="str">
        <f t="shared" si="22"/>
        <v>AA</v>
      </c>
      <c r="BE786" s="103" t="str">
        <f t="shared" si="23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4476</v>
      </c>
      <c r="D787" s="103">
        <v>1</v>
      </c>
      <c r="E787" s="103" t="s">
        <v>4432</v>
      </c>
      <c r="F787" s="104" t="s">
        <v>7727</v>
      </c>
      <c r="G787" s="103" t="s">
        <v>4330</v>
      </c>
      <c r="H787" s="103" t="s">
        <v>4331</v>
      </c>
      <c r="I787" s="142" t="s">
        <v>4343</v>
      </c>
      <c r="J787" s="149" t="s">
        <v>7728</v>
      </c>
      <c r="K787" s="149" t="s">
        <v>4432</v>
      </c>
      <c r="L787" s="149" t="s">
        <v>7729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7728</v>
      </c>
      <c r="AC787" s="149" t="s">
        <v>4432</v>
      </c>
      <c r="AD787" s="149" t="s">
        <v>7729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21"/>
        <v/>
      </c>
      <c r="BD787" s="103" t="str">
        <f t="shared" si="22"/>
        <v>AA</v>
      </c>
      <c r="BE787" s="103" t="str">
        <f t="shared" si="23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7730</v>
      </c>
      <c r="G788" s="103" t="s">
        <v>4351</v>
      </c>
      <c r="H788" s="103" t="s">
        <v>4351</v>
      </c>
      <c r="I788" s="153" t="s">
        <v>4332</v>
      </c>
      <c r="J788" s="149" t="s">
        <v>7731</v>
      </c>
      <c r="K788" s="149" t="s">
        <v>7732</v>
      </c>
      <c r="L788" s="149" t="s">
        <v>7733</v>
      </c>
      <c r="M788" s="103" t="s">
        <v>4333</v>
      </c>
      <c r="N788" s="103" t="s">
        <v>4452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7731</v>
      </c>
      <c r="AC788" s="204" t="s">
        <v>7732</v>
      </c>
      <c r="AD788" s="204" t="s">
        <v>7733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3" t="s">
        <v>7734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3">
        <v>46223</v>
      </c>
      <c r="AZ788" s="109" t="s">
        <v>4454</v>
      </c>
      <c r="BA788" s="107" t="s">
        <v>4598</v>
      </c>
      <c r="BB788" s="136" t="s">
        <v>4338</v>
      </c>
      <c r="BC788" s="220">
        <f t="shared" si="21"/>
        <v>147</v>
      </c>
      <c r="BD788" s="103" t="str">
        <f t="shared" si="22"/>
        <v>INDENIZAÇÃO</v>
      </c>
      <c r="BE788" s="103" t="str">
        <f t="shared" si="23"/>
        <v>NÃO</v>
      </c>
      <c r="BF788" s="140" t="s">
        <v>4357</v>
      </c>
      <c r="BG788" s="140" t="s">
        <v>4357</v>
      </c>
      <c r="BH788" s="140" t="s">
        <v>4357</v>
      </c>
      <c r="BI788" s="154" t="s">
        <v>4926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4476</v>
      </c>
      <c r="D789" s="103">
        <v>1</v>
      </c>
      <c r="E789" s="103" t="s">
        <v>4432</v>
      </c>
      <c r="F789" s="104" t="s">
        <v>7735</v>
      </c>
      <c r="G789" s="103" t="s">
        <v>4330</v>
      </c>
      <c r="H789" s="103" t="s">
        <v>4331</v>
      </c>
      <c r="I789" s="142" t="s">
        <v>4343</v>
      </c>
      <c r="J789" s="150" t="s">
        <v>7736</v>
      </c>
      <c r="K789" s="150" t="s">
        <v>7737</v>
      </c>
      <c r="L789" s="150" t="s">
        <v>7738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7736</v>
      </c>
      <c r="AC789" s="150" t="s">
        <v>7737</v>
      </c>
      <c r="AD789" s="150" t="s">
        <v>7738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21"/>
        <v/>
      </c>
      <c r="BD789" s="103" t="str">
        <f t="shared" si="22"/>
        <v>AA</v>
      </c>
      <c r="BE789" s="103" t="str">
        <f t="shared" si="23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4476</v>
      </c>
      <c r="D790" s="103">
        <v>1</v>
      </c>
      <c r="E790" s="103" t="s">
        <v>4432</v>
      </c>
      <c r="F790" s="104" t="s">
        <v>7739</v>
      </c>
      <c r="G790" s="112" t="s">
        <v>4330</v>
      </c>
      <c r="H790" s="112" t="s">
        <v>4331</v>
      </c>
      <c r="I790" s="142" t="s">
        <v>4343</v>
      </c>
      <c r="J790" s="150" t="s">
        <v>7740</v>
      </c>
      <c r="K790" s="150" t="s">
        <v>7741</v>
      </c>
      <c r="L790" s="150" t="s">
        <v>7742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7740</v>
      </c>
      <c r="AC790" s="150" t="s">
        <v>7741</v>
      </c>
      <c r="AD790" s="150" t="s">
        <v>7742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21"/>
        <v/>
      </c>
      <c r="BD790" s="103" t="str">
        <f t="shared" si="22"/>
        <v>AA</v>
      </c>
      <c r="BE790" s="103" t="str">
        <f t="shared" si="23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4476</v>
      </c>
      <c r="D791" s="103">
        <v>1</v>
      </c>
      <c r="E791" s="103" t="s">
        <v>4432</v>
      </c>
      <c r="F791" s="104" t="s">
        <v>7743</v>
      </c>
      <c r="G791" s="103" t="s">
        <v>4330</v>
      </c>
      <c r="H791" s="103" t="s">
        <v>4331</v>
      </c>
      <c r="I791" s="142" t="s">
        <v>4343</v>
      </c>
      <c r="J791" s="150" t="s">
        <v>7744</v>
      </c>
      <c r="K791" s="150" t="s">
        <v>7745</v>
      </c>
      <c r="L791" s="150" t="s">
        <v>7746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7744</v>
      </c>
      <c r="AC791" s="150" t="s">
        <v>7745</v>
      </c>
      <c r="AD791" s="150" t="s">
        <v>7746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21"/>
        <v/>
      </c>
      <c r="BD791" s="103" t="str">
        <f t="shared" si="22"/>
        <v>AA</v>
      </c>
      <c r="BE791" s="103" t="str">
        <f t="shared" si="23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4476</v>
      </c>
      <c r="D792" s="103">
        <v>1</v>
      </c>
      <c r="E792" s="103" t="s">
        <v>4432</v>
      </c>
      <c r="F792" s="104" t="s">
        <v>7747</v>
      </c>
      <c r="G792" s="112" t="s">
        <v>4330</v>
      </c>
      <c r="H792" s="112" t="s">
        <v>4331</v>
      </c>
      <c r="I792" s="142" t="s">
        <v>4343</v>
      </c>
      <c r="J792" s="150" t="s">
        <v>7748</v>
      </c>
      <c r="K792" s="150" t="s">
        <v>7749</v>
      </c>
      <c r="L792" s="150" t="s">
        <v>7750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7748</v>
      </c>
      <c r="AC792" s="150" t="s">
        <v>7749</v>
      </c>
      <c r="AD792" s="150" t="s">
        <v>7750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21"/>
        <v/>
      </c>
      <c r="BD792" s="103" t="str">
        <f t="shared" si="22"/>
        <v>AA</v>
      </c>
      <c r="BE792" s="103" t="str">
        <f t="shared" si="23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4476</v>
      </c>
      <c r="D793" s="103">
        <v>1</v>
      </c>
      <c r="E793" s="103" t="s">
        <v>4432</v>
      </c>
      <c r="F793" s="104" t="s">
        <v>7751</v>
      </c>
      <c r="G793" s="112" t="s">
        <v>4330</v>
      </c>
      <c r="H793" s="112" t="s">
        <v>4331</v>
      </c>
      <c r="I793" s="142" t="s">
        <v>4343</v>
      </c>
      <c r="J793" s="150" t="s">
        <v>7752</v>
      </c>
      <c r="K793" s="150" t="s">
        <v>7753</v>
      </c>
      <c r="L793" s="150" t="s">
        <v>7754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7752</v>
      </c>
      <c r="AC793" s="150" t="s">
        <v>7753</v>
      </c>
      <c r="AD793" s="150" t="s">
        <v>7754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21"/>
        <v/>
      </c>
      <c r="BD793" s="103" t="str">
        <f t="shared" si="22"/>
        <v>AA</v>
      </c>
      <c r="BE793" s="103" t="str">
        <f t="shared" si="23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7755</v>
      </c>
      <c r="G794" s="103" t="s">
        <v>4330</v>
      </c>
      <c r="H794" s="103" t="s">
        <v>4331</v>
      </c>
      <c r="I794" s="142" t="s">
        <v>4343</v>
      </c>
      <c r="J794" s="149" t="s">
        <v>7756</v>
      </c>
      <c r="K794" s="149" t="s">
        <v>7757</v>
      </c>
      <c r="L794" s="149" t="s">
        <v>7758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7756</v>
      </c>
      <c r="AC794" s="149" t="s">
        <v>7757</v>
      </c>
      <c r="AD794" s="149" t="s">
        <v>7758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21"/>
        <v/>
      </c>
      <c r="BD794" s="103" t="str">
        <f t="shared" si="22"/>
        <v>AA</v>
      </c>
      <c r="BE794" s="103" t="str">
        <f t="shared" si="23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4476</v>
      </c>
      <c r="D795" s="103">
        <v>1</v>
      </c>
      <c r="E795" s="103" t="s">
        <v>4432</v>
      </c>
      <c r="F795" s="104" t="s">
        <v>7759</v>
      </c>
      <c r="G795" s="103" t="s">
        <v>4330</v>
      </c>
      <c r="H795" s="103" t="s">
        <v>4331</v>
      </c>
      <c r="I795" s="142" t="s">
        <v>4343</v>
      </c>
      <c r="J795" s="150" t="s">
        <v>7760</v>
      </c>
      <c r="K795" s="150" t="s">
        <v>7761</v>
      </c>
      <c r="L795" s="150" t="s">
        <v>7762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7760</v>
      </c>
      <c r="AC795" s="150" t="s">
        <v>7761</v>
      </c>
      <c r="AD795" s="150" t="s">
        <v>7762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21"/>
        <v/>
      </c>
      <c r="BD795" s="103" t="str">
        <f t="shared" si="22"/>
        <v>AA</v>
      </c>
      <c r="BE795" s="103" t="str">
        <f t="shared" si="23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4476</v>
      </c>
      <c r="D796" s="103">
        <v>1</v>
      </c>
      <c r="E796" s="103" t="s">
        <v>4432</v>
      </c>
      <c r="F796" s="104" t="s">
        <v>7763</v>
      </c>
      <c r="G796" s="103" t="s">
        <v>4330</v>
      </c>
      <c r="H796" s="103" t="s">
        <v>4331</v>
      </c>
      <c r="I796" s="142" t="s">
        <v>4343</v>
      </c>
      <c r="J796" s="150" t="s">
        <v>7764</v>
      </c>
      <c r="K796" s="150" t="s">
        <v>7765</v>
      </c>
      <c r="L796" s="150" t="s">
        <v>7766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7764</v>
      </c>
      <c r="AC796" s="150" t="s">
        <v>7765</v>
      </c>
      <c r="AD796" s="150" t="s">
        <v>7766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21"/>
        <v/>
      </c>
      <c r="BD796" s="103" t="str">
        <f t="shared" si="22"/>
        <v>AA</v>
      </c>
      <c r="BE796" s="103" t="str">
        <f t="shared" si="23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4476</v>
      </c>
      <c r="D797" s="103">
        <v>1</v>
      </c>
      <c r="E797" s="103" t="s">
        <v>4432</v>
      </c>
      <c r="F797" s="104" t="s">
        <v>7767</v>
      </c>
      <c r="G797" s="112" t="s">
        <v>4330</v>
      </c>
      <c r="H797" s="112" t="s">
        <v>4331</v>
      </c>
      <c r="I797" s="142" t="s">
        <v>4343</v>
      </c>
      <c r="J797" s="150" t="s">
        <v>7768</v>
      </c>
      <c r="K797" s="150" t="s">
        <v>4457</v>
      </c>
      <c r="L797" s="150" t="s">
        <v>7769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7768</v>
      </c>
      <c r="AC797" s="150" t="s">
        <v>4457</v>
      </c>
      <c r="AD797" s="150" t="s">
        <v>7769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21"/>
        <v/>
      </c>
      <c r="BD797" s="103" t="str">
        <f t="shared" si="22"/>
        <v>AA</v>
      </c>
      <c r="BE797" s="103" t="str">
        <f t="shared" si="23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4476</v>
      </c>
      <c r="D798" s="103">
        <v>1</v>
      </c>
      <c r="E798" s="103" t="s">
        <v>4432</v>
      </c>
      <c r="F798" s="104" t="s">
        <v>7770</v>
      </c>
      <c r="G798" s="103" t="s">
        <v>4330</v>
      </c>
      <c r="H798" s="103" t="s">
        <v>4331</v>
      </c>
      <c r="I798" s="142" t="s">
        <v>4343</v>
      </c>
      <c r="J798" s="150" t="s">
        <v>7771</v>
      </c>
      <c r="K798" s="150" t="s">
        <v>7772</v>
      </c>
      <c r="L798" s="150" t="s">
        <v>7773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7771</v>
      </c>
      <c r="AC798" s="150" t="s">
        <v>7772</v>
      </c>
      <c r="AD798" s="150" t="s">
        <v>7773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21"/>
        <v/>
      </c>
      <c r="BD798" s="103" t="str">
        <f t="shared" si="22"/>
        <v>AA</v>
      </c>
      <c r="BE798" s="103" t="str">
        <f t="shared" si="23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4476</v>
      </c>
      <c r="D799" s="103">
        <v>1</v>
      </c>
      <c r="E799" s="103" t="s">
        <v>4432</v>
      </c>
      <c r="F799" s="104" t="s">
        <v>7774</v>
      </c>
      <c r="G799" s="103" t="s">
        <v>4330</v>
      </c>
      <c r="H799" s="103" t="s">
        <v>4331</v>
      </c>
      <c r="I799" s="142" t="s">
        <v>4343</v>
      </c>
      <c r="J799" s="150" t="s">
        <v>7775</v>
      </c>
      <c r="K799" s="150" t="s">
        <v>7776</v>
      </c>
      <c r="L799" s="150" t="s">
        <v>7777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7775</v>
      </c>
      <c r="AC799" s="150" t="s">
        <v>7776</v>
      </c>
      <c r="AD799" s="150" t="s">
        <v>7777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21"/>
        <v/>
      </c>
      <c r="BD799" s="103" t="str">
        <f t="shared" si="22"/>
        <v>AA</v>
      </c>
      <c r="BE799" s="103" t="str">
        <f t="shared" si="23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4476</v>
      </c>
      <c r="D800" s="103">
        <v>1</v>
      </c>
      <c r="E800" s="103" t="s">
        <v>4432</v>
      </c>
      <c r="F800" s="104" t="s">
        <v>7778</v>
      </c>
      <c r="G800" s="112" t="s">
        <v>4330</v>
      </c>
      <c r="H800" s="112" t="s">
        <v>4331</v>
      </c>
      <c r="I800" s="142" t="s">
        <v>4343</v>
      </c>
      <c r="J800" s="150" t="s">
        <v>7779</v>
      </c>
      <c r="K800" s="150" t="s">
        <v>7780</v>
      </c>
      <c r="L800" s="150" t="s">
        <v>7781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7779</v>
      </c>
      <c r="AC800" s="150" t="s">
        <v>7780</v>
      </c>
      <c r="AD800" s="150" t="s">
        <v>7781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24">IF(AY800-KD800=0,"",AY800-O800)</f>
        <v/>
      </c>
      <c r="BD800" s="103" t="str">
        <f t="shared" ref="BD800:BD808" si="25">IF(AND(AI800&lt;&gt;"SIM",AI800="UH"),"AA","INDENIZAÇÃO")</f>
        <v>AA</v>
      </c>
      <c r="BE800" s="103" t="str">
        <f t="shared" ref="BE800:BE808" si="26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4476</v>
      </c>
      <c r="D801" s="103">
        <v>1</v>
      </c>
      <c r="E801" s="103" t="s">
        <v>4432</v>
      </c>
      <c r="F801" s="104" t="s">
        <v>7782</v>
      </c>
      <c r="G801" s="112" t="s">
        <v>4330</v>
      </c>
      <c r="H801" s="112" t="s">
        <v>4331</v>
      </c>
      <c r="I801" s="142" t="s">
        <v>4343</v>
      </c>
      <c r="J801" s="150" t="s">
        <v>7783</v>
      </c>
      <c r="K801" s="150" t="s">
        <v>7784</v>
      </c>
      <c r="L801" s="150" t="s">
        <v>7785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7783</v>
      </c>
      <c r="AC801" s="150" t="s">
        <v>7784</v>
      </c>
      <c r="AD801" s="150" t="s">
        <v>7785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24"/>
        <v/>
      </c>
      <c r="BD801" s="103" t="str">
        <f t="shared" si="25"/>
        <v>AA</v>
      </c>
      <c r="BE801" s="103" t="str">
        <f t="shared" si="26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4476</v>
      </c>
      <c r="D802" s="103">
        <v>1</v>
      </c>
      <c r="E802" s="103" t="s">
        <v>4432</v>
      </c>
      <c r="F802" s="104" t="s">
        <v>7786</v>
      </c>
      <c r="G802" s="103" t="s">
        <v>4330</v>
      </c>
      <c r="H802" s="103" t="s">
        <v>4331</v>
      </c>
      <c r="I802" s="142" t="s">
        <v>4343</v>
      </c>
      <c r="J802" s="150" t="s">
        <v>7787</v>
      </c>
      <c r="K802" s="150" t="s">
        <v>7788</v>
      </c>
      <c r="L802" s="150" t="s">
        <v>7789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7787</v>
      </c>
      <c r="AC802" s="150" t="s">
        <v>7788</v>
      </c>
      <c r="AD802" s="150" t="s">
        <v>7789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24"/>
        <v/>
      </c>
      <c r="BD802" s="103" t="str">
        <f t="shared" si="25"/>
        <v>AA</v>
      </c>
      <c r="BE802" s="103" t="str">
        <f t="shared" si="26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4476</v>
      </c>
      <c r="D803" s="103">
        <v>1</v>
      </c>
      <c r="E803" s="103" t="s">
        <v>4432</v>
      </c>
      <c r="F803" s="104" t="s">
        <v>7790</v>
      </c>
      <c r="G803" s="112" t="s">
        <v>4330</v>
      </c>
      <c r="H803" s="112" t="s">
        <v>4331</v>
      </c>
      <c r="I803" s="142" t="s">
        <v>4343</v>
      </c>
      <c r="J803" s="150" t="s">
        <v>7791</v>
      </c>
      <c r="K803" s="150" t="s">
        <v>7792</v>
      </c>
      <c r="L803" s="150" t="s">
        <v>7793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7791</v>
      </c>
      <c r="AC803" s="150" t="s">
        <v>7792</v>
      </c>
      <c r="AD803" s="150" t="s">
        <v>7793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24"/>
        <v/>
      </c>
      <c r="BD803" s="103" t="str">
        <f t="shared" si="25"/>
        <v>AA</v>
      </c>
      <c r="BE803" s="103" t="str">
        <f t="shared" si="26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4476</v>
      </c>
      <c r="D804" s="103">
        <v>1</v>
      </c>
      <c r="E804" s="103" t="s">
        <v>4432</v>
      </c>
      <c r="F804" s="104" t="s">
        <v>7794</v>
      </c>
      <c r="G804" s="103" t="s">
        <v>4330</v>
      </c>
      <c r="H804" s="103" t="s">
        <v>4331</v>
      </c>
      <c r="I804" s="142" t="s">
        <v>4343</v>
      </c>
      <c r="J804" s="150" t="s">
        <v>7795</v>
      </c>
      <c r="K804" s="150" t="s">
        <v>7796</v>
      </c>
      <c r="L804" s="150" t="s">
        <v>7797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7795</v>
      </c>
      <c r="AC804" s="150" t="s">
        <v>7796</v>
      </c>
      <c r="AD804" s="150" t="s">
        <v>7797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24"/>
        <v/>
      </c>
      <c r="BD804" s="103" t="str">
        <f t="shared" si="25"/>
        <v>AA</v>
      </c>
      <c r="BE804" s="103" t="str">
        <f t="shared" si="26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4476</v>
      </c>
      <c r="D805" s="103">
        <v>1</v>
      </c>
      <c r="E805" s="103" t="s">
        <v>4432</v>
      </c>
      <c r="F805" s="104" t="s">
        <v>7798</v>
      </c>
      <c r="G805" s="112" t="s">
        <v>4330</v>
      </c>
      <c r="H805" s="112" t="s">
        <v>4331</v>
      </c>
      <c r="I805" s="142" t="s">
        <v>4343</v>
      </c>
      <c r="J805" s="150" t="s">
        <v>7799</v>
      </c>
      <c r="K805" s="150" t="s">
        <v>7800</v>
      </c>
      <c r="L805" s="150" t="s">
        <v>7801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7799</v>
      </c>
      <c r="AC805" s="150" t="s">
        <v>7800</v>
      </c>
      <c r="AD805" s="150" t="s">
        <v>7801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24"/>
        <v/>
      </c>
      <c r="BD805" s="103" t="str">
        <f t="shared" si="25"/>
        <v>AA</v>
      </c>
      <c r="BE805" s="103" t="str">
        <f t="shared" si="26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4476</v>
      </c>
      <c r="D806" s="103">
        <v>1</v>
      </c>
      <c r="E806" s="103" t="s">
        <v>4432</v>
      </c>
      <c r="F806" s="104" t="s">
        <v>7802</v>
      </c>
      <c r="G806" s="103" t="s">
        <v>4330</v>
      </c>
      <c r="H806" s="103" t="s">
        <v>4331</v>
      </c>
      <c r="I806" s="142" t="s">
        <v>4343</v>
      </c>
      <c r="J806" s="150" t="s">
        <v>7803</v>
      </c>
      <c r="K806" s="150" t="s">
        <v>4457</v>
      </c>
      <c r="L806" s="150" t="s">
        <v>7804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7803</v>
      </c>
      <c r="AC806" s="150" t="s">
        <v>4457</v>
      </c>
      <c r="AD806" s="150" t="s">
        <v>7804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24"/>
        <v/>
      </c>
      <c r="BD806" s="103" t="str">
        <f t="shared" si="25"/>
        <v>AA</v>
      </c>
      <c r="BE806" s="103" t="str">
        <f t="shared" si="26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7805</v>
      </c>
      <c r="G807" s="103" t="s">
        <v>4330</v>
      </c>
      <c r="H807" s="103" t="s">
        <v>4331</v>
      </c>
      <c r="I807" s="103" t="s">
        <v>4343</v>
      </c>
      <c r="J807" s="149" t="s">
        <v>7806</v>
      </c>
      <c r="K807" s="149" t="s">
        <v>7807</v>
      </c>
      <c r="L807" s="149" t="s">
        <v>7808</v>
      </c>
      <c r="M807" s="103" t="s">
        <v>4333</v>
      </c>
      <c r="N807" s="103" t="s">
        <v>4452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7806</v>
      </c>
      <c r="AC807" s="149" t="s">
        <v>7807</v>
      </c>
      <c r="AD807" s="149" t="s">
        <v>7808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3" t="s">
        <v>7809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4454</v>
      </c>
      <c r="AZ807" s="157"/>
      <c r="BA807" s="109" t="s">
        <v>4330</v>
      </c>
      <c r="BB807" s="112"/>
      <c r="BC807" s="220" t="e">
        <f t="shared" si="24"/>
        <v>#VALUE!</v>
      </c>
      <c r="BD807" s="103" t="str">
        <f t="shared" si="25"/>
        <v>INDENIZAÇÃO</v>
      </c>
      <c r="BE807" s="103" t="str">
        <f t="shared" si="26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797</v>
      </c>
      <c r="B808" s="103" t="s">
        <v>4431</v>
      </c>
      <c r="C808" s="103" t="s">
        <v>4476</v>
      </c>
      <c r="D808" s="103">
        <v>1</v>
      </c>
      <c r="E808" s="103" t="s">
        <v>4432</v>
      </c>
      <c r="F808" s="104" t="s">
        <v>6169</v>
      </c>
      <c r="G808" s="103" t="s">
        <v>4330</v>
      </c>
      <c r="H808" s="103" t="s">
        <v>4331</v>
      </c>
      <c r="I808" s="142" t="s">
        <v>4343</v>
      </c>
      <c r="J808" s="149" t="s">
        <v>7810</v>
      </c>
      <c r="K808" s="149" t="s">
        <v>7811</v>
      </c>
      <c r="L808" s="149" t="s">
        <v>7812</v>
      </c>
      <c r="M808" s="103" t="s">
        <v>4333</v>
      </c>
      <c r="N808" s="103" t="s">
        <v>4452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7810</v>
      </c>
      <c r="AC808" s="149" t="s">
        <v>7811</v>
      </c>
      <c r="AD808" s="149" t="s">
        <v>7812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3" t="s">
        <v>7813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4454</v>
      </c>
      <c r="AZ808" s="157"/>
      <c r="BA808" s="109" t="s">
        <v>4330</v>
      </c>
      <c r="BB808" s="136"/>
      <c r="BC808" s="220" t="e">
        <f t="shared" si="24"/>
        <v>#VALUE!</v>
      </c>
      <c r="BD808" s="103" t="str">
        <f t="shared" si="25"/>
        <v>INDENIZAÇÃO</v>
      </c>
      <c r="BE808" s="103" t="str">
        <f t="shared" si="26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27">IF(AY809-KD809=0,"",AY809-O809)</f>
        <v/>
      </c>
      <c r="BD809" s="103" t="str">
        <f t="shared" ref="BD809:BD863" si="28">IF(AND(AI809&lt;&gt;"SIM",AI809="UH"),"AA","INDENIZAÇÃO")</f>
        <v>INDENIZAÇÃO</v>
      </c>
      <c r="BE809" s="103" t="str">
        <f t="shared" ref="BE809:BE863" si="29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27"/>
        <v/>
      </c>
      <c r="BD810" s="103" t="str">
        <f t="shared" si="28"/>
        <v>INDENIZAÇÃO</v>
      </c>
      <c r="BE810" s="103" t="str">
        <f t="shared" si="29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27"/>
        <v/>
      </c>
      <c r="BD811" s="103" t="str">
        <f t="shared" si="28"/>
        <v>INDENIZAÇÃO</v>
      </c>
      <c r="BE811" s="103" t="str">
        <f t="shared" si="29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27"/>
        <v/>
      </c>
      <c r="BD812" s="103" t="str">
        <f t="shared" si="28"/>
        <v>INDENIZAÇÃO</v>
      </c>
      <c r="BE812" s="103" t="str">
        <f t="shared" si="29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27"/>
        <v/>
      </c>
      <c r="BD813" s="103" t="str">
        <f t="shared" si="28"/>
        <v>INDENIZAÇÃO</v>
      </c>
      <c r="BE813" s="103" t="str">
        <f t="shared" si="29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27"/>
        <v/>
      </c>
      <c r="BD814" s="103" t="str">
        <f t="shared" si="28"/>
        <v>INDENIZAÇÃO</v>
      </c>
      <c r="BE814" s="103" t="str">
        <f t="shared" si="29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27"/>
        <v/>
      </c>
      <c r="BD815" s="103" t="str">
        <f t="shared" si="28"/>
        <v>INDENIZAÇÃO</v>
      </c>
      <c r="BE815" s="103" t="str">
        <f t="shared" si="29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27"/>
        <v/>
      </c>
      <c r="BD816" s="103" t="str">
        <f t="shared" si="28"/>
        <v>INDENIZAÇÃO</v>
      </c>
      <c r="BE816" s="103" t="str">
        <f t="shared" si="29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27"/>
        <v/>
      </c>
      <c r="BD817" s="103" t="str">
        <f t="shared" si="28"/>
        <v>INDENIZAÇÃO</v>
      </c>
      <c r="BE817" s="103" t="str">
        <f t="shared" si="29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27"/>
        <v/>
      </c>
      <c r="BD818" s="103" t="str">
        <f t="shared" si="28"/>
        <v>INDENIZAÇÃO</v>
      </c>
      <c r="BE818" s="103" t="str">
        <f t="shared" si="29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27"/>
        <v/>
      </c>
      <c r="BD819" s="103" t="str">
        <f t="shared" si="28"/>
        <v>INDENIZAÇÃO</v>
      </c>
      <c r="BE819" s="103" t="str">
        <f t="shared" si="29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27"/>
        <v/>
      </c>
      <c r="BD820" s="103" t="str">
        <f t="shared" si="28"/>
        <v>INDENIZAÇÃO</v>
      </c>
      <c r="BE820" s="103" t="str">
        <f t="shared" si="29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27"/>
        <v/>
      </c>
      <c r="BD821" s="103" t="str">
        <f t="shared" si="28"/>
        <v>INDENIZAÇÃO</v>
      </c>
      <c r="BE821" s="103" t="str">
        <f t="shared" si="29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27"/>
        <v/>
      </c>
      <c r="BD822" s="103" t="str">
        <f t="shared" si="28"/>
        <v>INDENIZAÇÃO</v>
      </c>
      <c r="BE822" s="103" t="str">
        <f t="shared" si="29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27"/>
        <v/>
      </c>
      <c r="BD823" s="103" t="str">
        <f t="shared" si="28"/>
        <v>INDENIZAÇÃO</v>
      </c>
      <c r="BE823" s="103" t="str">
        <f t="shared" si="29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27"/>
        <v/>
      </c>
      <c r="BD824" s="103" t="str">
        <f t="shared" si="28"/>
        <v>INDENIZAÇÃO</v>
      </c>
      <c r="BE824" s="103" t="str">
        <f t="shared" si="29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27"/>
        <v/>
      </c>
      <c r="BD825" s="103" t="str">
        <f t="shared" si="28"/>
        <v>INDENIZAÇÃO</v>
      </c>
      <c r="BE825" s="103" t="str">
        <f t="shared" si="29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27"/>
        <v/>
      </c>
      <c r="BD826" s="103" t="str">
        <f t="shared" si="28"/>
        <v>INDENIZAÇÃO</v>
      </c>
      <c r="BE826" s="103" t="str">
        <f t="shared" si="29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27"/>
        <v/>
      </c>
      <c r="BD827" s="103" t="str">
        <f t="shared" si="28"/>
        <v>INDENIZAÇÃO</v>
      </c>
      <c r="BE827" s="103" t="str">
        <f t="shared" si="29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27"/>
        <v/>
      </c>
      <c r="BD828" s="103" t="str">
        <f t="shared" si="28"/>
        <v>INDENIZAÇÃO</v>
      </c>
      <c r="BE828" s="103" t="str">
        <f t="shared" si="29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27"/>
        <v/>
      </c>
      <c r="BD829" s="103" t="str">
        <f t="shared" si="28"/>
        <v>INDENIZAÇÃO</v>
      </c>
      <c r="BE829" s="103" t="str">
        <f t="shared" si="29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27"/>
        <v/>
      </c>
      <c r="BD830" s="103" t="str">
        <f t="shared" si="28"/>
        <v>INDENIZAÇÃO</v>
      </c>
      <c r="BE830" s="103" t="str">
        <f t="shared" si="29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27"/>
        <v/>
      </c>
      <c r="BD831" s="103" t="str">
        <f t="shared" si="28"/>
        <v>INDENIZAÇÃO</v>
      </c>
      <c r="BE831" s="103" t="str">
        <f t="shared" si="29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27"/>
        <v/>
      </c>
      <c r="BD832" s="103" t="str">
        <f t="shared" si="28"/>
        <v>INDENIZAÇÃO</v>
      </c>
      <c r="BE832" s="103" t="str">
        <f t="shared" si="29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27"/>
        <v/>
      </c>
      <c r="BD833" s="103" t="str">
        <f t="shared" si="28"/>
        <v>INDENIZAÇÃO</v>
      </c>
      <c r="BE833" s="103" t="str">
        <f t="shared" si="29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27"/>
        <v/>
      </c>
      <c r="BD834" s="103" t="str">
        <f t="shared" si="28"/>
        <v>INDENIZAÇÃO</v>
      </c>
      <c r="BE834" s="103" t="str">
        <f t="shared" si="29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27"/>
        <v/>
      </c>
      <c r="BD835" s="103" t="str">
        <f t="shared" si="28"/>
        <v>INDENIZAÇÃO</v>
      </c>
      <c r="BE835" s="103" t="str">
        <f t="shared" si="29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27"/>
        <v/>
      </c>
      <c r="BD836" s="103" t="str">
        <f t="shared" si="28"/>
        <v>INDENIZAÇÃO</v>
      </c>
      <c r="BE836" s="103" t="str">
        <f t="shared" si="29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27"/>
        <v/>
      </c>
      <c r="BD837" s="103" t="str">
        <f t="shared" si="28"/>
        <v>INDENIZAÇÃO</v>
      </c>
      <c r="BE837" s="103" t="str">
        <f t="shared" si="29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27"/>
        <v/>
      </c>
      <c r="BD838" s="103" t="str">
        <f t="shared" si="28"/>
        <v>INDENIZAÇÃO</v>
      </c>
      <c r="BE838" s="103" t="str">
        <f t="shared" si="29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27"/>
        <v/>
      </c>
      <c r="BD839" s="103" t="str">
        <f t="shared" si="28"/>
        <v>INDENIZAÇÃO</v>
      </c>
      <c r="BE839" s="103" t="str">
        <f t="shared" si="29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27"/>
        <v/>
      </c>
      <c r="BD840" s="103" t="str">
        <f t="shared" si="28"/>
        <v>INDENIZAÇÃO</v>
      </c>
      <c r="BE840" s="103" t="str">
        <f t="shared" si="29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27"/>
        <v/>
      </c>
      <c r="BD841" s="103" t="str">
        <f t="shared" si="28"/>
        <v>INDENIZAÇÃO</v>
      </c>
      <c r="BE841" s="103" t="str">
        <f t="shared" si="29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27"/>
        <v/>
      </c>
      <c r="BD842" s="103" t="str">
        <f t="shared" si="28"/>
        <v>INDENIZAÇÃO</v>
      </c>
      <c r="BE842" s="103" t="str">
        <f t="shared" si="29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27"/>
        <v/>
      </c>
      <c r="BD843" s="103" t="str">
        <f t="shared" si="28"/>
        <v>INDENIZAÇÃO</v>
      </c>
      <c r="BE843" s="103" t="str">
        <f t="shared" si="29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27"/>
        <v/>
      </c>
      <c r="BD844" s="103" t="str">
        <f t="shared" si="28"/>
        <v>INDENIZAÇÃO</v>
      </c>
      <c r="BE844" s="103" t="str">
        <f t="shared" si="29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27"/>
        <v/>
      </c>
      <c r="BD845" s="103" t="str">
        <f t="shared" si="28"/>
        <v>INDENIZAÇÃO</v>
      </c>
      <c r="BE845" s="103" t="str">
        <f t="shared" si="29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27"/>
        <v/>
      </c>
      <c r="BD846" s="103" t="str">
        <f t="shared" si="28"/>
        <v>INDENIZAÇÃO</v>
      </c>
      <c r="BE846" s="103" t="str">
        <f t="shared" si="29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27"/>
        <v/>
      </c>
      <c r="BD847" s="103" t="str">
        <f t="shared" si="28"/>
        <v>INDENIZAÇÃO</v>
      </c>
      <c r="BE847" s="103" t="str">
        <f t="shared" si="29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27"/>
        <v/>
      </c>
      <c r="BD848" s="103" t="str">
        <f t="shared" si="28"/>
        <v>INDENIZAÇÃO</v>
      </c>
      <c r="BE848" s="103" t="str">
        <f t="shared" si="29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27"/>
        <v/>
      </c>
      <c r="BD849" s="103" t="str">
        <f t="shared" si="28"/>
        <v>INDENIZAÇÃO</v>
      </c>
      <c r="BE849" s="103" t="str">
        <f t="shared" si="29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27"/>
        <v/>
      </c>
      <c r="BD850" s="103" t="str">
        <f t="shared" si="28"/>
        <v>INDENIZAÇÃO</v>
      </c>
      <c r="BE850" s="103" t="str">
        <f t="shared" si="29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27"/>
        <v/>
      </c>
      <c r="BD851" s="103" t="str">
        <f t="shared" si="28"/>
        <v>INDENIZAÇÃO</v>
      </c>
      <c r="BE851" s="103" t="str">
        <f t="shared" si="29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27"/>
        <v/>
      </c>
      <c r="BD852" s="103" t="str">
        <f t="shared" si="28"/>
        <v>INDENIZAÇÃO</v>
      </c>
      <c r="BE852" s="103" t="str">
        <f t="shared" si="29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27"/>
        <v/>
      </c>
      <c r="BD853" s="103" t="str">
        <f t="shared" si="28"/>
        <v>INDENIZAÇÃO</v>
      </c>
      <c r="BE853" s="103" t="str">
        <f t="shared" si="29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27"/>
        <v/>
      </c>
      <c r="BD854" s="103" t="str">
        <f t="shared" si="28"/>
        <v>INDENIZAÇÃO</v>
      </c>
      <c r="BE854" s="103" t="str">
        <f t="shared" si="29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27"/>
        <v/>
      </c>
      <c r="BD855" s="103" t="str">
        <f t="shared" si="28"/>
        <v>INDENIZAÇÃO</v>
      </c>
      <c r="BE855" s="103" t="str">
        <f t="shared" si="29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27"/>
        <v/>
      </c>
      <c r="BD856" s="103" t="str">
        <f t="shared" si="28"/>
        <v>INDENIZAÇÃO</v>
      </c>
      <c r="BE856" s="103" t="str">
        <f t="shared" si="29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27"/>
        <v/>
      </c>
      <c r="BD857" s="103" t="str">
        <f t="shared" si="28"/>
        <v>INDENIZAÇÃO</v>
      </c>
      <c r="BE857" s="103" t="str">
        <f t="shared" si="29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27"/>
        <v/>
      </c>
      <c r="BD858" s="103" t="str">
        <f t="shared" si="28"/>
        <v>INDENIZAÇÃO</v>
      </c>
      <c r="BE858" s="103" t="str">
        <f t="shared" si="29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27"/>
        <v/>
      </c>
      <c r="BD859" s="103" t="str">
        <f t="shared" si="28"/>
        <v>INDENIZAÇÃO</v>
      </c>
      <c r="BE859" s="103" t="str">
        <f t="shared" si="29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27"/>
        <v/>
      </c>
      <c r="BD860" s="103" t="str">
        <f t="shared" si="28"/>
        <v>INDENIZAÇÃO</v>
      </c>
      <c r="BE860" s="103" t="str">
        <f t="shared" si="29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27"/>
        <v/>
      </c>
      <c r="BD861" s="103" t="str">
        <f t="shared" si="28"/>
        <v>INDENIZAÇÃO</v>
      </c>
      <c r="BE861" s="103" t="str">
        <f t="shared" si="29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27"/>
        <v/>
      </c>
      <c r="BD862" s="103" t="str">
        <f t="shared" si="28"/>
        <v>INDENIZAÇÃO</v>
      </c>
      <c r="BE862" s="103" t="str">
        <f t="shared" si="29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27"/>
        <v/>
      </c>
      <c r="BD863" s="103" t="str">
        <f t="shared" si="28"/>
        <v>INDENIZAÇÃO</v>
      </c>
      <c r="BE863" s="103" t="str">
        <f t="shared" si="29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30">IF(AY864-KD864=0,"",AY864-O864)</f>
        <v/>
      </c>
      <c r="BD864" s="103" t="str">
        <f t="shared" ref="BD864:BD869" si="31">IF(AND(AI864&lt;&gt;"SIM",AI864="UH"),"AA","INDENIZAÇÃO")</f>
        <v>INDENIZAÇÃO</v>
      </c>
      <c r="BE864" s="103" t="str">
        <f t="shared" ref="BE864:BE869" si="32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30"/>
        <v/>
      </c>
      <c r="BD865" s="103" t="str">
        <f t="shared" si="31"/>
        <v>INDENIZAÇÃO</v>
      </c>
      <c r="BE865" s="103" t="str">
        <f t="shared" si="32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30"/>
        <v/>
      </c>
      <c r="BD866" s="103" t="str">
        <f t="shared" si="31"/>
        <v>INDENIZAÇÃO</v>
      </c>
      <c r="BE866" s="103" t="str">
        <f t="shared" si="32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30"/>
        <v/>
      </c>
      <c r="BD867" s="103" t="str">
        <f t="shared" si="31"/>
        <v>INDENIZAÇÃO</v>
      </c>
      <c r="BE867" s="103" t="str">
        <f t="shared" si="32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30"/>
        <v/>
      </c>
      <c r="BD868" s="103" t="str">
        <f t="shared" si="31"/>
        <v>INDENIZAÇÃO</v>
      </c>
      <c r="BE868" s="103" t="str">
        <f t="shared" si="32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30"/>
        <v/>
      </c>
      <c r="BD869" s="103" t="str">
        <f t="shared" si="31"/>
        <v>INDENIZAÇÃO</v>
      </c>
      <c r="BE869" s="103" t="str">
        <f t="shared" si="32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7">
      <filters>
        <filter val="AGUARDANDO"/>
      </filters>
    </filterColumn>
    <sortState xmlns:xlrd2="http://schemas.microsoft.com/office/spreadsheetml/2017/richdata2" ref="B100:BM594">
      <sortCondition ref="AB9:AB983"/>
    </sortState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285" priority="1597"/>
    <cfRule type="duplicateValues" dxfId="284" priority="1601"/>
  </conditionalFormatting>
  <conditionalFormatting sqref="F875:F1048576 F1:F9 F716:F873">
    <cfRule type="duplicateValues" dxfId="283" priority="1607"/>
  </conditionalFormatting>
  <conditionalFormatting sqref="F875:F1048576 F1:F873">
    <cfRule type="duplicateValues" dxfId="282" priority="1187"/>
  </conditionalFormatting>
  <conditionalFormatting sqref="F875:F1048576 F716:F873">
    <cfRule type="duplicateValues" dxfId="281" priority="1605"/>
  </conditionalFormatting>
  <conditionalFormatting sqref="I695:I696">
    <cfRule type="containsText" dxfId="280" priority="340" operator="containsText" text="NÃO RESIDENTE">
      <formula>NOT(ISERROR(SEARCH("NÃO RESIDENTE",I695)))</formula>
    </cfRule>
  </conditionalFormatting>
  <conditionalFormatting sqref="J20">
    <cfRule type="duplicateValues" dxfId="279" priority="627"/>
  </conditionalFormatting>
  <conditionalFormatting sqref="J231:J232 J167">
    <cfRule type="duplicateValues" dxfId="278" priority="741"/>
  </conditionalFormatting>
  <conditionalFormatting sqref="J796:J808">
    <cfRule type="duplicateValues" dxfId="277" priority="3084"/>
  </conditionalFormatting>
  <conditionalFormatting sqref="J875:J1048576 J765 J570:J582 J1:J7 J9 J792:J793 J809:J873">
    <cfRule type="duplicateValues" dxfId="276" priority="1610"/>
  </conditionalFormatting>
  <conditionalFormatting sqref="J771:K773">
    <cfRule type="duplicateValues" dxfId="275" priority="345"/>
  </conditionalFormatting>
  <conditionalFormatting sqref="J766:L767">
    <cfRule type="duplicateValues" dxfId="274" priority="359"/>
  </conditionalFormatting>
  <conditionalFormatting sqref="J768:L768 J770:L770 J769 L769">
    <cfRule type="duplicateValues" dxfId="273" priority="353"/>
  </conditionalFormatting>
  <conditionalFormatting sqref="J794:L794">
    <cfRule type="duplicateValues" dxfId="272" priority="338"/>
  </conditionalFormatting>
  <conditionalFormatting sqref="J795:L795">
    <cfRule type="duplicateValues" dxfId="271" priority="337"/>
  </conditionalFormatting>
  <conditionalFormatting sqref="K769">
    <cfRule type="duplicateValues" dxfId="270" priority="350"/>
  </conditionalFormatting>
  <conditionalFormatting sqref="K792:L793">
    <cfRule type="duplicateValues" dxfId="269" priority="339"/>
  </conditionalFormatting>
  <conditionalFormatting sqref="K796:L796">
    <cfRule type="duplicateValues" dxfId="268" priority="335"/>
  </conditionalFormatting>
  <conditionalFormatting sqref="K797:L797">
    <cfRule type="duplicateValues" dxfId="267" priority="334"/>
  </conditionalFormatting>
  <conditionalFormatting sqref="K798:L798">
    <cfRule type="duplicateValues" dxfId="266" priority="333"/>
  </conditionalFormatting>
  <conditionalFormatting sqref="K799:L799">
    <cfRule type="duplicateValues" dxfId="265" priority="332"/>
  </conditionalFormatting>
  <conditionalFormatting sqref="K800:L800">
    <cfRule type="duplicateValues" dxfId="264" priority="331"/>
  </conditionalFormatting>
  <conditionalFormatting sqref="K801:L801">
    <cfRule type="duplicateValues" dxfId="263" priority="330"/>
  </conditionalFormatting>
  <conditionalFormatting sqref="K802:L802">
    <cfRule type="duplicateValues" dxfId="262" priority="329"/>
  </conditionalFormatting>
  <conditionalFormatting sqref="K803:L803">
    <cfRule type="duplicateValues" dxfId="261" priority="328"/>
  </conditionalFormatting>
  <conditionalFormatting sqref="K804:L804">
    <cfRule type="duplicateValues" dxfId="260" priority="327"/>
  </conditionalFormatting>
  <conditionalFormatting sqref="K805:L805">
    <cfRule type="duplicateValues" dxfId="259" priority="326"/>
  </conditionalFormatting>
  <conditionalFormatting sqref="K806:L806">
    <cfRule type="duplicateValues" dxfId="258" priority="325"/>
  </conditionalFormatting>
  <conditionalFormatting sqref="K807:L807">
    <cfRule type="duplicateValues" dxfId="257" priority="323"/>
  </conditionalFormatting>
  <conditionalFormatting sqref="K808:L808">
    <cfRule type="duplicateValues" dxfId="256" priority="322"/>
  </conditionalFormatting>
  <conditionalFormatting sqref="L20">
    <cfRule type="duplicateValues" dxfId="255" priority="626"/>
  </conditionalFormatting>
  <conditionalFormatting sqref="L395">
    <cfRule type="duplicateValues" dxfId="254" priority="184"/>
    <cfRule type="duplicateValues" dxfId="253" priority="183"/>
  </conditionalFormatting>
  <conditionalFormatting sqref="L499">
    <cfRule type="duplicateValues" dxfId="252" priority="181"/>
    <cfRule type="duplicateValues" dxfId="251" priority="182"/>
  </conditionalFormatting>
  <conditionalFormatting sqref="L771:L773">
    <cfRule type="duplicateValues" dxfId="250" priority="344"/>
  </conditionalFormatting>
  <conditionalFormatting sqref="AB20">
    <cfRule type="duplicateValues" dxfId="249" priority="171"/>
  </conditionalFormatting>
  <conditionalFormatting sqref="AB167">
    <cfRule type="duplicateValues" dxfId="248" priority="163"/>
  </conditionalFormatting>
  <conditionalFormatting sqref="AB570">
    <cfRule type="duplicateValues" dxfId="247" priority="153"/>
  </conditionalFormatting>
  <conditionalFormatting sqref="AB572">
    <cfRule type="duplicateValues" dxfId="246" priority="152"/>
  </conditionalFormatting>
  <conditionalFormatting sqref="AB573">
    <cfRule type="duplicateValues" dxfId="245" priority="151"/>
  </conditionalFormatting>
  <conditionalFormatting sqref="AB574">
    <cfRule type="duplicateValues" dxfId="244" priority="231"/>
  </conditionalFormatting>
  <conditionalFormatting sqref="AB575">
    <cfRule type="duplicateValues" dxfId="243" priority="1"/>
  </conditionalFormatting>
  <conditionalFormatting sqref="AB576:AB577">
    <cfRule type="duplicateValues" dxfId="242" priority="150"/>
  </conditionalFormatting>
  <conditionalFormatting sqref="AB578">
    <cfRule type="duplicateValues" dxfId="241" priority="149"/>
  </conditionalFormatting>
  <conditionalFormatting sqref="AB579">
    <cfRule type="duplicateValues" dxfId="240" priority="148"/>
  </conditionalFormatting>
  <conditionalFormatting sqref="AB581:AB582">
    <cfRule type="duplicateValues" dxfId="239" priority="147"/>
  </conditionalFormatting>
  <conditionalFormatting sqref="AB765">
    <cfRule type="duplicateValues" dxfId="238" priority="146"/>
  </conditionalFormatting>
  <conditionalFormatting sqref="AB767">
    <cfRule type="duplicateValues" dxfId="237" priority="145"/>
  </conditionalFormatting>
  <conditionalFormatting sqref="AB768:AB770">
    <cfRule type="duplicateValues" dxfId="236" priority="144"/>
  </conditionalFormatting>
  <conditionalFormatting sqref="AB771">
    <cfRule type="duplicateValues" dxfId="235" priority="143"/>
  </conditionalFormatting>
  <conditionalFormatting sqref="AB772:AB773">
    <cfRule type="duplicateValues" dxfId="234" priority="137"/>
  </conditionalFormatting>
  <conditionalFormatting sqref="AB792:AB793">
    <cfRule type="duplicateValues" dxfId="233" priority="134"/>
  </conditionalFormatting>
  <conditionalFormatting sqref="AB794">
    <cfRule type="duplicateValues" dxfId="232" priority="133"/>
  </conditionalFormatting>
  <conditionalFormatting sqref="AB795">
    <cfRule type="duplicateValues" dxfId="231" priority="129"/>
  </conditionalFormatting>
  <conditionalFormatting sqref="AB796:AB800">
    <cfRule type="duplicateValues" dxfId="230" priority="130"/>
  </conditionalFormatting>
  <conditionalFormatting sqref="AB801:AB806">
    <cfRule type="duplicateValues" dxfId="229" priority="122"/>
  </conditionalFormatting>
  <conditionalFormatting sqref="AC769">
    <cfRule type="duplicateValues" dxfId="228" priority="140"/>
  </conditionalFormatting>
  <conditionalFormatting sqref="AC771">
    <cfRule type="duplicateValues" dxfId="227" priority="139"/>
  </conditionalFormatting>
  <conditionalFormatting sqref="AC772:AC773">
    <cfRule type="duplicateValues" dxfId="226" priority="136"/>
  </conditionalFormatting>
  <conditionalFormatting sqref="AC767:AD767">
    <cfRule type="duplicateValues" dxfId="225" priority="142"/>
  </conditionalFormatting>
  <conditionalFormatting sqref="AC768:AD768 AC770:AD770 AD769">
    <cfRule type="duplicateValues" dxfId="224" priority="141"/>
  </conditionalFormatting>
  <conditionalFormatting sqref="AC792:AD793">
    <cfRule type="duplicateValues" dxfId="223" priority="132"/>
  </conditionalFormatting>
  <conditionalFormatting sqref="AC794:AD794">
    <cfRule type="duplicateValues" dxfId="222" priority="131"/>
  </conditionalFormatting>
  <conditionalFormatting sqref="AC795:AD795">
    <cfRule type="duplicateValues" dxfId="221" priority="128"/>
  </conditionalFormatting>
  <conditionalFormatting sqref="AC796:AD796">
    <cfRule type="duplicateValues" dxfId="220" priority="127"/>
  </conditionalFormatting>
  <conditionalFormatting sqref="AC797:AD797">
    <cfRule type="duplicateValues" dxfId="219" priority="126"/>
  </conditionalFormatting>
  <conditionalFormatting sqref="AC798:AD798">
    <cfRule type="duplicateValues" dxfId="218" priority="125"/>
  </conditionalFormatting>
  <conditionalFormatting sqref="AC799:AD799">
    <cfRule type="duplicateValues" dxfId="217" priority="124"/>
  </conditionalFormatting>
  <conditionalFormatting sqref="AC800:AD800">
    <cfRule type="duplicateValues" dxfId="216" priority="123"/>
  </conditionalFormatting>
  <conditionalFormatting sqref="AC801:AD801">
    <cfRule type="duplicateValues" dxfId="215" priority="121"/>
  </conditionalFormatting>
  <conditionalFormatting sqref="AC802:AD802">
    <cfRule type="duplicateValues" dxfId="214" priority="120"/>
  </conditionalFormatting>
  <conditionalFormatting sqref="AC803:AD803">
    <cfRule type="duplicateValues" dxfId="213" priority="119"/>
  </conditionalFormatting>
  <conditionalFormatting sqref="AC804:AD804">
    <cfRule type="duplicateValues" dxfId="212" priority="118"/>
  </conditionalFormatting>
  <conditionalFormatting sqref="AC805:AD805">
    <cfRule type="duplicateValues" dxfId="211" priority="117"/>
  </conditionalFormatting>
  <conditionalFormatting sqref="AC806:AD806">
    <cfRule type="duplicateValues" dxfId="210" priority="116"/>
  </conditionalFormatting>
  <conditionalFormatting sqref="AC875:AD1048576 AC1:AD9 AC807:AD873">
    <cfRule type="duplicateValues" dxfId="209" priority="1186"/>
  </conditionalFormatting>
  <conditionalFormatting sqref="AD20">
    <cfRule type="duplicateValues" dxfId="208" priority="170"/>
  </conditionalFormatting>
  <conditionalFormatting sqref="AD167">
    <cfRule type="duplicateValues" dxfId="207" priority="162"/>
  </conditionalFormatting>
  <conditionalFormatting sqref="AD499">
    <cfRule type="duplicateValues" dxfId="206" priority="155"/>
    <cfRule type="duplicateValues" dxfId="205" priority="154"/>
  </conditionalFormatting>
  <conditionalFormatting sqref="AD771">
    <cfRule type="duplicateValues" dxfId="204" priority="138"/>
  </conditionalFormatting>
  <conditionalFormatting sqref="AD772:AD773">
    <cfRule type="duplicateValues" dxfId="203" priority="135"/>
  </conditionalFormatting>
  <conditionalFormatting sqref="AD875:AD1048576 L167 AD1:AD9 AD807:AD873">
    <cfRule type="duplicateValues" dxfId="202" priority="740"/>
  </conditionalFormatting>
  <conditionalFormatting sqref="AE1:AF8 AE9 AE807:AF873 AE875:AF1048576">
    <cfRule type="containsText" dxfId="201" priority="1316" operator="containsText" text="NÃO RESIDENTE">
      <formula>NOT(ISERROR(SEARCH("NÃO RESIDENTE",AE1)))</formula>
    </cfRule>
  </conditionalFormatting>
  <conditionalFormatting sqref="AG8:AI8">
    <cfRule type="containsText" dxfId="200" priority="560" operator="containsText" text="NÃO RESIDENTE">
      <formula>NOT(ISERROR(SEARCH("NÃO RESIDENTE",AG8)))</formula>
    </cfRule>
  </conditionalFormatting>
  <conditionalFormatting sqref="AP10">
    <cfRule type="duplicateValues" dxfId="199" priority="746"/>
  </conditionalFormatting>
  <conditionalFormatting sqref="AP11">
    <cfRule type="duplicateValues" dxfId="198" priority="747"/>
  </conditionalFormatting>
  <conditionalFormatting sqref="AP12:AP137">
    <cfRule type="duplicateValues" dxfId="197" priority="1253"/>
  </conditionalFormatting>
  <conditionalFormatting sqref="AP14">
    <cfRule type="duplicateValues" dxfId="196" priority="435"/>
  </conditionalFormatting>
  <conditionalFormatting sqref="AP20">
    <cfRule type="duplicateValues" dxfId="195" priority="604"/>
  </conditionalFormatting>
  <conditionalFormatting sqref="AP22">
    <cfRule type="duplicateValues" dxfId="194" priority="419"/>
  </conditionalFormatting>
  <conditionalFormatting sqref="AP25">
    <cfRule type="duplicateValues" dxfId="193" priority="418"/>
  </conditionalFormatting>
  <conditionalFormatting sqref="AP30">
    <cfRule type="duplicateValues" dxfId="192" priority="603"/>
  </conditionalFormatting>
  <conditionalFormatting sqref="AP35:AP36">
    <cfRule type="duplicateValues" dxfId="191" priority="629"/>
  </conditionalFormatting>
  <conditionalFormatting sqref="AP37">
    <cfRule type="duplicateValues" dxfId="190" priority="602"/>
  </conditionalFormatting>
  <conditionalFormatting sqref="AP39">
    <cfRule type="duplicateValues" dxfId="189" priority="417"/>
  </conditionalFormatting>
  <conditionalFormatting sqref="AP42">
    <cfRule type="duplicateValues" dxfId="188" priority="600"/>
  </conditionalFormatting>
  <conditionalFormatting sqref="AP44">
    <cfRule type="duplicateValues" dxfId="187" priority="450"/>
  </conditionalFormatting>
  <conditionalFormatting sqref="AP49">
    <cfRule type="duplicateValues" dxfId="186" priority="303"/>
  </conditionalFormatting>
  <conditionalFormatting sqref="AP53">
    <cfRule type="duplicateValues" dxfId="185" priority="415"/>
  </conditionalFormatting>
  <conditionalFormatting sqref="AP61:AP62">
    <cfRule type="duplicateValues" dxfId="184" priority="1237"/>
  </conditionalFormatting>
  <conditionalFormatting sqref="AP63">
    <cfRule type="duplicateValues" dxfId="183" priority="1232"/>
  </conditionalFormatting>
  <conditionalFormatting sqref="AP64">
    <cfRule type="duplicateValues" dxfId="182" priority="1252"/>
  </conditionalFormatting>
  <conditionalFormatting sqref="AP66">
    <cfRule type="duplicateValues" dxfId="181" priority="640"/>
  </conditionalFormatting>
  <conditionalFormatting sqref="AP68:AP69">
    <cfRule type="duplicateValues" dxfId="180" priority="1251"/>
  </conditionalFormatting>
  <conditionalFormatting sqref="AP70">
    <cfRule type="duplicateValues" dxfId="179" priority="414"/>
  </conditionalFormatting>
  <conditionalFormatting sqref="AP72">
    <cfRule type="duplicateValues" dxfId="178" priority="638"/>
  </conditionalFormatting>
  <conditionalFormatting sqref="AP74">
    <cfRule type="duplicateValues" dxfId="177" priority="1200"/>
  </conditionalFormatting>
  <conditionalFormatting sqref="AP74:AP77">
    <cfRule type="duplicateValues" dxfId="176" priority="1236"/>
  </conditionalFormatting>
  <conditionalFormatting sqref="AP75">
    <cfRule type="duplicateValues" dxfId="175" priority="1201"/>
  </conditionalFormatting>
  <conditionalFormatting sqref="AP76">
    <cfRule type="duplicateValues" dxfId="174" priority="1202"/>
  </conditionalFormatting>
  <conditionalFormatting sqref="AP83">
    <cfRule type="duplicateValues" dxfId="173" priority="639"/>
  </conditionalFormatting>
  <conditionalFormatting sqref="AP84:AP100 AP102">
    <cfRule type="duplicateValues" dxfId="172" priority="1788"/>
  </conditionalFormatting>
  <conditionalFormatting sqref="AP101">
    <cfRule type="duplicateValues" dxfId="171" priority="3"/>
  </conditionalFormatting>
  <conditionalFormatting sqref="AP103">
    <cfRule type="duplicateValues" dxfId="170" priority="413"/>
  </conditionalFormatting>
  <conditionalFormatting sqref="AP104">
    <cfRule type="duplicateValues" dxfId="169" priority="745"/>
  </conditionalFormatting>
  <conditionalFormatting sqref="AP106">
    <cfRule type="duplicateValues" dxfId="168" priority="628"/>
  </conditionalFormatting>
  <conditionalFormatting sqref="AP107">
    <cfRule type="duplicateValues" dxfId="167" priority="412"/>
  </conditionalFormatting>
  <conditionalFormatting sqref="AP109">
    <cfRule type="duplicateValues" dxfId="166" priority="599"/>
  </conditionalFormatting>
  <conditionalFormatting sqref="AP110">
    <cfRule type="duplicateValues" dxfId="165" priority="631"/>
  </conditionalFormatting>
  <conditionalFormatting sqref="AP111">
    <cfRule type="duplicateValues" dxfId="164" priority="598"/>
  </conditionalFormatting>
  <conditionalFormatting sqref="AP113">
    <cfRule type="duplicateValues" dxfId="163" priority="1250"/>
  </conditionalFormatting>
  <conditionalFormatting sqref="AP114">
    <cfRule type="duplicateValues" dxfId="162" priority="597"/>
  </conditionalFormatting>
  <conditionalFormatting sqref="AP115:AP116">
    <cfRule type="duplicateValues" dxfId="161" priority="411"/>
  </conditionalFormatting>
  <conditionalFormatting sqref="AP118">
    <cfRule type="duplicateValues" dxfId="160" priority="410"/>
  </conditionalFormatting>
  <conditionalFormatting sqref="AP119">
    <cfRule type="duplicateValues" dxfId="159" priority="595"/>
    <cfRule type="duplicateValues" dxfId="158" priority="449"/>
  </conditionalFormatting>
  <conditionalFormatting sqref="AP120">
    <cfRule type="duplicateValues" dxfId="157" priority="14"/>
  </conditionalFormatting>
  <conditionalFormatting sqref="AP121:AP125">
    <cfRule type="duplicateValues" dxfId="156" priority="594"/>
  </conditionalFormatting>
  <conditionalFormatting sqref="AP123">
    <cfRule type="duplicateValues" dxfId="155" priority="1194"/>
    <cfRule type="duplicateValues" dxfId="154" priority="2073"/>
  </conditionalFormatting>
  <conditionalFormatting sqref="AP125">
    <cfRule type="duplicateValues" dxfId="153" priority="43"/>
    <cfRule type="duplicateValues" dxfId="152" priority="44"/>
  </conditionalFormatting>
  <conditionalFormatting sqref="AP126 AP128">
    <cfRule type="duplicateValues" dxfId="151" priority="630"/>
  </conditionalFormatting>
  <conditionalFormatting sqref="AP127">
    <cfRule type="duplicateValues" dxfId="150" priority="15"/>
  </conditionalFormatting>
  <conditionalFormatting sqref="AP129">
    <cfRule type="duplicateValues" dxfId="149" priority="408"/>
  </conditionalFormatting>
  <conditionalFormatting sqref="AP130">
    <cfRule type="duplicateValues" dxfId="148" priority="60"/>
  </conditionalFormatting>
  <conditionalFormatting sqref="AP131">
    <cfRule type="duplicateValues" dxfId="147" priority="61"/>
  </conditionalFormatting>
  <conditionalFormatting sqref="AP132">
    <cfRule type="duplicateValues" dxfId="146" priority="405"/>
  </conditionalFormatting>
  <conditionalFormatting sqref="AP133 AP135">
    <cfRule type="duplicateValues" dxfId="145" priority="321"/>
  </conditionalFormatting>
  <conditionalFormatting sqref="AP134">
    <cfRule type="duplicateValues" dxfId="144" priority="28"/>
  </conditionalFormatting>
  <conditionalFormatting sqref="AP148">
    <cfRule type="duplicateValues" dxfId="143" priority="12"/>
    <cfRule type="duplicateValues" dxfId="142" priority="13"/>
  </conditionalFormatting>
  <conditionalFormatting sqref="AP169">
    <cfRule type="duplicateValues" dxfId="141" priority="27"/>
    <cfRule type="duplicateValues" dxfId="140" priority="26"/>
  </conditionalFormatting>
  <conditionalFormatting sqref="AP171">
    <cfRule type="duplicateValues" dxfId="139" priority="16"/>
    <cfRule type="duplicateValues" dxfId="138" priority="17"/>
  </conditionalFormatting>
  <conditionalFormatting sqref="AP174">
    <cfRule type="duplicateValues" dxfId="137" priority="6"/>
    <cfRule type="duplicateValues" dxfId="136" priority="7"/>
  </conditionalFormatting>
  <conditionalFormatting sqref="AP187">
    <cfRule type="duplicateValues" dxfId="135" priority="19"/>
    <cfRule type="duplicateValues" dxfId="134" priority="18"/>
  </conditionalFormatting>
  <conditionalFormatting sqref="AP329">
    <cfRule type="duplicateValues" dxfId="133" priority="20"/>
    <cfRule type="duplicateValues" dxfId="132" priority="21"/>
  </conditionalFormatting>
  <conditionalFormatting sqref="AP407">
    <cfRule type="duplicateValues" dxfId="131" priority="5"/>
    <cfRule type="duplicateValues" dxfId="130" priority="4"/>
  </conditionalFormatting>
  <conditionalFormatting sqref="AP476">
    <cfRule type="duplicateValues" dxfId="129" priority="10"/>
    <cfRule type="duplicateValues" dxfId="128" priority="11"/>
  </conditionalFormatting>
  <conditionalFormatting sqref="AP479">
    <cfRule type="duplicateValues" dxfId="127" priority="25"/>
    <cfRule type="duplicateValues" dxfId="126" priority="24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25" priority="1255"/>
  </conditionalFormatting>
  <conditionalFormatting sqref="AP492:AP1048576 AP1:AP490">
    <cfRule type="duplicateValues" dxfId="124" priority="1195"/>
    <cfRule type="duplicateValues" dxfId="123" priority="739"/>
  </conditionalFormatting>
  <conditionalFormatting sqref="AP523">
    <cfRule type="duplicateValues" dxfId="122" priority="23"/>
    <cfRule type="duplicateValues" dxfId="121" priority="22"/>
  </conditionalFormatting>
  <conditionalFormatting sqref="AP551">
    <cfRule type="duplicateValues" dxfId="120" priority="8"/>
    <cfRule type="duplicateValues" dxfId="119" priority="9"/>
  </conditionalFormatting>
  <conditionalFormatting sqref="AP940:AP1048576 AP1:AP9 AP78:AP81 AP40:AP41 AP65 AP16:AP19 AP67 AP73 AP21 AP31:AP35 AP117 AP23:AP24 AP26:AP29 AP54:AP60 AP43:AP52 AP70:AP71 AP121:AP122">
    <cfRule type="duplicateValues" dxfId="118" priority="1304"/>
  </conditionalFormatting>
  <conditionalFormatting sqref="AQ112">
    <cfRule type="duplicateValues" dxfId="117" priority="320"/>
  </conditionalFormatting>
  <conditionalFormatting sqref="AR112">
    <cfRule type="duplicateValues" dxfId="116" priority="319"/>
  </conditionalFormatting>
  <conditionalFormatting sqref="AS112">
    <cfRule type="duplicateValues" dxfId="115" priority="318"/>
  </conditionalFormatting>
  <conditionalFormatting sqref="AT112">
    <cfRule type="duplicateValues" dxfId="114" priority="317"/>
  </conditionalFormatting>
  <conditionalFormatting sqref="AU112">
    <cfRule type="duplicateValues" dxfId="113" priority="316"/>
  </conditionalFormatting>
  <conditionalFormatting sqref="AV112">
    <cfRule type="duplicateValues" dxfId="112" priority="315"/>
  </conditionalFormatting>
  <conditionalFormatting sqref="AV183:AW183">
    <cfRule type="cellIs" dxfId="111" priority="100" operator="between">
      <formula>36526</formula>
      <formula>402133</formula>
    </cfRule>
  </conditionalFormatting>
  <conditionalFormatting sqref="AV671:AW671">
    <cfRule type="cellIs" dxfId="110" priority="84" operator="between">
      <formula>36526</formula>
      <formula>402133</formula>
    </cfRule>
  </conditionalFormatting>
  <conditionalFormatting sqref="AV680:AW680">
    <cfRule type="cellIs" dxfId="109" priority="81" operator="between">
      <formula>36526</formula>
      <formula>402133</formula>
    </cfRule>
  </conditionalFormatting>
  <conditionalFormatting sqref="AV715:AW715">
    <cfRule type="cellIs" dxfId="108" priority="78" operator="between">
      <formula>36526</formula>
      <formula>402133</formula>
    </cfRule>
  </conditionalFormatting>
  <conditionalFormatting sqref="AV725:AW725 AY809:AY1048576">
    <cfRule type="cellIs" dxfId="107" priority="74" operator="between">
      <formula>36526</formula>
      <formula>402133</formula>
    </cfRule>
  </conditionalFormatting>
  <conditionalFormatting sqref="AW112">
    <cfRule type="duplicateValues" dxfId="106" priority="314"/>
  </conditionalFormatting>
  <conditionalFormatting sqref="AW458:AX458">
    <cfRule type="cellIs" dxfId="105" priority="610" operator="between">
      <formula>36526</formula>
      <formula>402133</formula>
    </cfRule>
  </conditionalFormatting>
  <conditionalFormatting sqref="AX112">
    <cfRule type="duplicateValues" dxfId="104" priority="313"/>
  </conditionalFormatting>
  <conditionalFormatting sqref="AY1:AY99 AY160:AY174 AY176:AY300 AY302:AY383 AY385:AY386 AY388:AY405 AY407:AY414 AY419:AY420 AY422:AY441 AY443:AY463 AY465 AY467:AY468 AY470:AY482 AY484:AY487 AY489:AY552 AY554:AY563 AY565:AY586 AY588:AY806 AY101:AY158">
    <cfRule type="cellIs" dxfId="103" priority="50" operator="between">
      <formula>36526</formula>
      <formula>402133</formula>
    </cfRule>
  </conditionalFormatting>
  <conditionalFormatting sqref="AY159">
    <cfRule type="cellIs" dxfId="102" priority="45" operator="greaterThan">
      <formula>43831</formula>
    </cfRule>
  </conditionalFormatting>
  <conditionalFormatting sqref="AY483">
    <cfRule type="cellIs" dxfId="101" priority="46" operator="greaterThan">
      <formula>43831</formula>
    </cfRule>
  </conditionalFormatting>
  <conditionalFormatting sqref="AY417:AZ417">
    <cfRule type="cellIs" dxfId="100" priority="33" operator="between">
      <formula>36526</formula>
      <formula>402133</formula>
    </cfRule>
  </conditionalFormatting>
  <conditionalFormatting sqref="AZ35">
    <cfRule type="cellIs" dxfId="99" priority="570" operator="between">
      <formula>36526</formula>
      <formula>402133</formula>
    </cfRule>
  </conditionalFormatting>
  <conditionalFormatting sqref="AZ37">
    <cfRule type="cellIs" dxfId="98" priority="528" operator="between">
      <formula>36526</formula>
      <formula>402133</formula>
    </cfRule>
  </conditionalFormatting>
  <conditionalFormatting sqref="AZ42">
    <cfRule type="cellIs" dxfId="97" priority="526" operator="between">
      <formula>36526</formula>
      <formula>402133</formula>
    </cfRule>
  </conditionalFormatting>
  <conditionalFormatting sqref="AZ47">
    <cfRule type="cellIs" dxfId="96" priority="223" operator="between">
      <formula>36526</formula>
      <formula>402133</formula>
    </cfRule>
  </conditionalFormatting>
  <conditionalFormatting sqref="AZ50">
    <cfRule type="cellIs" dxfId="95" priority="107" operator="between">
      <formula>36526</formula>
      <formula>402133</formula>
    </cfRule>
  </conditionalFormatting>
  <conditionalFormatting sqref="AZ54">
    <cfRule type="cellIs" dxfId="94" priority="221" operator="between">
      <formula>36526</formula>
      <formula>402133</formula>
    </cfRule>
  </conditionalFormatting>
  <conditionalFormatting sqref="AZ101">
    <cfRule type="cellIs" dxfId="93" priority="41" operator="between">
      <formula>36526</formula>
      <formula>402133</formula>
    </cfRule>
  </conditionalFormatting>
  <conditionalFormatting sqref="AZ107">
    <cfRule type="cellIs" dxfId="92" priority="220" operator="between">
      <formula>36526</formula>
      <formula>402133</formula>
    </cfRule>
  </conditionalFormatting>
  <conditionalFormatting sqref="AZ114">
    <cfRule type="cellIs" dxfId="91" priority="219" operator="between">
      <formula>36526</formula>
      <formula>402133</formula>
    </cfRule>
  </conditionalFormatting>
  <conditionalFormatting sqref="AZ116">
    <cfRule type="cellIs" dxfId="90" priority="58" operator="between">
      <formula>36526</formula>
      <formula>402133</formula>
    </cfRule>
  </conditionalFormatting>
  <conditionalFormatting sqref="AZ128:AZ129">
    <cfRule type="cellIs" dxfId="89" priority="218" operator="between">
      <formula>36526</formula>
      <formula>402133</formula>
    </cfRule>
  </conditionalFormatting>
  <conditionalFormatting sqref="AZ134 AZ136">
    <cfRule type="cellIs" dxfId="88" priority="37" operator="between">
      <formula>36526</formula>
      <formula>402133</formula>
    </cfRule>
  </conditionalFormatting>
  <conditionalFormatting sqref="AZ139:AZ140">
    <cfRule type="cellIs" dxfId="87" priority="217" operator="between">
      <formula>36526</formula>
      <formula>402133</formula>
    </cfRule>
  </conditionalFormatting>
  <conditionalFormatting sqref="AZ144">
    <cfRule type="cellIs" dxfId="86" priority="105" operator="between">
      <formula>36526</formula>
      <formula>402133</formula>
    </cfRule>
  </conditionalFormatting>
  <conditionalFormatting sqref="AZ148">
    <cfRule type="cellIs" dxfId="85" priority="48" operator="between">
      <formula>36526</formula>
      <formula>402133</formula>
    </cfRule>
  </conditionalFormatting>
  <conditionalFormatting sqref="AZ150">
    <cfRule type="cellIs" dxfId="84" priority="216" operator="between">
      <formula>36526</formula>
      <formula>402133</formula>
    </cfRule>
  </conditionalFormatting>
  <conditionalFormatting sqref="AZ152:AZ156">
    <cfRule type="cellIs" dxfId="83" priority="57" operator="between">
      <formula>36526</formula>
      <formula>402133</formula>
    </cfRule>
  </conditionalFormatting>
  <conditionalFormatting sqref="AZ160">
    <cfRule type="cellIs" dxfId="82" priority="40" operator="between">
      <formula>36526</formula>
      <formula>402133</formula>
    </cfRule>
  </conditionalFormatting>
  <conditionalFormatting sqref="AZ162">
    <cfRule type="cellIs" dxfId="81" priority="56" operator="between">
      <formula>36526</formula>
      <formula>402133</formula>
    </cfRule>
  </conditionalFormatting>
  <conditionalFormatting sqref="AZ166">
    <cfRule type="cellIs" dxfId="80" priority="39" operator="between">
      <formula>36526</formula>
      <formula>402133</formula>
    </cfRule>
  </conditionalFormatting>
  <conditionalFormatting sqref="AZ171">
    <cfRule type="cellIs" dxfId="79" priority="30" operator="between">
      <formula>36526</formula>
      <formula>402133</formula>
    </cfRule>
  </conditionalFormatting>
  <conditionalFormatting sqref="AZ173">
    <cfRule type="cellIs" dxfId="78" priority="519" operator="between">
      <formula>36526</formula>
      <formula>402133</formula>
    </cfRule>
  </conditionalFormatting>
  <conditionalFormatting sqref="AZ178:AZ180">
    <cfRule type="cellIs" dxfId="77" priority="103" operator="between">
      <formula>36526</formula>
      <formula>402133</formula>
    </cfRule>
  </conditionalFormatting>
  <conditionalFormatting sqref="AZ185:AZ186">
    <cfRule type="cellIs" dxfId="76" priority="36" operator="between">
      <formula>36526</formula>
      <formula>402133</formula>
    </cfRule>
  </conditionalFormatting>
  <conditionalFormatting sqref="AZ209">
    <cfRule type="cellIs" dxfId="75" priority="2" operator="between">
      <formula>36526</formula>
      <formula>402133</formula>
    </cfRule>
  </conditionalFormatting>
  <conditionalFormatting sqref="AZ219">
    <cfRule type="cellIs" dxfId="74" priority="202" operator="between">
      <formula>36526</formula>
      <formula>402133</formula>
    </cfRule>
  </conditionalFormatting>
  <conditionalFormatting sqref="AZ223">
    <cfRule type="cellIs" dxfId="73" priority="94" operator="between">
      <formula>36526</formula>
      <formula>402133</formula>
    </cfRule>
  </conditionalFormatting>
  <conditionalFormatting sqref="AZ227">
    <cfRule type="cellIs" dxfId="72" priority="54" operator="between">
      <formula>36526</formula>
      <formula>402133</formula>
    </cfRule>
  </conditionalFormatting>
  <conditionalFormatting sqref="AZ243:AZ244">
    <cfRule type="cellIs" dxfId="71" priority="199" operator="between">
      <formula>36526</formula>
      <formula>402133</formula>
    </cfRule>
  </conditionalFormatting>
  <conditionalFormatting sqref="AZ261">
    <cfRule type="cellIs" dxfId="70" priority="654" operator="between">
      <formula>36526</formula>
      <formula>402133</formula>
    </cfRule>
  </conditionalFormatting>
  <conditionalFormatting sqref="AZ265">
    <cfRule type="cellIs" dxfId="69" priority="53" operator="between">
      <formula>36526</formula>
      <formula>402133</formula>
    </cfRule>
  </conditionalFormatting>
  <conditionalFormatting sqref="AZ267">
    <cfRule type="cellIs" dxfId="68" priority="198" operator="between">
      <formula>36526</formula>
      <formula>402133</formula>
    </cfRule>
  </conditionalFormatting>
  <conditionalFormatting sqref="AZ269">
    <cfRule type="cellIs" dxfId="67" priority="197" operator="between">
      <formula>36526</formula>
      <formula>402133</formula>
    </cfRule>
  </conditionalFormatting>
  <conditionalFormatting sqref="AZ271">
    <cfRule type="cellIs" dxfId="66" priority="52" operator="between">
      <formula>36526</formula>
      <formula>402133</formula>
    </cfRule>
  </conditionalFormatting>
  <conditionalFormatting sqref="AZ276">
    <cfRule type="cellIs" dxfId="65" priority="196" operator="between">
      <formula>36526</formula>
      <formula>402133</formula>
    </cfRule>
  </conditionalFormatting>
  <conditionalFormatting sqref="AZ278">
    <cfRule type="cellIs" dxfId="64" priority="195" operator="between">
      <formula>36526</formula>
      <formula>402133</formula>
    </cfRule>
  </conditionalFormatting>
  <conditionalFormatting sqref="AZ282">
    <cfRule type="cellIs" dxfId="63" priority="650" operator="between">
      <formula>36526</formula>
      <formula>402133</formula>
    </cfRule>
  </conditionalFormatting>
  <conditionalFormatting sqref="AZ329">
    <cfRule type="cellIs" dxfId="62" priority="194" operator="between">
      <formula>36526</formula>
      <formula>402133</formula>
    </cfRule>
  </conditionalFormatting>
  <conditionalFormatting sqref="AZ332:AZ333">
    <cfRule type="cellIs" dxfId="61" priority="29" operator="between">
      <formula>36526</formula>
      <formula>402133</formula>
    </cfRule>
  </conditionalFormatting>
  <conditionalFormatting sqref="AZ336">
    <cfRule type="cellIs" dxfId="60" priority="507" operator="between">
      <formula>36526</formula>
      <formula>402133</formula>
    </cfRule>
  </conditionalFormatting>
  <conditionalFormatting sqref="AZ344">
    <cfRule type="cellIs" dxfId="59" priority="506" operator="between">
      <formula>36526</formula>
      <formula>402133</formula>
    </cfRule>
  </conditionalFormatting>
  <conditionalFormatting sqref="AZ350">
    <cfRule type="cellIs" dxfId="58" priority="501" operator="between">
      <formula>36526</formula>
      <formula>402133</formula>
    </cfRule>
  </conditionalFormatting>
  <conditionalFormatting sqref="AZ364">
    <cfRule type="cellIs" dxfId="57" priority="502" operator="between">
      <formula>36526</formula>
      <formula>402133</formula>
    </cfRule>
  </conditionalFormatting>
  <conditionalFormatting sqref="AZ367">
    <cfRule type="cellIs" dxfId="56" priority="192" operator="between">
      <formula>36526</formula>
      <formula>402133</formula>
    </cfRule>
  </conditionalFormatting>
  <conditionalFormatting sqref="AZ371:AZ372">
    <cfRule type="cellIs" dxfId="55" priority="191" operator="between">
      <formula>36526</formula>
      <formula>402133</formula>
    </cfRule>
  </conditionalFormatting>
  <conditionalFormatting sqref="AZ376">
    <cfRule type="cellIs" dxfId="54" priority="190" operator="between">
      <formula>36526</formula>
      <formula>402133</formula>
    </cfRule>
  </conditionalFormatting>
  <conditionalFormatting sqref="AZ381">
    <cfRule type="cellIs" dxfId="53" priority="189" operator="between">
      <formula>36526</formula>
      <formula>402133</formula>
    </cfRule>
  </conditionalFormatting>
  <conditionalFormatting sqref="AZ389">
    <cfRule type="cellIs" dxfId="52" priority="35" operator="between">
      <formula>36526</formula>
      <formula>402133</formula>
    </cfRule>
  </conditionalFormatting>
  <conditionalFormatting sqref="AZ408">
    <cfRule type="cellIs" dxfId="51" priority="34" operator="between">
      <formula>36526</formula>
      <formula>402133</formula>
    </cfRule>
  </conditionalFormatting>
  <conditionalFormatting sqref="AZ413:AZ414">
    <cfRule type="cellIs" dxfId="50" priority="188" operator="between">
      <formula>36526</formula>
      <formula>402133</formula>
    </cfRule>
  </conditionalFormatting>
  <conditionalFormatting sqref="AZ426:AZ427">
    <cfRule type="cellIs" dxfId="49" priority="187" operator="between">
      <formula>36526</formula>
      <formula>402133</formula>
    </cfRule>
  </conditionalFormatting>
  <conditionalFormatting sqref="AZ434">
    <cfRule type="cellIs" dxfId="48" priority="503" operator="between">
      <formula>36526</formula>
      <formula>402133</formula>
    </cfRule>
  </conditionalFormatting>
  <conditionalFormatting sqref="AZ489">
    <cfRule type="cellIs" dxfId="47" priority="32" operator="between">
      <formula>36526</formula>
      <formula>402133</formula>
    </cfRule>
  </conditionalFormatting>
  <conditionalFormatting sqref="AZ514">
    <cfRule type="cellIs" dxfId="46" priority="51" operator="between">
      <formula>36526</formula>
      <formula>402133</formula>
    </cfRule>
  </conditionalFormatting>
  <conditionalFormatting sqref="AZ565">
    <cfRule type="cellIs" dxfId="45" priority="31" operator="between">
      <formula>36526</formula>
      <formula>402133</formula>
    </cfRule>
  </conditionalFormatting>
  <conditionalFormatting sqref="AZ641:AZ642">
    <cfRule type="cellIs" dxfId="44" priority="88" operator="between">
      <formula>36526</formula>
      <formula>402133</formula>
    </cfRule>
  </conditionalFormatting>
  <conditionalFormatting sqref="AZ649">
    <cfRule type="cellIs" dxfId="43" priority="87" operator="between">
      <formula>36526</formula>
      <formula>402133</formula>
    </cfRule>
  </conditionalFormatting>
  <conditionalFormatting sqref="AZ654">
    <cfRule type="cellIs" dxfId="42" priority="86" operator="between">
      <formula>36526</formula>
      <formula>402133</formula>
    </cfRule>
  </conditionalFormatting>
  <conditionalFormatting sqref="AZ659">
    <cfRule type="cellIs" dxfId="41" priority="85" operator="between">
      <formula>36526</formula>
      <formula>402133</formula>
    </cfRule>
  </conditionalFormatting>
  <conditionalFormatting sqref="AZ679">
    <cfRule type="cellIs" dxfId="40" priority="83" operator="between">
      <formula>36526</formula>
      <formula>402133</formula>
    </cfRule>
  </conditionalFormatting>
  <conditionalFormatting sqref="AZ696">
    <cfRule type="cellIs" dxfId="39" priority="80" operator="between">
      <formula>36526</formula>
      <formula>402133</formula>
    </cfRule>
  </conditionalFormatting>
  <conditionalFormatting sqref="AZ716:AZ717">
    <cfRule type="cellIs" dxfId="38" priority="77" operator="between">
      <formula>36526</formula>
      <formula>402133</formula>
    </cfRule>
  </conditionalFormatting>
  <conditionalFormatting sqref="AZ723">
    <cfRule type="cellIs" dxfId="37" priority="76" operator="between">
      <formula>36526</formula>
      <formula>402133</formula>
    </cfRule>
  </conditionalFormatting>
  <conditionalFormatting sqref="BB1:BB873 BB875:BB1048576">
    <cfRule type="containsText" dxfId="36" priority="1398" operator="containsText" text="FINALIZADO">
      <formula>NOT(ISERROR(SEARCH("FINALIZADO",BB1)))</formula>
    </cfRule>
  </conditionalFormatting>
  <conditionalFormatting sqref="BD1:BD873">
    <cfRule type="cellIs" dxfId="35" priority="173" operator="equal">
      <formula>"AA"</formula>
    </cfRule>
    <cfRule type="cellIs" dxfId="34" priority="172" operator="equal">
      <formula>"INDENIZAÇÃO"</formula>
    </cfRule>
  </conditionalFormatting>
  <conditionalFormatting sqref="BD10:BD869">
    <cfRule type="cellIs" dxfId="33" priority="174" operator="equal">
      <formula>"FINALIZADO"</formula>
    </cfRule>
  </conditionalFormatting>
  <conditionalFormatting sqref="BD875:BD1048576">
    <cfRule type="cellIs" dxfId="32" priority="1371" operator="equal">
      <formula>"INDENIZAÇÃO"</formula>
    </cfRule>
    <cfRule type="cellIs" dxfId="31" priority="1372" operator="equal">
      <formula>"AA"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94:AY595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Q551:AW551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X326:AX357 AW21 AY107:AZ115 AY566:AZ568 BJ136:BL136 BI164:BL165 AT293:AT300 AQ222:AR229 AT236:AT240 AS238:AS240 AQ267:AS267 AS291:AS302 AQ476:AS477 BJ88:BL89 BJ91:BL93 BJ172:BL173 BI191:BL193 AQ594:AQ595 AQ410:AR410 AQ466 AU148:AU149 AR417:AR419 AT160:AT161 AQ321:AV321 AR14:AX14 AX20:AX24 AU13:AW13 AW70:AW100 AT219:AZ219 AQ258:AZ258 AV252:AZ257 AQ315:AX315 AX359:AX367 AQ368:AX368 AR171:AR172 AY515:AY517 AY519:AY523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W443:AX463 AT378:AT398 AU417:AU423 AV410:AV414 AU409:AU414 AU385:AY389 AY470:AY482 AQ113:AR118 AQ120:AR129 AR100:AR111 AQ168:AQ173 AZ101:AZ102 AT163:AY163 AS121:AT125 AU466:AY469 AR133:AR135 AZ134 AT475:AV477 AY276:AZ357 AS133:AS147 AY162:AZ162 AU160:AV162 AS164:AX168 AS71:AS105 AT207:AZ207 AR169 AS126:AY126 AS184:AS188 AU133:AY143 AQ400:AR407 AU120:AZ125 AV185:AV197 AS467:AS470 AT473 AQ479:AS480 AZ136:AZ146 AY544:AY552 AQ119:AY119 AU377:AU384 AV377:AV383 AS587:AY587 AV384:AY384 AS406:AV407 AU415:AY416 AV417:AY418 AX470:AX484 AU127:AZ132 AZ10:AZ24 AY164:AY174 AZ409:AZ491 AW409:AY414 AS464:AY465 AZ544:AZ564 AQ807:AY808 AW169:AX174 AA389:AA391 AT322:AX325 AW102:AW103 BC10:BC869 AT70:AT106 AT133:AT137 AT169:AT181 AT144:AY147 AW327:AW357 AS594:AW594 AT524 AT185:AU199 AU70:AV103 AU169:AV175 AW185:AZ199 AT329:AV331 AW390:AY407 AS433:AV433 AS456:AV456 AT479:AV481 AU472:AV474 AQ523:AW523 AX550:AX551 AV550:AW550 AW470:AW482 AY419:AY463 AW419:AX441 AX70:AY103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60:AM462 AM433:AM435 AM439:AM441 AM443:AM445 AM448 AM450:AM452 AM455:AM458 AM375:AM388 AM479:AM490 AM472:AM477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594:AN600 AN433:AN435 AN439:AN441 AN443:AN445 AN448 AN450:AN452 AN455:AN458 AN126:AN317 AN479:AN490 AN472:AN477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2:AL477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6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7814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4476</v>
      </c>
      <c r="C6" s="241" t="s">
        <v>6328</v>
      </c>
      <c r="D6" s="255" t="s">
        <v>6332</v>
      </c>
      <c r="E6" s="243">
        <v>46234</v>
      </c>
    </row>
    <row r="7" spans="1:5" ht="20.25" customHeight="1" x14ac:dyDescent="0.25">
      <c r="A7" s="241" t="s">
        <v>4431</v>
      </c>
      <c r="B7" s="241" t="s">
        <v>4439</v>
      </c>
      <c r="C7" s="241" t="s">
        <v>4844</v>
      </c>
      <c r="D7" s="247" t="s">
        <v>4848</v>
      </c>
      <c r="E7" s="243">
        <v>46233</v>
      </c>
    </row>
    <row r="8" spans="1:5" ht="20.25" customHeight="1" x14ac:dyDescent="0.25">
      <c r="A8" s="241" t="s">
        <v>4431</v>
      </c>
      <c r="B8" s="241" t="s">
        <v>4439</v>
      </c>
      <c r="C8" s="241" t="s">
        <v>4913</v>
      </c>
      <c r="D8" s="242" t="s">
        <v>4917</v>
      </c>
      <c r="E8" s="243">
        <v>46233</v>
      </c>
    </row>
    <row r="9" spans="1:5" ht="20.25" customHeight="1" x14ac:dyDescent="0.25">
      <c r="A9" s="241" t="s">
        <v>4431</v>
      </c>
      <c r="B9" s="241" t="s">
        <v>4439</v>
      </c>
      <c r="C9" s="241" t="s">
        <v>4950</v>
      </c>
      <c r="D9" s="242" t="s">
        <v>4951</v>
      </c>
      <c r="E9" s="243">
        <v>46233</v>
      </c>
    </row>
    <row r="10" spans="1:5" ht="20.25" customHeight="1" x14ac:dyDescent="0.25">
      <c r="A10" s="241" t="s">
        <v>4431</v>
      </c>
      <c r="B10" s="241" t="s">
        <v>4439</v>
      </c>
      <c r="C10" s="241" t="s">
        <v>4988</v>
      </c>
      <c r="D10" s="247" t="s">
        <v>4989</v>
      </c>
      <c r="E10" s="243">
        <v>46233</v>
      </c>
    </row>
    <row r="11" spans="1:5" ht="20.25" customHeight="1" x14ac:dyDescent="0.25">
      <c r="A11" s="241" t="s">
        <v>4431</v>
      </c>
      <c r="B11" s="241" t="s">
        <v>4439</v>
      </c>
      <c r="C11" s="241" t="s">
        <v>4998</v>
      </c>
      <c r="D11" s="247" t="s">
        <v>4999</v>
      </c>
      <c r="E11" s="243">
        <v>46233</v>
      </c>
    </row>
    <row r="12" spans="1:5" ht="20.25" customHeight="1" x14ac:dyDescent="0.25">
      <c r="A12" s="241" t="s">
        <v>4431</v>
      </c>
      <c r="B12" s="241" t="s">
        <v>4439</v>
      </c>
      <c r="C12" s="241" t="s">
        <v>5052</v>
      </c>
      <c r="D12" s="242" t="s">
        <v>5056</v>
      </c>
      <c r="E12" s="243">
        <v>46233</v>
      </c>
    </row>
    <row r="13" spans="1:5" ht="20.25" customHeight="1" x14ac:dyDescent="0.25">
      <c r="A13" s="241" t="s">
        <v>4431</v>
      </c>
      <c r="B13" s="241" t="s">
        <v>4439</v>
      </c>
      <c r="C13" s="241" t="s">
        <v>5160</v>
      </c>
      <c r="D13" s="242" t="s">
        <v>5164</v>
      </c>
      <c r="E13" s="243">
        <v>46233</v>
      </c>
    </row>
    <row r="14" spans="1:5" ht="20.25" customHeight="1" x14ac:dyDescent="0.25">
      <c r="A14" s="241" t="s">
        <v>4431</v>
      </c>
      <c r="B14" s="241" t="s">
        <v>4439</v>
      </c>
      <c r="C14" s="241" t="s">
        <v>5128</v>
      </c>
      <c r="D14" s="242" t="s">
        <v>5174</v>
      </c>
      <c r="E14" s="243">
        <v>46233</v>
      </c>
    </row>
    <row r="15" spans="1:5" ht="20.25" customHeight="1" x14ac:dyDescent="0.25">
      <c r="A15" s="241" t="s">
        <v>4431</v>
      </c>
      <c r="B15" s="241" t="s">
        <v>4439</v>
      </c>
      <c r="C15" s="241" t="s">
        <v>5188</v>
      </c>
      <c r="D15" s="242" t="s">
        <v>5189</v>
      </c>
      <c r="E15" s="243">
        <v>46233</v>
      </c>
    </row>
    <row r="16" spans="1:5" ht="20.25" customHeight="1" x14ac:dyDescent="0.25">
      <c r="A16" s="241" t="s">
        <v>4431</v>
      </c>
      <c r="B16" s="241" t="s">
        <v>4439</v>
      </c>
      <c r="C16" s="241" t="s">
        <v>5250</v>
      </c>
      <c r="D16" s="242" t="s">
        <v>5251</v>
      </c>
      <c r="E16" s="243">
        <v>46233</v>
      </c>
    </row>
    <row r="17" spans="1:5" ht="20.25" customHeight="1" x14ac:dyDescent="0.25">
      <c r="A17" s="241" t="s">
        <v>4431</v>
      </c>
      <c r="B17" s="241" t="s">
        <v>4476</v>
      </c>
      <c r="C17" s="241" t="s">
        <v>4487</v>
      </c>
      <c r="D17" s="291" t="s">
        <v>5291</v>
      </c>
      <c r="E17" s="243">
        <v>46233</v>
      </c>
    </row>
    <row r="18" spans="1:5" ht="20.25" customHeight="1" x14ac:dyDescent="0.25">
      <c r="A18" s="241" t="s">
        <v>4431</v>
      </c>
      <c r="B18" s="241" t="s">
        <v>4439</v>
      </c>
      <c r="C18" s="241" t="s">
        <v>5743</v>
      </c>
      <c r="D18" s="242" t="s">
        <v>5846</v>
      </c>
      <c r="E18" s="243">
        <v>46233</v>
      </c>
    </row>
    <row r="19" spans="1:5" ht="20.25" customHeight="1" x14ac:dyDescent="0.25">
      <c r="A19" s="241" t="s">
        <v>4431</v>
      </c>
      <c r="B19" s="241" t="s">
        <v>4439</v>
      </c>
      <c r="C19" s="241" t="s">
        <v>6182</v>
      </c>
      <c r="D19" s="242" t="s">
        <v>6186</v>
      </c>
      <c r="E19" s="243">
        <v>46233</v>
      </c>
    </row>
    <row r="20" spans="1:5" ht="20.25" customHeight="1" x14ac:dyDescent="0.25">
      <c r="A20" s="241" t="s">
        <v>4431</v>
      </c>
      <c r="B20" s="241" t="s">
        <v>4476</v>
      </c>
      <c r="C20" s="241" t="s">
        <v>6293</v>
      </c>
      <c r="D20" s="242" t="s">
        <v>6294</v>
      </c>
      <c r="E20" s="243">
        <v>46233</v>
      </c>
    </row>
    <row r="21" spans="1:5" ht="20.25" customHeight="1" x14ac:dyDescent="0.25">
      <c r="A21" s="241" t="s">
        <v>4431</v>
      </c>
      <c r="B21" s="241" t="s">
        <v>4439</v>
      </c>
      <c r="C21" s="241" t="s">
        <v>6387</v>
      </c>
      <c r="D21" s="274" t="s">
        <v>6391</v>
      </c>
      <c r="E21" s="243">
        <v>46233</v>
      </c>
    </row>
    <row r="22" spans="1:5" ht="20.25" customHeight="1" x14ac:dyDescent="0.25">
      <c r="A22" s="241" t="s">
        <v>4431</v>
      </c>
      <c r="B22" s="241" t="s">
        <v>4476</v>
      </c>
      <c r="C22" s="241" t="s">
        <v>6402</v>
      </c>
      <c r="D22" s="242" t="s">
        <v>6403</v>
      </c>
      <c r="E22" s="243">
        <v>46233</v>
      </c>
    </row>
    <row r="23" spans="1:5" ht="20.25" customHeight="1" x14ac:dyDescent="0.25">
      <c r="A23" s="241" t="s">
        <v>4431</v>
      </c>
      <c r="B23" s="241" t="s">
        <v>4439</v>
      </c>
      <c r="C23" s="241" t="s">
        <v>6433</v>
      </c>
      <c r="D23" s="242" t="s">
        <v>6437</v>
      </c>
      <c r="E23" s="243">
        <v>46233</v>
      </c>
    </row>
    <row r="24" spans="1:5" ht="20.25" customHeight="1" x14ac:dyDescent="0.25">
      <c r="A24" s="241" t="s">
        <v>4431</v>
      </c>
      <c r="B24" s="241" t="s">
        <v>4439</v>
      </c>
      <c r="C24" s="241" t="s">
        <v>6458</v>
      </c>
      <c r="D24" s="242" t="s">
        <v>6462</v>
      </c>
      <c r="E24" s="243">
        <v>46233</v>
      </c>
    </row>
    <row r="25" spans="1:5" ht="20.25" customHeight="1" x14ac:dyDescent="0.25">
      <c r="A25" s="241" t="s">
        <v>4431</v>
      </c>
      <c r="B25" s="241" t="s">
        <v>4439</v>
      </c>
      <c r="C25" s="241" t="s">
        <v>6471</v>
      </c>
      <c r="D25" s="242" t="s">
        <v>6472</v>
      </c>
      <c r="E25" s="243">
        <v>46233</v>
      </c>
    </row>
    <row r="26" spans="1:5" ht="20.25" customHeight="1" x14ac:dyDescent="0.25">
      <c r="A26" s="241" t="s">
        <v>4431</v>
      </c>
      <c r="B26" s="241" t="s">
        <v>4439</v>
      </c>
      <c r="C26" s="241" t="s">
        <v>6483</v>
      </c>
      <c r="D26" s="242" t="s">
        <v>6484</v>
      </c>
      <c r="E26" s="243">
        <v>46233</v>
      </c>
    </row>
    <row r="27" spans="1:5" ht="20.25" customHeight="1" x14ac:dyDescent="0.25">
      <c r="A27" s="241" t="s">
        <v>4431</v>
      </c>
      <c r="B27" s="241" t="s">
        <v>4439</v>
      </c>
      <c r="C27" s="241" t="s">
        <v>6666</v>
      </c>
      <c r="D27" s="242" t="s">
        <v>6667</v>
      </c>
      <c r="E27" s="243">
        <v>46233</v>
      </c>
    </row>
    <row r="28" spans="1:5" ht="20.25" customHeight="1" x14ac:dyDescent="0.25">
      <c r="A28" s="241" t="s">
        <v>4431</v>
      </c>
      <c r="B28" s="241" t="s">
        <v>4439</v>
      </c>
      <c r="C28" s="241" t="s">
        <v>6763</v>
      </c>
      <c r="D28" s="242" t="s">
        <v>6767</v>
      </c>
      <c r="E28" s="243">
        <v>46233</v>
      </c>
    </row>
    <row r="29" spans="1:5" ht="20.25" customHeight="1" x14ac:dyDescent="0.25">
      <c r="A29" s="241" t="s">
        <v>4431</v>
      </c>
      <c r="B29" s="241" t="s">
        <v>4476</v>
      </c>
      <c r="C29" s="241" t="s">
        <v>6935</v>
      </c>
      <c r="D29" s="242" t="s">
        <v>6936</v>
      </c>
      <c r="E29" s="243">
        <v>46233</v>
      </c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7815</v>
      </c>
      <c r="B46" s="120"/>
      <c r="C46" s="120" t="s">
        <v>7816</v>
      </c>
      <c r="D46" s="120" t="s">
        <v>7817</v>
      </c>
      <c r="E46" s="105">
        <v>44961</v>
      </c>
    </row>
    <row r="47" spans="1:5" ht="20.25" customHeight="1" x14ac:dyDescent="0.25">
      <c r="A47" s="120" t="s">
        <v>7815</v>
      </c>
      <c r="B47" s="120"/>
      <c r="C47" s="120" t="s">
        <v>7818</v>
      </c>
      <c r="D47" s="120" t="s">
        <v>7819</v>
      </c>
      <c r="E47" s="105">
        <v>44923</v>
      </c>
    </row>
    <row r="48" spans="1:5" ht="20.25" customHeight="1" x14ac:dyDescent="0.25">
      <c r="A48" s="120" t="s">
        <v>7815</v>
      </c>
      <c r="B48" s="120"/>
      <c r="C48" s="120" t="s">
        <v>7820</v>
      </c>
      <c r="D48" s="120" t="s">
        <v>7821</v>
      </c>
      <c r="E48" s="119">
        <v>45013</v>
      </c>
    </row>
    <row r="49" spans="1:5" ht="20.25" customHeight="1" x14ac:dyDescent="0.25">
      <c r="A49" s="120" t="s">
        <v>7815</v>
      </c>
      <c r="B49" s="120"/>
      <c r="C49" s="120" t="s">
        <v>7822</v>
      </c>
      <c r="D49" s="120" t="s">
        <v>7823</v>
      </c>
      <c r="E49" s="108">
        <v>45148</v>
      </c>
    </row>
    <row r="50" spans="1:5" ht="20.25" customHeight="1" x14ac:dyDescent="0.25">
      <c r="A50" s="120" t="s">
        <v>7815</v>
      </c>
      <c r="B50" s="120"/>
      <c r="C50" s="120" t="s">
        <v>7824</v>
      </c>
      <c r="D50" s="120" t="s">
        <v>7825</v>
      </c>
      <c r="E50" s="107"/>
    </row>
    <row r="51" spans="1:5" ht="20.25" customHeight="1" x14ac:dyDescent="0.25">
      <c r="A51" s="120" t="s">
        <v>7815</v>
      </c>
      <c r="B51" s="120"/>
      <c r="C51" s="120" t="s">
        <v>7826</v>
      </c>
      <c r="D51" s="120" t="s">
        <v>7827</v>
      </c>
      <c r="E51" s="103"/>
    </row>
    <row r="52" spans="1:5" ht="20.25" customHeight="1" x14ac:dyDescent="0.25">
      <c r="A52" s="120" t="s">
        <v>7815</v>
      </c>
      <c r="B52" s="120"/>
      <c r="C52" s="120" t="s">
        <v>7828</v>
      </c>
      <c r="D52" s="120" t="s">
        <v>7829</v>
      </c>
      <c r="E52" s="107"/>
    </row>
    <row r="53" spans="1:5" ht="20.25" customHeight="1" x14ac:dyDescent="0.25">
      <c r="A53" s="120" t="s">
        <v>7815</v>
      </c>
      <c r="B53" s="120"/>
      <c r="C53" s="120" t="s">
        <v>7830</v>
      </c>
      <c r="D53" s="120" t="s">
        <v>7831</v>
      </c>
      <c r="E53" s="107"/>
    </row>
    <row r="54" spans="1:5" ht="20.25" customHeight="1" x14ac:dyDescent="0.25">
      <c r="A54" s="120" t="s">
        <v>7815</v>
      </c>
      <c r="B54" s="120"/>
      <c r="C54" s="120" t="s">
        <v>7832</v>
      </c>
      <c r="D54" s="120" t="s">
        <v>7833</v>
      </c>
      <c r="E54" s="103"/>
    </row>
    <row r="55" spans="1:5" ht="20.25" customHeight="1" x14ac:dyDescent="0.25">
      <c r="A55" s="120" t="s">
        <v>7815</v>
      </c>
      <c r="B55" s="120"/>
      <c r="C55" s="120" t="s">
        <v>7834</v>
      </c>
      <c r="D55" s="120" t="s">
        <v>7835</v>
      </c>
      <c r="E55" s="103"/>
    </row>
    <row r="56" spans="1:5" ht="20.25" customHeight="1" x14ac:dyDescent="0.25">
      <c r="A56" s="120" t="s">
        <v>7815</v>
      </c>
      <c r="B56" s="120"/>
      <c r="C56" s="120" t="s">
        <v>7836</v>
      </c>
      <c r="D56" s="120" t="s">
        <v>7837</v>
      </c>
      <c r="E56" s="109"/>
    </row>
    <row r="57" spans="1:5" ht="20.25" customHeight="1" x14ac:dyDescent="0.25">
      <c r="A57" s="120" t="s">
        <v>7815</v>
      </c>
      <c r="B57" s="120"/>
      <c r="C57" s="120" t="s">
        <v>7838</v>
      </c>
      <c r="D57" s="120" t="s">
        <v>7839</v>
      </c>
      <c r="E57" s="105">
        <v>45056</v>
      </c>
    </row>
    <row r="58" spans="1:5" ht="20.25" customHeight="1" x14ac:dyDescent="0.25">
      <c r="A58" s="120" t="s">
        <v>7815</v>
      </c>
      <c r="B58" s="120"/>
      <c r="C58" s="120" t="s">
        <v>7840</v>
      </c>
      <c r="D58" s="120" t="s">
        <v>7841</v>
      </c>
      <c r="E58" s="119">
        <v>45013</v>
      </c>
    </row>
    <row r="59" spans="1:5" ht="20.25" customHeight="1" x14ac:dyDescent="0.25">
      <c r="A59" s="120" t="s">
        <v>7815</v>
      </c>
      <c r="B59" s="120"/>
      <c r="C59" s="120" t="s">
        <v>7842</v>
      </c>
      <c r="D59" s="120" t="s">
        <v>7843</v>
      </c>
      <c r="E59" s="105">
        <v>45097</v>
      </c>
    </row>
    <row r="60" spans="1:5" ht="20.25" customHeight="1" x14ac:dyDescent="0.25">
      <c r="A60" s="120" t="s">
        <v>7815</v>
      </c>
      <c r="B60" s="120"/>
      <c r="C60" s="120" t="s">
        <v>7844</v>
      </c>
      <c r="D60" s="120" t="s">
        <v>7845</v>
      </c>
      <c r="E60" s="105">
        <v>44816</v>
      </c>
    </row>
    <row r="61" spans="1:5" ht="20.25" customHeight="1" x14ac:dyDescent="0.25">
      <c r="A61" s="120" t="s">
        <v>7815</v>
      </c>
      <c r="B61" s="120"/>
      <c r="C61" s="120" t="s">
        <v>7846</v>
      </c>
      <c r="D61" s="120" t="s">
        <v>7847</v>
      </c>
      <c r="E61" s="103"/>
    </row>
    <row r="62" spans="1:5" ht="20.25" customHeight="1" x14ac:dyDescent="0.25">
      <c r="A62" s="120" t="s">
        <v>7815</v>
      </c>
      <c r="B62" s="120"/>
      <c r="C62" s="120" t="s">
        <v>7848</v>
      </c>
      <c r="D62" s="120" t="s">
        <v>7849</v>
      </c>
      <c r="E62" s="103" t="s">
        <v>4357</v>
      </c>
    </row>
    <row r="63" spans="1:5" ht="20.25" customHeight="1" x14ac:dyDescent="0.25">
      <c r="A63" s="120" t="s">
        <v>7815</v>
      </c>
      <c r="B63" s="120"/>
      <c r="C63" s="120" t="s">
        <v>7850</v>
      </c>
      <c r="D63" s="120" t="s">
        <v>7851</v>
      </c>
      <c r="E63" s="103"/>
    </row>
    <row r="64" spans="1:5" ht="20.25" customHeight="1" x14ac:dyDescent="0.25">
      <c r="A64" s="120" t="s">
        <v>7815</v>
      </c>
      <c r="B64" s="120"/>
      <c r="C64" s="120" t="s">
        <v>7852</v>
      </c>
      <c r="D64" s="120" t="s">
        <v>7853</v>
      </c>
      <c r="E64" s="103"/>
    </row>
    <row r="65" spans="1:5" ht="20.25" customHeight="1" x14ac:dyDescent="0.25">
      <c r="A65" s="120" t="s">
        <v>7815</v>
      </c>
      <c r="B65" s="120"/>
      <c r="C65" s="120" t="s">
        <v>7854</v>
      </c>
      <c r="D65" s="120" t="s">
        <v>7855</v>
      </c>
      <c r="E65" s="105">
        <v>44877</v>
      </c>
    </row>
    <row r="66" spans="1:5" ht="20.25" customHeight="1" x14ac:dyDescent="0.25">
      <c r="A66" s="120" t="s">
        <v>7815</v>
      </c>
      <c r="B66" s="120"/>
      <c r="C66" s="120" t="s">
        <v>7856</v>
      </c>
      <c r="D66" s="120" t="s">
        <v>7857</v>
      </c>
      <c r="E66" s="105">
        <v>44876</v>
      </c>
    </row>
    <row r="67" spans="1:5" ht="20.25" customHeight="1" x14ac:dyDescent="0.25">
      <c r="A67" s="120" t="s">
        <v>7815</v>
      </c>
      <c r="B67" s="120"/>
      <c r="C67" s="120" t="s">
        <v>7858</v>
      </c>
      <c r="D67" s="120" t="s">
        <v>7859</v>
      </c>
      <c r="E67" s="105">
        <v>44910</v>
      </c>
    </row>
    <row r="68" spans="1:5" ht="20.25" customHeight="1" x14ac:dyDescent="0.25">
      <c r="A68" s="120" t="s">
        <v>7815</v>
      </c>
      <c r="B68" s="120"/>
      <c r="C68" s="120" t="s">
        <v>7860</v>
      </c>
      <c r="D68" s="120" t="s">
        <v>7861</v>
      </c>
      <c r="E68" s="108">
        <v>45148</v>
      </c>
    </row>
    <row r="69" spans="1:5" ht="20.25" customHeight="1" x14ac:dyDescent="0.25">
      <c r="A69" s="120" t="s">
        <v>7815</v>
      </c>
      <c r="B69" s="120"/>
      <c r="C69" s="120" t="s">
        <v>7862</v>
      </c>
      <c r="D69" s="120" t="s">
        <v>7863</v>
      </c>
      <c r="E69" s="108">
        <v>45065</v>
      </c>
    </row>
    <row r="70" spans="1:5" ht="20.25" customHeight="1" x14ac:dyDescent="0.25">
      <c r="A70" s="120" t="s">
        <v>7815</v>
      </c>
      <c r="B70" s="120"/>
      <c r="C70" s="120" t="s">
        <v>7864</v>
      </c>
      <c r="D70" s="120" t="s">
        <v>7865</v>
      </c>
      <c r="E70" s="108">
        <v>45049</v>
      </c>
    </row>
    <row r="71" spans="1:5" ht="20.25" customHeight="1" x14ac:dyDescent="0.25">
      <c r="A71" s="120" t="s">
        <v>7815</v>
      </c>
      <c r="B71" s="120"/>
      <c r="C71" s="120" t="s">
        <v>7866</v>
      </c>
      <c r="D71" s="120" t="s">
        <v>7867</v>
      </c>
      <c r="E71" s="108">
        <v>45065</v>
      </c>
    </row>
    <row r="72" spans="1:5" ht="20.25" customHeight="1" x14ac:dyDescent="0.25">
      <c r="A72" s="120" t="s">
        <v>7815</v>
      </c>
      <c r="B72" s="120"/>
      <c r="C72" s="120" t="s">
        <v>7868</v>
      </c>
      <c r="D72" s="120" t="s">
        <v>7869</v>
      </c>
      <c r="E72" s="105">
        <v>44922</v>
      </c>
    </row>
    <row r="73" spans="1:5" ht="20.25" customHeight="1" x14ac:dyDescent="0.25">
      <c r="A73" s="120" t="s">
        <v>7815</v>
      </c>
      <c r="B73" s="120"/>
      <c r="C73" s="120" t="s">
        <v>7870</v>
      </c>
      <c r="D73" s="120" t="s">
        <v>7871</v>
      </c>
      <c r="E73" s="105">
        <v>44961</v>
      </c>
    </row>
    <row r="74" spans="1:5" ht="20.25" customHeight="1" x14ac:dyDescent="0.25">
      <c r="A74" s="120" t="s">
        <v>7815</v>
      </c>
      <c r="B74" s="120"/>
      <c r="C74" s="120" t="s">
        <v>7872</v>
      </c>
      <c r="D74" s="120" t="s">
        <v>7873</v>
      </c>
      <c r="E74" s="103" t="s">
        <v>4357</v>
      </c>
    </row>
    <row r="75" spans="1:5" ht="20.25" customHeight="1" x14ac:dyDescent="0.25">
      <c r="A75" s="120" t="s">
        <v>7815</v>
      </c>
      <c r="B75" s="120"/>
      <c r="C75" s="120" t="s">
        <v>7874</v>
      </c>
      <c r="D75" s="120" t="s">
        <v>7875</v>
      </c>
      <c r="E75" s="108">
        <v>45049</v>
      </c>
    </row>
    <row r="76" spans="1:5" ht="20.25" customHeight="1" x14ac:dyDescent="0.25">
      <c r="A76" s="120" t="s">
        <v>7815</v>
      </c>
      <c r="B76" s="120"/>
      <c r="C76" s="122" t="s">
        <v>7876</v>
      </c>
      <c r="D76" s="123" t="s">
        <v>7877</v>
      </c>
      <c r="E76" s="103" t="s">
        <v>4357</v>
      </c>
    </row>
    <row r="77" spans="1:5" ht="20.25" customHeight="1" x14ac:dyDescent="0.25">
      <c r="A77" s="120" t="s">
        <v>7815</v>
      </c>
      <c r="B77" s="120"/>
      <c r="C77" s="122" t="s">
        <v>7878</v>
      </c>
      <c r="D77" s="124" t="s">
        <v>7879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7880</v>
      </c>
      <c r="E91" s="103" t="s">
        <v>4357</v>
      </c>
    </row>
    <row r="92" spans="3:5" ht="20.25" customHeight="1" x14ac:dyDescent="0.25">
      <c r="C92" s="97" t="s">
        <v>7881</v>
      </c>
      <c r="E92" s="103" t="s">
        <v>4357</v>
      </c>
    </row>
    <row r="93" spans="3:5" ht="20.25" customHeight="1" x14ac:dyDescent="0.25">
      <c r="C93" s="91" t="s">
        <v>7882</v>
      </c>
      <c r="E93" s="103" t="s">
        <v>4357</v>
      </c>
    </row>
    <row r="94" spans="3:5" ht="20.25" customHeight="1" x14ac:dyDescent="0.25">
      <c r="C94" s="91" t="s">
        <v>7883</v>
      </c>
      <c r="E94" s="103" t="s">
        <v>4357</v>
      </c>
    </row>
    <row r="95" spans="3:5" ht="20.25" customHeight="1" x14ac:dyDescent="0.25">
      <c r="C95" s="91" t="s">
        <v>7884</v>
      </c>
      <c r="E95" s="103" t="s">
        <v>4357</v>
      </c>
    </row>
    <row r="96" spans="3:5" ht="20.25" customHeight="1" x14ac:dyDescent="0.25">
      <c r="C96" s="91" t="s">
        <v>7885</v>
      </c>
      <c r="E96" s="103"/>
    </row>
    <row r="97" spans="3:5" ht="20.25" customHeight="1" x14ac:dyDescent="0.25">
      <c r="C97" s="91" t="s">
        <v>7886</v>
      </c>
      <c r="E97" s="103"/>
    </row>
    <row r="98" spans="3:5" ht="20.25" customHeight="1" x14ac:dyDescent="0.25">
      <c r="C98" s="91" t="s">
        <v>7887</v>
      </c>
      <c r="E98" s="119">
        <v>45013</v>
      </c>
    </row>
    <row r="99" spans="3:5" ht="20.25" customHeight="1" x14ac:dyDescent="0.25">
      <c r="C99" s="91" t="s">
        <v>7888</v>
      </c>
      <c r="E99" s="119">
        <v>45013</v>
      </c>
    </row>
    <row r="100" spans="3:5" ht="20.25" customHeight="1" x14ac:dyDescent="0.25">
      <c r="C100" s="91" t="s">
        <v>7889</v>
      </c>
      <c r="E100" s="103" t="s">
        <v>4357</v>
      </c>
    </row>
    <row r="101" spans="3:5" ht="20.25" customHeight="1" x14ac:dyDescent="0.25">
      <c r="C101" s="97" t="s">
        <v>7890</v>
      </c>
      <c r="E101" s="103" t="s">
        <v>4357</v>
      </c>
    </row>
    <row r="102" spans="3:5" ht="20.25" customHeight="1" x14ac:dyDescent="0.25">
      <c r="C102" s="91" t="s">
        <v>7891</v>
      </c>
      <c r="E102" s="105">
        <v>44853</v>
      </c>
    </row>
    <row r="103" spans="3:5" ht="20.25" customHeight="1" x14ac:dyDescent="0.25">
      <c r="C103" s="91" t="s">
        <v>7892</v>
      </c>
      <c r="E103" s="105">
        <v>44840</v>
      </c>
    </row>
    <row r="104" spans="3:5" ht="20.25" customHeight="1" x14ac:dyDescent="0.25">
      <c r="C104" s="91" t="s">
        <v>7893</v>
      </c>
      <c r="E104" s="105">
        <v>44840</v>
      </c>
    </row>
    <row r="105" spans="3:5" ht="20.25" customHeight="1" x14ac:dyDescent="0.25">
      <c r="C105" s="91" t="s">
        <v>7894</v>
      </c>
      <c r="E105" s="106"/>
    </row>
    <row r="106" spans="3:5" ht="20.25" customHeight="1" x14ac:dyDescent="0.25">
      <c r="C106" s="97" t="s">
        <v>7895</v>
      </c>
      <c r="E106" s="105">
        <v>44910</v>
      </c>
    </row>
    <row r="107" spans="3:5" ht="20.25" customHeight="1" x14ac:dyDescent="0.25">
      <c r="C107" s="91" t="s">
        <v>7896</v>
      </c>
      <c r="E107" s="105">
        <v>44961</v>
      </c>
    </row>
    <row r="108" spans="3:5" ht="20.25" customHeight="1" x14ac:dyDescent="0.25">
      <c r="C108" s="91" t="s">
        <v>7897</v>
      </c>
      <c r="E108" s="103" t="s">
        <v>4357</v>
      </c>
    </row>
    <row r="109" spans="3:5" ht="20.25" customHeight="1" x14ac:dyDescent="0.25">
      <c r="C109" s="91" t="s">
        <v>7898</v>
      </c>
      <c r="E109" s="103" t="s">
        <v>4357</v>
      </c>
    </row>
    <row r="110" spans="3:5" ht="20.25" customHeight="1" x14ac:dyDescent="0.25">
      <c r="C110" s="97" t="s">
        <v>7899</v>
      </c>
      <c r="E110" s="105">
        <v>44862</v>
      </c>
    </row>
    <row r="111" spans="3:5" ht="20.25" customHeight="1" x14ac:dyDescent="0.25">
      <c r="C111" s="91" t="s">
        <v>7900</v>
      </c>
      <c r="E111" s="105">
        <v>44877</v>
      </c>
    </row>
    <row r="112" spans="3:5" ht="20.25" customHeight="1" x14ac:dyDescent="0.25">
      <c r="C112" s="91" t="s">
        <v>7901</v>
      </c>
      <c r="E112" s="105">
        <v>44840</v>
      </c>
    </row>
    <row r="113" spans="3:5" ht="20.25" customHeight="1" x14ac:dyDescent="0.25">
      <c r="C113" s="97" t="s">
        <v>7902</v>
      </c>
      <c r="E113" s="103" t="s">
        <v>4357</v>
      </c>
    </row>
    <row r="114" spans="3:5" ht="20.25" customHeight="1" x14ac:dyDescent="0.25">
      <c r="C114" s="91" t="s">
        <v>7903</v>
      </c>
      <c r="E114" s="105">
        <v>44840</v>
      </c>
    </row>
    <row r="115" spans="3:5" ht="20.25" customHeight="1" x14ac:dyDescent="0.25">
      <c r="C115" s="91" t="s">
        <v>7904</v>
      </c>
      <c r="E115" s="103" t="s">
        <v>4357</v>
      </c>
    </row>
    <row r="116" spans="3:5" ht="20.25" customHeight="1" x14ac:dyDescent="0.25">
      <c r="C116" s="91" t="s">
        <v>7905</v>
      </c>
      <c r="E116" s="103" t="s">
        <v>4357</v>
      </c>
    </row>
    <row r="117" spans="3:5" ht="20.25" customHeight="1" x14ac:dyDescent="0.25">
      <c r="C117" s="91" t="s">
        <v>7906</v>
      </c>
      <c r="E117" s="105">
        <v>44840</v>
      </c>
    </row>
    <row r="118" spans="3:5" ht="20.25" customHeight="1" x14ac:dyDescent="0.25">
      <c r="C118" s="91" t="s">
        <v>7907</v>
      </c>
      <c r="E118" s="105">
        <v>44877</v>
      </c>
    </row>
    <row r="119" spans="3:5" ht="20.25" customHeight="1" x14ac:dyDescent="0.25">
      <c r="C119" s="91" t="s">
        <v>7908</v>
      </c>
      <c r="E119" s="105">
        <v>44890</v>
      </c>
    </row>
    <row r="120" spans="3:5" ht="20.25" customHeight="1" x14ac:dyDescent="0.25">
      <c r="C120" s="91" t="s">
        <v>7909</v>
      </c>
      <c r="E120" s="105">
        <v>45013</v>
      </c>
    </row>
    <row r="121" spans="3:5" ht="20.25" customHeight="1" x14ac:dyDescent="0.25">
      <c r="C121" s="91" t="s">
        <v>7910</v>
      </c>
      <c r="E121" s="105">
        <v>45013</v>
      </c>
    </row>
    <row r="122" spans="3:5" ht="20.25" customHeight="1" x14ac:dyDescent="0.25">
      <c r="C122" s="91" t="s">
        <v>7911</v>
      </c>
      <c r="E122" s="105"/>
    </row>
    <row r="123" spans="3:5" ht="20.25" customHeight="1" x14ac:dyDescent="0.25">
      <c r="C123" s="91" t="s">
        <v>7912</v>
      </c>
      <c r="E123" s="105"/>
    </row>
    <row r="124" spans="3:5" ht="20.25" customHeight="1" x14ac:dyDescent="0.25">
      <c r="C124" s="91" t="s">
        <v>7913</v>
      </c>
      <c r="E124" s="112"/>
    </row>
    <row r="125" spans="3:5" ht="20.25" customHeight="1" x14ac:dyDescent="0.25">
      <c r="C125" s="91" t="s">
        <v>7914</v>
      </c>
      <c r="E125" s="112"/>
    </row>
    <row r="126" spans="3:5" ht="20.25" customHeight="1" x14ac:dyDescent="0.25">
      <c r="C126" s="91" t="s">
        <v>7915</v>
      </c>
      <c r="E126" s="112"/>
    </row>
    <row r="127" spans="3:5" ht="20.25" customHeight="1" x14ac:dyDescent="0.25">
      <c r="C127" s="97" t="s">
        <v>7916</v>
      </c>
      <c r="E127" s="112"/>
    </row>
    <row r="128" spans="3:5" ht="20.25" customHeight="1" x14ac:dyDescent="0.25">
      <c r="C128" s="91" t="s">
        <v>7917</v>
      </c>
      <c r="E128" s="112"/>
    </row>
    <row r="129" spans="3:5" ht="20.25" customHeight="1" x14ac:dyDescent="0.25">
      <c r="C129" s="97" t="s">
        <v>7918</v>
      </c>
      <c r="E129" s="112"/>
    </row>
    <row r="130" spans="3:5" ht="20.25" customHeight="1" x14ac:dyDescent="0.25">
      <c r="C130" s="91" t="s">
        <v>7919</v>
      </c>
      <c r="E130" s="108">
        <v>45105</v>
      </c>
    </row>
    <row r="131" spans="3:5" ht="20.25" customHeight="1" x14ac:dyDescent="0.25">
      <c r="C131" s="91" t="s">
        <v>7920</v>
      </c>
      <c r="E131" s="109"/>
    </row>
    <row r="132" spans="3:5" ht="20.25" customHeight="1" x14ac:dyDescent="0.25">
      <c r="C132" s="91" t="s">
        <v>7921</v>
      </c>
      <c r="E132" s="112"/>
    </row>
    <row r="133" spans="3:5" ht="20.25" customHeight="1" x14ac:dyDescent="0.25">
      <c r="C133" s="91" t="s">
        <v>7922</v>
      </c>
      <c r="E133" s="112"/>
    </row>
    <row r="134" spans="3:5" ht="20.25" customHeight="1" x14ac:dyDescent="0.25">
      <c r="C134" s="91" t="s">
        <v>7923</v>
      </c>
      <c r="E134" s="112"/>
    </row>
    <row r="135" spans="3:5" ht="20.25" customHeight="1" x14ac:dyDescent="0.25">
      <c r="C135" s="91" t="s">
        <v>7924</v>
      </c>
      <c r="E135" s="108">
        <v>45105</v>
      </c>
    </row>
    <row r="136" spans="3:5" ht="20.25" customHeight="1" x14ac:dyDescent="0.25">
      <c r="C136" s="91" t="s">
        <v>7925</v>
      </c>
      <c r="E136" s="112"/>
    </row>
    <row r="137" spans="3:5" ht="20.25" customHeight="1" x14ac:dyDescent="0.25">
      <c r="C137" s="91" t="s">
        <v>7926</v>
      </c>
      <c r="E137" s="112"/>
    </row>
    <row r="138" spans="3:5" ht="20.25" customHeight="1" x14ac:dyDescent="0.25">
      <c r="C138" s="91" t="s">
        <v>7927</v>
      </c>
      <c r="E138" s="108">
        <v>45049</v>
      </c>
    </row>
    <row r="139" spans="3:5" ht="20.25" customHeight="1" x14ac:dyDescent="0.25">
      <c r="C139" s="91" t="s">
        <v>7928</v>
      </c>
      <c r="E139" s="112"/>
    </row>
    <row r="140" spans="3:5" ht="20.25" customHeight="1" x14ac:dyDescent="0.25">
      <c r="C140" s="91" t="s">
        <v>7929</v>
      </c>
      <c r="E140" s="112"/>
    </row>
    <row r="141" spans="3:5" ht="20.25" customHeight="1" x14ac:dyDescent="0.25">
      <c r="C141" s="91" t="s">
        <v>7930</v>
      </c>
      <c r="E141" s="112"/>
    </row>
    <row r="142" spans="3:5" ht="20.25" customHeight="1" x14ac:dyDescent="0.25">
      <c r="C142" s="91" t="s">
        <v>7931</v>
      </c>
      <c r="E142" s="112"/>
    </row>
    <row r="143" spans="3:5" ht="20.25" customHeight="1" x14ac:dyDescent="0.25">
      <c r="C143" s="91" t="s">
        <v>7932</v>
      </c>
      <c r="E143" s="112"/>
    </row>
    <row r="144" spans="3:5" ht="20.25" customHeight="1" x14ac:dyDescent="0.25">
      <c r="C144" s="91" t="s">
        <v>7933</v>
      </c>
      <c r="E144" s="105">
        <v>45056</v>
      </c>
    </row>
    <row r="145" spans="3:5" ht="20.25" customHeight="1" x14ac:dyDescent="0.25">
      <c r="C145" s="91" t="s">
        <v>7934</v>
      </c>
      <c r="E145" s="105">
        <v>45056</v>
      </c>
    </row>
    <row r="146" spans="3:5" ht="20.25" customHeight="1" x14ac:dyDescent="0.25">
      <c r="C146" s="90" t="s">
        <v>7935</v>
      </c>
      <c r="E146" s="105">
        <v>45056</v>
      </c>
    </row>
    <row r="147" spans="3:5" ht="20.25" customHeight="1" x14ac:dyDescent="0.25">
      <c r="C147" s="91" t="s">
        <v>7936</v>
      </c>
      <c r="E147" s="112"/>
    </row>
    <row r="148" spans="3:5" ht="20.25" customHeight="1" x14ac:dyDescent="0.25">
      <c r="C148" s="91" t="s">
        <v>7937</v>
      </c>
      <c r="E148" s="112"/>
    </row>
    <row r="149" spans="3:5" ht="20.25" customHeight="1" x14ac:dyDescent="0.25">
      <c r="C149" s="91" t="s">
        <v>7938</v>
      </c>
      <c r="E149" s="112"/>
    </row>
    <row r="150" spans="3:5" ht="20.25" customHeight="1" x14ac:dyDescent="0.25">
      <c r="C150" s="91" t="s">
        <v>7939</v>
      </c>
      <c r="E150" s="112"/>
    </row>
    <row r="151" spans="3:5" ht="20.25" customHeight="1" x14ac:dyDescent="0.25">
      <c r="C151" s="91" t="s">
        <v>7940</v>
      </c>
      <c r="E151" s="112"/>
    </row>
    <row r="152" spans="3:5" ht="20.25" customHeight="1" x14ac:dyDescent="0.25">
      <c r="C152" s="91" t="s">
        <v>7941</v>
      </c>
      <c r="E152" s="112"/>
    </row>
    <row r="153" spans="3:5" ht="20.25" customHeight="1" x14ac:dyDescent="0.25">
      <c r="C153" s="97" t="s">
        <v>7942</v>
      </c>
      <c r="E153" s="112"/>
    </row>
    <row r="154" spans="3:5" ht="20.25" customHeight="1" x14ac:dyDescent="0.25">
      <c r="C154" s="91" t="s">
        <v>7943</v>
      </c>
      <c r="E154" s="112"/>
    </row>
    <row r="155" spans="3:5" ht="20.25" customHeight="1" x14ac:dyDescent="0.25">
      <c r="C155" s="91" t="s">
        <v>7944</v>
      </c>
      <c r="E155" s="112"/>
    </row>
    <row r="156" spans="3:5" ht="20.25" customHeight="1" x14ac:dyDescent="0.25">
      <c r="C156" s="91" t="s">
        <v>7945</v>
      </c>
      <c r="E156" s="109"/>
    </row>
    <row r="157" spans="3:5" ht="20.25" customHeight="1" x14ac:dyDescent="0.25">
      <c r="C157" s="91" t="s">
        <v>7946</v>
      </c>
      <c r="E157" s="105">
        <v>45056</v>
      </c>
    </row>
    <row r="158" spans="3:5" ht="20.25" customHeight="1" x14ac:dyDescent="0.25">
      <c r="C158" s="91" t="s">
        <v>7947</v>
      </c>
      <c r="E158" s="108">
        <v>45148</v>
      </c>
    </row>
    <row r="159" spans="3:5" ht="20.25" customHeight="1" x14ac:dyDescent="0.25">
      <c r="C159" s="91" t="s">
        <v>7948</v>
      </c>
      <c r="E159" s="107"/>
    </row>
    <row r="160" spans="3:5" ht="20.25" customHeight="1" x14ac:dyDescent="0.25">
      <c r="C160" s="91" t="s">
        <v>7949</v>
      </c>
      <c r="E160" s="107"/>
    </row>
    <row r="161" spans="3:5" ht="20.25" customHeight="1" x14ac:dyDescent="0.25">
      <c r="C161" s="91" t="s">
        <v>7950</v>
      </c>
      <c r="E161" s="107"/>
    </row>
    <row r="162" spans="3:5" ht="20.25" customHeight="1" x14ac:dyDescent="0.25">
      <c r="C162" s="91" t="s">
        <v>7951</v>
      </c>
      <c r="E162" s="107"/>
    </row>
    <row r="163" spans="3:5" ht="20.25" customHeight="1" x14ac:dyDescent="0.25">
      <c r="C163" s="91" t="s">
        <v>7952</v>
      </c>
      <c r="E163" s="107"/>
    </row>
    <row r="164" spans="3:5" ht="20.25" customHeight="1" x14ac:dyDescent="0.25">
      <c r="C164" s="91" t="s">
        <v>7953</v>
      </c>
      <c r="E164" s="107"/>
    </row>
    <row r="165" spans="3:5" ht="20.25" customHeight="1" x14ac:dyDescent="0.25">
      <c r="C165" s="91" t="s">
        <v>7954</v>
      </c>
      <c r="E165" s="107"/>
    </row>
    <row r="166" spans="3:5" ht="20.25" customHeight="1" x14ac:dyDescent="0.25">
      <c r="C166" s="91" t="s">
        <v>7955</v>
      </c>
      <c r="E166" s="107"/>
    </row>
    <row r="167" spans="3:5" ht="20.25" customHeight="1" x14ac:dyDescent="0.25">
      <c r="C167" s="91" t="s">
        <v>7956</v>
      </c>
      <c r="E167" s="107"/>
    </row>
    <row r="168" spans="3:5" ht="20.25" customHeight="1" x14ac:dyDescent="0.25">
      <c r="C168" s="91" t="s">
        <v>7957</v>
      </c>
      <c r="E168" s="107"/>
    </row>
    <row r="169" spans="3:5" ht="20.25" customHeight="1" x14ac:dyDescent="0.25">
      <c r="C169" s="91" t="s">
        <v>7958</v>
      </c>
      <c r="E169" s="107"/>
    </row>
    <row r="170" spans="3:5" ht="20.25" customHeight="1" x14ac:dyDescent="0.25">
      <c r="C170" s="91" t="s">
        <v>7959</v>
      </c>
      <c r="E170" s="107"/>
    </row>
    <row r="171" spans="3:5" ht="20.25" customHeight="1" x14ac:dyDescent="0.25">
      <c r="C171" s="91" t="s">
        <v>7960</v>
      </c>
      <c r="E171" s="107"/>
    </row>
    <row r="172" spans="3:5" ht="20.25" customHeight="1" x14ac:dyDescent="0.25">
      <c r="C172" s="97" t="s">
        <v>7961</v>
      </c>
      <c r="E172" s="107"/>
    </row>
    <row r="173" spans="3:5" ht="20.25" customHeight="1" x14ac:dyDescent="0.25">
      <c r="C173" s="91" t="s">
        <v>7962</v>
      </c>
      <c r="E173" s="107"/>
    </row>
    <row r="174" spans="3:5" ht="20.25" customHeight="1" x14ac:dyDescent="0.25">
      <c r="C174" s="91" t="s">
        <v>7963</v>
      </c>
      <c r="E174" s="107"/>
    </row>
    <row r="175" spans="3:5" ht="20.25" customHeight="1" x14ac:dyDescent="0.25">
      <c r="C175" s="91" t="s">
        <v>7964</v>
      </c>
      <c r="E175" s="107"/>
    </row>
    <row r="176" spans="3:5" ht="20.25" customHeight="1" x14ac:dyDescent="0.25">
      <c r="C176" s="91" t="s">
        <v>7965</v>
      </c>
      <c r="E176" s="107"/>
    </row>
    <row r="177" spans="3:5" ht="20.25" customHeight="1" x14ac:dyDescent="0.25">
      <c r="C177" s="91" t="s">
        <v>7966</v>
      </c>
      <c r="E177" s="107"/>
    </row>
    <row r="178" spans="3:5" ht="20.25" customHeight="1" x14ac:dyDescent="0.25">
      <c r="C178" s="91" t="s">
        <v>7967</v>
      </c>
      <c r="E178" s="108">
        <v>45105</v>
      </c>
    </row>
    <row r="179" spans="3:5" ht="20.25" customHeight="1" x14ac:dyDescent="0.25">
      <c r="C179" s="91" t="s">
        <v>7968</v>
      </c>
      <c r="E179" s="105">
        <v>44992</v>
      </c>
    </row>
    <row r="180" spans="3:5" ht="20.25" customHeight="1" x14ac:dyDescent="0.25">
      <c r="C180" s="97" t="s">
        <v>7969</v>
      </c>
      <c r="E180" s="105">
        <v>45056</v>
      </c>
    </row>
    <row r="181" spans="3:5" ht="20.25" customHeight="1" x14ac:dyDescent="0.25">
      <c r="C181" s="91" t="s">
        <v>7970</v>
      </c>
      <c r="E181" s="105">
        <v>44992</v>
      </c>
    </row>
    <row r="182" spans="3:5" ht="20.25" customHeight="1" x14ac:dyDescent="0.25">
      <c r="C182" s="91" t="s">
        <v>7971</v>
      </c>
      <c r="E182" s="105">
        <v>45056</v>
      </c>
    </row>
    <row r="183" spans="3:5" ht="20.25" customHeight="1" x14ac:dyDescent="0.25">
      <c r="C183" s="91" t="s">
        <v>7972</v>
      </c>
      <c r="E183" s="111">
        <v>45111</v>
      </c>
    </row>
    <row r="184" spans="3:5" ht="20.25" customHeight="1" x14ac:dyDescent="0.25">
      <c r="C184" s="91" t="s">
        <v>7973</v>
      </c>
      <c r="E184" s="105">
        <v>45056</v>
      </c>
    </row>
    <row r="185" spans="3:5" ht="20.25" customHeight="1" x14ac:dyDescent="0.25">
      <c r="C185" s="97" t="s">
        <v>7974</v>
      </c>
      <c r="E185" s="107"/>
    </row>
    <row r="186" spans="3:5" ht="20.25" customHeight="1" x14ac:dyDescent="0.25">
      <c r="C186" s="91" t="s">
        <v>7975</v>
      </c>
      <c r="E186" s="107"/>
    </row>
    <row r="187" spans="3:5" ht="20.25" customHeight="1" x14ac:dyDescent="0.25">
      <c r="C187" s="91" t="s">
        <v>7976</v>
      </c>
      <c r="E187" s="105">
        <v>45056</v>
      </c>
    </row>
    <row r="188" spans="3:5" ht="20.25" customHeight="1" x14ac:dyDescent="0.25">
      <c r="C188" s="91" t="s">
        <v>7977</v>
      </c>
      <c r="E188" s="105">
        <v>45056</v>
      </c>
    </row>
    <row r="189" spans="3:5" ht="20.25" customHeight="1" x14ac:dyDescent="0.25">
      <c r="C189" s="91" t="s">
        <v>7978</v>
      </c>
      <c r="E189" s="105">
        <v>45056</v>
      </c>
    </row>
    <row r="190" spans="3:5" ht="20.25" customHeight="1" x14ac:dyDescent="0.25">
      <c r="C190" s="91" t="s">
        <v>7979</v>
      </c>
      <c r="E190" s="105">
        <v>45097</v>
      </c>
    </row>
    <row r="191" spans="3:5" ht="20.25" customHeight="1" x14ac:dyDescent="0.25">
      <c r="C191" s="91" t="s">
        <v>7980</v>
      </c>
      <c r="E191" s="111">
        <v>45111</v>
      </c>
    </row>
    <row r="192" spans="3:5" ht="20.25" customHeight="1" x14ac:dyDescent="0.25">
      <c r="C192" s="91" t="s">
        <v>7981</v>
      </c>
      <c r="E192" s="111">
        <v>45111</v>
      </c>
    </row>
    <row r="193" spans="3:5" ht="20.25" customHeight="1" x14ac:dyDescent="0.25">
      <c r="C193" s="91" t="s">
        <v>7982</v>
      </c>
      <c r="E193" s="111">
        <v>45111</v>
      </c>
    </row>
    <row r="194" spans="3:5" ht="20.25" customHeight="1" x14ac:dyDescent="0.25">
      <c r="C194" s="91" t="s">
        <v>7983</v>
      </c>
      <c r="E194" s="105">
        <v>45097</v>
      </c>
    </row>
    <row r="195" spans="3:5" ht="20.25" customHeight="1" x14ac:dyDescent="0.25">
      <c r="C195" s="91" t="s">
        <v>7984</v>
      </c>
      <c r="E195" s="111">
        <v>45111</v>
      </c>
    </row>
    <row r="196" spans="3:5" ht="20.25" customHeight="1" x14ac:dyDescent="0.25">
      <c r="C196" s="91" t="s">
        <v>7985</v>
      </c>
      <c r="E196" s="111">
        <v>45111</v>
      </c>
    </row>
    <row r="197" spans="3:5" ht="20.25" customHeight="1" x14ac:dyDescent="0.25">
      <c r="C197" s="91" t="s">
        <v>7986</v>
      </c>
      <c r="E197" s="105">
        <v>45097</v>
      </c>
    </row>
    <row r="198" spans="3:5" ht="20.25" customHeight="1" x14ac:dyDescent="0.25">
      <c r="C198" s="91" t="s">
        <v>7987</v>
      </c>
      <c r="E198" s="105">
        <v>45097</v>
      </c>
    </row>
    <row r="199" spans="3:5" ht="20.25" customHeight="1" x14ac:dyDescent="0.25">
      <c r="C199" s="91" t="s">
        <v>7988</v>
      </c>
      <c r="E199" s="105">
        <v>45097</v>
      </c>
    </row>
    <row r="200" spans="3:5" ht="20.25" customHeight="1" x14ac:dyDescent="0.25">
      <c r="C200" s="91" t="s">
        <v>7989</v>
      </c>
      <c r="E200" s="109"/>
    </row>
    <row r="201" spans="3:5" ht="20.25" customHeight="1" x14ac:dyDescent="0.25">
      <c r="C201" s="91" t="s">
        <v>7990</v>
      </c>
      <c r="E201" s="111">
        <v>45111</v>
      </c>
    </row>
    <row r="202" spans="3:5" ht="20.25" customHeight="1" x14ac:dyDescent="0.25">
      <c r="C202" s="91" t="s">
        <v>7991</v>
      </c>
      <c r="E202" s="105">
        <v>45097</v>
      </c>
    </row>
    <row r="203" spans="3:5" ht="20.25" customHeight="1" x14ac:dyDescent="0.25">
      <c r="C203" s="91" t="s">
        <v>7992</v>
      </c>
      <c r="E203" s="108">
        <v>45148</v>
      </c>
    </row>
    <row r="204" spans="3:5" ht="20.25" customHeight="1" x14ac:dyDescent="0.25">
      <c r="C204" s="91" t="s">
        <v>7993</v>
      </c>
      <c r="E204" s="111">
        <v>45111</v>
      </c>
    </row>
    <row r="205" spans="3:5" ht="20.25" customHeight="1" x14ac:dyDescent="0.25">
      <c r="C205" s="91" t="s">
        <v>7994</v>
      </c>
      <c r="E205" s="112"/>
    </row>
    <row r="206" spans="3:5" ht="20.25" customHeight="1" x14ac:dyDescent="0.25">
      <c r="C206" s="91" t="s">
        <v>7995</v>
      </c>
      <c r="E206" s="105">
        <v>44992</v>
      </c>
    </row>
    <row r="207" spans="3:5" ht="20.25" customHeight="1" x14ac:dyDescent="0.25">
      <c r="C207" s="91" t="s">
        <v>7996</v>
      </c>
      <c r="E207" s="105">
        <v>45097</v>
      </c>
    </row>
    <row r="208" spans="3:5" ht="20.25" customHeight="1" x14ac:dyDescent="0.25">
      <c r="C208" s="91" t="s">
        <v>7997</v>
      </c>
      <c r="E208" s="105">
        <v>45097</v>
      </c>
    </row>
    <row r="209" spans="3:5" ht="20.25" customHeight="1" x14ac:dyDescent="0.25">
      <c r="C209" s="91" t="s">
        <v>7998</v>
      </c>
      <c r="E209" s="105">
        <v>45097</v>
      </c>
    </row>
    <row r="210" spans="3:5" ht="20.25" customHeight="1" x14ac:dyDescent="0.25">
      <c r="C210" s="91" t="s">
        <v>7999</v>
      </c>
      <c r="E210" s="112"/>
    </row>
    <row r="211" spans="3:5" ht="20.25" customHeight="1" x14ac:dyDescent="0.25">
      <c r="C211" s="91" t="s">
        <v>8000</v>
      </c>
      <c r="E211" s="112"/>
    </row>
    <row r="212" spans="3:5" ht="20.25" customHeight="1" x14ac:dyDescent="0.25">
      <c r="C212" s="91" t="s">
        <v>8001</v>
      </c>
      <c r="E212" s="105">
        <v>45097</v>
      </c>
    </row>
    <row r="213" spans="3:5" ht="20.25" customHeight="1" x14ac:dyDescent="0.25">
      <c r="C213" s="91" t="s">
        <v>8002</v>
      </c>
      <c r="E213" s="105">
        <v>45097</v>
      </c>
    </row>
    <row r="214" spans="3:5" ht="20.25" customHeight="1" x14ac:dyDescent="0.25">
      <c r="C214" s="91" t="s">
        <v>8003</v>
      </c>
      <c r="E214" s="111">
        <v>45111</v>
      </c>
    </row>
    <row r="215" spans="3:5" ht="20.25" customHeight="1" x14ac:dyDescent="0.25">
      <c r="C215" s="91" t="s">
        <v>8004</v>
      </c>
      <c r="E215" s="105">
        <v>44961</v>
      </c>
    </row>
    <row r="216" spans="3:5" ht="20.25" customHeight="1" x14ac:dyDescent="0.25">
      <c r="C216" s="91" t="s">
        <v>8005</v>
      </c>
      <c r="E216" s="105">
        <v>45097</v>
      </c>
    </row>
    <row r="217" spans="3:5" ht="20.25" customHeight="1" x14ac:dyDescent="0.25">
      <c r="C217" s="91" t="s">
        <v>8006</v>
      </c>
      <c r="E217" s="108">
        <v>45148</v>
      </c>
    </row>
    <row r="218" spans="3:5" ht="20.25" customHeight="1" x14ac:dyDescent="0.25">
      <c r="C218" s="91" t="s">
        <v>8007</v>
      </c>
      <c r="E218" s="111">
        <v>45111</v>
      </c>
    </row>
    <row r="219" spans="3:5" ht="20.25" customHeight="1" x14ac:dyDescent="0.25">
      <c r="C219" s="91" t="s">
        <v>8008</v>
      </c>
      <c r="E219" s="112"/>
    </row>
    <row r="220" spans="3:5" ht="20.25" customHeight="1" x14ac:dyDescent="0.25">
      <c r="C220" s="91" t="s">
        <v>8009</v>
      </c>
      <c r="E220" s="112"/>
    </row>
    <row r="221" spans="3:5" ht="20.25" customHeight="1" x14ac:dyDescent="0.25">
      <c r="C221" s="91" t="s">
        <v>8010</v>
      </c>
      <c r="E221" s="112"/>
    </row>
    <row r="222" spans="3:5" ht="20.25" customHeight="1" x14ac:dyDescent="0.25">
      <c r="C222" s="91" t="s">
        <v>8011</v>
      </c>
      <c r="E222" s="105">
        <v>45097</v>
      </c>
    </row>
    <row r="223" spans="3:5" ht="20.25" customHeight="1" x14ac:dyDescent="0.25">
      <c r="C223" s="91" t="s">
        <v>8012</v>
      </c>
      <c r="E223" s="108">
        <v>45148</v>
      </c>
    </row>
    <row r="224" spans="3:5" ht="20.25" customHeight="1" x14ac:dyDescent="0.25">
      <c r="C224" s="91" t="s">
        <v>8013</v>
      </c>
      <c r="E224" s="111">
        <v>45111</v>
      </c>
    </row>
    <row r="225" spans="3:5" ht="20.25" customHeight="1" x14ac:dyDescent="0.25">
      <c r="C225" s="91" t="s">
        <v>8014</v>
      </c>
      <c r="E225" s="108">
        <v>45148</v>
      </c>
    </row>
    <row r="226" spans="3:5" ht="20.25" customHeight="1" x14ac:dyDescent="0.25">
      <c r="C226" s="91" t="s">
        <v>8015</v>
      </c>
      <c r="E226" s="108">
        <v>45148</v>
      </c>
    </row>
    <row r="227" spans="3:5" ht="20.25" customHeight="1" x14ac:dyDescent="0.25">
      <c r="C227" s="91" t="s">
        <v>8016</v>
      </c>
      <c r="E227" s="105">
        <v>45097</v>
      </c>
    </row>
    <row r="228" spans="3:5" ht="20.25" customHeight="1" x14ac:dyDescent="0.25">
      <c r="C228" s="91" t="s">
        <v>8017</v>
      </c>
      <c r="E228" s="112"/>
    </row>
    <row r="229" spans="3:5" ht="20.25" customHeight="1" x14ac:dyDescent="0.25">
      <c r="C229" s="91" t="s">
        <v>8018</v>
      </c>
      <c r="E229" s="111">
        <v>45111</v>
      </c>
    </row>
    <row r="230" spans="3:5" ht="20.25" customHeight="1" x14ac:dyDescent="0.25">
      <c r="C230" s="91" t="s">
        <v>8019</v>
      </c>
      <c r="E230" s="111">
        <v>45111</v>
      </c>
    </row>
    <row r="231" spans="3:5" ht="20.25" customHeight="1" x14ac:dyDescent="0.25">
      <c r="C231" s="91" t="s">
        <v>8020</v>
      </c>
      <c r="E231" s="105">
        <v>45097</v>
      </c>
    </row>
    <row r="232" spans="3:5" ht="20.25" customHeight="1" x14ac:dyDescent="0.25">
      <c r="C232" s="91" t="s">
        <v>8021</v>
      </c>
      <c r="E232" s="111">
        <v>45111</v>
      </c>
    </row>
    <row r="233" spans="3:5" ht="20.25" customHeight="1" x14ac:dyDescent="0.25">
      <c r="C233" s="91" t="s">
        <v>8022</v>
      </c>
      <c r="E233" s="111">
        <v>45111</v>
      </c>
    </row>
    <row r="234" spans="3:5" ht="20.25" customHeight="1" x14ac:dyDescent="0.25">
      <c r="C234" s="91" t="s">
        <v>8023</v>
      </c>
      <c r="E234" s="105">
        <v>45097</v>
      </c>
    </row>
    <row r="235" spans="3:5" ht="20.25" customHeight="1" x14ac:dyDescent="0.25">
      <c r="C235" s="91" t="s">
        <v>8024</v>
      </c>
      <c r="E235" s="105">
        <v>44992</v>
      </c>
    </row>
    <row r="236" spans="3:5" ht="20.25" customHeight="1" x14ac:dyDescent="0.25">
      <c r="C236" s="91" t="s">
        <v>8025</v>
      </c>
      <c r="E236" s="129"/>
    </row>
    <row r="237" spans="3:5" ht="20.25" customHeight="1" x14ac:dyDescent="0.25">
      <c r="C237" s="91" t="s">
        <v>8026</v>
      </c>
      <c r="E237" s="112"/>
    </row>
    <row r="238" spans="3:5" ht="20.25" customHeight="1" x14ac:dyDescent="0.25">
      <c r="C238" s="91" t="s">
        <v>8027</v>
      </c>
      <c r="E238" s="111">
        <v>45111</v>
      </c>
    </row>
    <row r="239" spans="3:5" ht="20.25" customHeight="1" x14ac:dyDescent="0.25">
      <c r="C239" s="91" t="s">
        <v>8028</v>
      </c>
      <c r="E239" s="112"/>
    </row>
    <row r="240" spans="3:5" ht="20.25" customHeight="1" x14ac:dyDescent="0.25">
      <c r="C240" s="91" t="s">
        <v>8029</v>
      </c>
      <c r="E240" s="109"/>
    </row>
    <row r="241" spans="3:5" ht="20.25" customHeight="1" x14ac:dyDescent="0.25">
      <c r="C241" s="91" t="s">
        <v>8030</v>
      </c>
      <c r="E241" s="112"/>
    </row>
    <row r="242" spans="3:5" ht="20.25" customHeight="1" x14ac:dyDescent="0.25">
      <c r="C242" s="91" t="s">
        <v>8031</v>
      </c>
      <c r="E242" s="112"/>
    </row>
    <row r="243" spans="3:5" ht="20.25" customHeight="1" x14ac:dyDescent="0.25">
      <c r="C243" s="91" t="s">
        <v>8032</v>
      </c>
      <c r="E243" s="108">
        <v>45105</v>
      </c>
    </row>
    <row r="244" spans="3:5" ht="20.25" customHeight="1" x14ac:dyDescent="0.25">
      <c r="C244" s="91" t="s">
        <v>8033</v>
      </c>
      <c r="E244" s="105">
        <v>44992</v>
      </c>
    </row>
    <row r="245" spans="3:5" ht="20.25" customHeight="1" x14ac:dyDescent="0.25">
      <c r="C245" s="91" t="s">
        <v>8034</v>
      </c>
      <c r="E245" s="108">
        <v>45148</v>
      </c>
    </row>
    <row r="246" spans="3:5" ht="20.25" customHeight="1" x14ac:dyDescent="0.25">
      <c r="C246" s="91" t="s">
        <v>8035</v>
      </c>
      <c r="E246" s="103"/>
    </row>
    <row r="247" spans="3:5" ht="20.25" customHeight="1" x14ac:dyDescent="0.25">
      <c r="C247" s="91" t="s">
        <v>8036</v>
      </c>
      <c r="E247" s="129"/>
    </row>
    <row r="248" spans="3:5" ht="20.25" customHeight="1" x14ac:dyDescent="0.25">
      <c r="C248" s="91" t="s">
        <v>8037</v>
      </c>
      <c r="E248" s="129"/>
    </row>
    <row r="249" spans="3:5" ht="20.25" customHeight="1" x14ac:dyDescent="0.25">
      <c r="C249" s="91" t="s">
        <v>8038</v>
      </c>
      <c r="E249" s="105">
        <v>45097</v>
      </c>
    </row>
    <row r="250" spans="3:5" ht="20.25" customHeight="1" x14ac:dyDescent="0.25">
      <c r="C250" s="91" t="s">
        <v>8039</v>
      </c>
      <c r="E250" s="108">
        <v>45105</v>
      </c>
    </row>
    <row r="251" spans="3:5" ht="20.25" customHeight="1" x14ac:dyDescent="0.25">
      <c r="C251" s="91" t="s">
        <v>8040</v>
      </c>
      <c r="E251" s="105">
        <v>45097</v>
      </c>
    </row>
    <row r="252" spans="3:5" ht="20.25" customHeight="1" x14ac:dyDescent="0.25">
      <c r="C252" s="91" t="s">
        <v>8041</v>
      </c>
      <c r="E252" s="105">
        <v>44992</v>
      </c>
    </row>
    <row r="253" spans="3:5" ht="20.25" customHeight="1" x14ac:dyDescent="0.25">
      <c r="C253" s="91" t="s">
        <v>8042</v>
      </c>
      <c r="E253" s="112"/>
    </row>
    <row r="254" spans="3:5" ht="20.25" customHeight="1" x14ac:dyDescent="0.25">
      <c r="C254" s="91" t="s">
        <v>8043</v>
      </c>
      <c r="E254" s="112"/>
    </row>
    <row r="255" spans="3:5" ht="20.25" customHeight="1" x14ac:dyDescent="0.25">
      <c r="C255" s="91" t="s">
        <v>8044</v>
      </c>
      <c r="E255" s="112"/>
    </row>
    <row r="256" spans="3:5" ht="20.25" customHeight="1" x14ac:dyDescent="0.25">
      <c r="C256" s="91" t="s">
        <v>8045</v>
      </c>
      <c r="E256" s="108">
        <v>45105</v>
      </c>
    </row>
    <row r="257" spans="3:5" ht="20.25" customHeight="1" x14ac:dyDescent="0.25">
      <c r="C257" s="91" t="s">
        <v>8046</v>
      </c>
      <c r="E257" s="108">
        <v>45105</v>
      </c>
    </row>
    <row r="258" spans="3:5" ht="20.25" customHeight="1" x14ac:dyDescent="0.25">
      <c r="C258" s="91" t="s">
        <v>8047</v>
      </c>
      <c r="E258" s="108">
        <v>45148</v>
      </c>
    </row>
    <row r="259" spans="3:5" ht="20.25" customHeight="1" x14ac:dyDescent="0.25">
      <c r="C259" s="91" t="s">
        <v>8048</v>
      </c>
      <c r="E259" s="108">
        <v>45148</v>
      </c>
    </row>
    <row r="260" spans="3:5" ht="20.25" customHeight="1" x14ac:dyDescent="0.25">
      <c r="C260" s="91" t="s">
        <v>8049</v>
      </c>
      <c r="E260" s="108">
        <v>45148</v>
      </c>
    </row>
    <row r="261" spans="3:5" ht="20.25" customHeight="1" x14ac:dyDescent="0.25">
      <c r="C261" s="91" t="s">
        <v>8050</v>
      </c>
      <c r="E261" s="129"/>
    </row>
    <row r="262" spans="3:5" ht="20.25" customHeight="1" x14ac:dyDescent="0.25">
      <c r="C262" s="91" t="s">
        <v>8051</v>
      </c>
      <c r="E262" s="112"/>
    </row>
    <row r="263" spans="3:5" ht="20.25" customHeight="1" x14ac:dyDescent="0.25">
      <c r="C263" s="91" t="s">
        <v>8052</v>
      </c>
      <c r="E263" s="112"/>
    </row>
    <row r="264" spans="3:5" ht="20.25" customHeight="1" x14ac:dyDescent="0.25">
      <c r="C264" s="91" t="s">
        <v>8053</v>
      </c>
      <c r="E264" s="112"/>
    </row>
    <row r="265" spans="3:5" ht="20.25" customHeight="1" x14ac:dyDescent="0.25">
      <c r="C265" s="91" t="s">
        <v>8054</v>
      </c>
      <c r="E265" s="112"/>
    </row>
    <row r="266" spans="3:5" ht="20.25" customHeight="1" x14ac:dyDescent="0.25">
      <c r="C266" s="91" t="s">
        <v>8055</v>
      </c>
      <c r="E266" s="112"/>
    </row>
    <row r="267" spans="3:5" ht="20.25" customHeight="1" x14ac:dyDescent="0.25">
      <c r="C267" s="91" t="s">
        <v>8056</v>
      </c>
      <c r="E267" s="112"/>
    </row>
    <row r="268" spans="3:5" ht="20.25" customHeight="1" x14ac:dyDescent="0.25">
      <c r="C268" s="91" t="s">
        <v>8057</v>
      </c>
      <c r="E268" s="112"/>
    </row>
    <row r="269" spans="3:5" ht="20.25" customHeight="1" x14ac:dyDescent="0.25">
      <c r="C269" s="91" t="s">
        <v>8058</v>
      </c>
      <c r="E269" s="103" t="s">
        <v>4357</v>
      </c>
    </row>
    <row r="270" spans="3:5" ht="20.25" customHeight="1" x14ac:dyDescent="0.25">
      <c r="C270" s="91" t="s">
        <v>8059</v>
      </c>
      <c r="E270" s="112"/>
    </row>
    <row r="271" spans="3:5" ht="20.25" customHeight="1" x14ac:dyDescent="0.25">
      <c r="C271" s="90" t="s">
        <v>8060</v>
      </c>
      <c r="E271" s="111">
        <v>45111</v>
      </c>
    </row>
    <row r="272" spans="3:5" ht="20.25" customHeight="1" x14ac:dyDescent="0.25">
      <c r="C272" s="91" t="s">
        <v>8061</v>
      </c>
      <c r="E272" s="111">
        <v>45111</v>
      </c>
    </row>
    <row r="273" spans="3:5" ht="20.25" customHeight="1" x14ac:dyDescent="0.25">
      <c r="C273" s="91" t="s">
        <v>8062</v>
      </c>
      <c r="E273" s="111">
        <v>45111</v>
      </c>
    </row>
    <row r="274" spans="3:5" ht="20.25" customHeight="1" x14ac:dyDescent="0.25">
      <c r="C274" s="91" t="s">
        <v>8063</v>
      </c>
      <c r="E274" s="112"/>
    </row>
    <row r="275" spans="3:5" ht="20.25" customHeight="1" x14ac:dyDescent="0.25">
      <c r="C275" s="91" t="s">
        <v>8064</v>
      </c>
      <c r="E275" s="105">
        <v>45097</v>
      </c>
    </row>
    <row r="276" spans="3:5" ht="20.25" customHeight="1" x14ac:dyDescent="0.25">
      <c r="C276" s="91" t="s">
        <v>8065</v>
      </c>
      <c r="E276" s="112"/>
    </row>
    <row r="277" spans="3:5" ht="20.25" customHeight="1" x14ac:dyDescent="0.25">
      <c r="C277" s="91" t="s">
        <v>8066</v>
      </c>
      <c r="E277" s="112"/>
    </row>
    <row r="278" spans="3:5" ht="20.25" customHeight="1" x14ac:dyDescent="0.25">
      <c r="C278" s="91" t="s">
        <v>8067</v>
      </c>
      <c r="E278" s="112"/>
    </row>
    <row r="279" spans="3:5" ht="20.25" customHeight="1" x14ac:dyDescent="0.25">
      <c r="C279" s="91" t="s">
        <v>8068</v>
      </c>
      <c r="E279" s="111">
        <v>45111</v>
      </c>
    </row>
    <row r="280" spans="3:5" ht="20.25" customHeight="1" x14ac:dyDescent="0.25">
      <c r="C280" s="91" t="s">
        <v>8069</v>
      </c>
      <c r="E280" s="111">
        <v>45111</v>
      </c>
    </row>
    <row r="281" spans="3:5" ht="20.25" customHeight="1" x14ac:dyDescent="0.25">
      <c r="C281" s="91" t="s">
        <v>8070</v>
      </c>
      <c r="E281" s="109"/>
    </row>
    <row r="282" spans="3:5" ht="20.25" customHeight="1" x14ac:dyDescent="0.25">
      <c r="C282" s="91" t="s">
        <v>8071</v>
      </c>
      <c r="E282" s="108" t="s">
        <v>4357</v>
      </c>
    </row>
    <row r="283" spans="3:5" ht="20.25" customHeight="1" x14ac:dyDescent="0.25">
      <c r="C283" s="91" t="s">
        <v>8072</v>
      </c>
      <c r="E283" s="112"/>
    </row>
    <row r="284" spans="3:5" ht="20.25" customHeight="1" x14ac:dyDescent="0.25">
      <c r="C284" s="91" t="s">
        <v>8073</v>
      </c>
      <c r="E284" s="111">
        <v>45111</v>
      </c>
    </row>
    <row r="285" spans="3:5" ht="20.25" customHeight="1" x14ac:dyDescent="0.25">
      <c r="C285" s="91" t="s">
        <v>8074</v>
      </c>
      <c r="E285" s="112"/>
    </row>
    <row r="286" spans="3:5" ht="20.25" customHeight="1" x14ac:dyDescent="0.25">
      <c r="C286" s="91" t="s">
        <v>8075</v>
      </c>
      <c r="E286" s="111">
        <v>45111</v>
      </c>
    </row>
    <row r="287" spans="3:5" ht="20.25" customHeight="1" x14ac:dyDescent="0.25">
      <c r="C287" s="91" t="s">
        <v>8076</v>
      </c>
      <c r="E287" s="112"/>
    </row>
    <row r="288" spans="3:5" ht="20.25" customHeight="1" x14ac:dyDescent="0.25">
      <c r="C288" s="91" t="s">
        <v>8077</v>
      </c>
      <c r="E288" s="112"/>
    </row>
    <row r="289" spans="3:5" ht="20.25" customHeight="1" x14ac:dyDescent="0.25">
      <c r="C289" s="91" t="s">
        <v>8078</v>
      </c>
      <c r="E289" s="108" t="s">
        <v>4357</v>
      </c>
    </row>
    <row r="290" spans="3:5" ht="20.25" customHeight="1" x14ac:dyDescent="0.25">
      <c r="C290" s="91" t="s">
        <v>8079</v>
      </c>
      <c r="E290" s="108" t="s">
        <v>4357</v>
      </c>
    </row>
    <row r="291" spans="3:5" ht="20.25" customHeight="1" x14ac:dyDescent="0.25">
      <c r="C291" s="91" t="s">
        <v>8080</v>
      </c>
      <c r="E291" s="108">
        <v>45105</v>
      </c>
    </row>
    <row r="292" spans="3:5" ht="20.25" customHeight="1" x14ac:dyDescent="0.25">
      <c r="C292" s="91" t="s">
        <v>8081</v>
      </c>
      <c r="E292" s="112"/>
    </row>
    <row r="293" spans="3:5" ht="20.25" customHeight="1" x14ac:dyDescent="0.25">
      <c r="C293" s="91" t="s">
        <v>8082</v>
      </c>
      <c r="E293" s="112"/>
    </row>
    <row r="294" spans="3:5" ht="20.25" customHeight="1" x14ac:dyDescent="0.25">
      <c r="C294" s="91" t="s">
        <v>8083</v>
      </c>
      <c r="E294" s="109"/>
    </row>
    <row r="295" spans="3:5" ht="20.25" customHeight="1" x14ac:dyDescent="0.25">
      <c r="C295" s="91" t="s">
        <v>8084</v>
      </c>
      <c r="E295" s="112"/>
    </row>
    <row r="296" spans="3:5" ht="20.25" customHeight="1" x14ac:dyDescent="0.25">
      <c r="C296" s="91" t="s">
        <v>8085</v>
      </c>
      <c r="E296" s="105">
        <v>44961</v>
      </c>
    </row>
    <row r="297" spans="3:5" ht="20.25" customHeight="1" x14ac:dyDescent="0.25">
      <c r="C297" s="91" t="s">
        <v>8086</v>
      </c>
      <c r="E297" s="112"/>
    </row>
    <row r="298" spans="3:5" ht="20.25" customHeight="1" x14ac:dyDescent="0.25">
      <c r="C298" s="91" t="s">
        <v>8087</v>
      </c>
      <c r="E298" s="112"/>
    </row>
    <row r="299" spans="3:5" ht="20.25" customHeight="1" x14ac:dyDescent="0.25">
      <c r="C299" s="91" t="s">
        <v>8088</v>
      </c>
      <c r="E299" s="112"/>
    </row>
    <row r="300" spans="3:5" ht="20.25" customHeight="1" x14ac:dyDescent="0.25">
      <c r="C300" s="91" t="s">
        <v>8089</v>
      </c>
      <c r="E300" s="108">
        <v>45148</v>
      </c>
    </row>
    <row r="301" spans="3:5" ht="20.25" customHeight="1" x14ac:dyDescent="0.25">
      <c r="C301" s="97" t="s">
        <v>8090</v>
      </c>
      <c r="E301" s="112"/>
    </row>
    <row r="302" spans="3:5" ht="20.25" customHeight="1" x14ac:dyDescent="0.25">
      <c r="C302" s="97" t="s">
        <v>8091</v>
      </c>
      <c r="E302" s="105">
        <v>45097</v>
      </c>
    </row>
    <row r="303" spans="3:5" ht="20.25" customHeight="1" x14ac:dyDescent="0.25">
      <c r="C303" s="91" t="s">
        <v>8092</v>
      </c>
      <c r="E303" s="108">
        <v>45105</v>
      </c>
    </row>
    <row r="304" spans="3:5" ht="20.25" customHeight="1" x14ac:dyDescent="0.25">
      <c r="C304" s="91" t="s">
        <v>8093</v>
      </c>
      <c r="E304" s="112"/>
    </row>
    <row r="305" spans="3:5" ht="20.25" customHeight="1" x14ac:dyDescent="0.25">
      <c r="C305" s="91" t="s">
        <v>8094</v>
      </c>
      <c r="E305" s="112"/>
    </row>
    <row r="306" spans="3:5" ht="20.25" customHeight="1" x14ac:dyDescent="0.25">
      <c r="C306" s="91" t="s">
        <v>8095</v>
      </c>
      <c r="E306" s="112"/>
    </row>
    <row r="307" spans="3:5" ht="20.25" customHeight="1" x14ac:dyDescent="0.25">
      <c r="C307" s="91" t="s">
        <v>8096</v>
      </c>
      <c r="E307" s="105">
        <v>45097</v>
      </c>
    </row>
    <row r="308" spans="3:5" ht="20.25" customHeight="1" x14ac:dyDescent="0.25">
      <c r="C308" s="91" t="s">
        <v>8097</v>
      </c>
      <c r="E308" s="112"/>
    </row>
    <row r="309" spans="3:5" ht="20.25" customHeight="1" x14ac:dyDescent="0.25">
      <c r="C309" s="91" t="s">
        <v>8098</v>
      </c>
      <c r="E309" s="112"/>
    </row>
    <row r="310" spans="3:5" ht="20.25" customHeight="1" x14ac:dyDescent="0.25">
      <c r="C310" s="91" t="s">
        <v>8099</v>
      </c>
      <c r="E310" s="112"/>
    </row>
    <row r="311" spans="3:5" ht="20.25" customHeight="1" x14ac:dyDescent="0.25">
      <c r="C311" s="91" t="s">
        <v>8100</v>
      </c>
      <c r="E311" s="112"/>
    </row>
    <row r="312" spans="3:5" ht="20.25" customHeight="1" x14ac:dyDescent="0.25">
      <c r="C312" s="97" t="s">
        <v>8101</v>
      </c>
      <c r="E312" s="112"/>
    </row>
    <row r="313" spans="3:5" ht="20.25" customHeight="1" x14ac:dyDescent="0.25">
      <c r="C313" s="91" t="s">
        <v>8102</v>
      </c>
      <c r="E313" s="112"/>
    </row>
    <row r="314" spans="3:5" ht="20.25" customHeight="1" x14ac:dyDescent="0.25">
      <c r="C314" s="91" t="s">
        <v>8103</v>
      </c>
      <c r="E314" s="112"/>
    </row>
    <row r="315" spans="3:5" ht="20.25" customHeight="1" x14ac:dyDescent="0.25">
      <c r="C315" s="97" t="s">
        <v>8104</v>
      </c>
      <c r="E315" s="112"/>
    </row>
    <row r="316" spans="3:5" ht="20.25" customHeight="1" x14ac:dyDescent="0.25">
      <c r="C316" s="91" t="s">
        <v>8105</v>
      </c>
      <c r="E316" s="112"/>
    </row>
    <row r="317" spans="3:5" ht="20.25" customHeight="1" x14ac:dyDescent="0.25">
      <c r="C317" s="91" t="s">
        <v>8106</v>
      </c>
      <c r="E317" s="112"/>
    </row>
    <row r="318" spans="3:5" ht="20.25" customHeight="1" x14ac:dyDescent="0.25">
      <c r="C318" s="91" t="s">
        <v>8107</v>
      </c>
      <c r="E318" s="111">
        <v>45111</v>
      </c>
    </row>
    <row r="319" spans="3:5" ht="20.25" customHeight="1" x14ac:dyDescent="0.25">
      <c r="C319" s="91" t="s">
        <v>8108</v>
      </c>
      <c r="E319" s="112"/>
    </row>
    <row r="320" spans="3:5" ht="20.25" customHeight="1" x14ac:dyDescent="0.25">
      <c r="C320" s="91" t="s">
        <v>8109</v>
      </c>
      <c r="E320" s="103" t="s">
        <v>4357</v>
      </c>
    </row>
    <row r="321" spans="3:5" ht="20.25" customHeight="1" x14ac:dyDescent="0.25">
      <c r="C321" s="91" t="s">
        <v>8110</v>
      </c>
      <c r="E321" s="112"/>
    </row>
    <row r="322" spans="3:5" ht="20.25" customHeight="1" x14ac:dyDescent="0.25">
      <c r="C322" s="91" t="s">
        <v>8111</v>
      </c>
      <c r="E322" s="112"/>
    </row>
    <row r="323" spans="3:5" ht="20.25" customHeight="1" x14ac:dyDescent="0.25">
      <c r="C323" s="91" t="s">
        <v>8112</v>
      </c>
      <c r="E323" s="112"/>
    </row>
    <row r="324" spans="3:5" ht="20.25" customHeight="1" x14ac:dyDescent="0.25">
      <c r="C324" s="91" t="s">
        <v>8113</v>
      </c>
      <c r="E324" s="112"/>
    </row>
    <row r="325" spans="3:5" ht="20.25" customHeight="1" x14ac:dyDescent="0.25">
      <c r="C325" s="91" t="s">
        <v>8114</v>
      </c>
      <c r="E325" s="112"/>
    </row>
    <row r="326" spans="3:5" ht="20.25" customHeight="1" x14ac:dyDescent="0.25">
      <c r="C326" s="91" t="s">
        <v>8115</v>
      </c>
      <c r="E326" s="112"/>
    </row>
    <row r="327" spans="3:5" ht="20.25" customHeight="1" x14ac:dyDescent="0.25">
      <c r="C327" s="91" t="s">
        <v>8116</v>
      </c>
      <c r="E327" s="112"/>
    </row>
    <row r="328" spans="3:5" ht="20.25" customHeight="1" x14ac:dyDescent="0.25">
      <c r="C328" s="97" t="s">
        <v>8117</v>
      </c>
      <c r="E328" s="112"/>
    </row>
    <row r="329" spans="3:5" ht="20.25" customHeight="1" x14ac:dyDescent="0.25">
      <c r="C329" s="91" t="s">
        <v>8118</v>
      </c>
      <c r="E329" s="112"/>
    </row>
    <row r="330" spans="3:5" ht="20.25" customHeight="1" x14ac:dyDescent="0.25">
      <c r="C330" s="91" t="s">
        <v>8119</v>
      </c>
      <c r="E330" s="112"/>
    </row>
    <row r="331" spans="3:5" ht="20.25" customHeight="1" x14ac:dyDescent="0.25">
      <c r="C331" s="91" t="s">
        <v>8120</v>
      </c>
      <c r="E331" s="112"/>
    </row>
    <row r="332" spans="3:5" ht="20.25" customHeight="1" x14ac:dyDescent="0.25">
      <c r="C332" s="91" t="s">
        <v>8121</v>
      </c>
      <c r="E332" s="112"/>
    </row>
    <row r="333" spans="3:5" ht="20.25" customHeight="1" x14ac:dyDescent="0.25">
      <c r="C333" s="91" t="s">
        <v>8122</v>
      </c>
      <c r="E333" s="112"/>
    </row>
    <row r="334" spans="3:5" ht="20.25" customHeight="1" x14ac:dyDescent="0.25">
      <c r="C334" s="91" t="s">
        <v>8123</v>
      </c>
      <c r="E334" s="112"/>
    </row>
    <row r="335" spans="3:5" ht="20.25" customHeight="1" x14ac:dyDescent="0.25">
      <c r="C335" s="97" t="s">
        <v>8124</v>
      </c>
      <c r="E335" s="112"/>
    </row>
    <row r="336" spans="3:5" ht="20.25" customHeight="1" x14ac:dyDescent="0.25">
      <c r="C336" s="97" t="s">
        <v>8125</v>
      </c>
      <c r="E336" s="112"/>
    </row>
    <row r="337" spans="3:5" ht="20.25" customHeight="1" x14ac:dyDescent="0.25">
      <c r="C337" s="91" t="s">
        <v>8126</v>
      </c>
      <c r="E337" s="112"/>
    </row>
    <row r="338" spans="3:5" ht="20.25" customHeight="1" x14ac:dyDescent="0.25">
      <c r="C338" s="91" t="s">
        <v>8127</v>
      </c>
      <c r="E338" s="112"/>
    </row>
    <row r="339" spans="3:5" ht="20.25" customHeight="1" x14ac:dyDescent="0.25">
      <c r="C339" s="91" t="s">
        <v>8128</v>
      </c>
      <c r="E339" s="112"/>
    </row>
    <row r="340" spans="3:5" ht="20.25" customHeight="1" x14ac:dyDescent="0.25">
      <c r="C340" s="91" t="s">
        <v>8129</v>
      </c>
      <c r="E340" s="112"/>
    </row>
    <row r="341" spans="3:5" ht="20.25" customHeight="1" x14ac:dyDescent="0.25">
      <c r="C341" s="91" t="s">
        <v>8130</v>
      </c>
      <c r="E341" s="112"/>
    </row>
    <row r="342" spans="3:5" ht="20.25" customHeight="1" x14ac:dyDescent="0.25">
      <c r="C342" s="91" t="s">
        <v>8131</v>
      </c>
      <c r="E342" s="112"/>
    </row>
    <row r="343" spans="3:5" ht="20.25" customHeight="1" x14ac:dyDescent="0.25">
      <c r="C343" s="91" t="s">
        <v>8132</v>
      </c>
      <c r="E343" s="112"/>
    </row>
    <row r="344" spans="3:5" ht="20.25" customHeight="1" x14ac:dyDescent="0.25">
      <c r="C344" s="91" t="s">
        <v>8133</v>
      </c>
      <c r="E344" s="112"/>
    </row>
    <row r="345" spans="3:5" ht="20.25" customHeight="1" x14ac:dyDescent="0.25">
      <c r="C345" s="97" t="s">
        <v>8134</v>
      </c>
      <c r="E345" s="112"/>
    </row>
    <row r="346" spans="3:5" ht="20.25" customHeight="1" x14ac:dyDescent="0.25">
      <c r="C346" s="97" t="s">
        <v>8135</v>
      </c>
      <c r="E346" s="112"/>
    </row>
    <row r="347" spans="3:5" ht="20.25" customHeight="1" x14ac:dyDescent="0.25">
      <c r="C347" s="91" t="s">
        <v>8136</v>
      </c>
      <c r="E347" s="112"/>
    </row>
    <row r="348" spans="3:5" ht="20.25" customHeight="1" x14ac:dyDescent="0.25">
      <c r="C348" s="91" t="s">
        <v>8137</v>
      </c>
      <c r="E348" s="108">
        <v>45148</v>
      </c>
    </row>
    <row r="349" spans="3:5" ht="20.25" customHeight="1" x14ac:dyDescent="0.25">
      <c r="C349" s="97" t="s">
        <v>8138</v>
      </c>
      <c r="E349" s="113"/>
    </row>
    <row r="350" spans="3:5" ht="20.25" customHeight="1" x14ac:dyDescent="0.25">
      <c r="C350" s="91" t="s">
        <v>8139</v>
      </c>
      <c r="E350" s="107"/>
    </row>
    <row r="351" spans="3:5" ht="20.25" customHeight="1" x14ac:dyDescent="0.25">
      <c r="C351" s="91" t="s">
        <v>8140</v>
      </c>
      <c r="E351" s="129"/>
    </row>
    <row r="352" spans="3:5" ht="20.25" customHeight="1" x14ac:dyDescent="0.25">
      <c r="C352" s="91" t="s">
        <v>8141</v>
      </c>
      <c r="E352" s="105">
        <v>44961</v>
      </c>
    </row>
    <row r="353" spans="3:5" ht="20.25" customHeight="1" x14ac:dyDescent="0.25">
      <c r="C353" s="91" t="s">
        <v>8142</v>
      </c>
      <c r="E353" s="105">
        <v>44992</v>
      </c>
    </row>
    <row r="354" spans="3:5" ht="20.25" customHeight="1" x14ac:dyDescent="0.25">
      <c r="C354" s="91" t="s">
        <v>8143</v>
      </c>
      <c r="E354" s="108">
        <v>45105</v>
      </c>
    </row>
    <row r="355" spans="3:5" ht="20.25" customHeight="1" x14ac:dyDescent="0.25">
      <c r="C355" s="91" t="s">
        <v>8144</v>
      </c>
      <c r="E355" s="105">
        <v>44961</v>
      </c>
    </row>
    <row r="356" spans="3:5" ht="20.25" customHeight="1" x14ac:dyDescent="0.25">
      <c r="C356" s="91" t="s">
        <v>8145</v>
      </c>
      <c r="E356" s="105">
        <v>44961</v>
      </c>
    </row>
    <row r="357" spans="3:5" ht="20.25" customHeight="1" x14ac:dyDescent="0.25">
      <c r="C357" s="91" t="s">
        <v>8146</v>
      </c>
      <c r="E357" s="112"/>
    </row>
    <row r="358" spans="3:5" ht="20.25" customHeight="1" x14ac:dyDescent="0.25">
      <c r="C358" s="91" t="s">
        <v>8147</v>
      </c>
      <c r="E358" s="105">
        <v>44992</v>
      </c>
    </row>
    <row r="359" spans="3:5" ht="20.25" customHeight="1" x14ac:dyDescent="0.25">
      <c r="C359" s="91" t="s">
        <v>8148</v>
      </c>
      <c r="E359" s="105">
        <v>44961</v>
      </c>
    </row>
    <row r="360" spans="3:5" ht="20.25" customHeight="1" x14ac:dyDescent="0.25">
      <c r="C360" s="91" t="s">
        <v>8149</v>
      </c>
      <c r="E360" s="105">
        <v>44961</v>
      </c>
    </row>
    <row r="361" spans="3:5" ht="20.25" customHeight="1" x14ac:dyDescent="0.25">
      <c r="C361" s="91" t="s">
        <v>8150</v>
      </c>
      <c r="E361" s="105">
        <v>44961</v>
      </c>
    </row>
    <row r="362" spans="3:5" ht="20.25" customHeight="1" x14ac:dyDescent="0.25">
      <c r="C362" s="91" t="s">
        <v>7816</v>
      </c>
      <c r="E362" s="105">
        <v>44961</v>
      </c>
    </row>
    <row r="363" spans="3:5" ht="20.25" customHeight="1" x14ac:dyDescent="0.25">
      <c r="C363" s="91" t="s">
        <v>7818</v>
      </c>
      <c r="E363" s="112"/>
    </row>
    <row r="364" spans="3:5" ht="20.25" customHeight="1" x14ac:dyDescent="0.25">
      <c r="C364" s="91" t="s">
        <v>7820</v>
      </c>
      <c r="E364" s="105">
        <v>44961</v>
      </c>
    </row>
    <row r="365" spans="3:5" ht="20.25" customHeight="1" x14ac:dyDescent="0.25">
      <c r="C365" s="91" t="s">
        <v>8151</v>
      </c>
      <c r="E365" s="112"/>
    </row>
    <row r="366" spans="3:5" ht="20.25" customHeight="1" x14ac:dyDescent="0.25">
      <c r="C366" s="91" t="s">
        <v>8152</v>
      </c>
      <c r="E366" s="112"/>
    </row>
    <row r="367" spans="3:5" ht="20.25" customHeight="1" x14ac:dyDescent="0.25">
      <c r="C367" s="91" t="s">
        <v>8153</v>
      </c>
      <c r="E367" s="108">
        <v>45106</v>
      </c>
    </row>
    <row r="368" spans="3:5" ht="20.25" customHeight="1" x14ac:dyDescent="0.25">
      <c r="C368" s="91" t="s">
        <v>8154</v>
      </c>
      <c r="E368" s="112"/>
    </row>
    <row r="369" spans="3:5" ht="20.25" customHeight="1" x14ac:dyDescent="0.25">
      <c r="C369" s="91" t="s">
        <v>8155</v>
      </c>
      <c r="E369" s="108">
        <v>45105</v>
      </c>
    </row>
    <row r="370" spans="3:5" ht="20.25" customHeight="1" x14ac:dyDescent="0.25">
      <c r="C370" s="91" t="s">
        <v>8156</v>
      </c>
      <c r="E370" s="108">
        <v>45148</v>
      </c>
    </row>
    <row r="371" spans="3:5" ht="20.25" customHeight="1" x14ac:dyDescent="0.25">
      <c r="C371" s="91" t="s">
        <v>8157</v>
      </c>
      <c r="E371" s="112"/>
    </row>
    <row r="372" spans="3:5" ht="20.25" customHeight="1" x14ac:dyDescent="0.25">
      <c r="C372" s="91" t="s">
        <v>8158</v>
      </c>
      <c r="E372" s="112"/>
    </row>
    <row r="373" spans="3:5" ht="20.25" customHeight="1" x14ac:dyDescent="0.25">
      <c r="C373" s="91" t="s">
        <v>8159</v>
      </c>
      <c r="E373" s="108">
        <v>45105</v>
      </c>
    </row>
    <row r="374" spans="3:5" ht="20.25" customHeight="1" x14ac:dyDescent="0.25">
      <c r="C374" s="91" t="s">
        <v>8160</v>
      </c>
      <c r="E374" s="103" t="s">
        <v>4357</v>
      </c>
    </row>
    <row r="375" spans="3:5" ht="20.25" customHeight="1" x14ac:dyDescent="0.25">
      <c r="C375" s="91" t="s">
        <v>8161</v>
      </c>
      <c r="E375" s="108">
        <v>45148</v>
      </c>
    </row>
    <row r="376" spans="3:5" ht="20.25" customHeight="1" x14ac:dyDescent="0.25">
      <c r="C376" s="91" t="s">
        <v>8162</v>
      </c>
      <c r="E376" s="112"/>
    </row>
    <row r="377" spans="3:5" ht="20.25" customHeight="1" x14ac:dyDescent="0.25">
      <c r="C377" s="97" t="s">
        <v>7822</v>
      </c>
      <c r="E377" s="129"/>
    </row>
    <row r="378" spans="3:5" ht="20.25" customHeight="1" x14ac:dyDescent="0.25">
      <c r="C378" s="91" t="s">
        <v>7824</v>
      </c>
      <c r="E378" s="108">
        <v>45148</v>
      </c>
    </row>
    <row r="379" spans="3:5" ht="20.25" customHeight="1" x14ac:dyDescent="0.25">
      <c r="C379" s="91" t="s">
        <v>8163</v>
      </c>
      <c r="E379" s="108">
        <v>45148</v>
      </c>
    </row>
    <row r="380" spans="3:5" ht="20.25" customHeight="1" x14ac:dyDescent="0.25">
      <c r="C380" s="91" t="s">
        <v>8164</v>
      </c>
      <c r="E380" s="108">
        <v>45148</v>
      </c>
    </row>
    <row r="381" spans="3:5" ht="20.25" customHeight="1" x14ac:dyDescent="0.25">
      <c r="C381" s="91" t="s">
        <v>8165</v>
      </c>
      <c r="E381" s="109"/>
    </row>
    <row r="382" spans="3:5" ht="20.25" customHeight="1" x14ac:dyDescent="0.25">
      <c r="C382" s="91" t="s">
        <v>8166</v>
      </c>
      <c r="E382" s="108">
        <v>45148</v>
      </c>
    </row>
    <row r="383" spans="3:5" ht="20.25" customHeight="1" x14ac:dyDescent="0.25">
      <c r="C383" s="91" t="s">
        <v>8167</v>
      </c>
      <c r="E383" s="108">
        <v>45148</v>
      </c>
    </row>
    <row r="384" spans="3:5" ht="20.25" customHeight="1" x14ac:dyDescent="0.25">
      <c r="C384" s="91" t="s">
        <v>8168</v>
      </c>
      <c r="E384" s="108">
        <v>45148</v>
      </c>
    </row>
    <row r="385" spans="3:5" ht="20.25" customHeight="1" x14ac:dyDescent="0.25">
      <c r="C385" s="91" t="s">
        <v>8169</v>
      </c>
      <c r="E385" s="108">
        <v>45105</v>
      </c>
    </row>
    <row r="386" spans="3:5" ht="20.25" customHeight="1" x14ac:dyDescent="0.25">
      <c r="C386" s="91" t="s">
        <v>8170</v>
      </c>
      <c r="E386" s="105">
        <v>44961</v>
      </c>
    </row>
    <row r="387" spans="3:5" ht="20.25" customHeight="1" x14ac:dyDescent="0.25">
      <c r="C387" s="91" t="s">
        <v>8171</v>
      </c>
      <c r="E387" s="105">
        <v>44961</v>
      </c>
    </row>
    <row r="388" spans="3:5" ht="20.25" customHeight="1" x14ac:dyDescent="0.25">
      <c r="C388" s="91" t="s">
        <v>8172</v>
      </c>
      <c r="E388" s="105">
        <v>44992</v>
      </c>
    </row>
    <row r="389" spans="3:5" ht="20.25" customHeight="1" x14ac:dyDescent="0.25">
      <c r="C389" s="91" t="s">
        <v>8173</v>
      </c>
      <c r="E389" s="105">
        <v>44992</v>
      </c>
    </row>
    <row r="390" spans="3:5" ht="20.25" customHeight="1" x14ac:dyDescent="0.25">
      <c r="C390" s="91" t="s">
        <v>8174</v>
      </c>
      <c r="E390" s="112"/>
    </row>
    <row r="391" spans="3:5" ht="20.25" customHeight="1" x14ac:dyDescent="0.25">
      <c r="C391" s="91" t="s">
        <v>8175</v>
      </c>
      <c r="E391" s="112"/>
    </row>
    <row r="392" spans="3:5" ht="20.25" customHeight="1" x14ac:dyDescent="0.25">
      <c r="C392" s="97" t="s">
        <v>8176</v>
      </c>
      <c r="E392" s="112"/>
    </row>
    <row r="393" spans="3:5" ht="20.25" customHeight="1" x14ac:dyDescent="0.25">
      <c r="C393" s="97" t="s">
        <v>8177</v>
      </c>
      <c r="E393" s="108">
        <v>45105</v>
      </c>
    </row>
    <row r="394" spans="3:5" ht="20.25" customHeight="1" x14ac:dyDescent="0.25">
      <c r="C394" s="91" t="s">
        <v>8178</v>
      </c>
      <c r="E394" s="105">
        <v>44961</v>
      </c>
    </row>
    <row r="395" spans="3:5" ht="20.25" customHeight="1" x14ac:dyDescent="0.25">
      <c r="C395" s="91" t="s">
        <v>8179</v>
      </c>
      <c r="E395" s="105">
        <v>44961</v>
      </c>
    </row>
    <row r="396" spans="3:5" ht="20.25" customHeight="1" x14ac:dyDescent="0.25">
      <c r="C396" s="91" t="s">
        <v>8180</v>
      </c>
      <c r="E396" s="108">
        <v>45105</v>
      </c>
    </row>
    <row r="397" spans="3:5" ht="20.25" customHeight="1" x14ac:dyDescent="0.25">
      <c r="C397" s="91" t="s">
        <v>8181</v>
      </c>
      <c r="E397" s="105">
        <v>44961</v>
      </c>
    </row>
    <row r="398" spans="3:5" ht="20.25" customHeight="1" x14ac:dyDescent="0.25">
      <c r="C398" s="91" t="s">
        <v>8182</v>
      </c>
      <c r="E398" s="108">
        <v>45105</v>
      </c>
    </row>
    <row r="399" spans="3:5" ht="20.25" customHeight="1" x14ac:dyDescent="0.25">
      <c r="C399" s="91" t="s">
        <v>8183</v>
      </c>
      <c r="E399" s="105">
        <v>44961</v>
      </c>
    </row>
    <row r="400" spans="3:5" ht="20.25" customHeight="1" x14ac:dyDescent="0.25">
      <c r="C400" s="91" t="s">
        <v>8184</v>
      </c>
      <c r="E400" s="112"/>
    </row>
    <row r="401" spans="3:5" ht="20.25" customHeight="1" x14ac:dyDescent="0.25">
      <c r="C401" s="91" t="s">
        <v>8185</v>
      </c>
      <c r="E401" s="112"/>
    </row>
    <row r="402" spans="3:5" ht="20.25" customHeight="1" x14ac:dyDescent="0.25">
      <c r="C402" s="91" t="s">
        <v>7826</v>
      </c>
      <c r="E402" s="105">
        <v>44992</v>
      </c>
    </row>
    <row r="403" spans="3:5" ht="20.25" customHeight="1" x14ac:dyDescent="0.25">
      <c r="C403" s="91" t="s">
        <v>8186</v>
      </c>
      <c r="E403" s="112"/>
    </row>
    <row r="404" spans="3:5" ht="20.25" customHeight="1" x14ac:dyDescent="0.25">
      <c r="C404" s="91" t="s">
        <v>8187</v>
      </c>
      <c r="E404" s="112"/>
    </row>
    <row r="405" spans="3:5" ht="20.25" customHeight="1" x14ac:dyDescent="0.25">
      <c r="C405" s="91" t="s">
        <v>8188</v>
      </c>
      <c r="E405" s="108">
        <v>45148</v>
      </c>
    </row>
    <row r="406" spans="3:5" ht="20.25" customHeight="1" x14ac:dyDescent="0.25">
      <c r="C406" s="91" t="s">
        <v>8189</v>
      </c>
      <c r="E406" s="105">
        <v>44889</v>
      </c>
    </row>
    <row r="407" spans="3:5" ht="20.25" customHeight="1" x14ac:dyDescent="0.25">
      <c r="C407" s="91" t="s">
        <v>8190</v>
      </c>
      <c r="E407" s="105">
        <v>44889</v>
      </c>
    </row>
    <row r="408" spans="3:5" ht="20.25" customHeight="1" x14ac:dyDescent="0.25">
      <c r="C408" s="91" t="s">
        <v>8191</v>
      </c>
      <c r="E408" s="105">
        <v>44992</v>
      </c>
    </row>
    <row r="409" spans="3:5" ht="20.25" customHeight="1" x14ac:dyDescent="0.25">
      <c r="C409" s="91" t="s">
        <v>8192</v>
      </c>
      <c r="E409" s="111">
        <v>45111</v>
      </c>
    </row>
    <row r="410" spans="3:5" ht="20.25" customHeight="1" x14ac:dyDescent="0.25">
      <c r="C410" s="91" t="s">
        <v>8193</v>
      </c>
      <c r="E410" s="103" t="s">
        <v>4357</v>
      </c>
    </row>
    <row r="411" spans="3:5" ht="20.25" customHeight="1" x14ac:dyDescent="0.25">
      <c r="C411" s="91" t="s">
        <v>8194</v>
      </c>
      <c r="E411" s="103" t="s">
        <v>4357</v>
      </c>
    </row>
    <row r="412" spans="3:5" ht="20.25" customHeight="1" x14ac:dyDescent="0.25">
      <c r="C412" s="91" t="s">
        <v>8195</v>
      </c>
      <c r="E412" s="103" t="s">
        <v>4357</v>
      </c>
    </row>
    <row r="413" spans="3:5" ht="20.25" customHeight="1" x14ac:dyDescent="0.25">
      <c r="C413" s="91" t="s">
        <v>8196</v>
      </c>
      <c r="E413" s="112"/>
    </row>
    <row r="414" spans="3:5" ht="20.25" customHeight="1" x14ac:dyDescent="0.25">
      <c r="C414" s="91" t="s">
        <v>8197</v>
      </c>
      <c r="E414" s="112"/>
    </row>
    <row r="415" spans="3:5" ht="20.25" customHeight="1" x14ac:dyDescent="0.25">
      <c r="C415" s="91" t="s">
        <v>8198</v>
      </c>
      <c r="E415" s="112"/>
    </row>
    <row r="416" spans="3:5" ht="20.25" customHeight="1" x14ac:dyDescent="0.25">
      <c r="C416" s="91" t="s">
        <v>8199</v>
      </c>
      <c r="E416" s="112"/>
    </row>
    <row r="417" spans="3:5" ht="20.25" customHeight="1" x14ac:dyDescent="0.25">
      <c r="C417" s="91" t="s">
        <v>8200</v>
      </c>
      <c r="E417" s="105">
        <v>44816</v>
      </c>
    </row>
    <row r="418" spans="3:5" ht="20.25" customHeight="1" x14ac:dyDescent="0.25">
      <c r="C418" s="91" t="s">
        <v>8201</v>
      </c>
      <c r="E418" s="105">
        <v>44910</v>
      </c>
    </row>
    <row r="419" spans="3:5" ht="20.25" customHeight="1" x14ac:dyDescent="0.25">
      <c r="C419" s="91" t="s">
        <v>8202</v>
      </c>
      <c r="E419" s="105">
        <v>44816</v>
      </c>
    </row>
    <row r="420" spans="3:5" ht="20.25" customHeight="1" x14ac:dyDescent="0.25">
      <c r="C420" s="91" t="s">
        <v>8203</v>
      </c>
      <c r="E420" s="103" t="s">
        <v>4357</v>
      </c>
    </row>
    <row r="421" spans="3:5" ht="20.25" customHeight="1" x14ac:dyDescent="0.25">
      <c r="C421" s="91" t="s">
        <v>8204</v>
      </c>
      <c r="E421" s="105">
        <v>44923</v>
      </c>
    </row>
    <row r="422" spans="3:5" ht="20.25" customHeight="1" x14ac:dyDescent="0.25">
      <c r="C422" s="91" t="s">
        <v>8205</v>
      </c>
      <c r="E422" s="103"/>
    </row>
    <row r="423" spans="3:5" ht="20.25" customHeight="1" x14ac:dyDescent="0.25">
      <c r="C423" s="91" t="s">
        <v>8206</v>
      </c>
      <c r="E423" s="105">
        <v>45013</v>
      </c>
    </row>
    <row r="424" spans="3:5" ht="20.25" customHeight="1" x14ac:dyDescent="0.25">
      <c r="C424" s="91" t="s">
        <v>8207</v>
      </c>
      <c r="E424" s="105">
        <v>44923</v>
      </c>
    </row>
    <row r="425" spans="3:5" ht="20.25" customHeight="1" x14ac:dyDescent="0.25">
      <c r="C425" s="91" t="s">
        <v>8208</v>
      </c>
      <c r="E425" s="105">
        <v>44923</v>
      </c>
    </row>
    <row r="426" spans="3:5" ht="20.25" customHeight="1" x14ac:dyDescent="0.25">
      <c r="C426" s="91" t="s">
        <v>8209</v>
      </c>
      <c r="E426" s="105">
        <v>44816</v>
      </c>
    </row>
    <row r="427" spans="3:5" ht="20.25" customHeight="1" x14ac:dyDescent="0.25">
      <c r="C427" s="91" t="s">
        <v>7828</v>
      </c>
      <c r="E427" s="103" t="s">
        <v>4357</v>
      </c>
    </row>
    <row r="428" spans="3:5" ht="20.25" customHeight="1" x14ac:dyDescent="0.25">
      <c r="C428" s="91" t="s">
        <v>8210</v>
      </c>
      <c r="E428" s="103" t="s">
        <v>4357</v>
      </c>
    </row>
    <row r="429" spans="3:5" ht="20.25" customHeight="1" x14ac:dyDescent="0.25">
      <c r="C429" s="91" t="s">
        <v>8211</v>
      </c>
      <c r="E429" s="105">
        <v>44816</v>
      </c>
    </row>
    <row r="430" spans="3:5" ht="20.25" customHeight="1" x14ac:dyDescent="0.25">
      <c r="C430" s="91" t="s">
        <v>8212</v>
      </c>
      <c r="E430" s="105">
        <v>44816</v>
      </c>
    </row>
    <row r="431" spans="3:5" ht="20.25" customHeight="1" x14ac:dyDescent="0.25">
      <c r="C431" s="91" t="s">
        <v>8213</v>
      </c>
      <c r="E431" s="105">
        <v>44816</v>
      </c>
    </row>
    <row r="432" spans="3:5" ht="20.25" customHeight="1" x14ac:dyDescent="0.25">
      <c r="C432" s="91" t="s">
        <v>8214</v>
      </c>
      <c r="E432" s="103" t="s">
        <v>4357</v>
      </c>
    </row>
    <row r="433" spans="3:5" ht="20.25" customHeight="1" x14ac:dyDescent="0.25">
      <c r="C433" s="91" t="s">
        <v>8215</v>
      </c>
      <c r="E433" s="119">
        <v>45034</v>
      </c>
    </row>
    <row r="434" spans="3:5" ht="20.25" customHeight="1" x14ac:dyDescent="0.25">
      <c r="C434" s="91" t="s">
        <v>8216</v>
      </c>
      <c r="E434" s="105">
        <v>44992</v>
      </c>
    </row>
    <row r="435" spans="3:5" ht="20.25" customHeight="1" x14ac:dyDescent="0.25">
      <c r="C435" s="91" t="s">
        <v>8217</v>
      </c>
      <c r="E435" s="105">
        <v>44992</v>
      </c>
    </row>
    <row r="436" spans="3:5" ht="20.25" customHeight="1" x14ac:dyDescent="0.25">
      <c r="C436" s="91" t="s">
        <v>8218</v>
      </c>
      <c r="E436" s="119">
        <v>45034</v>
      </c>
    </row>
    <row r="437" spans="3:5" ht="20.25" customHeight="1" x14ac:dyDescent="0.25">
      <c r="C437" s="91" t="s">
        <v>8219</v>
      </c>
      <c r="E437" s="103" t="s">
        <v>4357</v>
      </c>
    </row>
    <row r="438" spans="3:5" ht="20.25" customHeight="1" x14ac:dyDescent="0.25">
      <c r="C438" s="91" t="s">
        <v>8220</v>
      </c>
      <c r="E438" s="103" t="s">
        <v>4357</v>
      </c>
    </row>
    <row r="439" spans="3:5" ht="20.25" customHeight="1" x14ac:dyDescent="0.25">
      <c r="C439" s="91" t="s">
        <v>8221</v>
      </c>
      <c r="E439" s="103" t="s">
        <v>4357</v>
      </c>
    </row>
    <row r="440" spans="3:5" ht="20.25" customHeight="1" x14ac:dyDescent="0.25">
      <c r="C440" s="91" t="s">
        <v>8222</v>
      </c>
      <c r="E440" s="105">
        <v>44862</v>
      </c>
    </row>
    <row r="441" spans="3:5" ht="20.25" customHeight="1" x14ac:dyDescent="0.25">
      <c r="C441" s="97" t="s">
        <v>8223</v>
      </c>
      <c r="E441" s="103" t="s">
        <v>4357</v>
      </c>
    </row>
    <row r="442" spans="3:5" ht="20.25" customHeight="1" x14ac:dyDescent="0.25">
      <c r="C442" s="91" t="s">
        <v>8224</v>
      </c>
      <c r="E442" s="105">
        <v>44862</v>
      </c>
    </row>
    <row r="443" spans="3:5" ht="20.25" customHeight="1" x14ac:dyDescent="0.25">
      <c r="C443" s="91" t="s">
        <v>8225</v>
      </c>
      <c r="E443" s="119">
        <v>45040</v>
      </c>
    </row>
    <row r="444" spans="3:5" ht="20.25" customHeight="1" x14ac:dyDescent="0.25">
      <c r="C444" s="91" t="s">
        <v>8226</v>
      </c>
      <c r="E444" s="103" t="s">
        <v>4357</v>
      </c>
    </row>
    <row r="445" spans="3:5" ht="20.25" customHeight="1" x14ac:dyDescent="0.25">
      <c r="C445" s="91" t="s">
        <v>8227</v>
      </c>
      <c r="E445" s="103" t="s">
        <v>4357</v>
      </c>
    </row>
    <row r="446" spans="3:5" ht="20.25" customHeight="1" x14ac:dyDescent="0.25">
      <c r="C446" s="91" t="s">
        <v>8228</v>
      </c>
      <c r="E446" s="103" t="s">
        <v>4357</v>
      </c>
    </row>
    <row r="447" spans="3:5" ht="20.25" customHeight="1" x14ac:dyDescent="0.25">
      <c r="C447" s="91" t="s">
        <v>8229</v>
      </c>
      <c r="E447" s="103" t="s">
        <v>4357</v>
      </c>
    </row>
    <row r="448" spans="3:5" ht="20.25" customHeight="1" x14ac:dyDescent="0.25">
      <c r="C448" s="91" t="s">
        <v>8230</v>
      </c>
      <c r="E448" s="105">
        <v>44910</v>
      </c>
    </row>
    <row r="449" spans="3:5" ht="20.25" customHeight="1" x14ac:dyDescent="0.25">
      <c r="C449" s="91" t="s">
        <v>8231</v>
      </c>
      <c r="E449" s="119">
        <v>45034</v>
      </c>
    </row>
    <row r="450" spans="3:5" ht="20.25" customHeight="1" x14ac:dyDescent="0.25">
      <c r="C450" s="91" t="s">
        <v>8232</v>
      </c>
      <c r="E450" s="105">
        <v>44923</v>
      </c>
    </row>
    <row r="451" spans="3:5" ht="20.25" customHeight="1" x14ac:dyDescent="0.25">
      <c r="C451" s="91" t="s">
        <v>8233</v>
      </c>
      <c r="E451" s="105">
        <v>44816</v>
      </c>
    </row>
    <row r="452" spans="3:5" ht="20.25" customHeight="1" x14ac:dyDescent="0.25">
      <c r="C452" s="91" t="s">
        <v>8234</v>
      </c>
      <c r="E452" s="105">
        <v>44925</v>
      </c>
    </row>
    <row r="453" spans="3:5" ht="20.25" customHeight="1" x14ac:dyDescent="0.25">
      <c r="C453" s="91" t="s">
        <v>8235</v>
      </c>
      <c r="E453" s="105">
        <v>44816</v>
      </c>
    </row>
    <row r="454" spans="3:5" ht="20.25" customHeight="1" x14ac:dyDescent="0.25">
      <c r="C454" s="91" t="s">
        <v>8236</v>
      </c>
      <c r="E454" s="105">
        <v>44816</v>
      </c>
    </row>
    <row r="455" spans="3:5" ht="20.25" customHeight="1" x14ac:dyDescent="0.25">
      <c r="C455" s="91" t="s">
        <v>8237</v>
      </c>
      <c r="E455" s="105">
        <v>44816</v>
      </c>
    </row>
    <row r="456" spans="3:5" ht="20.25" customHeight="1" x14ac:dyDescent="0.25">
      <c r="C456" s="91" t="s">
        <v>8238</v>
      </c>
      <c r="E456" s="108">
        <v>45065</v>
      </c>
    </row>
    <row r="457" spans="3:5" ht="20.25" customHeight="1" x14ac:dyDescent="0.25">
      <c r="C457" s="91" t="s">
        <v>8239</v>
      </c>
      <c r="E457" s="108">
        <v>45148</v>
      </c>
    </row>
    <row r="458" spans="3:5" ht="20.25" customHeight="1" x14ac:dyDescent="0.25">
      <c r="C458" s="91" t="s">
        <v>8240</v>
      </c>
      <c r="E458" s="105">
        <v>44922</v>
      </c>
    </row>
    <row r="459" spans="3:5" ht="20.25" customHeight="1" x14ac:dyDescent="0.25">
      <c r="C459" s="91" t="s">
        <v>8241</v>
      </c>
      <c r="E459" s="105">
        <v>44910</v>
      </c>
    </row>
    <row r="460" spans="3:5" ht="20.25" customHeight="1" x14ac:dyDescent="0.25">
      <c r="C460" s="91" t="s">
        <v>8242</v>
      </c>
      <c r="E460" s="105">
        <v>44816</v>
      </c>
    </row>
    <row r="461" spans="3:5" ht="20.25" customHeight="1" x14ac:dyDescent="0.25">
      <c r="C461" s="91" t="s">
        <v>8243</v>
      </c>
      <c r="E461" s="105">
        <v>44816</v>
      </c>
    </row>
    <row r="462" spans="3:5" ht="20.25" customHeight="1" x14ac:dyDescent="0.25">
      <c r="C462" s="91" t="s">
        <v>8244</v>
      </c>
      <c r="E462" s="105">
        <v>44816</v>
      </c>
    </row>
    <row r="463" spans="3:5" ht="20.25" customHeight="1" x14ac:dyDescent="0.25">
      <c r="C463" s="91" t="s">
        <v>8245</v>
      </c>
      <c r="E463" s="105">
        <v>44816</v>
      </c>
    </row>
    <row r="464" spans="3:5" ht="20.25" customHeight="1" x14ac:dyDescent="0.25">
      <c r="C464" s="91" t="s">
        <v>8246</v>
      </c>
      <c r="E464" s="105">
        <v>44923</v>
      </c>
    </row>
    <row r="465" spans="3:5" ht="20.25" customHeight="1" x14ac:dyDescent="0.25">
      <c r="C465" s="91" t="s">
        <v>8247</v>
      </c>
      <c r="E465" s="112"/>
    </row>
    <row r="466" spans="3:5" ht="20.25" customHeight="1" x14ac:dyDescent="0.25">
      <c r="C466" s="91" t="s">
        <v>8248</v>
      </c>
      <c r="E466" s="130" t="s">
        <v>4357</v>
      </c>
    </row>
    <row r="467" spans="3:5" ht="20.25" customHeight="1" x14ac:dyDescent="0.25">
      <c r="C467" s="91" t="s">
        <v>8249</v>
      </c>
      <c r="E467" s="130" t="s">
        <v>4357</v>
      </c>
    </row>
    <row r="468" spans="3:5" ht="20.25" customHeight="1" x14ac:dyDescent="0.25">
      <c r="C468" s="91" t="s">
        <v>8250</v>
      </c>
      <c r="E468" s="119">
        <v>45013</v>
      </c>
    </row>
    <row r="469" spans="3:5" ht="20.25" customHeight="1" x14ac:dyDescent="0.25">
      <c r="C469" s="91" t="s">
        <v>8251</v>
      </c>
      <c r="E469" s="105">
        <v>44889</v>
      </c>
    </row>
    <row r="470" spans="3:5" ht="20.25" customHeight="1" x14ac:dyDescent="0.25">
      <c r="C470" s="91" t="s">
        <v>8252</v>
      </c>
      <c r="E470" s="106"/>
    </row>
    <row r="471" spans="3:5" ht="20.25" customHeight="1" x14ac:dyDescent="0.25">
      <c r="C471" s="91" t="s">
        <v>8253</v>
      </c>
      <c r="E471" s="105">
        <v>44877</v>
      </c>
    </row>
    <row r="472" spans="3:5" ht="20.25" customHeight="1" x14ac:dyDescent="0.25">
      <c r="C472" s="91" t="s">
        <v>8254</v>
      </c>
      <c r="E472" s="103" t="s">
        <v>4357</v>
      </c>
    </row>
    <row r="473" spans="3:5" ht="20.25" customHeight="1" x14ac:dyDescent="0.25">
      <c r="C473" s="91" t="s">
        <v>8255</v>
      </c>
      <c r="E473" s="103" t="s">
        <v>4357</v>
      </c>
    </row>
    <row r="474" spans="3:5" ht="20.25" customHeight="1" x14ac:dyDescent="0.25">
      <c r="C474" s="91" t="s">
        <v>8256</v>
      </c>
      <c r="E474" s="103" t="s">
        <v>4357</v>
      </c>
    </row>
    <row r="475" spans="3:5" ht="20.25" customHeight="1" x14ac:dyDescent="0.25">
      <c r="C475" s="91" t="s">
        <v>8257</v>
      </c>
      <c r="E475" s="103" t="s">
        <v>4357</v>
      </c>
    </row>
    <row r="476" spans="3:5" ht="20.25" customHeight="1" x14ac:dyDescent="0.25">
      <c r="C476" s="91" t="s">
        <v>8258</v>
      </c>
      <c r="E476" s="105">
        <v>44889</v>
      </c>
    </row>
    <row r="477" spans="3:5" ht="20.25" customHeight="1" x14ac:dyDescent="0.25">
      <c r="C477" s="91" t="s">
        <v>8259</v>
      </c>
      <c r="E477" s="105">
        <v>44862</v>
      </c>
    </row>
    <row r="478" spans="3:5" ht="20.25" customHeight="1" x14ac:dyDescent="0.25">
      <c r="C478" s="91" t="s">
        <v>8260</v>
      </c>
      <c r="E478" s="105">
        <v>44869</v>
      </c>
    </row>
    <row r="479" spans="3:5" ht="20.25" customHeight="1" x14ac:dyDescent="0.25">
      <c r="C479" s="91" t="s">
        <v>8261</v>
      </c>
      <c r="E479" s="103" t="s">
        <v>4357</v>
      </c>
    </row>
    <row r="480" spans="3:5" ht="20.25" customHeight="1" x14ac:dyDescent="0.25">
      <c r="C480" s="91" t="s">
        <v>8262</v>
      </c>
      <c r="E480" s="103" t="s">
        <v>4357</v>
      </c>
    </row>
    <row r="481" spans="3:5" ht="20.25" customHeight="1" x14ac:dyDescent="0.25">
      <c r="C481" s="91" t="s">
        <v>8263</v>
      </c>
      <c r="E481" s="103" t="s">
        <v>4357</v>
      </c>
    </row>
    <row r="482" spans="3:5" ht="20.25" customHeight="1" x14ac:dyDescent="0.25">
      <c r="C482" s="91" t="s">
        <v>8264</v>
      </c>
      <c r="E482" s="119">
        <v>45014</v>
      </c>
    </row>
    <row r="483" spans="3:5" ht="20.25" customHeight="1" x14ac:dyDescent="0.25">
      <c r="C483" s="91" t="s">
        <v>8265</v>
      </c>
      <c r="E483" s="108">
        <v>45065</v>
      </c>
    </row>
    <row r="484" spans="3:5" ht="20.25" customHeight="1" x14ac:dyDescent="0.25">
      <c r="C484" s="91" t="s">
        <v>8266</v>
      </c>
      <c r="E484" s="105">
        <v>45056</v>
      </c>
    </row>
    <row r="485" spans="3:5" ht="20.25" customHeight="1" x14ac:dyDescent="0.25">
      <c r="C485" s="91" t="s">
        <v>8267</v>
      </c>
      <c r="E485" s="108">
        <v>45049</v>
      </c>
    </row>
    <row r="486" spans="3:5" ht="20.25" customHeight="1" x14ac:dyDescent="0.25">
      <c r="C486" s="91" t="s">
        <v>8268</v>
      </c>
      <c r="E486" s="105">
        <v>45056</v>
      </c>
    </row>
    <row r="487" spans="3:5" ht="20.25" customHeight="1" x14ac:dyDescent="0.25">
      <c r="C487" s="91" t="s">
        <v>8269</v>
      </c>
      <c r="E487" s="103" t="s">
        <v>4357</v>
      </c>
    </row>
    <row r="488" spans="3:5" ht="20.25" customHeight="1" x14ac:dyDescent="0.25">
      <c r="C488" s="91" t="s">
        <v>8270</v>
      </c>
      <c r="E488" s="105">
        <v>44862</v>
      </c>
    </row>
    <row r="489" spans="3:5" ht="20.25" customHeight="1" x14ac:dyDescent="0.25">
      <c r="C489" s="91" t="s">
        <v>8271</v>
      </c>
      <c r="E489" s="105">
        <v>44910</v>
      </c>
    </row>
    <row r="490" spans="3:5" ht="20.25" customHeight="1" x14ac:dyDescent="0.25">
      <c r="C490" s="91" t="s">
        <v>8272</v>
      </c>
      <c r="E490" s="103" t="s">
        <v>4357</v>
      </c>
    </row>
    <row r="491" spans="3:5" ht="20.25" customHeight="1" x14ac:dyDescent="0.25">
      <c r="C491" s="91" t="s">
        <v>8273</v>
      </c>
      <c r="E491" s="103" t="s">
        <v>4357</v>
      </c>
    </row>
    <row r="492" spans="3:5" ht="20.25" customHeight="1" x14ac:dyDescent="0.25">
      <c r="C492" s="91" t="s">
        <v>8274</v>
      </c>
      <c r="E492" s="105">
        <v>44890</v>
      </c>
    </row>
    <row r="493" spans="3:5" ht="20.25" customHeight="1" x14ac:dyDescent="0.25">
      <c r="C493" s="91" t="s">
        <v>7830</v>
      </c>
      <c r="E493" s="105">
        <v>44869</v>
      </c>
    </row>
    <row r="494" spans="3:5" ht="20.25" customHeight="1" x14ac:dyDescent="0.25">
      <c r="C494" s="91" t="s">
        <v>8275</v>
      </c>
      <c r="E494" s="105">
        <v>44867</v>
      </c>
    </row>
    <row r="495" spans="3:5" ht="20.25" customHeight="1" x14ac:dyDescent="0.25">
      <c r="C495" s="91" t="s">
        <v>8276</v>
      </c>
      <c r="E495" s="103" t="s">
        <v>4357</v>
      </c>
    </row>
    <row r="496" spans="3:5" ht="20.25" customHeight="1" x14ac:dyDescent="0.25">
      <c r="C496" s="91" t="s">
        <v>8277</v>
      </c>
      <c r="E496" s="103" t="s">
        <v>4357</v>
      </c>
    </row>
    <row r="497" spans="3:5" ht="20.25" customHeight="1" x14ac:dyDescent="0.25">
      <c r="C497" s="97" t="s">
        <v>8278</v>
      </c>
      <c r="E497" s="103" t="s">
        <v>4357</v>
      </c>
    </row>
    <row r="498" spans="3:5" ht="20.25" customHeight="1" x14ac:dyDescent="0.25">
      <c r="C498" s="91" t="s">
        <v>8279</v>
      </c>
      <c r="E498" s="108">
        <v>45049</v>
      </c>
    </row>
    <row r="499" spans="3:5" ht="20.25" customHeight="1" x14ac:dyDescent="0.25">
      <c r="C499" s="91" t="s">
        <v>8280</v>
      </c>
      <c r="E499" s="105">
        <v>44923</v>
      </c>
    </row>
    <row r="500" spans="3:5" ht="20.25" customHeight="1" x14ac:dyDescent="0.25">
      <c r="C500" s="91" t="s">
        <v>8281</v>
      </c>
      <c r="E500" s="103" t="s">
        <v>4357</v>
      </c>
    </row>
    <row r="501" spans="3:5" ht="20.25" customHeight="1" x14ac:dyDescent="0.25">
      <c r="C501" s="91" t="s">
        <v>8282</v>
      </c>
      <c r="E501" s="105">
        <v>44877</v>
      </c>
    </row>
    <row r="502" spans="3:5" ht="20.25" customHeight="1" x14ac:dyDescent="0.25">
      <c r="C502" s="91" t="s">
        <v>8283</v>
      </c>
      <c r="E502" s="105">
        <v>44862</v>
      </c>
    </row>
    <row r="503" spans="3:5" ht="20.25" customHeight="1" x14ac:dyDescent="0.25">
      <c r="C503" s="97" t="s">
        <v>8284</v>
      </c>
      <c r="E503" s="105">
        <v>44862</v>
      </c>
    </row>
    <row r="504" spans="3:5" ht="20.25" customHeight="1" x14ac:dyDescent="0.25">
      <c r="C504" s="91" t="s">
        <v>8285</v>
      </c>
      <c r="E504" s="103" t="s">
        <v>4357</v>
      </c>
    </row>
    <row r="505" spans="3:5" ht="20.25" customHeight="1" x14ac:dyDescent="0.25">
      <c r="C505" s="91" t="s">
        <v>8286</v>
      </c>
      <c r="E505" s="105">
        <v>44889</v>
      </c>
    </row>
    <row r="506" spans="3:5" ht="20.25" customHeight="1" x14ac:dyDescent="0.25">
      <c r="C506" s="91" t="s">
        <v>8287</v>
      </c>
      <c r="E506" s="103" t="s">
        <v>4357</v>
      </c>
    </row>
    <row r="507" spans="3:5" ht="20.25" customHeight="1" x14ac:dyDescent="0.25">
      <c r="C507" s="91" t="s">
        <v>8288</v>
      </c>
      <c r="E507" s="103" t="s">
        <v>4357</v>
      </c>
    </row>
    <row r="508" spans="3:5" ht="20.25" customHeight="1" x14ac:dyDescent="0.25">
      <c r="C508" s="91" t="s">
        <v>8289</v>
      </c>
      <c r="E508" s="103" t="s">
        <v>4357</v>
      </c>
    </row>
    <row r="509" spans="3:5" ht="20.25" customHeight="1" x14ac:dyDescent="0.25">
      <c r="C509" s="91" t="s">
        <v>8290</v>
      </c>
      <c r="E509" s="105">
        <v>44862</v>
      </c>
    </row>
    <row r="510" spans="3:5" ht="20.25" customHeight="1" x14ac:dyDescent="0.25">
      <c r="C510" s="91" t="s">
        <v>8291</v>
      </c>
      <c r="E510" s="105">
        <v>44862</v>
      </c>
    </row>
    <row r="511" spans="3:5" ht="20.25" customHeight="1" x14ac:dyDescent="0.25">
      <c r="C511" s="91" t="s">
        <v>8292</v>
      </c>
      <c r="E511" s="105">
        <v>44889</v>
      </c>
    </row>
    <row r="512" spans="3:5" ht="20.25" customHeight="1" x14ac:dyDescent="0.25">
      <c r="C512" s="91" t="s">
        <v>7832</v>
      </c>
      <c r="E512" s="105">
        <v>44869</v>
      </c>
    </row>
    <row r="513" spans="3:5" ht="20.25" customHeight="1" x14ac:dyDescent="0.25">
      <c r="C513" s="91" t="s">
        <v>8293</v>
      </c>
      <c r="E513" s="110">
        <v>45013</v>
      </c>
    </row>
    <row r="514" spans="3:5" ht="20.25" customHeight="1" x14ac:dyDescent="0.25">
      <c r="C514" s="91" t="s">
        <v>8294</v>
      </c>
      <c r="E514" s="110">
        <v>45013</v>
      </c>
    </row>
    <row r="515" spans="3:5" ht="20.25" customHeight="1" x14ac:dyDescent="0.25">
      <c r="C515" s="91" t="s">
        <v>8295</v>
      </c>
      <c r="E515" s="105">
        <v>44816</v>
      </c>
    </row>
    <row r="516" spans="3:5" ht="20.25" customHeight="1" x14ac:dyDescent="0.25">
      <c r="C516" s="91" t="s">
        <v>8296</v>
      </c>
      <c r="E516" s="103" t="s">
        <v>4357</v>
      </c>
    </row>
    <row r="517" spans="3:5" ht="20.25" customHeight="1" x14ac:dyDescent="0.25">
      <c r="C517" s="91" t="s">
        <v>8297</v>
      </c>
      <c r="E517" s="103" t="s">
        <v>4357</v>
      </c>
    </row>
    <row r="518" spans="3:5" ht="20.25" customHeight="1" x14ac:dyDescent="0.25">
      <c r="C518" s="91" t="s">
        <v>8298</v>
      </c>
      <c r="E518" s="103" t="s">
        <v>4357</v>
      </c>
    </row>
    <row r="519" spans="3:5" ht="20.25" customHeight="1" x14ac:dyDescent="0.25">
      <c r="C519" s="91" t="s">
        <v>8299</v>
      </c>
      <c r="E519" s="103" t="s">
        <v>4357</v>
      </c>
    </row>
    <row r="520" spans="3:5" ht="20.25" customHeight="1" x14ac:dyDescent="0.25">
      <c r="C520" s="91" t="s">
        <v>7834</v>
      </c>
      <c r="E520" s="103" t="s">
        <v>4357</v>
      </c>
    </row>
    <row r="521" spans="3:5" ht="20.25" customHeight="1" x14ac:dyDescent="0.25">
      <c r="C521" s="91" t="s">
        <v>7836</v>
      </c>
      <c r="E521" s="103" t="s">
        <v>4357</v>
      </c>
    </row>
    <row r="522" spans="3:5" ht="20.25" customHeight="1" x14ac:dyDescent="0.25">
      <c r="C522" s="91" t="s">
        <v>8300</v>
      </c>
      <c r="E522" s="103" t="s">
        <v>4357</v>
      </c>
    </row>
    <row r="523" spans="3:5" ht="20.25" customHeight="1" x14ac:dyDescent="0.25">
      <c r="C523" s="91" t="s">
        <v>8301</v>
      </c>
      <c r="E523" s="103" t="s">
        <v>4357</v>
      </c>
    </row>
    <row r="524" spans="3:5" ht="20.25" customHeight="1" x14ac:dyDescent="0.25">
      <c r="C524" s="91" t="s">
        <v>8302</v>
      </c>
      <c r="E524" s="105">
        <v>44869</v>
      </c>
    </row>
    <row r="525" spans="3:5" ht="20.25" customHeight="1" x14ac:dyDescent="0.25">
      <c r="C525" s="91" t="s">
        <v>8303</v>
      </c>
      <c r="E525" s="105">
        <v>44862</v>
      </c>
    </row>
    <row r="526" spans="3:5" ht="20.25" customHeight="1" x14ac:dyDescent="0.25">
      <c r="C526" s="91" t="s">
        <v>7838</v>
      </c>
      <c r="E526" s="105">
        <v>44869</v>
      </c>
    </row>
    <row r="527" spans="3:5" ht="20.25" customHeight="1" x14ac:dyDescent="0.25">
      <c r="C527" s="91" t="s">
        <v>8304</v>
      </c>
      <c r="E527" s="103" t="s">
        <v>4357</v>
      </c>
    </row>
    <row r="528" spans="3:5" ht="20.25" customHeight="1" x14ac:dyDescent="0.25">
      <c r="C528" s="91" t="s">
        <v>8305</v>
      </c>
      <c r="E528" s="103" t="s">
        <v>4357</v>
      </c>
    </row>
    <row r="529" spans="3:5" ht="20.25" customHeight="1" x14ac:dyDescent="0.25">
      <c r="C529" s="91" t="s">
        <v>8306</v>
      </c>
      <c r="E529" s="103" t="s">
        <v>4357</v>
      </c>
    </row>
    <row r="530" spans="3:5" ht="20.25" customHeight="1" x14ac:dyDescent="0.25">
      <c r="C530" s="91" t="s">
        <v>8307</v>
      </c>
      <c r="E530" s="105">
        <v>44889</v>
      </c>
    </row>
    <row r="531" spans="3:5" ht="20.25" customHeight="1" x14ac:dyDescent="0.25">
      <c r="C531" s="91" t="s">
        <v>8308</v>
      </c>
      <c r="E531" s="105">
        <v>44910</v>
      </c>
    </row>
    <row r="532" spans="3:5" ht="20.25" customHeight="1" x14ac:dyDescent="0.25">
      <c r="C532" s="91" t="s">
        <v>8309</v>
      </c>
      <c r="E532" s="105">
        <v>44869</v>
      </c>
    </row>
    <row r="533" spans="3:5" ht="20.25" customHeight="1" x14ac:dyDescent="0.25">
      <c r="C533" s="91" t="s">
        <v>8310</v>
      </c>
      <c r="E533" s="105">
        <v>44889</v>
      </c>
    </row>
    <row r="534" spans="3:5" ht="20.25" customHeight="1" x14ac:dyDescent="0.25">
      <c r="C534" s="91" t="s">
        <v>8311</v>
      </c>
      <c r="E534" s="105">
        <v>44910</v>
      </c>
    </row>
    <row r="535" spans="3:5" ht="20.25" customHeight="1" x14ac:dyDescent="0.25">
      <c r="C535" s="91" t="s">
        <v>8312</v>
      </c>
      <c r="E535" s="105">
        <v>44889</v>
      </c>
    </row>
    <row r="536" spans="3:5" ht="20.25" customHeight="1" x14ac:dyDescent="0.25">
      <c r="C536" s="91" t="s">
        <v>8313</v>
      </c>
      <c r="E536" s="105">
        <v>44910</v>
      </c>
    </row>
    <row r="537" spans="3:5" ht="20.25" customHeight="1" x14ac:dyDescent="0.25">
      <c r="C537" s="91" t="s">
        <v>8314</v>
      </c>
      <c r="E537" s="105">
        <v>44877</v>
      </c>
    </row>
    <row r="538" spans="3:5" ht="20.25" customHeight="1" x14ac:dyDescent="0.25">
      <c r="C538" s="91" t="s">
        <v>8315</v>
      </c>
      <c r="E538" s="105">
        <v>44862</v>
      </c>
    </row>
    <row r="539" spans="3:5" ht="20.25" customHeight="1" x14ac:dyDescent="0.25">
      <c r="C539" s="91" t="s">
        <v>8316</v>
      </c>
      <c r="E539" s="103" t="s">
        <v>4357</v>
      </c>
    </row>
    <row r="540" spans="3:5" ht="20.25" customHeight="1" x14ac:dyDescent="0.25">
      <c r="C540" s="91" t="s">
        <v>8317</v>
      </c>
      <c r="E540" s="103" t="s">
        <v>4357</v>
      </c>
    </row>
    <row r="541" spans="3:5" ht="20.25" customHeight="1" x14ac:dyDescent="0.25">
      <c r="C541" s="91" t="s">
        <v>8318</v>
      </c>
      <c r="E541" s="103" t="s">
        <v>4357</v>
      </c>
    </row>
    <row r="542" spans="3:5" ht="20.25" customHeight="1" x14ac:dyDescent="0.25">
      <c r="C542" s="91" t="s">
        <v>8319</v>
      </c>
      <c r="E542" s="103" t="s">
        <v>4357</v>
      </c>
    </row>
    <row r="543" spans="3:5" ht="20.25" customHeight="1" x14ac:dyDescent="0.25">
      <c r="C543" s="91" t="s">
        <v>8320</v>
      </c>
      <c r="E543" s="105">
        <v>44816</v>
      </c>
    </row>
    <row r="544" spans="3:5" ht="20.25" customHeight="1" x14ac:dyDescent="0.25">
      <c r="C544" s="91" t="s">
        <v>8321</v>
      </c>
      <c r="E544" s="105">
        <v>44961</v>
      </c>
    </row>
    <row r="545" spans="3:5" ht="20.25" customHeight="1" x14ac:dyDescent="0.25">
      <c r="C545" s="91" t="s">
        <v>8322</v>
      </c>
      <c r="E545" s="103" t="s">
        <v>4357</v>
      </c>
    </row>
    <row r="546" spans="3:5" ht="20.25" customHeight="1" x14ac:dyDescent="0.25">
      <c r="C546" s="91" t="s">
        <v>8323</v>
      </c>
      <c r="E546" s="105">
        <v>44889</v>
      </c>
    </row>
    <row r="547" spans="3:5" ht="20.25" customHeight="1" x14ac:dyDescent="0.25">
      <c r="C547" s="91" t="s">
        <v>8324</v>
      </c>
      <c r="E547" s="105">
        <v>44816</v>
      </c>
    </row>
    <row r="548" spans="3:5" ht="20.25" customHeight="1" x14ac:dyDescent="0.25">
      <c r="C548" s="91" t="s">
        <v>8325</v>
      </c>
      <c r="E548" s="105">
        <v>44961</v>
      </c>
    </row>
    <row r="549" spans="3:5" ht="20.25" customHeight="1" x14ac:dyDescent="0.25">
      <c r="C549" s="91" t="s">
        <v>8326</v>
      </c>
      <c r="E549" s="105">
        <v>44910</v>
      </c>
    </row>
    <row r="550" spans="3:5" ht="20.25" customHeight="1" x14ac:dyDescent="0.25">
      <c r="C550" s="91" t="s">
        <v>8327</v>
      </c>
      <c r="E550" s="105">
        <v>44889</v>
      </c>
    </row>
    <row r="551" spans="3:5" ht="20.25" customHeight="1" x14ac:dyDescent="0.25">
      <c r="C551" s="95" t="s">
        <v>8328</v>
      </c>
      <c r="E551" s="105">
        <v>44816</v>
      </c>
    </row>
    <row r="552" spans="3:5" ht="20.25" customHeight="1" x14ac:dyDescent="0.25">
      <c r="C552" s="91" t="s">
        <v>8329</v>
      </c>
      <c r="E552" s="105">
        <v>44889</v>
      </c>
    </row>
    <row r="553" spans="3:5" ht="20.25" customHeight="1" x14ac:dyDescent="0.25">
      <c r="C553" s="91" t="s">
        <v>8330</v>
      </c>
      <c r="E553" s="105">
        <v>44816</v>
      </c>
    </row>
    <row r="554" spans="3:5" ht="20.25" customHeight="1" x14ac:dyDescent="0.25">
      <c r="C554" s="91" t="s">
        <v>8331</v>
      </c>
      <c r="E554" s="103" t="s">
        <v>4357</v>
      </c>
    </row>
    <row r="555" spans="3:5" ht="20.25" customHeight="1" x14ac:dyDescent="0.25">
      <c r="C555" s="91" t="s">
        <v>8332</v>
      </c>
      <c r="E555" s="103" t="s">
        <v>4357</v>
      </c>
    </row>
    <row r="556" spans="3:5" ht="20.25" customHeight="1" x14ac:dyDescent="0.25">
      <c r="C556" s="91" t="s">
        <v>7840</v>
      </c>
      <c r="E556" s="103" t="s">
        <v>4357</v>
      </c>
    </row>
    <row r="557" spans="3:5" ht="20.25" customHeight="1" x14ac:dyDescent="0.25">
      <c r="C557" s="91" t="s">
        <v>7842</v>
      </c>
      <c r="E557" s="105">
        <v>44889</v>
      </c>
    </row>
    <row r="558" spans="3:5" ht="20.25" customHeight="1" x14ac:dyDescent="0.25">
      <c r="C558" s="91" t="s">
        <v>8333</v>
      </c>
      <c r="E558" s="103" t="s">
        <v>4357</v>
      </c>
    </row>
    <row r="559" spans="3:5" ht="20.25" customHeight="1" x14ac:dyDescent="0.25">
      <c r="C559" s="91" t="s">
        <v>7844</v>
      </c>
      <c r="E559" s="103" t="s">
        <v>4357</v>
      </c>
    </row>
    <row r="560" spans="3:5" ht="20.25" customHeight="1" x14ac:dyDescent="0.25">
      <c r="C560" s="91" t="s">
        <v>8334</v>
      </c>
      <c r="E560" s="105">
        <v>44889</v>
      </c>
    </row>
    <row r="561" spans="3:5" ht="20.25" customHeight="1" x14ac:dyDescent="0.25">
      <c r="C561" s="91" t="s">
        <v>8335</v>
      </c>
      <c r="E561" s="105">
        <v>44889</v>
      </c>
    </row>
    <row r="562" spans="3:5" ht="20.25" customHeight="1" x14ac:dyDescent="0.25">
      <c r="C562" s="91" t="s">
        <v>8336</v>
      </c>
      <c r="E562" s="105"/>
    </row>
    <row r="563" spans="3:5" ht="20.25" customHeight="1" x14ac:dyDescent="0.25">
      <c r="C563" s="91" t="s">
        <v>8337</v>
      </c>
      <c r="E563" s="105">
        <v>45097</v>
      </c>
    </row>
    <row r="564" spans="3:5" ht="20.25" customHeight="1" x14ac:dyDescent="0.25">
      <c r="C564" s="91" t="s">
        <v>8338</v>
      </c>
      <c r="E564" s="105">
        <v>44910</v>
      </c>
    </row>
    <row r="565" spans="3:5" ht="20.25" customHeight="1" x14ac:dyDescent="0.25">
      <c r="C565" s="90" t="s">
        <v>8339</v>
      </c>
      <c r="E565" s="105">
        <v>44923</v>
      </c>
    </row>
    <row r="566" spans="3:5" ht="20.25" customHeight="1" x14ac:dyDescent="0.25">
      <c r="C566" s="91" t="s">
        <v>8340</v>
      </c>
      <c r="E566" s="105">
        <v>44923</v>
      </c>
    </row>
    <row r="567" spans="3:5" ht="20.25" customHeight="1" x14ac:dyDescent="0.25">
      <c r="C567" s="91" t="s">
        <v>8341</v>
      </c>
      <c r="E567" s="105">
        <v>44910</v>
      </c>
    </row>
    <row r="568" spans="3:5" ht="20.25" customHeight="1" x14ac:dyDescent="0.25">
      <c r="C568" s="91" t="s">
        <v>8342</v>
      </c>
      <c r="E568" s="105">
        <v>44910</v>
      </c>
    </row>
    <row r="569" spans="3:5" ht="20.25" customHeight="1" x14ac:dyDescent="0.25">
      <c r="C569" s="91" t="s">
        <v>8343</v>
      </c>
      <c r="E569" s="103" t="s">
        <v>4357</v>
      </c>
    </row>
    <row r="570" spans="3:5" ht="20.25" customHeight="1" x14ac:dyDescent="0.25">
      <c r="C570" s="91" t="s">
        <v>8344</v>
      </c>
      <c r="E570" s="105">
        <v>44923</v>
      </c>
    </row>
    <row r="571" spans="3:5" ht="20.25" customHeight="1" x14ac:dyDescent="0.25">
      <c r="C571" s="91" t="s">
        <v>8345</v>
      </c>
      <c r="E571" s="105">
        <v>44910</v>
      </c>
    </row>
    <row r="572" spans="3:5" ht="20.25" customHeight="1" x14ac:dyDescent="0.25">
      <c r="C572" s="91" t="s">
        <v>8346</v>
      </c>
      <c r="E572" s="105">
        <v>44923</v>
      </c>
    </row>
    <row r="573" spans="3:5" ht="20.25" customHeight="1" x14ac:dyDescent="0.25">
      <c r="C573" s="91" t="s">
        <v>8347</v>
      </c>
      <c r="E573" s="105">
        <v>44910</v>
      </c>
    </row>
    <row r="574" spans="3:5" ht="20.25" customHeight="1" x14ac:dyDescent="0.25">
      <c r="C574" s="91" t="s">
        <v>7846</v>
      </c>
      <c r="E574" s="105">
        <v>44910</v>
      </c>
    </row>
    <row r="575" spans="3:5" ht="20.25" customHeight="1" x14ac:dyDescent="0.25">
      <c r="C575" s="91" t="s">
        <v>7848</v>
      </c>
      <c r="E575" s="105">
        <v>44869</v>
      </c>
    </row>
    <row r="576" spans="3:5" ht="20.25" customHeight="1" x14ac:dyDescent="0.25">
      <c r="C576" s="91" t="s">
        <v>8348</v>
      </c>
      <c r="E576" s="105">
        <v>44869</v>
      </c>
    </row>
    <row r="577" spans="3:5" ht="20.25" customHeight="1" x14ac:dyDescent="0.25">
      <c r="C577" s="91" t="s">
        <v>8349</v>
      </c>
      <c r="E577" s="105">
        <v>44876</v>
      </c>
    </row>
    <row r="578" spans="3:5" ht="20.25" customHeight="1" x14ac:dyDescent="0.25">
      <c r="C578" s="90" t="s">
        <v>8350</v>
      </c>
      <c r="E578" s="103" t="s">
        <v>4357</v>
      </c>
    </row>
    <row r="579" spans="3:5" ht="20.25" customHeight="1" x14ac:dyDescent="0.25">
      <c r="C579" s="91" t="s">
        <v>8351</v>
      </c>
      <c r="E579" s="105">
        <v>44869</v>
      </c>
    </row>
    <row r="580" spans="3:5" ht="20.25" customHeight="1" x14ac:dyDescent="0.25">
      <c r="C580" s="91" t="s">
        <v>8352</v>
      </c>
      <c r="E580" s="103" t="s">
        <v>4357</v>
      </c>
    </row>
    <row r="581" spans="3:5" ht="20.25" customHeight="1" x14ac:dyDescent="0.25">
      <c r="C581" s="91" t="s">
        <v>8353</v>
      </c>
      <c r="E581" s="103" t="s">
        <v>4357</v>
      </c>
    </row>
    <row r="582" spans="3:5" ht="20.25" customHeight="1" x14ac:dyDescent="0.25">
      <c r="C582" s="91" t="s">
        <v>8354</v>
      </c>
      <c r="E582" s="103" t="s">
        <v>4357</v>
      </c>
    </row>
    <row r="583" spans="3:5" ht="20.25" customHeight="1" x14ac:dyDescent="0.25">
      <c r="C583" s="91" t="s">
        <v>7850</v>
      </c>
      <c r="E583" s="103" t="s">
        <v>4357</v>
      </c>
    </row>
    <row r="584" spans="3:5" ht="20.25" customHeight="1" x14ac:dyDescent="0.25">
      <c r="C584" s="91" t="s">
        <v>8355</v>
      </c>
      <c r="E584" s="103" t="s">
        <v>4357</v>
      </c>
    </row>
    <row r="585" spans="3:5" ht="20.25" customHeight="1" x14ac:dyDescent="0.25">
      <c r="C585" s="91" t="s">
        <v>8356</v>
      </c>
      <c r="E585" s="103" t="s">
        <v>4357</v>
      </c>
    </row>
    <row r="586" spans="3:5" ht="20.25" customHeight="1" x14ac:dyDescent="0.25">
      <c r="C586" s="91" t="s">
        <v>8357</v>
      </c>
      <c r="E586" s="103" t="s">
        <v>4357</v>
      </c>
    </row>
    <row r="587" spans="3:5" ht="20.25" customHeight="1" x14ac:dyDescent="0.25">
      <c r="C587" s="91" t="s">
        <v>8358</v>
      </c>
      <c r="E587" s="103" t="s">
        <v>4357</v>
      </c>
    </row>
    <row r="588" spans="3:5" ht="20.25" customHeight="1" x14ac:dyDescent="0.25">
      <c r="C588" s="91" t="s">
        <v>8359</v>
      </c>
      <c r="E588" s="103" t="s">
        <v>4357</v>
      </c>
    </row>
    <row r="589" spans="3:5" ht="20.25" customHeight="1" x14ac:dyDescent="0.25">
      <c r="C589" s="91" t="s">
        <v>8360</v>
      </c>
      <c r="E589" s="103" t="s">
        <v>4357</v>
      </c>
    </row>
    <row r="590" spans="3:5" ht="20.25" customHeight="1" x14ac:dyDescent="0.25">
      <c r="C590" s="91" t="s">
        <v>8361</v>
      </c>
      <c r="E590" s="103" t="s">
        <v>4357</v>
      </c>
    </row>
    <row r="591" spans="3:5" ht="20.25" customHeight="1" x14ac:dyDescent="0.25">
      <c r="C591" s="91" t="s">
        <v>8362</v>
      </c>
      <c r="E591" s="103" t="s">
        <v>4357</v>
      </c>
    </row>
    <row r="592" spans="3:5" ht="20.25" customHeight="1" x14ac:dyDescent="0.25">
      <c r="C592" s="91" t="s">
        <v>8363</v>
      </c>
      <c r="E592" s="103" t="s">
        <v>4357</v>
      </c>
    </row>
    <row r="593" spans="3:5" ht="20.25" customHeight="1" x14ac:dyDescent="0.25">
      <c r="C593" s="91" t="s">
        <v>8364</v>
      </c>
      <c r="E593" s="105">
        <v>44910</v>
      </c>
    </row>
    <row r="594" spans="3:5" ht="20.25" customHeight="1" x14ac:dyDescent="0.25">
      <c r="C594" s="91" t="s">
        <v>8365</v>
      </c>
      <c r="E594" s="103" t="s">
        <v>4357</v>
      </c>
    </row>
    <row r="595" spans="3:5" ht="20.25" customHeight="1" x14ac:dyDescent="0.25">
      <c r="C595" s="91" t="s">
        <v>8366</v>
      </c>
      <c r="E595" s="105">
        <v>44910</v>
      </c>
    </row>
    <row r="596" spans="3:5" ht="20.25" customHeight="1" x14ac:dyDescent="0.25">
      <c r="C596" s="91" t="s">
        <v>8367</v>
      </c>
      <c r="E596" s="103" t="s">
        <v>4357</v>
      </c>
    </row>
    <row r="597" spans="3:5" ht="20.25" customHeight="1" x14ac:dyDescent="0.25">
      <c r="C597" s="91" t="s">
        <v>8368</v>
      </c>
      <c r="E597" s="105">
        <v>44910</v>
      </c>
    </row>
    <row r="598" spans="3:5" ht="20.25" customHeight="1" x14ac:dyDescent="0.25">
      <c r="C598" s="91" t="s">
        <v>8369</v>
      </c>
      <c r="E598" s="103" t="s">
        <v>4357</v>
      </c>
    </row>
    <row r="599" spans="3:5" ht="20.25" customHeight="1" x14ac:dyDescent="0.25">
      <c r="C599" s="95" t="s">
        <v>8370</v>
      </c>
      <c r="E599" s="103" t="s">
        <v>4357</v>
      </c>
    </row>
    <row r="600" spans="3:5" ht="20.25" customHeight="1" x14ac:dyDescent="0.25">
      <c r="C600" s="91" t="s">
        <v>8371</v>
      </c>
      <c r="E600" s="103" t="s">
        <v>4357</v>
      </c>
    </row>
    <row r="601" spans="3:5" ht="20.25" customHeight="1" x14ac:dyDescent="0.25">
      <c r="C601" s="91" t="s">
        <v>8372</v>
      </c>
      <c r="E601" s="103" t="s">
        <v>4357</v>
      </c>
    </row>
    <row r="602" spans="3:5" ht="20.25" customHeight="1" x14ac:dyDescent="0.25">
      <c r="C602" s="91" t="s">
        <v>8373</v>
      </c>
      <c r="E602" s="108">
        <v>45065</v>
      </c>
    </row>
    <row r="603" spans="3:5" ht="20.25" customHeight="1" x14ac:dyDescent="0.25">
      <c r="C603" s="91" t="s">
        <v>8374</v>
      </c>
      <c r="E603" s="108">
        <v>45148</v>
      </c>
    </row>
    <row r="604" spans="3:5" ht="20.25" customHeight="1" x14ac:dyDescent="0.25">
      <c r="C604" s="91" t="s">
        <v>8375</v>
      </c>
      <c r="E604" s="105">
        <v>44910</v>
      </c>
    </row>
    <row r="605" spans="3:5" ht="20.25" customHeight="1" x14ac:dyDescent="0.25">
      <c r="C605" s="91" t="s">
        <v>8376</v>
      </c>
      <c r="E605" s="119">
        <v>45040</v>
      </c>
    </row>
    <row r="606" spans="3:5" ht="20.25" customHeight="1" x14ac:dyDescent="0.25">
      <c r="C606" s="91" t="s">
        <v>8377</v>
      </c>
      <c r="E606" s="103" t="s">
        <v>4357</v>
      </c>
    </row>
    <row r="607" spans="3:5" ht="20.25" customHeight="1" x14ac:dyDescent="0.25">
      <c r="C607" s="91" t="s">
        <v>8378</v>
      </c>
      <c r="E607" s="108">
        <v>45065</v>
      </c>
    </row>
    <row r="608" spans="3:5" ht="20.25" customHeight="1" x14ac:dyDescent="0.25">
      <c r="C608" s="91" t="s">
        <v>8379</v>
      </c>
      <c r="E608" s="103" t="s">
        <v>4357</v>
      </c>
    </row>
    <row r="609" spans="3:5" ht="20.25" customHeight="1" x14ac:dyDescent="0.25">
      <c r="C609" s="91" t="s">
        <v>8380</v>
      </c>
      <c r="E609" s="119">
        <v>45040</v>
      </c>
    </row>
    <row r="610" spans="3:5" ht="20.25" customHeight="1" x14ac:dyDescent="0.25">
      <c r="C610" s="91" t="s">
        <v>8381</v>
      </c>
      <c r="E610" s="105">
        <v>44923</v>
      </c>
    </row>
    <row r="611" spans="3:5" ht="20.25" customHeight="1" x14ac:dyDescent="0.25">
      <c r="C611" s="91" t="s">
        <v>8382</v>
      </c>
      <c r="E611" s="108">
        <v>45065</v>
      </c>
    </row>
    <row r="612" spans="3:5" ht="20.25" customHeight="1" x14ac:dyDescent="0.25">
      <c r="C612" s="91" t="s">
        <v>8383</v>
      </c>
      <c r="E612" s="103" t="s">
        <v>4357</v>
      </c>
    </row>
    <row r="613" spans="3:5" ht="20.25" customHeight="1" x14ac:dyDescent="0.25">
      <c r="C613" s="91" t="s">
        <v>8384</v>
      </c>
      <c r="E613" s="103" t="s">
        <v>4357</v>
      </c>
    </row>
    <row r="614" spans="3:5" ht="20.25" customHeight="1" x14ac:dyDescent="0.25">
      <c r="C614" s="91" t="s">
        <v>8385</v>
      </c>
      <c r="E614" s="105">
        <v>44910</v>
      </c>
    </row>
    <row r="615" spans="3:5" ht="20.25" customHeight="1" x14ac:dyDescent="0.25">
      <c r="C615" s="91" t="s">
        <v>8386</v>
      </c>
      <c r="E615" s="105">
        <v>44923</v>
      </c>
    </row>
    <row r="616" spans="3:5" ht="20.25" customHeight="1" x14ac:dyDescent="0.25">
      <c r="C616" s="91" t="s">
        <v>8387</v>
      </c>
      <c r="E616" s="105">
        <v>44910</v>
      </c>
    </row>
    <row r="617" spans="3:5" ht="20.25" customHeight="1" x14ac:dyDescent="0.25">
      <c r="C617" s="90" t="s">
        <v>8388</v>
      </c>
      <c r="E617" s="105">
        <v>44869</v>
      </c>
    </row>
    <row r="618" spans="3:5" ht="20.25" customHeight="1" x14ac:dyDescent="0.25">
      <c r="C618" s="91" t="s">
        <v>8389</v>
      </c>
      <c r="E618" s="105">
        <v>44910</v>
      </c>
    </row>
    <row r="619" spans="3:5" ht="20.25" customHeight="1" x14ac:dyDescent="0.25">
      <c r="C619" s="91" t="s">
        <v>8390</v>
      </c>
      <c r="E619" s="103"/>
    </row>
    <row r="620" spans="3:5" ht="20.25" customHeight="1" x14ac:dyDescent="0.25">
      <c r="C620" s="91" t="s">
        <v>8391</v>
      </c>
      <c r="E620" s="105">
        <v>44910</v>
      </c>
    </row>
    <row r="621" spans="3:5" ht="20.25" customHeight="1" x14ac:dyDescent="0.25">
      <c r="C621" s="91" t="s">
        <v>7852</v>
      </c>
      <c r="E621" s="103" t="s">
        <v>4357</v>
      </c>
    </row>
    <row r="622" spans="3:5" ht="20.25" customHeight="1" x14ac:dyDescent="0.25">
      <c r="C622" s="91" t="s">
        <v>8392</v>
      </c>
      <c r="E622" s="105">
        <v>44923</v>
      </c>
    </row>
    <row r="623" spans="3:5" ht="20.25" customHeight="1" x14ac:dyDescent="0.25">
      <c r="C623" s="91" t="s">
        <v>8393</v>
      </c>
      <c r="E623" s="105">
        <v>44910</v>
      </c>
    </row>
    <row r="624" spans="3:5" ht="20.25" customHeight="1" x14ac:dyDescent="0.25">
      <c r="C624" s="91" t="s">
        <v>8394</v>
      </c>
      <c r="E624" s="105">
        <v>44910</v>
      </c>
    </row>
    <row r="625" spans="3:5" ht="20.25" customHeight="1" x14ac:dyDescent="0.25">
      <c r="C625" s="91" t="s">
        <v>8395</v>
      </c>
      <c r="E625" s="103"/>
    </row>
    <row r="626" spans="3:5" ht="20.25" customHeight="1" x14ac:dyDescent="0.25">
      <c r="C626" s="91" t="s">
        <v>8396</v>
      </c>
      <c r="E626" s="112"/>
    </row>
    <row r="627" spans="3:5" ht="20.25" customHeight="1" x14ac:dyDescent="0.25">
      <c r="C627" s="91" t="s">
        <v>8397</v>
      </c>
      <c r="E627" s="112"/>
    </row>
    <row r="628" spans="3:5" ht="20.25" customHeight="1" x14ac:dyDescent="0.25">
      <c r="C628" s="91" t="s">
        <v>8398</v>
      </c>
      <c r="E628" s="112"/>
    </row>
    <row r="629" spans="3:5" ht="20.25" customHeight="1" x14ac:dyDescent="0.25">
      <c r="C629" s="91" t="s">
        <v>8399</v>
      </c>
      <c r="E629" s="112"/>
    </row>
    <row r="630" spans="3:5" ht="20.25" customHeight="1" x14ac:dyDescent="0.25">
      <c r="C630" s="91" t="s">
        <v>8400</v>
      </c>
      <c r="E630" s="112"/>
    </row>
    <row r="631" spans="3:5" ht="20.25" customHeight="1" x14ac:dyDescent="0.25">
      <c r="C631" s="91" t="s">
        <v>8401</v>
      </c>
      <c r="E631" s="112"/>
    </row>
    <row r="632" spans="3:5" ht="20.25" customHeight="1" x14ac:dyDescent="0.25">
      <c r="C632" s="91" t="s">
        <v>8402</v>
      </c>
      <c r="E632" s="112"/>
    </row>
    <row r="633" spans="3:5" ht="20.25" customHeight="1" x14ac:dyDescent="0.25">
      <c r="C633" s="91" t="s">
        <v>8403</v>
      </c>
      <c r="E633" s="112"/>
    </row>
    <row r="634" spans="3:5" ht="20.25" customHeight="1" x14ac:dyDescent="0.25">
      <c r="C634" s="91" t="s">
        <v>8404</v>
      </c>
      <c r="E634" s="112"/>
    </row>
    <row r="635" spans="3:5" ht="20.25" customHeight="1" x14ac:dyDescent="0.25">
      <c r="C635" s="91" t="s">
        <v>8405</v>
      </c>
      <c r="E635" s="112"/>
    </row>
    <row r="636" spans="3:5" ht="20.25" customHeight="1" x14ac:dyDescent="0.25">
      <c r="C636" s="95" t="s">
        <v>8406</v>
      </c>
      <c r="E636" s="112"/>
    </row>
    <row r="637" spans="3:5" ht="20.25" customHeight="1" x14ac:dyDescent="0.25">
      <c r="C637" s="91" t="s">
        <v>8407</v>
      </c>
      <c r="E637" s="112"/>
    </row>
    <row r="638" spans="3:5" ht="20.25" customHeight="1" x14ac:dyDescent="0.25">
      <c r="C638" s="91" t="s">
        <v>8408</v>
      </c>
      <c r="E638" s="112"/>
    </row>
    <row r="639" spans="3:5" ht="20.25" customHeight="1" x14ac:dyDescent="0.25">
      <c r="C639" s="95" t="s">
        <v>8409</v>
      </c>
      <c r="E639" s="112"/>
    </row>
    <row r="640" spans="3:5" ht="20.25" customHeight="1" x14ac:dyDescent="0.25">
      <c r="C640" s="91" t="s">
        <v>8410</v>
      </c>
      <c r="E640" s="112"/>
    </row>
    <row r="641" spans="3:5" ht="20.25" customHeight="1" x14ac:dyDescent="0.25">
      <c r="C641" s="91" t="s">
        <v>8411</v>
      </c>
      <c r="E641" s="112"/>
    </row>
    <row r="642" spans="3:5" ht="20.25" customHeight="1" x14ac:dyDescent="0.25">
      <c r="C642" s="91" t="s">
        <v>8412</v>
      </c>
      <c r="E642" s="112"/>
    </row>
    <row r="643" spans="3:5" ht="20.25" customHeight="1" x14ac:dyDescent="0.25">
      <c r="C643" s="91" t="s">
        <v>8413</v>
      </c>
      <c r="E643" s="112"/>
    </row>
    <row r="644" spans="3:5" ht="20.25" customHeight="1" x14ac:dyDescent="0.25">
      <c r="C644" s="95" t="s">
        <v>8414</v>
      </c>
      <c r="E644" s="112"/>
    </row>
    <row r="645" spans="3:5" ht="20.25" customHeight="1" x14ac:dyDescent="0.25">
      <c r="C645" s="91" t="s">
        <v>8415</v>
      </c>
      <c r="E645" s="112"/>
    </row>
    <row r="646" spans="3:5" ht="20.25" customHeight="1" x14ac:dyDescent="0.25">
      <c r="C646" s="91" t="s">
        <v>8416</v>
      </c>
      <c r="E646" s="112"/>
    </row>
    <row r="647" spans="3:5" ht="20.25" customHeight="1" x14ac:dyDescent="0.25">
      <c r="C647" s="97" t="s">
        <v>7854</v>
      </c>
      <c r="E647" s="112"/>
    </row>
    <row r="648" spans="3:5" ht="20.25" customHeight="1" x14ac:dyDescent="0.25">
      <c r="C648" s="95" t="s">
        <v>8417</v>
      </c>
      <c r="E648" s="103" t="s">
        <v>4357</v>
      </c>
    </row>
    <row r="649" spans="3:5" ht="20.25" customHeight="1" x14ac:dyDescent="0.25">
      <c r="C649" s="91" t="s">
        <v>8418</v>
      </c>
      <c r="E649" s="103" t="s">
        <v>4357</v>
      </c>
    </row>
    <row r="650" spans="3:5" ht="20.25" customHeight="1" x14ac:dyDescent="0.25">
      <c r="C650" s="91" t="s">
        <v>7856</v>
      </c>
      <c r="E650" s="103" t="s">
        <v>4357</v>
      </c>
    </row>
    <row r="651" spans="3:5" ht="20.25" customHeight="1" x14ac:dyDescent="0.25">
      <c r="C651" s="91" t="s">
        <v>7858</v>
      </c>
      <c r="E651" s="112" t="s">
        <v>4357</v>
      </c>
    </row>
    <row r="652" spans="3:5" ht="20.25" customHeight="1" x14ac:dyDescent="0.25">
      <c r="C652" s="91" t="s">
        <v>8419</v>
      </c>
      <c r="E652" s="112"/>
    </row>
    <row r="653" spans="3:5" ht="20.25" customHeight="1" x14ac:dyDescent="0.25">
      <c r="C653" s="91" t="s">
        <v>7860</v>
      </c>
      <c r="E653" s="112"/>
    </row>
    <row r="654" spans="3:5" ht="20.25" customHeight="1" x14ac:dyDescent="0.25">
      <c r="C654" s="91" t="s">
        <v>8420</v>
      </c>
      <c r="E654" s="112"/>
    </row>
    <row r="655" spans="3:5" ht="20.25" customHeight="1" x14ac:dyDescent="0.25">
      <c r="C655" s="91" t="s">
        <v>8421</v>
      </c>
      <c r="E655" s="112"/>
    </row>
    <row r="656" spans="3:5" ht="20.25" customHeight="1" x14ac:dyDescent="0.25">
      <c r="C656" s="91" t="s">
        <v>8422</v>
      </c>
      <c r="E656" s="112"/>
    </row>
    <row r="657" spans="3:5" ht="20.25" customHeight="1" x14ac:dyDescent="0.25">
      <c r="C657" s="91" t="s">
        <v>8423</v>
      </c>
      <c r="E657" s="112"/>
    </row>
    <row r="658" spans="3:5" ht="20.25" customHeight="1" x14ac:dyDescent="0.25">
      <c r="C658" s="91" t="s">
        <v>8424</v>
      </c>
      <c r="E658" s="112"/>
    </row>
    <row r="659" spans="3:5" ht="20.25" customHeight="1" x14ac:dyDescent="0.25">
      <c r="C659" s="91" t="s">
        <v>8425</v>
      </c>
      <c r="E659" s="112"/>
    </row>
    <row r="660" spans="3:5" ht="20.25" customHeight="1" x14ac:dyDescent="0.25">
      <c r="C660" s="91" t="s">
        <v>8426</v>
      </c>
      <c r="E660" s="112"/>
    </row>
    <row r="661" spans="3:5" ht="20.25" customHeight="1" x14ac:dyDescent="0.25">
      <c r="C661" s="91" t="s">
        <v>8427</v>
      </c>
      <c r="E661" s="112"/>
    </row>
    <row r="662" spans="3:5" ht="20.25" customHeight="1" x14ac:dyDescent="0.25">
      <c r="C662" s="91" t="s">
        <v>8428</v>
      </c>
      <c r="E662" s="112"/>
    </row>
    <row r="663" spans="3:5" ht="20.25" customHeight="1" x14ac:dyDescent="0.25">
      <c r="C663" s="91" t="s">
        <v>8429</v>
      </c>
      <c r="E663" s="112"/>
    </row>
    <row r="664" spans="3:5" ht="20.25" customHeight="1" x14ac:dyDescent="0.25">
      <c r="C664" s="91" t="s">
        <v>8430</v>
      </c>
      <c r="E664" s="112"/>
    </row>
    <row r="665" spans="3:5" ht="20.25" customHeight="1" x14ac:dyDescent="0.25">
      <c r="C665" s="91" t="s">
        <v>7862</v>
      </c>
      <c r="E665" s="112"/>
    </row>
    <row r="666" spans="3:5" ht="20.25" customHeight="1" x14ac:dyDescent="0.25">
      <c r="C666" s="91" t="s">
        <v>8431</v>
      </c>
      <c r="E666" s="112"/>
    </row>
    <row r="667" spans="3:5" ht="20.25" customHeight="1" x14ac:dyDescent="0.25">
      <c r="C667" s="91" t="s">
        <v>8432</v>
      </c>
      <c r="E667" s="119">
        <v>45040</v>
      </c>
    </row>
    <row r="668" spans="3:5" ht="20.25" customHeight="1" x14ac:dyDescent="0.25">
      <c r="C668" s="91" t="s">
        <v>8433</v>
      </c>
      <c r="E668" s="112"/>
    </row>
    <row r="669" spans="3:5" ht="20.25" customHeight="1" x14ac:dyDescent="0.25">
      <c r="C669" s="91" t="s">
        <v>8434</v>
      </c>
      <c r="E669" s="112"/>
    </row>
    <row r="670" spans="3:5" ht="20.25" customHeight="1" x14ac:dyDescent="0.25">
      <c r="C670" s="91" t="s">
        <v>8435</v>
      </c>
      <c r="E670" s="103"/>
    </row>
    <row r="671" spans="3:5" ht="20.25" customHeight="1" x14ac:dyDescent="0.25">
      <c r="C671" s="91" t="s">
        <v>8436</v>
      </c>
      <c r="E671" s="112"/>
    </row>
    <row r="672" spans="3:5" ht="20.25" customHeight="1" x14ac:dyDescent="0.25">
      <c r="C672" s="91" t="s">
        <v>8437</v>
      </c>
      <c r="E672" s="112"/>
    </row>
    <row r="673" spans="3:5" ht="20.25" customHeight="1" x14ac:dyDescent="0.25">
      <c r="C673" s="91" t="s">
        <v>8438</v>
      </c>
      <c r="E673" s="105">
        <v>44922</v>
      </c>
    </row>
    <row r="674" spans="3:5" ht="20.25" customHeight="1" x14ac:dyDescent="0.25">
      <c r="C674" s="91" t="s">
        <v>8439</v>
      </c>
      <c r="E674" s="112"/>
    </row>
    <row r="675" spans="3:5" ht="20.25" customHeight="1" x14ac:dyDescent="0.25">
      <c r="C675" s="91" t="s">
        <v>8440</v>
      </c>
      <c r="E675" s="112"/>
    </row>
    <row r="676" spans="3:5" ht="20.25" customHeight="1" x14ac:dyDescent="0.25">
      <c r="C676" s="91" t="s">
        <v>8441</v>
      </c>
      <c r="E676" s="112"/>
    </row>
    <row r="677" spans="3:5" ht="20.25" customHeight="1" x14ac:dyDescent="0.25">
      <c r="C677" s="91" t="s">
        <v>8442</v>
      </c>
      <c r="E677" s="112"/>
    </row>
    <row r="678" spans="3:5" ht="20.25" customHeight="1" x14ac:dyDescent="0.25">
      <c r="C678" s="91" t="s">
        <v>8443</v>
      </c>
      <c r="E678" s="112" t="s">
        <v>4357</v>
      </c>
    </row>
    <row r="679" spans="3:5" ht="20.25" customHeight="1" x14ac:dyDescent="0.25">
      <c r="C679" s="91" t="s">
        <v>8444</v>
      </c>
      <c r="E679" s="112" t="s">
        <v>4357</v>
      </c>
    </row>
    <row r="680" spans="3:5" ht="20.25" customHeight="1" x14ac:dyDescent="0.25">
      <c r="C680" s="91" t="s">
        <v>8445</v>
      </c>
      <c r="E680" s="112"/>
    </row>
    <row r="681" spans="3:5" ht="20.25" customHeight="1" x14ac:dyDescent="0.25">
      <c r="C681" s="91" t="s">
        <v>8446</v>
      </c>
      <c r="E681" s="112" t="s">
        <v>4357</v>
      </c>
    </row>
    <row r="682" spans="3:5" ht="20.25" customHeight="1" x14ac:dyDescent="0.25">
      <c r="C682" s="91" t="s">
        <v>8447</v>
      </c>
      <c r="E682" s="112"/>
    </row>
    <row r="683" spans="3:5" ht="20.25" customHeight="1" x14ac:dyDescent="0.25">
      <c r="C683" s="91" t="s">
        <v>8448</v>
      </c>
      <c r="E683" s="112"/>
    </row>
    <row r="684" spans="3:5" ht="20.25" customHeight="1" x14ac:dyDescent="0.25">
      <c r="C684" s="91" t="s">
        <v>8449</v>
      </c>
      <c r="E684" s="112"/>
    </row>
    <row r="685" spans="3:5" ht="20.25" customHeight="1" x14ac:dyDescent="0.25">
      <c r="C685" s="91" t="s">
        <v>8450</v>
      </c>
      <c r="E685" s="103" t="s">
        <v>4357</v>
      </c>
    </row>
    <row r="686" spans="3:5" ht="20.25" customHeight="1" x14ac:dyDescent="0.25">
      <c r="C686" s="91" t="s">
        <v>8451</v>
      </c>
      <c r="E686" s="119">
        <v>45040</v>
      </c>
    </row>
    <row r="687" spans="3:5" ht="20.25" customHeight="1" x14ac:dyDescent="0.25">
      <c r="C687" s="91" t="s">
        <v>8452</v>
      </c>
      <c r="E687" s="112"/>
    </row>
    <row r="688" spans="3:5" ht="20.25" customHeight="1" x14ac:dyDescent="0.25">
      <c r="C688" s="91" t="s">
        <v>8453</v>
      </c>
      <c r="E688" s="103" t="s">
        <v>4357</v>
      </c>
    </row>
    <row r="689" spans="3:5" ht="20.25" customHeight="1" x14ac:dyDescent="0.25">
      <c r="C689" s="91" t="s">
        <v>8454</v>
      </c>
      <c r="E689" s="108">
        <v>45148</v>
      </c>
    </row>
    <row r="690" spans="3:5" ht="20.25" customHeight="1" x14ac:dyDescent="0.25">
      <c r="C690" s="91" t="s">
        <v>8455</v>
      </c>
      <c r="E690" s="112"/>
    </row>
    <row r="691" spans="3:5" ht="20.25" customHeight="1" x14ac:dyDescent="0.25">
      <c r="C691" s="91" t="s">
        <v>8456</v>
      </c>
      <c r="E691" s="108">
        <v>45049</v>
      </c>
    </row>
    <row r="692" spans="3:5" ht="20.25" customHeight="1" x14ac:dyDescent="0.25">
      <c r="C692" s="91" t="s">
        <v>8457</v>
      </c>
      <c r="E692" s="103" t="s">
        <v>4357</v>
      </c>
    </row>
    <row r="693" spans="3:5" ht="20.25" customHeight="1" x14ac:dyDescent="0.25">
      <c r="C693" s="91" t="s">
        <v>8458</v>
      </c>
      <c r="E693" s="112" t="s">
        <v>4357</v>
      </c>
    </row>
    <row r="694" spans="3:5" ht="20.25" customHeight="1" x14ac:dyDescent="0.25">
      <c r="C694" s="91" t="s">
        <v>8459</v>
      </c>
      <c r="E694" s="112"/>
    </row>
    <row r="695" spans="3:5" ht="20.25" customHeight="1" x14ac:dyDescent="0.25">
      <c r="C695" s="91" t="s">
        <v>8460</v>
      </c>
      <c r="E695" s="112"/>
    </row>
    <row r="696" spans="3:5" ht="20.25" customHeight="1" x14ac:dyDescent="0.25">
      <c r="C696" s="91" t="s">
        <v>8461</v>
      </c>
      <c r="E696" s="108">
        <v>45049</v>
      </c>
    </row>
    <row r="697" spans="3:5" ht="20.25" customHeight="1" x14ac:dyDescent="0.25">
      <c r="C697" s="91" t="s">
        <v>8462</v>
      </c>
      <c r="E697" s="105">
        <v>45058</v>
      </c>
    </row>
    <row r="698" spans="3:5" ht="20.25" customHeight="1" x14ac:dyDescent="0.25">
      <c r="C698" s="91" t="s">
        <v>8463</v>
      </c>
      <c r="E698" s="112"/>
    </row>
    <row r="699" spans="3:5" ht="20.25" customHeight="1" x14ac:dyDescent="0.25">
      <c r="C699" s="91" t="s">
        <v>8464</v>
      </c>
      <c r="E699" s="119">
        <v>45040</v>
      </c>
    </row>
    <row r="700" spans="3:5" ht="20.25" customHeight="1" x14ac:dyDescent="0.25">
      <c r="C700" s="91" t="s">
        <v>8465</v>
      </c>
      <c r="E700" s="112"/>
    </row>
    <row r="701" spans="3:5" ht="20.25" customHeight="1" x14ac:dyDescent="0.25">
      <c r="C701" s="91" t="s">
        <v>8466</v>
      </c>
      <c r="E701" s="103" t="s">
        <v>4357</v>
      </c>
    </row>
    <row r="702" spans="3:5" ht="20.25" customHeight="1" x14ac:dyDescent="0.25">
      <c r="C702" s="91" t="s">
        <v>8467</v>
      </c>
      <c r="E702" s="112"/>
    </row>
    <row r="703" spans="3:5" ht="20.25" customHeight="1" x14ac:dyDescent="0.25">
      <c r="C703" s="91" t="s">
        <v>8468</v>
      </c>
      <c r="E703" s="112"/>
    </row>
    <row r="704" spans="3:5" ht="20.25" customHeight="1" x14ac:dyDescent="0.25">
      <c r="C704" s="91" t="s">
        <v>8469</v>
      </c>
      <c r="E704" s="112"/>
    </row>
    <row r="705" spans="3:5" ht="20.25" customHeight="1" x14ac:dyDescent="0.25">
      <c r="C705" s="91" t="s">
        <v>8470</v>
      </c>
      <c r="E705" s="103" t="s">
        <v>4357</v>
      </c>
    </row>
    <row r="706" spans="3:5" ht="20.25" customHeight="1" x14ac:dyDescent="0.25">
      <c r="C706" s="91" t="s">
        <v>8471</v>
      </c>
      <c r="E706" s="112"/>
    </row>
    <row r="707" spans="3:5" ht="20.25" customHeight="1" x14ac:dyDescent="0.25">
      <c r="C707" s="91" t="s">
        <v>8472</v>
      </c>
      <c r="E707" s="112"/>
    </row>
    <row r="708" spans="3:5" ht="20.25" customHeight="1" x14ac:dyDescent="0.25">
      <c r="C708" s="91" t="s">
        <v>8473</v>
      </c>
      <c r="E708" s="112"/>
    </row>
    <row r="709" spans="3:5" ht="20.25" customHeight="1" x14ac:dyDescent="0.25">
      <c r="C709" s="91" t="s">
        <v>8474</v>
      </c>
      <c r="E709" s="103" t="s">
        <v>4357</v>
      </c>
    </row>
    <row r="710" spans="3:5" ht="20.25" customHeight="1" x14ac:dyDescent="0.25">
      <c r="C710" s="91" t="s">
        <v>8475</v>
      </c>
      <c r="E710" s="103" t="s">
        <v>4357</v>
      </c>
    </row>
    <row r="711" spans="3:5" ht="20.25" customHeight="1" x14ac:dyDescent="0.25">
      <c r="C711" s="91" t="s">
        <v>8476</v>
      </c>
      <c r="E711" s="112"/>
    </row>
    <row r="712" spans="3:5" ht="20.25" customHeight="1" x14ac:dyDescent="0.25">
      <c r="C712" s="91" t="s">
        <v>8477</v>
      </c>
      <c r="E712" s="103" t="s">
        <v>4357</v>
      </c>
    </row>
    <row r="713" spans="3:5" ht="20.25" customHeight="1" x14ac:dyDescent="0.25">
      <c r="C713" s="91" t="s">
        <v>8478</v>
      </c>
      <c r="E713" s="112"/>
    </row>
    <row r="714" spans="3:5" ht="20.25" customHeight="1" x14ac:dyDescent="0.25">
      <c r="C714" s="91" t="s">
        <v>8479</v>
      </c>
      <c r="E714" s="112"/>
    </row>
    <row r="715" spans="3:5" ht="20.25" customHeight="1" x14ac:dyDescent="0.25">
      <c r="C715" s="91" t="s">
        <v>8480</v>
      </c>
      <c r="E715" s="103" t="s">
        <v>4357</v>
      </c>
    </row>
    <row r="716" spans="3:5" ht="20.25" customHeight="1" x14ac:dyDescent="0.25">
      <c r="C716" s="91" t="s">
        <v>8481</v>
      </c>
      <c r="E716" s="119">
        <v>45040</v>
      </c>
    </row>
    <row r="717" spans="3:5" ht="20.25" customHeight="1" x14ac:dyDescent="0.25">
      <c r="C717" s="91" t="s">
        <v>8482</v>
      </c>
      <c r="E717" s="112"/>
    </row>
    <row r="718" spans="3:5" ht="20.25" customHeight="1" x14ac:dyDescent="0.25">
      <c r="C718" s="91" t="s">
        <v>7864</v>
      </c>
      <c r="E718" s="103" t="s">
        <v>4357</v>
      </c>
    </row>
    <row r="719" spans="3:5" ht="20.25" customHeight="1" x14ac:dyDescent="0.25">
      <c r="C719" s="91" t="s">
        <v>8483</v>
      </c>
      <c r="E719" s="105">
        <v>44923</v>
      </c>
    </row>
    <row r="720" spans="3:5" ht="20.25" customHeight="1" x14ac:dyDescent="0.25">
      <c r="C720" s="91" t="s">
        <v>8484</v>
      </c>
      <c r="E720" s="112"/>
    </row>
    <row r="721" spans="3:5" ht="20.25" customHeight="1" x14ac:dyDescent="0.25">
      <c r="C721" s="91" t="s">
        <v>8485</v>
      </c>
      <c r="E721" s="105">
        <v>44877</v>
      </c>
    </row>
    <row r="722" spans="3:5" ht="20.25" customHeight="1" x14ac:dyDescent="0.25">
      <c r="C722" s="91" t="s">
        <v>8486</v>
      </c>
      <c r="E722" s="112"/>
    </row>
    <row r="723" spans="3:5" ht="20.25" customHeight="1" x14ac:dyDescent="0.25">
      <c r="C723" s="91" t="s">
        <v>8487</v>
      </c>
      <c r="E723" s="112"/>
    </row>
    <row r="724" spans="3:5" ht="20.25" customHeight="1" x14ac:dyDescent="0.25">
      <c r="C724" s="91" t="s">
        <v>8488</v>
      </c>
      <c r="E724" s="119">
        <v>45040</v>
      </c>
    </row>
    <row r="725" spans="3:5" ht="20.25" customHeight="1" x14ac:dyDescent="0.25">
      <c r="C725" s="91" t="s">
        <v>8489</v>
      </c>
      <c r="E725" s="103" t="s">
        <v>4357</v>
      </c>
    </row>
    <row r="726" spans="3:5" ht="20.25" customHeight="1" x14ac:dyDescent="0.25">
      <c r="C726" s="93" t="s">
        <v>8490</v>
      </c>
      <c r="E726" s="112"/>
    </row>
    <row r="727" spans="3:5" ht="20.25" customHeight="1" x14ac:dyDescent="0.25">
      <c r="C727" s="91" t="s">
        <v>7866</v>
      </c>
      <c r="E727" s="112"/>
    </row>
    <row r="728" spans="3:5" ht="20.25" customHeight="1" x14ac:dyDescent="0.25">
      <c r="C728" s="91" t="s">
        <v>8491</v>
      </c>
      <c r="E728" s="112"/>
    </row>
    <row r="729" spans="3:5" ht="20.25" customHeight="1" x14ac:dyDescent="0.25">
      <c r="C729" s="91" t="s">
        <v>8492</v>
      </c>
      <c r="E729" s="112"/>
    </row>
    <row r="730" spans="3:5" ht="20.25" customHeight="1" x14ac:dyDescent="0.25">
      <c r="C730" s="91" t="s">
        <v>7868</v>
      </c>
      <c r="E730" s="112"/>
    </row>
    <row r="731" spans="3:5" ht="20.25" customHeight="1" x14ac:dyDescent="0.25">
      <c r="C731" s="91" t="s">
        <v>8493</v>
      </c>
      <c r="E731" s="112"/>
    </row>
    <row r="732" spans="3:5" ht="20.25" customHeight="1" x14ac:dyDescent="0.25">
      <c r="C732" s="91" t="s">
        <v>8494</v>
      </c>
      <c r="E732" s="112"/>
    </row>
    <row r="733" spans="3:5" ht="20.25" customHeight="1" x14ac:dyDescent="0.25">
      <c r="C733" s="97" t="s">
        <v>7870</v>
      </c>
      <c r="E733" s="112"/>
    </row>
    <row r="734" spans="3:5" ht="20.25" customHeight="1" x14ac:dyDescent="0.25">
      <c r="C734" s="91" t="s">
        <v>8495</v>
      </c>
      <c r="E734" s="112"/>
    </row>
    <row r="735" spans="3:5" ht="20.25" customHeight="1" x14ac:dyDescent="0.25">
      <c r="C735" s="91" t="s">
        <v>8496</v>
      </c>
      <c r="E735" s="112"/>
    </row>
    <row r="736" spans="3:5" ht="20.25" customHeight="1" x14ac:dyDescent="0.25">
      <c r="C736" s="91" t="s">
        <v>8497</v>
      </c>
      <c r="E736" s="108">
        <v>45049</v>
      </c>
    </row>
    <row r="737" spans="3:5" ht="20.25" customHeight="1" x14ac:dyDescent="0.25">
      <c r="C737" s="91" t="s">
        <v>8498</v>
      </c>
      <c r="E737" s="119">
        <v>45040</v>
      </c>
    </row>
    <row r="738" spans="3:5" ht="20.25" customHeight="1" x14ac:dyDescent="0.25">
      <c r="C738" s="91" t="s">
        <v>8499</v>
      </c>
      <c r="E738" s="112"/>
    </row>
    <row r="739" spans="3:5" ht="20.25" customHeight="1" x14ac:dyDescent="0.25">
      <c r="C739" s="91" t="s">
        <v>8500</v>
      </c>
      <c r="E739" s="112"/>
    </row>
    <row r="740" spans="3:5" ht="20.25" customHeight="1" x14ac:dyDescent="0.25">
      <c r="C740" s="94" t="s">
        <v>8501</v>
      </c>
      <c r="E740" s="103" t="s">
        <v>4357</v>
      </c>
    </row>
    <row r="741" spans="3:5" ht="20.25" customHeight="1" x14ac:dyDescent="0.25">
      <c r="C741" s="91" t="s">
        <v>8502</v>
      </c>
      <c r="E741" s="112"/>
    </row>
    <row r="742" spans="3:5" ht="20.25" customHeight="1" x14ac:dyDescent="0.25">
      <c r="C742" s="91" t="s">
        <v>8503</v>
      </c>
      <c r="E742" s="112"/>
    </row>
    <row r="743" spans="3:5" ht="20.25" customHeight="1" x14ac:dyDescent="0.25">
      <c r="C743" s="91" t="s">
        <v>8504</v>
      </c>
      <c r="E743" s="112"/>
    </row>
    <row r="744" spans="3:5" ht="20.25" customHeight="1" x14ac:dyDescent="0.25">
      <c r="C744" s="91" t="s">
        <v>8505</v>
      </c>
      <c r="E744" s="112"/>
    </row>
    <row r="745" spans="3:5" ht="20.25" customHeight="1" x14ac:dyDescent="0.25">
      <c r="C745" s="91" t="s">
        <v>8506</v>
      </c>
      <c r="E745" s="112"/>
    </row>
    <row r="746" spans="3:5" ht="20.25" customHeight="1" x14ac:dyDescent="0.25">
      <c r="C746" s="91" t="s">
        <v>8507</v>
      </c>
      <c r="E746" s="112"/>
    </row>
    <row r="747" spans="3:5" ht="20.25" customHeight="1" x14ac:dyDescent="0.25">
      <c r="C747" s="91" t="s">
        <v>8508</v>
      </c>
      <c r="E747" s="103" t="s">
        <v>4357</v>
      </c>
    </row>
    <row r="748" spans="3:5" ht="20.25" customHeight="1" x14ac:dyDescent="0.25">
      <c r="C748" s="91" t="s">
        <v>8509</v>
      </c>
      <c r="E748" s="108">
        <v>45105</v>
      </c>
    </row>
    <row r="749" spans="3:5" ht="20.25" customHeight="1" x14ac:dyDescent="0.25">
      <c r="C749" s="91" t="s">
        <v>8510</v>
      </c>
      <c r="E749" s="119">
        <v>45040</v>
      </c>
    </row>
    <row r="750" spans="3:5" ht="20.25" customHeight="1" x14ac:dyDescent="0.25">
      <c r="C750" s="91" t="s">
        <v>8511</v>
      </c>
      <c r="E750" s="112"/>
    </row>
    <row r="751" spans="3:5" ht="20.25" customHeight="1" x14ac:dyDescent="0.25">
      <c r="C751" s="91" t="s">
        <v>8512</v>
      </c>
      <c r="E751" s="103" t="s">
        <v>4357</v>
      </c>
    </row>
    <row r="752" spans="3:5" ht="20.25" customHeight="1" x14ac:dyDescent="0.25">
      <c r="C752" s="91" t="s">
        <v>8513</v>
      </c>
      <c r="E752" s="103" t="s">
        <v>4357</v>
      </c>
    </row>
    <row r="753" spans="3:5" ht="20.25" customHeight="1" x14ac:dyDescent="0.25">
      <c r="C753" s="91" t="s">
        <v>8514</v>
      </c>
      <c r="E753" s="112"/>
    </row>
    <row r="754" spans="3:5" ht="20.25" customHeight="1" x14ac:dyDescent="0.25">
      <c r="C754" s="91" t="s">
        <v>8515</v>
      </c>
      <c r="E754" s="112"/>
    </row>
    <row r="755" spans="3:5" ht="20.25" customHeight="1" x14ac:dyDescent="0.25">
      <c r="C755" s="91" t="s">
        <v>8516</v>
      </c>
      <c r="E755" s="112"/>
    </row>
    <row r="756" spans="3:5" ht="20.25" customHeight="1" x14ac:dyDescent="0.25">
      <c r="C756" s="91" t="s">
        <v>8517</v>
      </c>
      <c r="E756" s="103" t="s">
        <v>4357</v>
      </c>
    </row>
    <row r="757" spans="3:5" ht="20.25" customHeight="1" x14ac:dyDescent="0.25">
      <c r="C757" s="91" t="s">
        <v>8518</v>
      </c>
      <c r="E757" s="112"/>
    </row>
    <row r="758" spans="3:5" ht="20.25" customHeight="1" x14ac:dyDescent="0.25">
      <c r="C758" s="91" t="s">
        <v>8519</v>
      </c>
      <c r="E758" s="105">
        <v>44910</v>
      </c>
    </row>
    <row r="759" spans="3:5" ht="20.25" customHeight="1" x14ac:dyDescent="0.25">
      <c r="C759" s="91" t="s">
        <v>8520</v>
      </c>
      <c r="E759" s="112"/>
    </row>
    <row r="760" spans="3:5" ht="20.25" customHeight="1" x14ac:dyDescent="0.25">
      <c r="C760" s="91" t="s">
        <v>8521</v>
      </c>
      <c r="E760" s="103" t="s">
        <v>4357</v>
      </c>
    </row>
    <row r="761" spans="3:5" ht="20.25" customHeight="1" x14ac:dyDescent="0.25">
      <c r="C761" s="91" t="s">
        <v>8522</v>
      </c>
      <c r="E761" s="112"/>
    </row>
    <row r="762" spans="3:5" ht="20.25" customHeight="1" x14ac:dyDescent="0.25">
      <c r="C762" s="91" t="s">
        <v>8523</v>
      </c>
      <c r="E762" s="112"/>
    </row>
    <row r="763" spans="3:5" ht="20.25" customHeight="1" x14ac:dyDescent="0.25">
      <c r="C763" s="91" t="s">
        <v>8524</v>
      </c>
      <c r="E763" s="112"/>
    </row>
    <row r="764" spans="3:5" ht="20.25" customHeight="1" x14ac:dyDescent="0.25">
      <c r="C764" s="91" t="s">
        <v>8525</v>
      </c>
      <c r="E764" s="112"/>
    </row>
    <row r="765" spans="3:5" ht="20.25" customHeight="1" x14ac:dyDescent="0.25">
      <c r="C765" s="91" t="s">
        <v>8526</v>
      </c>
      <c r="E765" s="119">
        <v>45040</v>
      </c>
    </row>
    <row r="766" spans="3:5" ht="20.25" customHeight="1" x14ac:dyDescent="0.25">
      <c r="C766" s="91" t="s">
        <v>8527</v>
      </c>
      <c r="E766" s="119">
        <v>45040</v>
      </c>
    </row>
    <row r="767" spans="3:5" ht="20.25" customHeight="1" x14ac:dyDescent="0.25">
      <c r="C767" s="91" t="s">
        <v>8528</v>
      </c>
      <c r="E767" s="112"/>
    </row>
    <row r="768" spans="3:5" ht="20.25" customHeight="1" x14ac:dyDescent="0.25">
      <c r="C768" s="91" t="s">
        <v>8529</v>
      </c>
      <c r="E768" s="112"/>
    </row>
    <row r="769" spans="3:5" ht="20.25" customHeight="1" x14ac:dyDescent="0.25">
      <c r="C769" s="91" t="s">
        <v>8530</v>
      </c>
      <c r="E769" s="119">
        <v>45040</v>
      </c>
    </row>
    <row r="770" spans="3:5" ht="20.25" customHeight="1" x14ac:dyDescent="0.25">
      <c r="C770" s="91" t="s">
        <v>8531</v>
      </c>
      <c r="E770" s="105">
        <v>44890</v>
      </c>
    </row>
    <row r="771" spans="3:5" ht="20.25" customHeight="1" x14ac:dyDescent="0.25">
      <c r="C771" s="91" t="s">
        <v>8532</v>
      </c>
      <c r="E771" s="112"/>
    </row>
    <row r="772" spans="3:5" ht="20.25" customHeight="1" x14ac:dyDescent="0.25">
      <c r="C772" s="91" t="s">
        <v>8533</v>
      </c>
      <c r="E772" s="119">
        <v>45040</v>
      </c>
    </row>
    <row r="773" spans="3:5" ht="20.25" customHeight="1" x14ac:dyDescent="0.25">
      <c r="C773" s="91" t="s">
        <v>8534</v>
      </c>
      <c r="E773" s="109"/>
    </row>
    <row r="774" spans="3:5" ht="20.25" customHeight="1" x14ac:dyDescent="0.25">
      <c r="C774" s="91" t="s">
        <v>8535</v>
      </c>
      <c r="E774" s="112"/>
    </row>
    <row r="775" spans="3:5" ht="20.25" customHeight="1" x14ac:dyDescent="0.25">
      <c r="C775" s="91" t="s">
        <v>8536</v>
      </c>
      <c r="E775" s="119">
        <v>45040</v>
      </c>
    </row>
    <row r="776" spans="3:5" ht="20.25" customHeight="1" x14ac:dyDescent="0.25">
      <c r="C776" s="91" t="s">
        <v>8537</v>
      </c>
      <c r="E776" s="112"/>
    </row>
    <row r="777" spans="3:5" ht="20.25" customHeight="1" x14ac:dyDescent="0.25">
      <c r="C777" s="91" t="s">
        <v>8538</v>
      </c>
      <c r="E777" s="112"/>
    </row>
    <row r="778" spans="3:5" ht="20.25" customHeight="1" x14ac:dyDescent="0.25">
      <c r="C778" s="91" t="s">
        <v>8539</v>
      </c>
      <c r="E778" s="119">
        <v>45040</v>
      </c>
    </row>
    <row r="779" spans="3:5" ht="20.25" customHeight="1" x14ac:dyDescent="0.25">
      <c r="C779" s="91" t="s">
        <v>8540</v>
      </c>
      <c r="E779" s="105">
        <v>44922</v>
      </c>
    </row>
    <row r="780" spans="3:5" ht="20.25" customHeight="1" x14ac:dyDescent="0.25">
      <c r="C780" s="91" t="s">
        <v>8541</v>
      </c>
      <c r="E780" s="112"/>
    </row>
    <row r="781" spans="3:5" ht="20.25" customHeight="1" x14ac:dyDescent="0.25">
      <c r="C781" s="91" t="s">
        <v>8542</v>
      </c>
      <c r="E781" s="112"/>
    </row>
    <row r="782" spans="3:5" ht="20.25" customHeight="1" x14ac:dyDescent="0.25">
      <c r="C782" s="91" t="s">
        <v>8543</v>
      </c>
      <c r="E782" s="103" t="s">
        <v>4357</v>
      </c>
    </row>
    <row r="783" spans="3:5" ht="20.25" customHeight="1" x14ac:dyDescent="0.25">
      <c r="C783" s="91" t="s">
        <v>8544</v>
      </c>
      <c r="E783" s="105">
        <v>45056</v>
      </c>
    </row>
    <row r="784" spans="3:5" ht="20.25" customHeight="1" x14ac:dyDescent="0.25">
      <c r="C784" s="91" t="s">
        <v>7872</v>
      </c>
      <c r="E784" s="112"/>
    </row>
    <row r="785" spans="3:5" ht="20.25" customHeight="1" x14ac:dyDescent="0.25">
      <c r="C785" s="91" t="s">
        <v>7874</v>
      </c>
      <c r="E785" s="103" t="s">
        <v>4357</v>
      </c>
    </row>
    <row r="786" spans="3:5" ht="20.25" customHeight="1" x14ac:dyDescent="0.25">
      <c r="C786" s="91" t="s">
        <v>8545</v>
      </c>
      <c r="E786" s="112" t="s">
        <v>4357</v>
      </c>
    </row>
    <row r="787" spans="3:5" ht="20.25" customHeight="1" x14ac:dyDescent="0.25">
      <c r="C787" s="91" t="s">
        <v>8546</v>
      </c>
      <c r="E787" s="103" t="s">
        <v>4357</v>
      </c>
    </row>
    <row r="788" spans="3:5" ht="20.25" customHeight="1" x14ac:dyDescent="0.25">
      <c r="C788" s="91" t="s">
        <v>8547</v>
      </c>
      <c r="E788" s="112"/>
    </row>
    <row r="789" spans="3:5" ht="20.25" customHeight="1" x14ac:dyDescent="0.25">
      <c r="C789" s="91" t="s">
        <v>8548</v>
      </c>
      <c r="E789" s="112"/>
    </row>
    <row r="790" spans="3:5" ht="20.25" customHeight="1" x14ac:dyDescent="0.25">
      <c r="C790" s="91" t="s">
        <v>8549</v>
      </c>
      <c r="E790" s="112"/>
    </row>
    <row r="791" spans="3:5" ht="20.25" customHeight="1" x14ac:dyDescent="0.25">
      <c r="C791" s="91" t="s">
        <v>8550</v>
      </c>
      <c r="E791" s="112"/>
    </row>
    <row r="792" spans="3:5" ht="20.25" customHeight="1" x14ac:dyDescent="0.25">
      <c r="C792" s="91" t="s">
        <v>8551</v>
      </c>
      <c r="E792" s="112"/>
    </row>
    <row r="793" spans="3:5" ht="20.25" customHeight="1" x14ac:dyDescent="0.25">
      <c r="C793" s="91" t="s">
        <v>8552</v>
      </c>
      <c r="E793" s="112"/>
    </row>
    <row r="794" spans="3:5" ht="20.25" customHeight="1" x14ac:dyDescent="0.25">
      <c r="C794" s="91" t="s">
        <v>8553</v>
      </c>
      <c r="E794" s="112"/>
    </row>
    <row r="795" spans="3:5" ht="20.25" customHeight="1" x14ac:dyDescent="0.25">
      <c r="C795" s="91" t="s">
        <v>8554</v>
      </c>
      <c r="E795" s="112"/>
    </row>
    <row r="796" spans="3:5" ht="20.25" customHeight="1" x14ac:dyDescent="0.25">
      <c r="C796" s="91" t="s">
        <v>8555</v>
      </c>
      <c r="E796" s="112"/>
    </row>
    <row r="797" spans="3:5" ht="20.25" customHeight="1" x14ac:dyDescent="0.25">
      <c r="C797" s="91" t="s">
        <v>8556</v>
      </c>
      <c r="E797" s="112"/>
    </row>
    <row r="798" spans="3:5" ht="20.25" customHeight="1" x14ac:dyDescent="0.25">
      <c r="C798" s="91" t="s">
        <v>8557</v>
      </c>
      <c r="E798" s="103" t="s">
        <v>4357</v>
      </c>
    </row>
    <row r="799" spans="3:5" ht="20.25" customHeight="1" x14ac:dyDescent="0.25">
      <c r="C799" s="91" t="s">
        <v>8558</v>
      </c>
      <c r="E799" s="103" t="s">
        <v>4357</v>
      </c>
    </row>
    <row r="800" spans="3:5" ht="20.25" customHeight="1" x14ac:dyDescent="0.25">
      <c r="C800" s="91" t="s">
        <v>8559</v>
      </c>
      <c r="E800" s="103" t="s">
        <v>4357</v>
      </c>
    </row>
    <row r="801" spans="3:5" ht="20.25" customHeight="1" x14ac:dyDescent="0.25">
      <c r="C801" s="91" t="s">
        <v>8560</v>
      </c>
      <c r="E801" s="113"/>
    </row>
    <row r="802" spans="3:5" ht="20.25" customHeight="1" x14ac:dyDescent="0.25">
      <c r="C802" s="91" t="s">
        <v>8561</v>
      </c>
      <c r="E802" s="112"/>
    </row>
    <row r="803" spans="3:5" ht="20.25" customHeight="1" x14ac:dyDescent="0.25">
      <c r="C803" s="91" t="s">
        <v>8562</v>
      </c>
      <c r="E803" s="112"/>
    </row>
    <row r="804" spans="3:5" ht="20.25" customHeight="1" x14ac:dyDescent="0.25">
      <c r="C804" s="91" t="s">
        <v>8563</v>
      </c>
      <c r="E804" s="112"/>
    </row>
    <row r="805" spans="3:5" ht="20.25" customHeight="1" x14ac:dyDescent="0.25">
      <c r="C805" s="91" t="s">
        <v>8564</v>
      </c>
      <c r="E805" s="112"/>
    </row>
    <row r="806" spans="3:5" ht="20.25" customHeight="1" x14ac:dyDescent="0.25">
      <c r="C806" s="92" t="s">
        <v>8565</v>
      </c>
      <c r="E806" s="112"/>
    </row>
    <row r="807" spans="3:5" ht="20.25" customHeight="1" x14ac:dyDescent="0.25">
      <c r="C807" s="92" t="s">
        <v>8566</v>
      </c>
      <c r="E807" s="112"/>
    </row>
    <row r="808" spans="3:5" ht="20.25" customHeight="1" x14ac:dyDescent="0.25">
      <c r="C808" s="91" t="s">
        <v>8567</v>
      </c>
      <c r="E808" s="112"/>
    </row>
    <row r="809" spans="3:5" ht="20.25" customHeight="1" x14ac:dyDescent="0.25">
      <c r="C809" s="92" t="s">
        <v>8568</v>
      </c>
      <c r="E809" s="112"/>
    </row>
    <row r="810" spans="3:5" ht="20.25" customHeight="1" x14ac:dyDescent="0.25">
      <c r="C810" s="92" t="s">
        <v>8569</v>
      </c>
      <c r="E810" s="112"/>
    </row>
    <row r="811" spans="3:5" ht="20.25" customHeight="1" x14ac:dyDescent="0.25">
      <c r="C811" s="92" t="s">
        <v>8570</v>
      </c>
      <c r="E811" s="112"/>
    </row>
    <row r="812" spans="3:5" ht="20.25" customHeight="1" x14ac:dyDescent="0.25">
      <c r="C812" s="92" t="s">
        <v>8571</v>
      </c>
      <c r="E812" s="112"/>
    </row>
    <row r="813" spans="3:5" ht="20.25" customHeight="1" x14ac:dyDescent="0.25">
      <c r="C813" s="92" t="s">
        <v>8572</v>
      </c>
      <c r="E813" s="112"/>
    </row>
    <row r="814" spans="3:5" ht="20.25" customHeight="1" x14ac:dyDescent="0.25">
      <c r="C814" s="92" t="s">
        <v>8573</v>
      </c>
      <c r="E814" s="112"/>
    </row>
    <row r="815" spans="3:5" ht="20.25" customHeight="1" x14ac:dyDescent="0.25">
      <c r="C815" s="92" t="s">
        <v>8574</v>
      </c>
      <c r="E815" s="112"/>
    </row>
    <row r="816" spans="3:5" ht="20.25" customHeight="1" x14ac:dyDescent="0.25">
      <c r="C816" s="92" t="s">
        <v>8575</v>
      </c>
      <c r="E816" s="112"/>
    </row>
    <row r="817" spans="3:5" ht="20.25" customHeight="1" x14ac:dyDescent="0.25">
      <c r="C817" s="92" t="s">
        <v>8576</v>
      </c>
      <c r="E817" s="112"/>
    </row>
    <row r="818" spans="3:5" ht="20.25" customHeight="1" x14ac:dyDescent="0.25">
      <c r="C818" s="92" t="s">
        <v>8577</v>
      </c>
      <c r="E818" s="112"/>
    </row>
    <row r="819" spans="3:5" ht="20.25" customHeight="1" x14ac:dyDescent="0.25">
      <c r="C819" s="92" t="s">
        <v>8578</v>
      </c>
      <c r="E819" s="112"/>
    </row>
    <row r="820" spans="3:5" ht="20.25" customHeight="1" x14ac:dyDescent="0.25">
      <c r="C820" s="92" t="s">
        <v>8579</v>
      </c>
      <c r="E820" s="112"/>
    </row>
    <row r="821" spans="3:5" ht="20.25" customHeight="1" x14ac:dyDescent="0.25">
      <c r="C821" s="92" t="s">
        <v>8580</v>
      </c>
      <c r="E821" s="112"/>
    </row>
    <row r="822" spans="3:5" ht="20.25" customHeight="1" x14ac:dyDescent="0.25">
      <c r="C822" s="92" t="s">
        <v>8581</v>
      </c>
      <c r="E822" s="112"/>
    </row>
    <row r="823" spans="3:5" ht="20.25" customHeight="1" x14ac:dyDescent="0.25">
      <c r="C823" s="92" t="s">
        <v>8582</v>
      </c>
      <c r="E823" s="112"/>
    </row>
    <row r="824" spans="3:5" ht="20.25" customHeight="1" x14ac:dyDescent="0.25">
      <c r="C824" s="92" t="s">
        <v>8583</v>
      </c>
      <c r="E824" s="112"/>
    </row>
    <row r="825" spans="3:5" ht="20.25" customHeight="1" x14ac:dyDescent="0.25">
      <c r="C825" s="92" t="s">
        <v>8584</v>
      </c>
      <c r="E825" s="112"/>
    </row>
    <row r="826" spans="3:5" ht="20.25" customHeight="1" x14ac:dyDescent="0.25">
      <c r="C826" s="92" t="s">
        <v>8585</v>
      </c>
      <c r="E826" s="112"/>
    </row>
    <row r="827" spans="3:5" ht="20.25" customHeight="1" x14ac:dyDescent="0.25">
      <c r="C827" s="92" t="s">
        <v>8586</v>
      </c>
      <c r="E827" s="112"/>
    </row>
    <row r="828" spans="3:5" ht="20.25" customHeight="1" x14ac:dyDescent="0.25">
      <c r="C828" s="92" t="s">
        <v>8587</v>
      </c>
      <c r="E828" s="112"/>
    </row>
    <row r="829" spans="3:5" ht="20.25" customHeight="1" x14ac:dyDescent="0.25">
      <c r="C829" s="92" t="s">
        <v>8588</v>
      </c>
      <c r="E829" s="112"/>
    </row>
    <row r="830" spans="3:5" ht="20.25" customHeight="1" x14ac:dyDescent="0.25">
      <c r="C830" s="92" t="s">
        <v>8589</v>
      </c>
      <c r="E830" s="112"/>
    </row>
    <row r="831" spans="3:5" ht="20.25" customHeight="1" x14ac:dyDescent="0.25">
      <c r="C831" s="92" t="s">
        <v>8590</v>
      </c>
      <c r="E831" s="112"/>
    </row>
    <row r="832" spans="3:5" ht="20.25" customHeight="1" x14ac:dyDescent="0.25">
      <c r="C832" s="92" t="s">
        <v>8591</v>
      </c>
      <c r="E832" s="112"/>
    </row>
    <row r="833" spans="3:5" ht="20.25" customHeight="1" x14ac:dyDescent="0.25">
      <c r="C833" s="92" t="s">
        <v>8592</v>
      </c>
      <c r="E833" s="112"/>
    </row>
    <row r="834" spans="3:5" ht="20.25" customHeight="1" x14ac:dyDescent="0.25">
      <c r="C834" s="92" t="s">
        <v>8593</v>
      </c>
      <c r="E834" s="112"/>
    </row>
    <row r="835" spans="3:5" ht="20.25" customHeight="1" x14ac:dyDescent="0.25">
      <c r="C835" s="92" t="s">
        <v>8594</v>
      </c>
      <c r="E835" s="103" t="s">
        <v>4357</v>
      </c>
    </row>
    <row r="836" spans="3:5" ht="20.25" customHeight="1" x14ac:dyDescent="0.25">
      <c r="C836" s="92" t="s">
        <v>8595</v>
      </c>
      <c r="E836" s="112"/>
    </row>
    <row r="837" spans="3:5" ht="20.25" customHeight="1" x14ac:dyDescent="0.25">
      <c r="C837" s="92" t="s">
        <v>8596</v>
      </c>
      <c r="E837" s="112"/>
    </row>
    <row r="838" spans="3:5" ht="20.25" customHeight="1" x14ac:dyDescent="0.25">
      <c r="C838" s="92" t="s">
        <v>7876</v>
      </c>
      <c r="E838" s="112"/>
    </row>
    <row r="839" spans="3:5" ht="20.25" customHeight="1" x14ac:dyDescent="0.25">
      <c r="C839" s="92" t="s">
        <v>8597</v>
      </c>
      <c r="E839" s="112"/>
    </row>
    <row r="840" spans="3:5" ht="20.25" customHeight="1" x14ac:dyDescent="0.25">
      <c r="C840" s="92" t="s">
        <v>8598</v>
      </c>
      <c r="E840" s="108">
        <v>45065</v>
      </c>
    </row>
    <row r="841" spans="3:5" ht="20.25" customHeight="1" x14ac:dyDescent="0.25">
      <c r="C841" s="92" t="s">
        <v>8599</v>
      </c>
      <c r="E841" s="103" t="s">
        <v>4357</v>
      </c>
    </row>
    <row r="842" spans="3:5" ht="20.25" customHeight="1" x14ac:dyDescent="0.25">
      <c r="C842" s="92" t="s">
        <v>8600</v>
      </c>
      <c r="E842" s="108">
        <v>45148</v>
      </c>
    </row>
    <row r="843" spans="3:5" ht="20.25" customHeight="1" x14ac:dyDescent="0.25">
      <c r="C843" s="92" t="s">
        <v>8601</v>
      </c>
      <c r="E843" s="103" t="s">
        <v>4357</v>
      </c>
    </row>
    <row r="844" spans="3:5" ht="20.25" customHeight="1" x14ac:dyDescent="0.25">
      <c r="C844" s="92" t="s">
        <v>7878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6">
    <cfRule type="duplicateValues" dxfId="30" priority="1"/>
  </conditionalFormatting>
  <conditionalFormatting sqref="C7:C29">
    <cfRule type="duplicateValues" dxfId="29" priority="3"/>
  </conditionalFormatting>
  <conditionalFormatting sqref="C30:C34">
    <cfRule type="duplicateValues" dxfId="28" priority="3065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7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4604</v>
      </c>
      <c r="H5" s="242" t="s">
        <v>6648</v>
      </c>
      <c r="I5" s="242" t="s">
        <v>6650</v>
      </c>
      <c r="J5" s="255" t="s">
        <v>5647</v>
      </c>
    </row>
    <row r="6" spans="6:10" ht="24.75" customHeight="1" x14ac:dyDescent="0.2">
      <c r="F6" s="241" t="s">
        <v>4431</v>
      </c>
      <c r="G6" s="241" t="s">
        <v>4772</v>
      </c>
      <c r="H6" s="242" t="s">
        <v>5653</v>
      </c>
      <c r="I6" s="241" t="s">
        <v>5655</v>
      </c>
      <c r="J6" s="255" t="s">
        <v>5656</v>
      </c>
    </row>
    <row r="7" spans="6:10" ht="24.75" customHeight="1" x14ac:dyDescent="0.2">
      <c r="F7" s="241" t="s">
        <v>4431</v>
      </c>
      <c r="G7" s="241" t="s">
        <v>5298</v>
      </c>
      <c r="H7" s="242" t="s">
        <v>5667</v>
      </c>
      <c r="I7" s="241" t="s">
        <v>5669</v>
      </c>
      <c r="J7" s="255" t="s">
        <v>5670</v>
      </c>
    </row>
    <row r="8" spans="6:10" ht="24.75" customHeight="1" x14ac:dyDescent="0.2">
      <c r="F8" s="241" t="s">
        <v>4431</v>
      </c>
      <c r="G8" s="241" t="s">
        <v>4588</v>
      </c>
      <c r="H8" s="242" t="s">
        <v>5774</v>
      </c>
      <c r="I8" s="242" t="s">
        <v>5776</v>
      </c>
      <c r="J8" s="261" t="s">
        <v>5777</v>
      </c>
    </row>
    <row r="9" spans="6:10" ht="24.75" customHeight="1" x14ac:dyDescent="0.2">
      <c r="F9" s="241" t="s">
        <v>4431</v>
      </c>
      <c r="G9" s="241" t="s">
        <v>4627</v>
      </c>
      <c r="H9" s="242" t="s">
        <v>6696</v>
      </c>
      <c r="I9" s="242" t="s">
        <v>6697</v>
      </c>
      <c r="J9" s="261" t="s">
        <v>5781</v>
      </c>
    </row>
    <row r="10" spans="6:10" ht="24.75" customHeight="1" x14ac:dyDescent="0.2">
      <c r="F10" s="241" t="s">
        <v>4431</v>
      </c>
      <c r="G10" s="241" t="s">
        <v>4852</v>
      </c>
      <c r="H10" s="242" t="s">
        <v>5797</v>
      </c>
      <c r="I10" s="242" t="s">
        <v>5798</v>
      </c>
      <c r="J10" s="261" t="s">
        <v>5799</v>
      </c>
    </row>
    <row r="11" spans="6:10" ht="24.75" customHeight="1" x14ac:dyDescent="0.2">
      <c r="F11" s="241" t="s">
        <v>4431</v>
      </c>
      <c r="G11" s="241" t="s">
        <v>4888</v>
      </c>
      <c r="H11" s="242" t="s">
        <v>5818</v>
      </c>
      <c r="I11" s="242" t="s">
        <v>5820</v>
      </c>
      <c r="J11" s="261" t="s">
        <v>5821</v>
      </c>
    </row>
    <row r="12" spans="6:10" ht="24.75" customHeight="1" x14ac:dyDescent="0.2">
      <c r="F12" s="241" t="s">
        <v>4431</v>
      </c>
      <c r="G12" s="241" t="s">
        <v>4950</v>
      </c>
      <c r="H12" s="242" t="s">
        <v>5834</v>
      </c>
      <c r="I12" s="242" t="s">
        <v>5836</v>
      </c>
      <c r="J12" s="261" t="s">
        <v>5837</v>
      </c>
    </row>
    <row r="13" spans="6:10" ht="24.75" customHeight="1" x14ac:dyDescent="0.2">
      <c r="F13" s="241" t="s">
        <v>4431</v>
      </c>
      <c r="G13" s="241" t="s">
        <v>5838</v>
      </c>
      <c r="H13" s="242" t="s">
        <v>5839</v>
      </c>
      <c r="I13" s="242" t="s">
        <v>5841</v>
      </c>
      <c r="J13" s="261" t="s">
        <v>5842</v>
      </c>
    </row>
    <row r="14" spans="6:10" ht="24.75" customHeight="1" x14ac:dyDescent="0.2">
      <c r="F14" s="241" t="s">
        <v>4431</v>
      </c>
      <c r="G14" s="241" t="s">
        <v>5998</v>
      </c>
      <c r="H14" s="247" t="s">
        <v>5999</v>
      </c>
      <c r="I14" s="257" t="s">
        <v>6001</v>
      </c>
      <c r="J14" s="261" t="s">
        <v>6002</v>
      </c>
    </row>
    <row r="15" spans="6:10" ht="24.75" customHeight="1" x14ac:dyDescent="0.2">
      <c r="F15" s="241" t="s">
        <v>4431</v>
      </c>
      <c r="G15" s="241" t="s">
        <v>5080</v>
      </c>
      <c r="H15" s="247" t="s">
        <v>6003</v>
      </c>
      <c r="I15" s="242" t="s">
        <v>6005</v>
      </c>
      <c r="J15" s="261" t="s">
        <v>6006</v>
      </c>
    </row>
    <row r="16" spans="6:10" ht="24.75" customHeight="1" x14ac:dyDescent="0.2">
      <c r="F16" s="241" t="s">
        <v>4431</v>
      </c>
      <c r="G16" s="241" t="s">
        <v>6033</v>
      </c>
      <c r="H16" s="242" t="s">
        <v>6034</v>
      </c>
      <c r="I16" s="242" t="s">
        <v>6036</v>
      </c>
      <c r="J16" s="255" t="s">
        <v>6037</v>
      </c>
    </row>
    <row r="17" spans="6:10" ht="24.75" customHeight="1" x14ac:dyDescent="0.2">
      <c r="F17" s="241" t="s">
        <v>4431</v>
      </c>
      <c r="G17" s="241" t="s">
        <v>5483</v>
      </c>
      <c r="H17" s="242" t="s">
        <v>6535</v>
      </c>
      <c r="I17" s="242" t="s">
        <v>6537</v>
      </c>
      <c r="J17" s="255" t="s">
        <v>6045</v>
      </c>
    </row>
    <row r="18" spans="6:10" ht="24.75" customHeight="1" x14ac:dyDescent="0.2">
      <c r="F18" s="241" t="s">
        <v>4431</v>
      </c>
      <c r="G18" s="241" t="s">
        <v>4913</v>
      </c>
      <c r="H18" s="242" t="s">
        <v>6046</v>
      </c>
      <c r="I18" s="242" t="s">
        <v>6047</v>
      </c>
      <c r="J18" s="255" t="s">
        <v>6048</v>
      </c>
    </row>
    <row r="19" spans="6:10" ht="24.75" customHeight="1" x14ac:dyDescent="0.2">
      <c r="F19" s="241" t="s">
        <v>4431</v>
      </c>
      <c r="G19" s="241" t="s">
        <v>6066</v>
      </c>
      <c r="H19" s="242" t="s">
        <v>6067</v>
      </c>
      <c r="I19" s="241" t="s">
        <v>6069</v>
      </c>
      <c r="J19" s="241" t="s">
        <v>6071</v>
      </c>
    </row>
    <row r="20" spans="6:10" ht="24.75" customHeight="1" x14ac:dyDescent="0.2">
      <c r="F20" s="241" t="s">
        <v>4431</v>
      </c>
      <c r="G20" s="241" t="s">
        <v>4604</v>
      </c>
      <c r="H20" s="242" t="s">
        <v>6072</v>
      </c>
      <c r="I20" s="241" t="s">
        <v>6074</v>
      </c>
      <c r="J20" s="241" t="s">
        <v>6075</v>
      </c>
    </row>
    <row r="21" spans="6:10" ht="24.75" customHeight="1" x14ac:dyDescent="0.2">
      <c r="F21" s="241" t="s">
        <v>4431</v>
      </c>
      <c r="G21" s="241" t="s">
        <v>4689</v>
      </c>
      <c r="H21" s="242" t="s">
        <v>6088</v>
      </c>
      <c r="I21" s="242" t="s">
        <v>6089</v>
      </c>
      <c r="J21" s="241" t="s">
        <v>6090</v>
      </c>
    </row>
    <row r="22" spans="6:10" ht="24.75" customHeight="1" x14ac:dyDescent="0.2">
      <c r="F22" s="241" t="s">
        <v>4431</v>
      </c>
      <c r="G22" s="241" t="s">
        <v>5838</v>
      </c>
      <c r="H22" s="242" t="s">
        <v>6091</v>
      </c>
      <c r="I22" s="242" t="s">
        <v>6093</v>
      </c>
      <c r="J22" s="255" t="s">
        <v>6094</v>
      </c>
    </row>
    <row r="23" spans="6:10" ht="24.75" customHeight="1" x14ac:dyDescent="0.2">
      <c r="F23" s="241" t="s">
        <v>4431</v>
      </c>
      <c r="G23" s="241" t="s">
        <v>6103</v>
      </c>
      <c r="H23" s="242" t="s">
        <v>6104</v>
      </c>
      <c r="I23" s="242" t="s">
        <v>6106</v>
      </c>
      <c r="J23" s="255" t="s">
        <v>6107</v>
      </c>
    </row>
    <row r="24" spans="6:10" ht="24.75" customHeight="1" x14ac:dyDescent="0.2">
      <c r="F24" s="241" t="s">
        <v>4431</v>
      </c>
      <c r="G24" s="256" t="s">
        <v>6108</v>
      </c>
      <c r="H24" s="247" t="s">
        <v>6109</v>
      </c>
      <c r="I24" s="257" t="s">
        <v>6111</v>
      </c>
      <c r="J24" s="261" t="s">
        <v>6112</v>
      </c>
    </row>
    <row r="25" spans="6:10" ht="24.75" customHeight="1" x14ac:dyDescent="0.2">
      <c r="F25" s="241" t="s">
        <v>4431</v>
      </c>
      <c r="G25" s="241" t="s">
        <v>5080</v>
      </c>
      <c r="H25" s="242" t="s">
        <v>6147</v>
      </c>
      <c r="I25" s="242" t="s">
        <v>6148</v>
      </c>
      <c r="J25" s="261" t="s">
        <v>6149</v>
      </c>
    </row>
    <row r="26" spans="6:10" ht="24.75" customHeight="1" x14ac:dyDescent="0.2">
      <c r="F26" s="241" t="s">
        <v>4431</v>
      </c>
      <c r="G26" s="241" t="s">
        <v>6196</v>
      </c>
      <c r="H26" s="242" t="s">
        <v>6197</v>
      </c>
      <c r="I26" s="242" t="s">
        <v>6199</v>
      </c>
      <c r="J26" s="261" t="s">
        <v>6200</v>
      </c>
    </row>
    <row r="27" spans="6:10" ht="24.75" customHeight="1" x14ac:dyDescent="0.2">
      <c r="F27" s="241" t="s">
        <v>4431</v>
      </c>
      <c r="G27" s="241" t="s">
        <v>5509</v>
      </c>
      <c r="H27" s="242" t="s">
        <v>6249</v>
      </c>
      <c r="I27" s="242" t="s">
        <v>6251</v>
      </c>
      <c r="J27" s="255" t="s">
        <v>6252</v>
      </c>
    </row>
    <row r="28" spans="6:10" ht="24.75" customHeight="1" x14ac:dyDescent="0.2">
      <c r="F28" s="241" t="s">
        <v>4431</v>
      </c>
      <c r="G28" s="241" t="s">
        <v>6256</v>
      </c>
      <c r="H28" s="242" t="s">
        <v>6257</v>
      </c>
      <c r="I28" s="242" t="s">
        <v>6259</v>
      </c>
      <c r="J28" s="255" t="s">
        <v>6260</v>
      </c>
    </row>
    <row r="29" spans="6:10" ht="24.75" customHeight="1" x14ac:dyDescent="0.2">
      <c r="F29" s="241" t="s">
        <v>4431</v>
      </c>
      <c r="G29" s="241" t="s">
        <v>6489</v>
      </c>
      <c r="H29" s="242" t="s">
        <v>6490</v>
      </c>
      <c r="I29" s="242" t="s">
        <v>6492</v>
      </c>
      <c r="J29" s="255" t="s">
        <v>6493</v>
      </c>
    </row>
    <row r="30" spans="6:10" ht="24.75" customHeight="1" x14ac:dyDescent="0.2">
      <c r="F30" s="241" t="s">
        <v>4431</v>
      </c>
      <c r="G30" s="241" t="s">
        <v>6494</v>
      </c>
      <c r="H30" s="242" t="s">
        <v>6495</v>
      </c>
      <c r="I30" s="242" t="s">
        <v>6497</v>
      </c>
      <c r="J30" s="255" t="s">
        <v>6498</v>
      </c>
    </row>
    <row r="31" spans="6:10" ht="24.75" customHeight="1" x14ac:dyDescent="0.2">
      <c r="F31" s="241" t="s">
        <v>4431</v>
      </c>
      <c r="G31" s="241" t="s">
        <v>6499</v>
      </c>
      <c r="H31" s="242" t="s">
        <v>6500</v>
      </c>
      <c r="I31" s="242" t="s">
        <v>6502</v>
      </c>
      <c r="J31" s="255" t="s">
        <v>6503</v>
      </c>
    </row>
    <row r="32" spans="6:10" ht="24.75" customHeight="1" x14ac:dyDescent="0.2">
      <c r="F32" s="241" t="s">
        <v>4431</v>
      </c>
      <c r="G32" s="241" t="s">
        <v>6504</v>
      </c>
      <c r="H32" s="242" t="s">
        <v>6505</v>
      </c>
      <c r="I32" s="242" t="s">
        <v>6507</v>
      </c>
      <c r="J32" s="261" t="s">
        <v>6508</v>
      </c>
    </row>
    <row r="33" spans="6:10" ht="24.75" customHeight="1" x14ac:dyDescent="0.2">
      <c r="F33" s="241" t="s">
        <v>4431</v>
      </c>
      <c r="G33" s="241" t="s">
        <v>4556</v>
      </c>
      <c r="H33" s="242" t="s">
        <v>6189</v>
      </c>
      <c r="I33" s="242" t="s">
        <v>6191</v>
      </c>
      <c r="J33" s="255" t="s">
        <v>6858</v>
      </c>
    </row>
    <row r="34" spans="6:10" ht="24.75" customHeight="1" x14ac:dyDescent="0.2">
      <c r="F34" s="241" t="s">
        <v>4431</v>
      </c>
      <c r="G34" s="241" t="s">
        <v>7056</v>
      </c>
      <c r="H34" s="242" t="s">
        <v>7057</v>
      </c>
      <c r="I34" s="242" t="s">
        <v>7059</v>
      </c>
      <c r="J34" s="261" t="s">
        <v>7060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2026-07-31T12:26:28Z</dcterms:modified>
  <cp:category/>
  <cp:contentStatus/>
</cp:coreProperties>
</file>