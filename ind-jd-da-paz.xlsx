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3043" documentId="8_{DAC6C9CA-70D7-4111-A0A7-BC6755E560D9}" xr6:coauthVersionLast="47" xr6:coauthVersionMax="47" xr10:uidLastSave="{E146AA57-45E1-4362-A1D1-AA7FCE8561A3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DEPLAN" sheetId="24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  <sheet name="Planilha4" sheetId="25" r:id="rId8"/>
  </sheets>
  <externalReferences>
    <externalReference r:id="rId9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PRIORIDADES!$A$13:$CY$419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38" i="20" l="1"/>
  <c r="BE59" i="20"/>
  <c r="BD59" i="20"/>
  <c r="BC59" i="20"/>
  <c r="BE193" i="20"/>
  <c r="BD193" i="20"/>
  <c r="BC193" i="20"/>
  <c r="BE342" i="20"/>
  <c r="BD342" i="20"/>
  <c r="BC342" i="20"/>
  <c r="BE60" i="20"/>
  <c r="BD60" i="20"/>
  <c r="BC60" i="20"/>
  <c r="BE56" i="20"/>
  <c r="BD56" i="20"/>
  <c r="BC56" i="20"/>
  <c r="BE55" i="20"/>
  <c r="BD55" i="20"/>
  <c r="BC55" i="20"/>
  <c r="BE337" i="20"/>
  <c r="BD337" i="20"/>
  <c r="BC337" i="20"/>
  <c r="BE313" i="20"/>
  <c r="BD313" i="20"/>
  <c r="BC313" i="20"/>
  <c r="BE305" i="20"/>
  <c r="BD305" i="20"/>
  <c r="BC305" i="20"/>
  <c r="BE194" i="20"/>
  <c r="BD194" i="20"/>
  <c r="BC194" i="20"/>
  <c r="BE49" i="20"/>
  <c r="BD49" i="20"/>
  <c r="BC49" i="20"/>
  <c r="BE34" i="20"/>
  <c r="BD34" i="20"/>
  <c r="BC34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50" i="20"/>
  <c r="BD50" i="20"/>
  <c r="BE50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D318" i="20"/>
  <c r="BE318" i="20"/>
  <c r="BC319" i="20"/>
  <c r="BD319" i="20"/>
  <c r="BE319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6" i="20"/>
  <c r="BD336" i="20"/>
  <c r="BE336" i="20"/>
  <c r="BC338" i="20"/>
  <c r="BD338" i="20"/>
  <c r="BC339" i="20"/>
  <c r="BD339" i="20"/>
  <c r="BE339" i="20"/>
  <c r="BC340" i="20"/>
  <c r="BD340" i="20"/>
  <c r="BE340" i="20"/>
  <c r="BC341" i="20"/>
  <c r="BD341" i="20"/>
  <c r="BE341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E14" i="20"/>
  <c r="BD14" i="20"/>
  <c r="BC14" i="20"/>
  <c r="AH50" i="20"/>
  <c r="AH313" i="20"/>
  <c r="AH15" i="20"/>
  <c r="AH105" i="20"/>
  <c r="AH100" i="20"/>
  <c r="AH101" i="20"/>
  <c r="AH103" i="20"/>
  <c r="AH112" i="20"/>
  <c r="AH121" i="20"/>
  <c r="AH124" i="20"/>
  <c r="AH136" i="20"/>
  <c r="AH144" i="20"/>
  <c r="AH232" i="20"/>
  <c r="AH247" i="20"/>
  <c r="AH249" i="20"/>
  <c r="AH300" i="20"/>
  <c r="AH297" i="20"/>
  <c r="AH260" i="20"/>
  <c r="AH114" i="20"/>
  <c r="AH116" i="20"/>
  <c r="AH115" i="20"/>
  <c r="AH263" i="20"/>
  <c r="AH228" i="20"/>
  <c r="AH177" i="20"/>
  <c r="AH153" i="20"/>
  <c r="AH167" i="20"/>
  <c r="AH82" i="20"/>
  <c r="AH179" i="20"/>
  <c r="AH302" i="20"/>
  <c r="AH174" i="20"/>
  <c r="AH240" i="20"/>
  <c r="AH208" i="20"/>
  <c r="AH252" i="20"/>
  <c r="AH314" i="20"/>
  <c r="AH270" i="20"/>
  <c r="AH311" i="20"/>
  <c r="AH309" i="20"/>
  <c r="AH326" i="20"/>
  <c r="AH308" i="20"/>
  <c r="AH204" i="20"/>
  <c r="AH211" i="20"/>
  <c r="AH108" i="20"/>
  <c r="AH178" i="20"/>
  <c r="AG152" i="20"/>
  <c r="AG2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<sst xmlns="http://schemas.openxmlformats.org/spreadsheetml/2006/main" count="23243" uniqueCount="7703">
  <si>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</si>
  <si>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</si>
  <si>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</si>
  <si>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</si>
  <si>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</si>
  <si>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</si>
  <si>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</si>
  <si>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</si>
  <si>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</si>
  <si>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</si>
  <si>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</si>
  <si>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</si>
  <si>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</si>
  <si>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</si>
  <si>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</si>
  <si>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</si>
  <si>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</si>
  <si>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</si>
  <si>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</si>
  <si>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</si>
  <si>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</si>
  <si>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</si>
  <si>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</si>
  <si>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</si>
  <si>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</si>
  <si>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</si>
  <si>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</si>
  <si>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</si>
  <si>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</si>
  <si>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</si>
  <si>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</si>
  <si>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</si>
  <si>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</si>
  <si>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</si>
  <si>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</si>
  <si>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</si>
  <si>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</si>
  <si>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</si>
  <si>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</si>
  <si>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</si>
  <si>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</si>
  <si>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</si>
  <si>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</si>
  <si>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</si>
  <si>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</si>
  <si>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</si>
  <si>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</si>
  <si>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</si>
  <si>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</si>
  <si>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</si>
  <si>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</si>
  <si>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</si>
  <si>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</si>
  <si>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</si>
  <si>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</si>
  <si>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</si>
  <si>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</si>
  <si>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</si>
  <si>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</si>
  <si>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</si>
  <si>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</si>
  <si>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</si>
  <si>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</si>
  <si>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</si>
  <si>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</si>
  <si>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</si>
  <si>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</si>
  <si>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</si>
  <si>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</si>
  <si>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</si>
  <si>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</si>
  <si>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</si>
  <si>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</si>
  <si>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</si>
  <si>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</si>
  <si>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</si>
  <si>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</si>
  <si>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</si>
  <si>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</si>
  <si>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</si>
  <si>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</si>
  <si>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</si>
  <si>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</si>
  <si>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</si>
  <si>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</si>
  <si>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</si>
  <si>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</si>
  <si>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</si>
  <si>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</si>
  <si>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</si>
  <si>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</si>
  <si>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</si>
  <si>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</si>
  <si>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</si>
  <si>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</si>
  <si>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</si>
  <si>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</si>
  <si>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</si>
  <si>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</si>
  <si>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</si>
  <si>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</si>
  <si>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</si>
  <si>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</si>
  <si>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</si>
  <si>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</si>
  <si>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</si>
  <si>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</si>
  <si>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</si>
  <si>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</si>
  <si>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</si>
  <si>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</si>
  <si>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</si>
  <si>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</si>
  <si>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</si>
  <si>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</si>
  <si>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</si>
  <si>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</si>
  <si>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</si>
  <si>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</si>
  <si>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</si>
  <si>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</si>
  <si>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</si>
  <si>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</si>
  <si>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</si>
  <si>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</si>
  <si>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</si>
  <si>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</si>
  <si>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</si>
  <si>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</si>
  <si>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</si>
  <si>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</si>
  <si>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</si>
  <si>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</si>
  <si>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</si>
  <si>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</si>
  <si>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</si>
  <si>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</si>
  <si>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</si>
  <si>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</si>
  <si>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</si>
  <si>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</si>
  <si>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</si>
  <si>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</si>
  <si>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</si>
  <si>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</si>
  <si>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</si>
  <si>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</si>
  <si>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</si>
  <si>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</si>
  <si>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</si>
  <si>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</si>
  <si>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</si>
  <si>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</si>
  <si>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</si>
  <si>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</si>
  <si>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</si>
  <si>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</si>
  <si>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</si>
  <si>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</si>
  <si>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</si>
  <si>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</si>
  <si>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</si>
  <si>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</si>
  <si>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</si>
  <si>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</si>
  <si>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</si>
  <si>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</si>
  <si>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</si>
  <si>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</si>
  <si>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</si>
  <si>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</si>
  <si>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</si>
  <si>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</si>
  <si>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</si>
  <si>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6014.2026/0005763-3</t>
  </si>
  <si>
    <t>004/0031/A</t>
  </si>
  <si>
    <t>ANTONIO CLEITON LEANDRO SOUSA</t>
  </si>
  <si>
    <t>56.610.744-2</t>
  </si>
  <si>
    <t>016.118.553-30</t>
  </si>
  <si>
    <t>6014.2025/0005835-2</t>
  </si>
  <si>
    <t>004/0032/A</t>
  </si>
  <si>
    <t>CLAUDIO RIBEIRO DOS SANTOS</t>
  </si>
  <si>
    <t>32.496.972-7</t>
  </si>
  <si>
    <t>051.214.348-04</t>
  </si>
  <si>
    <t>6014.2026/0003136-7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</si>
  <si>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</si>
  <si>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</si>
  <si>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</si>
  <si>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</si>
  <si>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</si>
  <si>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</si>
  <si>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</si>
  <si>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</si>
  <si>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</si>
  <si>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</si>
  <si>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</si>
  <si>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</si>
  <si>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</si>
  <si>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</si>
  <si>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</si>
  <si>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</si>
  <si>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</si>
  <si>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</si>
  <si>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</si>
  <si>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</si>
  <si>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</si>
  <si>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</si>
  <si>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</si>
  <si>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</si>
  <si>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</si>
  <si>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</si>
  <si>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</si>
  <si>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</si>
  <si>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</si>
  <si>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</si>
  <si>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</si>
  <si>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</si>
  <si>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</si>
  <si>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</si>
  <si>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</si>
  <si>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</si>
  <si>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</si>
  <si>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</si>
  <si>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</si>
  <si>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</si>
  <si>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</si>
  <si>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</si>
  <si>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</si>
  <si>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</si>
  <si>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</si>
  <si>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</si>
  <si>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</si>
  <si>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</si>
  <si>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</si>
  <si>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</si>
  <si>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</si>
  <si>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</si>
  <si>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</si>
  <si>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</si>
  <si>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</si>
  <si>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</si>
  <si>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</si>
  <si>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</si>
  <si>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</si>
  <si>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</si>
  <si>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</si>
  <si>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</si>
  <si>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</si>
  <si>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</si>
  <si>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</si>
  <si>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</si>
  <si>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</si>
  <si>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</si>
  <si>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</si>
  <si>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</si>
  <si>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</si>
  <si>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</si>
  <si>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</si>
  <si>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</si>
  <si>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</si>
  <si>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</si>
  <si>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</si>
  <si>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</si>
  <si>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</si>
  <si>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</si>
  <si>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</si>
  <si>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</si>
  <si>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</si>
  <si>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</si>
  <si>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</si>
  <si>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</si>
  <si>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</si>
  <si>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</si>
  <si>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</si>
  <si>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</si>
  <si>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005/0033/B</t>
  </si>
  <si>
    <t>GRESSY MAURA DA SILVA</t>
  </si>
  <si>
    <t>45.671.319-0</t>
  </si>
  <si>
    <t>475.926.618-61</t>
  </si>
  <si>
    <t>AGUARDANDO ASSINATURA COORDENAÇÃO  CTS</t>
  </si>
  <si>
    <t>TERMO ASSINADO SECRETÁRIO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</si>
  <si>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</si>
  <si>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</si>
  <si>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</si>
  <si>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</si>
  <si>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</si>
  <si>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</si>
  <si>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</si>
  <si>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</si>
  <si>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</si>
  <si>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</si>
  <si>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</si>
  <si>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</si>
  <si>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</si>
  <si>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</si>
  <si>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</si>
  <si>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</si>
  <si>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</si>
  <si>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</si>
  <si>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</si>
  <si>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</si>
  <si>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</si>
  <si>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</si>
  <si>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</si>
  <si>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</si>
  <si>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</si>
  <si>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</si>
  <si>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</si>
  <si>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</si>
  <si>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</si>
  <si>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</si>
  <si>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</si>
  <si>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</si>
  <si>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</si>
  <si>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</si>
  <si>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006/0019/A</t>
  </si>
  <si>
    <t>EDELSON NILO DE SOUZA</t>
  </si>
  <si>
    <t>57.245.280-9</t>
  </si>
  <si>
    <t>114.653.686-04</t>
  </si>
  <si>
    <t>6014.2026/0003048-4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</si>
  <si>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</si>
  <si>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</si>
  <si>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</si>
  <si>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</si>
  <si>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</si>
  <si>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</si>
  <si>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</si>
  <si>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</si>
  <si>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</si>
  <si>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</si>
  <si>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</si>
  <si>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</si>
  <si>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</si>
  <si>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</si>
  <si>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</si>
  <si>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</si>
  <si>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007/0116/A</t>
  </si>
  <si>
    <t xml:space="preserve">VAZIO </t>
  </si>
  <si>
    <t xml:space="preserve">PROPRIETARIO NÃO RESIDENTE </t>
  </si>
  <si>
    <t>RAFAEL JESUINO DA SILVA</t>
  </si>
  <si>
    <t>56.746.598-6</t>
  </si>
  <si>
    <t>494.753.928-31</t>
  </si>
  <si>
    <t xml:space="preserve">PROPRIETÁRIO NÃO RESIDENTE </t>
  </si>
  <si>
    <t xml:space="preserve">152344214
</t>
  </si>
  <si>
    <t>6014.2026/0003090-5</t>
  </si>
  <si>
    <t>007/0117/A</t>
  </si>
  <si>
    <t>ESTER LEITE DA CUNHA</t>
  </si>
  <si>
    <t>22.640.751-2</t>
  </si>
  <si>
    <t>125.451.288-80</t>
  </si>
  <si>
    <t>6014.2026/0003055-7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</si>
  <si>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</si>
  <si>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</si>
  <si>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</si>
  <si>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</si>
  <si>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</si>
  <si>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</si>
  <si>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</si>
  <si>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</si>
  <si>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</si>
  <si>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</si>
  <si>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</si>
  <si>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</si>
  <si>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</si>
  <si>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</si>
  <si>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</si>
  <si>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</si>
  <si>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</si>
  <si>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</si>
  <si>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</si>
  <si>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</si>
  <si>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</si>
  <si>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</si>
  <si>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</si>
  <si>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</si>
  <si>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</si>
  <si>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</si>
  <si>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</si>
  <si>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</si>
  <si>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</si>
  <si>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</si>
  <si>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</si>
  <si>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</si>
  <si>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</si>
  <si>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</si>
  <si>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</si>
  <si>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</si>
  <si>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6014.2024/0000799-3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</si>
  <si>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</si>
  <si>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</si>
  <si>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</si>
  <si>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</si>
  <si>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</si>
  <si>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</si>
  <si>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</si>
  <si>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</si>
  <si>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</si>
  <si>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</si>
  <si>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</si>
  <si>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</si>
  <si>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</si>
  <si>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</si>
  <si>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</si>
  <si>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</si>
  <si>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</si>
  <si>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</si>
  <si>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</si>
  <si>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</si>
  <si>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</si>
  <si>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6014.2026/0005754-4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</si>
  <si>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</si>
  <si>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</si>
  <si>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</si>
  <si>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</si>
  <si>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</si>
  <si>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</si>
  <si>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</si>
  <si>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</si>
  <si>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</si>
  <si>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</si>
  <si>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</si>
  <si>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</si>
  <si>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</si>
  <si>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</si>
  <si>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</si>
  <si>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</si>
  <si>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6014.2026/0005769-2</t>
  </si>
  <si>
    <t>012/0006/A</t>
  </si>
  <si>
    <t>IAGO ALVES VIEIRA</t>
  </si>
  <si>
    <t>52.995.613-5</t>
  </si>
  <si>
    <t>410.889.148-10</t>
  </si>
  <si>
    <t>MARLENE FERREIRA DE LIMA</t>
  </si>
  <si>
    <t>36.740.469-2</t>
  </si>
  <si>
    <t>299.893.988-01</t>
  </si>
  <si>
    <t>AGUARDANDO ASSINATURA DA COORDENAÇÃO DE CTS</t>
  </si>
  <si>
    <t>012/0006/B</t>
  </si>
  <si>
    <t>RAFAEL GONÇALVES DE OLIVEIRA</t>
  </si>
  <si>
    <t>46.862.428-4</t>
  </si>
  <si>
    <t>348.495.628-33</t>
  </si>
  <si>
    <t>MARLUCE ARAUJO FERREIRA</t>
  </si>
  <si>
    <t>34.149.848-8</t>
  </si>
  <si>
    <t>267.007.728-50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</si>
  <si>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</si>
  <si>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</si>
  <si>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</si>
  <si>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</si>
  <si>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</si>
  <si>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</si>
  <si>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</si>
  <si>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</si>
  <si>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</si>
  <si>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</si>
  <si>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</si>
  <si>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</si>
  <si>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</si>
  <si>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</si>
  <si>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</si>
  <si>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</si>
  <si>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</si>
  <si>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</si>
  <si>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</si>
  <si>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</si>
  <si>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</si>
  <si>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</si>
  <si>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</si>
  <si>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</si>
  <si>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</si>
  <si>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</si>
  <si>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</si>
  <si>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</si>
  <si>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</si>
  <si>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</si>
  <si>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</si>
  <si>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</si>
  <si>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</si>
  <si>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</si>
  <si>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</si>
  <si>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</si>
  <si>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</si>
  <si>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</si>
  <si>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</si>
  <si>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</si>
  <si>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</si>
  <si>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</si>
  <si>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</si>
  <si>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</si>
  <si>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</si>
  <si>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</si>
  <si>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</si>
  <si>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</si>
  <si>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</si>
  <si>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</si>
  <si>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</si>
  <si>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</si>
  <si>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</si>
  <si>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</si>
  <si>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</si>
  <si>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</si>
  <si>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</si>
  <si>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</si>
  <si>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</si>
  <si>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</si>
  <si>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</si>
  <si>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</si>
  <si>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</si>
  <si>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</si>
  <si>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</si>
  <si>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</si>
  <si>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</si>
  <si>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</si>
  <si>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</si>
  <si>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</si>
  <si>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</si>
  <si>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</si>
  <si>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</si>
  <si>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</si>
  <si>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</si>
  <si>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</si>
  <si>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</si>
  <si>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</si>
  <si>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</si>
  <si>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</si>
  <si>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</si>
  <si>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</si>
  <si>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</si>
  <si>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</si>
  <si>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</si>
  <si>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</si>
  <si>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</si>
  <si>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</si>
  <si>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</si>
  <si>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</si>
  <si>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</si>
  <si>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</si>
  <si>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</si>
  <si>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</si>
  <si>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</si>
  <si>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</si>
  <si>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</si>
  <si>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</si>
  <si>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</si>
  <si>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</si>
  <si>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</si>
  <si>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</si>
  <si>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</si>
  <si>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</si>
  <si>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</si>
  <si>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</si>
  <si>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</si>
  <si>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</si>
  <si>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</si>
  <si>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</si>
  <si>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</si>
  <si>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</si>
  <si>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</si>
  <si>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</si>
  <si>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</si>
  <si>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</si>
  <si>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</si>
  <si>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</si>
  <si>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</si>
  <si>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</si>
  <si>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</si>
  <si>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</si>
  <si>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</si>
  <si>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</si>
  <si>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</si>
  <si>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</si>
  <si>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</si>
  <si>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</si>
  <si>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</si>
  <si>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</si>
  <si>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</si>
  <si>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</si>
  <si>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</si>
  <si>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</si>
  <si>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</si>
  <si>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</si>
  <si>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</si>
  <si>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</si>
  <si>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</si>
  <si>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</si>
  <si>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</si>
  <si>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</si>
  <si>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</si>
  <si>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</si>
  <si>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</si>
  <si>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</si>
  <si>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</si>
  <si>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</si>
  <si>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</si>
  <si>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</si>
  <si>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</si>
  <si>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</si>
  <si>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</si>
  <si>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</si>
  <si>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</si>
  <si>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</si>
  <si>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</si>
  <si>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</si>
  <si>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</si>
  <si>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</si>
  <si>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</si>
  <si>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</si>
  <si>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</si>
  <si>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</si>
  <si>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</si>
  <si>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</si>
  <si>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</si>
  <si>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</si>
  <si>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</si>
  <si>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</si>
  <si>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</si>
  <si>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</si>
  <si>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</si>
  <si>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</si>
  <si>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</si>
  <si>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</si>
  <si>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</si>
  <si>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</si>
  <si>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</si>
  <si>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 xml:space="preserve">INQUILINO 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</si>
  <si>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</si>
  <si>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</si>
  <si>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</si>
  <si>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</si>
  <si>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</si>
  <si>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</si>
  <si>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</si>
  <si>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</si>
  <si>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</si>
  <si>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</si>
  <si>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</si>
  <si>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</si>
  <si>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</si>
  <si>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</si>
  <si>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</si>
  <si>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</si>
  <si>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</si>
  <si>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</si>
  <si>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</si>
  <si>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</si>
  <si>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</si>
  <si>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</si>
  <si>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</si>
  <si>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</si>
  <si>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</si>
  <si>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</si>
  <si>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</si>
  <si>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</si>
  <si>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</si>
  <si>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</si>
  <si>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</si>
  <si>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</si>
  <si>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</si>
  <si>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</si>
  <si>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</si>
  <si>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</si>
  <si>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</si>
  <si>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</si>
  <si>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</si>
  <si>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</si>
  <si>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</si>
  <si>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</si>
  <si>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</si>
  <si>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</si>
  <si>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</si>
  <si>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</si>
  <si>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</si>
  <si>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</si>
  <si>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</si>
  <si>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</si>
  <si>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</si>
  <si>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</si>
  <si>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</si>
  <si>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</si>
  <si>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</si>
  <si>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</si>
  <si>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</si>
  <si>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</si>
  <si>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</si>
  <si>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</si>
  <si>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</si>
  <si>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</si>
  <si>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</si>
  <si>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</si>
  <si>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</si>
  <si>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</si>
  <si>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</si>
  <si>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</si>
  <si>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</si>
  <si>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</si>
  <si>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</si>
  <si>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</si>
  <si>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</si>
  <si>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</si>
  <si>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</si>
  <si>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</si>
  <si>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</si>
  <si>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</si>
  <si>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</si>
  <si>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</si>
  <si>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</si>
  <si>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</si>
  <si>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</si>
  <si>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</si>
  <si>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</si>
  <si>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</si>
  <si>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</si>
  <si>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</si>
  <si>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</si>
  <si>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</si>
  <si>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</si>
  <si>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</si>
  <si>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</si>
  <si>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</si>
  <si>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</si>
  <si>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</si>
  <si>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</si>
  <si>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</si>
  <si>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</si>
  <si>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</si>
  <si>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</si>
  <si>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</si>
  <si>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</si>
  <si>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</si>
  <si>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</si>
  <si>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</si>
  <si>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</si>
  <si>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</si>
  <si>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</si>
  <si>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</si>
  <si>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</si>
  <si>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</si>
  <si>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</si>
  <si>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</si>
  <si>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</si>
  <si>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</si>
  <si>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</si>
  <si>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</si>
  <si>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</si>
  <si>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</si>
  <si>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</si>
  <si>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</si>
  <si>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</si>
  <si>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</si>
  <si>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</si>
  <si>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</si>
  <si>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</si>
  <si>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</si>
  <si>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</si>
  <si>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</si>
  <si>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</si>
  <si>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</si>
  <si>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</si>
  <si>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</si>
  <si>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</si>
  <si>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</si>
  <si>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</si>
  <si>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</si>
  <si>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</si>
  <si>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</si>
  <si>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</si>
  <si>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</si>
  <si>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</si>
  <si>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</si>
  <si>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</si>
  <si>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</si>
  <si>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</si>
  <si>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</si>
  <si>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</si>
  <si>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</si>
  <si>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</si>
  <si>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</si>
  <si>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</si>
  <si>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</si>
  <si>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</si>
  <si>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</si>
  <si>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</si>
  <si>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</si>
  <si>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</si>
  <si>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</si>
  <si>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</si>
  <si>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</si>
  <si>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</si>
  <si>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</si>
  <si>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</si>
  <si>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</si>
  <si>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</si>
  <si>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</si>
  <si>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</si>
  <si>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</si>
  <si>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</si>
  <si>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</si>
  <si>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</si>
  <si>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</si>
  <si>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</si>
  <si>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</si>
  <si>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</si>
  <si>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</si>
  <si>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</si>
  <si>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</si>
  <si>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</si>
  <si>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</si>
  <si>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</si>
  <si>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</si>
  <si>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</si>
  <si>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</si>
  <si>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</si>
  <si>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</si>
  <si>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</si>
  <si>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</si>
  <si>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</si>
  <si>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</si>
  <si>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</si>
  <si>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</si>
  <si>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</si>
  <si>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</si>
  <si>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</si>
  <si>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</si>
  <si>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</si>
  <si>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</si>
  <si>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</si>
  <si>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</si>
  <si>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</si>
  <si>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</si>
  <si>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</si>
  <si>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</si>
  <si>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</si>
  <si>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</si>
  <si>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</si>
  <si>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</si>
  <si>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</si>
  <si>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</si>
  <si>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</si>
  <si>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</si>
  <si>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</si>
  <si>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</si>
  <si>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</si>
  <si>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</si>
  <si>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</si>
  <si>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</si>
  <si>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</si>
  <si>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</si>
  <si>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</si>
  <si>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</si>
  <si>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</si>
  <si>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</si>
  <si>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</si>
  <si>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</si>
  <si>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</si>
  <si>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</si>
  <si>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</si>
  <si>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</si>
  <si>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</si>
  <si>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</si>
  <si>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</si>
  <si>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</si>
  <si>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</si>
  <si>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</si>
  <si>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</si>
  <si>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</si>
  <si>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</si>
  <si>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</si>
  <si>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</si>
  <si>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</si>
  <si>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</si>
  <si>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</si>
  <si>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</si>
  <si>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</si>
  <si>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</si>
  <si>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</si>
  <si>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</si>
  <si>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</si>
  <si>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</si>
  <si>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</si>
  <si>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</si>
  <si>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</si>
  <si>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</si>
  <si>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</si>
  <si>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</si>
  <si>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</si>
  <si>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</si>
  <si>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</si>
  <si>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</si>
  <si>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</si>
  <si>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</si>
  <si>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</si>
  <si>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</si>
  <si>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</si>
  <si>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</si>
  <si>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</si>
  <si>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</si>
  <si>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</si>
  <si>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</si>
  <si>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</si>
  <si>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</si>
  <si>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</si>
  <si>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</si>
  <si>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</si>
  <si>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</si>
  <si>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</si>
  <si>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</si>
  <si>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</si>
  <si>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</si>
  <si>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</si>
  <si>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</si>
  <si>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</si>
  <si>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</si>
  <si>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</si>
  <si>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</si>
  <si>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</si>
  <si>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</si>
  <si>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</si>
  <si>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</si>
  <si>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</si>
  <si>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</si>
  <si>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</si>
  <si>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</si>
  <si>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</si>
  <si>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</si>
  <si>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</si>
  <si>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</si>
  <si>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</si>
  <si>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</si>
  <si>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</si>
  <si>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013/0014/A</t>
  </si>
  <si>
    <t xml:space="preserve">ESTHER DE OLIVEIRA </t>
  </si>
  <si>
    <t>63.561.548-4</t>
  </si>
  <si>
    <t>531.758.388-80</t>
  </si>
  <si>
    <t>6014.2026/0003071-9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</si>
  <si>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</si>
  <si>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</si>
  <si>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</si>
  <si>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</si>
  <si>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</si>
  <si>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</si>
  <si>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</si>
  <si>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</si>
  <si>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</si>
  <si>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</si>
  <si>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</si>
  <si>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</si>
  <si>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</si>
  <si>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</si>
  <si>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</si>
  <si>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</si>
  <si>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</si>
  <si>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</si>
  <si>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</si>
  <si>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</si>
  <si>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</si>
  <si>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</si>
  <si>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</si>
  <si>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</si>
  <si>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</si>
  <si>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</si>
  <si>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</si>
  <si>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</si>
  <si>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</si>
  <si>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</si>
  <si>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</si>
  <si>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</si>
  <si>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</si>
  <si>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</si>
  <si>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</si>
  <si>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</si>
  <si>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</si>
  <si>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</si>
  <si>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</si>
  <si>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</si>
  <si>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</si>
  <si>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</si>
  <si>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</si>
  <si>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</si>
  <si>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</si>
  <si>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</si>
  <si>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</si>
  <si>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</si>
  <si>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</si>
  <si>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</si>
  <si>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</si>
  <si>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</si>
  <si>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</si>
  <si>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</si>
  <si>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</si>
  <si>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</si>
  <si>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</si>
  <si>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</si>
  <si>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</si>
  <si>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</si>
  <si>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</si>
  <si>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</si>
  <si>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</si>
  <si>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</si>
  <si>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</si>
  <si>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</si>
  <si>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</si>
  <si>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</si>
  <si>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</si>
  <si>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</si>
  <si>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</si>
  <si>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</si>
  <si>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</si>
  <si>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</si>
  <si>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</si>
  <si>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</si>
  <si>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</si>
  <si>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</si>
  <si>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</si>
  <si>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</si>
  <si>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</si>
  <si>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</si>
  <si>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</si>
  <si>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</si>
  <si>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</si>
  <si>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</si>
  <si>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</si>
  <si>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</si>
  <si>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</si>
  <si>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</si>
  <si>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</si>
  <si>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</si>
  <si>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</si>
  <si>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</si>
  <si>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</si>
  <si>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</si>
  <si>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</si>
  <si>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</si>
  <si>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</si>
  <si>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</si>
  <si>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</si>
  <si>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</si>
  <si>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</si>
  <si>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</si>
  <si>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</si>
  <si>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</si>
  <si>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</si>
  <si>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</si>
  <si>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013/0039/C</t>
  </si>
  <si>
    <t>COSMO VIEIRA DA SILVA</t>
  </si>
  <si>
    <t>55.682.429-5</t>
  </si>
  <si>
    <t>827.787.104-00</t>
  </si>
  <si>
    <t>LEONILDO LAURENTINO DA SILVA</t>
  </si>
  <si>
    <t>60.394.480-2</t>
  </si>
  <si>
    <t>111.918.974-86</t>
  </si>
  <si>
    <t>6014.2026/0002178-7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</si>
  <si>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</si>
  <si>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</si>
  <si>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</si>
  <si>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</si>
  <si>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</si>
  <si>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</si>
  <si>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</si>
  <si>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</si>
  <si>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</si>
  <si>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</si>
  <si>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</si>
  <si>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</si>
  <si>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</si>
  <si>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</si>
  <si>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</si>
  <si>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</si>
  <si>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</si>
  <si>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</si>
  <si>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</si>
  <si>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</si>
  <si>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</si>
  <si>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</si>
  <si>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</si>
  <si>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</si>
  <si>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</si>
  <si>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</si>
  <si>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</si>
  <si>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</si>
  <si>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</si>
  <si>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</si>
  <si>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</si>
  <si>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</si>
  <si>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</si>
  <si>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</si>
  <si>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</si>
  <si>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</si>
  <si>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</si>
  <si>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</si>
  <si>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</si>
  <si>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</si>
  <si>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</si>
  <si>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</si>
  <si>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</si>
  <si>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</si>
  <si>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</si>
  <si>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</si>
  <si>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</si>
  <si>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</si>
  <si>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</si>
  <si>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</si>
  <si>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</si>
  <si>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</si>
  <si>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</si>
  <si>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</si>
  <si>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</si>
  <si>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</si>
  <si>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</si>
  <si>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</si>
  <si>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</si>
  <si>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</si>
  <si>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</si>
  <si>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</si>
  <si>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</si>
  <si>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</si>
  <si>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</si>
  <si>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</si>
  <si>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</si>
  <si>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</si>
  <si>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</si>
  <si>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</si>
  <si>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</si>
  <si>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</si>
  <si>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</si>
  <si>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</si>
  <si>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</si>
  <si>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</si>
  <si>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</si>
  <si>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</si>
  <si>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</si>
  <si>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</si>
  <si>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</si>
  <si>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</si>
  <si>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</si>
  <si>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</si>
  <si>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</si>
  <si>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</si>
  <si>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</si>
  <si>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</si>
  <si>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</si>
  <si>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</si>
  <si>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</si>
  <si>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</si>
  <si>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</si>
  <si>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</si>
  <si>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</si>
  <si>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</si>
  <si>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</si>
  <si>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</si>
  <si>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</si>
  <si>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</si>
  <si>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</si>
  <si>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</si>
  <si>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</si>
  <si>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</si>
  <si>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</si>
  <si>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</si>
  <si>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</si>
  <si>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</si>
  <si>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</si>
  <si>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</si>
  <si>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</si>
  <si>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</si>
  <si>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</si>
  <si>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</si>
  <si>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</si>
  <si>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</si>
  <si>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</si>
  <si>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</si>
  <si>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</si>
  <si>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</si>
  <si>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</si>
  <si>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</si>
  <si>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</si>
  <si>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</si>
  <si>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</si>
  <si>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</si>
  <si>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</si>
  <si>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</si>
  <si>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</si>
  <si>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</si>
  <si>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</si>
  <si>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</si>
  <si>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</si>
  <si>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</si>
  <si>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</si>
  <si>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</si>
  <si>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</si>
  <si>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</si>
  <si>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</si>
  <si>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</si>
  <si>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</si>
  <si>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</si>
  <si>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</si>
  <si>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</si>
  <si>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</si>
  <si>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</si>
  <si>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</si>
  <si>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</si>
  <si>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</si>
  <si>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</si>
  <si>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</si>
  <si>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</si>
  <si>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</si>
  <si>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</si>
  <si>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</si>
  <si>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</si>
  <si>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</si>
  <si>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</si>
  <si>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</si>
  <si>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</si>
  <si>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</si>
  <si>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</si>
  <si>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</si>
  <si>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</si>
  <si>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</si>
  <si>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</si>
  <si>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</si>
  <si>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</si>
  <si>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</si>
  <si>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</si>
  <si>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</si>
  <si>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</si>
  <si>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</si>
  <si>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</si>
  <si>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</si>
  <si>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</si>
  <si>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</si>
  <si>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</si>
  <si>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</si>
  <si>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</si>
  <si>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</si>
  <si>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</si>
  <si>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</si>
  <si>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</si>
  <si>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</si>
  <si>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</si>
  <si>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</si>
  <si>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</si>
  <si>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</si>
  <si>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</si>
  <si>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</si>
  <si>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</si>
  <si>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</si>
  <si>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</si>
  <si>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</si>
  <si>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</si>
  <si>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</si>
  <si>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</si>
  <si>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</si>
  <si>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</si>
  <si>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</si>
  <si>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</si>
  <si>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</si>
  <si>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</si>
  <si>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</si>
  <si>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</si>
  <si>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</si>
  <si>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</si>
  <si>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</si>
  <si>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</si>
  <si>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</si>
  <si>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</si>
  <si>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</si>
  <si>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</si>
  <si>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</si>
  <si>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</si>
  <si>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</si>
  <si>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</si>
  <si>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</si>
  <si>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</si>
  <si>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</si>
  <si>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</si>
  <si>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</si>
  <si>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</si>
  <si>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</si>
  <si>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</si>
  <si>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</si>
  <si>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</si>
  <si>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</si>
  <si>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</si>
  <si>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</si>
  <si>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</si>
  <si>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</si>
  <si>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</si>
  <si>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</si>
  <si>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</si>
  <si>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</si>
  <si>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</si>
  <si>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</si>
  <si>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</si>
  <si>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</si>
  <si>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</si>
  <si>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</si>
  <si>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</si>
  <si>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</si>
  <si>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</si>
  <si>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</si>
  <si>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</si>
  <si>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</si>
  <si>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</si>
  <si>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</si>
  <si>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</si>
  <si>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</si>
  <si>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</si>
  <si>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</si>
  <si>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</si>
  <si>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</si>
  <si>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</si>
  <si>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</si>
  <si>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</si>
  <si>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</si>
  <si>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</si>
  <si>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</si>
  <si>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</si>
  <si>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</si>
  <si>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</si>
  <si>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</si>
  <si>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</si>
  <si>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</si>
  <si>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</si>
  <si>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</si>
  <si>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</si>
  <si>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</si>
  <si>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</si>
  <si>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</si>
  <si>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</si>
  <si>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</si>
  <si>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</si>
  <si>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</si>
  <si>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</si>
  <si>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</si>
  <si>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</si>
  <si>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</si>
  <si>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</si>
  <si>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</si>
  <si>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</si>
  <si>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</si>
  <si>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</si>
  <si>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</si>
  <si>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</si>
  <si>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</si>
  <si>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</si>
  <si>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</si>
  <si>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</si>
  <si>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</si>
  <si>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</si>
  <si>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</si>
  <si>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</si>
  <si>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</si>
  <si>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</si>
  <si>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</si>
  <si>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</si>
  <si>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</si>
  <si>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</si>
  <si>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</si>
  <si>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</si>
  <si>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</si>
  <si>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</si>
  <si>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</si>
  <si>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</si>
  <si>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</si>
  <si>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</si>
  <si>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</si>
  <si>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</si>
  <si>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</si>
  <si>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</si>
  <si>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</si>
  <si>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</si>
  <si>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</si>
  <si>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</si>
  <si>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</si>
  <si>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</si>
  <si>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</si>
  <si>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</si>
  <si>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</si>
  <si>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</si>
  <si>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</si>
  <si>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</si>
  <si>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</si>
  <si>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</si>
  <si>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</si>
  <si>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</si>
  <si>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</si>
  <si>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</si>
  <si>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</si>
  <si>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</si>
  <si>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</si>
  <si>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</si>
  <si>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</si>
  <si>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</si>
  <si>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</si>
  <si>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</si>
  <si>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</si>
  <si>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</si>
  <si>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</si>
  <si>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</si>
  <si>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</si>
  <si>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</si>
  <si>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</si>
  <si>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</si>
  <si>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</si>
  <si>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</si>
  <si>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</si>
  <si>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</si>
  <si>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</si>
  <si>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</si>
  <si>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</si>
  <si>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</si>
  <si>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</si>
  <si>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</si>
  <si>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</si>
  <si>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</si>
  <si>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</si>
  <si>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</si>
  <si>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</si>
  <si>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</si>
  <si>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</si>
  <si>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</si>
  <si>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</si>
  <si>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</si>
  <si>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</si>
  <si>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</si>
  <si>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</si>
  <si>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</si>
  <si>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</si>
  <si>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</si>
  <si>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</si>
  <si>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</si>
  <si>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</si>
  <si>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</si>
  <si>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</si>
  <si>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</si>
  <si>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</si>
  <si>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</si>
  <si>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</si>
  <si>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</si>
  <si>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</si>
  <si>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</si>
  <si>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</si>
  <si>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</si>
  <si>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</si>
  <si>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</si>
  <si>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</si>
  <si>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</si>
  <si>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</si>
  <si>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</si>
  <si>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</si>
  <si>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</si>
  <si>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</si>
  <si>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</si>
  <si>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</si>
  <si>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</si>
  <si>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</si>
  <si>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</si>
  <si>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</si>
  <si>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</si>
  <si>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</si>
  <si>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</si>
  <si>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</si>
  <si>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</si>
  <si>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</si>
  <si>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</si>
  <si>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</si>
  <si>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</si>
  <si>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</si>
  <si>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</si>
  <si>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</si>
  <si>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</si>
  <si>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</si>
  <si>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</si>
  <si>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</si>
  <si>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</si>
  <si>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</si>
  <si>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</si>
  <si>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</si>
  <si>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</si>
  <si>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</si>
  <si>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</si>
  <si>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</si>
  <si>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</si>
  <si>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</si>
  <si>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</si>
  <si>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</si>
  <si>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</si>
  <si>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</si>
  <si>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</si>
  <si>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</si>
  <si>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</si>
  <si>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</si>
  <si>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</si>
  <si>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</si>
  <si>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</si>
  <si>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</si>
  <si>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</si>
  <si>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</si>
  <si>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</si>
  <si>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</si>
  <si>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</si>
  <si>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</si>
  <si>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</si>
  <si>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</si>
  <si>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</si>
  <si>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</si>
  <si>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</si>
  <si>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</si>
  <si>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</si>
  <si>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</si>
  <si>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</si>
  <si>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</si>
  <si>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</si>
  <si>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</si>
  <si>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</si>
  <si>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</si>
  <si>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</si>
  <si>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</si>
  <si>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</si>
  <si>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</si>
  <si>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</si>
  <si>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</si>
  <si>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</si>
  <si>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</si>
  <si>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</si>
  <si>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</si>
  <si>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  SEMELHANÇA DOS REGISTROS FOTOGRÁFICOS DESTE LAUDO  013/0105/C E 013/0105/D. CTS AGUARDA EMAIL DA TÉCNICA COM PARECER CONFORME COMBINADO</t>
  </si>
  <si>
    <t>013/0105/C</t>
  </si>
  <si>
    <t>ÁVILA MARIA SILVA GODOI</t>
  </si>
  <si>
    <t>49.223.614-8</t>
  </si>
  <si>
    <t>339.528.158-29</t>
  </si>
  <si>
    <t>AGUARDANDO CORREÇÃO-  SEMELHANÇA DOS REGISTROS FOTOGRÁFICOS DESTE LAUDO  013/0105/B E 013/0105/D.  CTS AGUARDA EMAIL DA TÉCNICA COM PARECER CONFORME COMBINADO</t>
  </si>
  <si>
    <t>013/0105/D</t>
  </si>
  <si>
    <t>MIRIAN MARIA SILVA</t>
  </si>
  <si>
    <t>35.751.444-0</t>
  </si>
  <si>
    <t>311.832.768-50</t>
  </si>
  <si>
    <t>AGUARDANDO CORREÇÃO- SEMELHANÇA DOS REGISTROS FOTOGRÁFICOS DESTE LAUDO 013/0105/B E 013/0105/C.  CTS AGUARDA EMAIL DA TÉCNICA COM PARECER CONFORME COMBINADO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</si>
  <si>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</si>
  <si>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</si>
  <si>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</si>
  <si>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</si>
  <si>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</si>
  <si>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</si>
  <si>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</si>
  <si>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</si>
  <si>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</si>
  <si>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</si>
  <si>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</si>
  <si>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</si>
  <si>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</si>
  <si>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</si>
  <si>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</si>
  <si>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</si>
  <si>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</si>
  <si>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</si>
  <si>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</si>
  <si>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</si>
  <si>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</si>
  <si>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</si>
  <si>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</si>
  <si>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</si>
  <si>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</si>
  <si>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</si>
  <si>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</si>
  <si>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</si>
  <si>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</si>
  <si>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</si>
  <si>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</si>
  <si>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</si>
  <si>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</si>
  <si>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</si>
  <si>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</si>
  <si>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</si>
  <si>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</si>
  <si>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</si>
  <si>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</si>
  <si>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</si>
  <si>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</si>
  <si>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</si>
  <si>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</si>
  <si>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</si>
  <si>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</si>
  <si>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</si>
  <si>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</si>
  <si>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</si>
  <si>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</si>
  <si>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</si>
  <si>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</si>
  <si>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</si>
  <si>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</si>
  <si>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</si>
  <si>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</si>
  <si>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</si>
  <si>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</si>
  <si>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</si>
  <si>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</si>
  <si>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</si>
  <si>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</si>
  <si>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</si>
  <si>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</si>
  <si>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</si>
  <si>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013/0111/B</t>
  </si>
  <si>
    <t xml:space="preserve">CATIA SILEIDE REZENDE </t>
  </si>
  <si>
    <t>25.050.260-4</t>
  </si>
  <si>
    <t>148.657.658-32</t>
  </si>
  <si>
    <t>6014.2026/0002609-6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</si>
  <si>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</si>
  <si>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</si>
  <si>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</si>
  <si>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</si>
  <si>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</si>
  <si>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</si>
  <si>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</si>
  <si>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</si>
  <si>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</si>
  <si>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</si>
  <si>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</si>
  <si>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</si>
  <si>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</si>
  <si>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</si>
  <si>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</si>
  <si>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</si>
  <si>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</si>
  <si>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</si>
  <si>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</si>
  <si>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</si>
  <si>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</si>
  <si>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</si>
  <si>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</si>
  <si>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</si>
  <si>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</si>
  <si>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</si>
  <si>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</si>
  <si>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</si>
  <si>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</si>
  <si>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</si>
  <si>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</si>
  <si>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</si>
  <si>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</si>
  <si>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</si>
  <si>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</si>
  <si>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</si>
  <si>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</si>
  <si>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</si>
  <si>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</si>
  <si>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</si>
  <si>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</si>
  <si>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</si>
  <si>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</si>
  <si>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</si>
  <si>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</si>
  <si>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013/0121/A</t>
  </si>
  <si>
    <t>EDIVÂNIO GOMES DOS SANTOS</t>
  </si>
  <si>
    <t>53.084.109-5</t>
  </si>
  <si>
    <t>439.209.838-90</t>
  </si>
  <si>
    <t>6014.2026/0002428-0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</si>
  <si>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</si>
  <si>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</si>
  <si>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</si>
  <si>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</si>
  <si>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</si>
  <si>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</si>
  <si>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</si>
  <si>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</si>
  <si>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</si>
  <si>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</si>
  <si>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</si>
  <si>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</si>
  <si>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</si>
  <si>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</si>
  <si>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</si>
  <si>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</si>
  <si>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</si>
  <si>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</si>
  <si>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</si>
  <si>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</si>
  <si>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</si>
  <si>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</si>
  <si>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</si>
  <si>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</si>
  <si>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</si>
  <si>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</si>
  <si>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</si>
  <si>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</si>
  <si>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</si>
  <si>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</si>
  <si>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</si>
  <si>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</si>
  <si>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</si>
  <si>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</si>
  <si>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</si>
  <si>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</si>
  <si>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</si>
  <si>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</si>
  <si>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</si>
  <si>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</si>
  <si>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</si>
  <si>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</si>
  <si>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</si>
  <si>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</si>
  <si>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</si>
  <si>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</si>
  <si>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</si>
  <si>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</si>
  <si>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</si>
  <si>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</si>
  <si>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</si>
  <si>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</si>
  <si>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</si>
  <si>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</si>
  <si>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</si>
  <si>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</si>
  <si>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</si>
  <si>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</si>
  <si>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</si>
  <si>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</si>
  <si>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</si>
  <si>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</si>
  <si>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</si>
  <si>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</si>
  <si>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</si>
  <si>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</si>
  <si>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</si>
  <si>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</si>
  <si>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</si>
  <si>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</si>
  <si>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</si>
  <si>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</si>
  <si>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</si>
  <si>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</si>
  <si>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</si>
  <si>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</si>
  <si>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</si>
  <si>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</si>
  <si>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</si>
  <si>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</si>
  <si>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</si>
  <si>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</si>
  <si>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</si>
  <si>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</si>
  <si>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</si>
  <si>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</si>
  <si>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</si>
  <si>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</si>
  <si>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</si>
  <si>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013/0135/A</t>
  </si>
  <si>
    <t>JACIRA APARECIDA ALVES DE OLIVEIRA</t>
  </si>
  <si>
    <t>14.192.997-2</t>
  </si>
  <si>
    <t>073.445.248-99</t>
  </si>
  <si>
    <t>013/0136/A</t>
  </si>
  <si>
    <t>MARIANA ARRUDA RODRIGUES</t>
  </si>
  <si>
    <t>_</t>
  </si>
  <si>
    <t>449.313.948-09</t>
  </si>
  <si>
    <t>6014.2026/0004741-7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</si>
  <si>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</si>
  <si>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</si>
  <si>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</si>
  <si>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</si>
  <si>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</si>
  <si>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</si>
  <si>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</si>
  <si>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</si>
  <si>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</si>
  <si>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</si>
  <si>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</si>
  <si>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</si>
  <si>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</si>
  <si>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</si>
  <si>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</si>
  <si>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</si>
  <si>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</si>
  <si>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</si>
  <si>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</si>
  <si>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</si>
  <si>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</si>
  <si>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</si>
  <si>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</si>
  <si>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</si>
  <si>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</si>
  <si>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</si>
  <si>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</si>
  <si>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</si>
  <si>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</si>
  <si>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</si>
  <si>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</si>
  <si>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</si>
  <si>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</si>
  <si>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</si>
  <si>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</si>
  <si>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</si>
  <si>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</si>
  <si>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</si>
  <si>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</si>
  <si>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</si>
  <si>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</si>
  <si>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</si>
  <si>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</si>
  <si>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</si>
  <si>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</si>
  <si>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</si>
  <si>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</si>
  <si>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</si>
  <si>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</si>
  <si>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</si>
  <si>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</si>
  <si>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</si>
  <si>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</si>
  <si>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</si>
  <si>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</si>
  <si>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</si>
  <si>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</si>
  <si>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</si>
  <si>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</si>
  <si>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</si>
  <si>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</si>
  <si>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</si>
  <si>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</si>
  <si>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</si>
  <si>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</si>
  <si>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</si>
  <si>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</si>
  <si>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</si>
  <si>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</si>
  <si>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</si>
  <si>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</si>
  <si>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</si>
  <si>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</si>
  <si>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</si>
  <si>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</si>
  <si>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</si>
  <si>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</si>
  <si>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</si>
  <si>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</si>
  <si>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</si>
  <si>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</si>
  <si>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</si>
  <si>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</si>
  <si>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</si>
  <si>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</si>
  <si>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</si>
  <si>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</si>
  <si>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</si>
  <si>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</si>
  <si>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</si>
  <si>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</si>
  <si>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</si>
  <si>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</si>
  <si>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</si>
  <si>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</si>
  <si>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</si>
  <si>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</si>
  <si>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</si>
  <si>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</si>
  <si>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</si>
  <si>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</si>
  <si>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</si>
  <si>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</si>
  <si>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</si>
  <si>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</si>
  <si>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</si>
  <si>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</si>
  <si>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</si>
  <si>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</si>
  <si>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</si>
  <si>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</si>
  <si>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</si>
  <si>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</si>
  <si>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</si>
  <si>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</si>
  <si>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</si>
  <si>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</si>
  <si>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</si>
  <si>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</si>
  <si>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</si>
  <si>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</si>
  <si>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</si>
  <si>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</si>
  <si>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</si>
  <si>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</si>
  <si>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</si>
  <si>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</si>
  <si>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</si>
  <si>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</si>
  <si>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</si>
  <si>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</si>
  <si>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</si>
  <si>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</si>
  <si>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</si>
  <si>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</si>
  <si>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</si>
  <si>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</si>
  <si>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</si>
  <si>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</si>
  <si>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</si>
  <si>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</si>
  <si>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</si>
  <si>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</si>
  <si>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</si>
  <si>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</si>
  <si>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</si>
  <si>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</si>
  <si>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</si>
  <si>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</si>
  <si>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</si>
  <si>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</si>
  <si>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</si>
  <si>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</si>
  <si>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</si>
  <si>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</si>
  <si>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</si>
  <si>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</si>
  <si>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</si>
  <si>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</si>
  <si>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</si>
  <si>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</si>
  <si>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</si>
  <si>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</si>
  <si>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</si>
  <si>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</si>
  <si>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</si>
  <si>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</si>
  <si>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</si>
  <si>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</si>
  <si>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</si>
  <si>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</si>
  <si>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</si>
  <si>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</si>
  <si>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</si>
  <si>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</si>
  <si>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</si>
  <si>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</si>
  <si>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</si>
  <si>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</si>
  <si>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</si>
  <si>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</si>
  <si>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</si>
  <si>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</si>
  <si>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</si>
  <si>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</si>
  <si>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</si>
  <si>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</si>
  <si>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</si>
  <si>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</si>
  <si>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</si>
  <si>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</si>
  <si>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</si>
  <si>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</si>
  <si>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</si>
  <si>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</si>
  <si>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</si>
  <si>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</si>
  <si>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</si>
  <si>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</si>
  <si>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</si>
  <si>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</si>
  <si>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</si>
  <si>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</si>
  <si>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</si>
  <si>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</si>
  <si>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</si>
  <si>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</si>
  <si>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</si>
  <si>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</si>
  <si>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</si>
  <si>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</si>
  <si>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</si>
  <si>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</si>
  <si>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</si>
  <si>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</si>
  <si>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</si>
  <si>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</si>
  <si>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</si>
  <si>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</si>
  <si>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</si>
  <si>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</si>
  <si>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</si>
  <si>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</si>
  <si>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</si>
  <si>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</si>
  <si>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</si>
  <si>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</si>
  <si>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</si>
  <si>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</si>
  <si>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</si>
  <si>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</si>
  <si>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</si>
  <si>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</si>
  <si>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</si>
  <si>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</si>
  <si>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</si>
  <si>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</si>
  <si>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</si>
  <si>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</si>
  <si>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</si>
  <si>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</si>
  <si>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</si>
  <si>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</si>
  <si>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</si>
  <si>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</si>
  <si>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</si>
  <si>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</si>
  <si>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</si>
  <si>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</si>
  <si>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</si>
  <si>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</si>
  <si>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</si>
  <si>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</si>
  <si>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</si>
  <si>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</si>
  <si>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</si>
  <si>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</si>
  <si>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</si>
  <si>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</si>
  <si>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</si>
  <si>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</si>
  <si>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</si>
  <si>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</si>
  <si>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</si>
  <si>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</si>
  <si>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</si>
  <si>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</si>
  <si>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</si>
  <si>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</si>
  <si>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</si>
  <si>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</si>
  <si>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</si>
  <si>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</si>
  <si>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</si>
  <si>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</si>
  <si>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</si>
  <si>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</si>
  <si>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</si>
  <si>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</si>
  <si>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</si>
  <si>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</si>
  <si>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</si>
  <si>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</si>
  <si>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</si>
  <si>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</si>
  <si>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</si>
  <si>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</si>
  <si>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</si>
  <si>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</si>
  <si>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</si>
  <si>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</si>
  <si>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</si>
  <si>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</si>
  <si>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</si>
  <si>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</si>
  <si>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</si>
  <si>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</si>
  <si>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</si>
  <si>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</si>
  <si>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</si>
  <si>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</si>
  <si>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</si>
  <si>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</si>
  <si>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</si>
  <si>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</si>
  <si>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</si>
  <si>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</si>
  <si>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</si>
  <si>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</si>
  <si>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</si>
  <si>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</si>
  <si>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</si>
  <si>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</si>
  <si>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</si>
  <si>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</si>
  <si>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</si>
  <si>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</si>
  <si>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</si>
  <si>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</si>
  <si>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</si>
  <si>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</si>
  <si>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</si>
  <si>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</si>
  <si>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</si>
  <si>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</si>
  <si>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</si>
  <si>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</si>
  <si>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</si>
  <si>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</si>
  <si>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</si>
  <si>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</si>
  <si>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</si>
  <si>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</si>
  <si>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</si>
  <si>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</si>
  <si>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</si>
  <si>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</si>
  <si>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</si>
  <si>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</si>
  <si>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</si>
  <si>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</si>
  <si>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</si>
  <si>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</si>
  <si>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</si>
  <si>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</si>
  <si>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</si>
  <si>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</si>
  <si>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</si>
  <si>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</si>
  <si>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</si>
  <si>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</si>
  <si>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</si>
  <si>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</si>
  <si>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</si>
  <si>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</si>
  <si>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</si>
  <si>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</si>
  <si>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</si>
  <si>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</si>
  <si>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</si>
  <si>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</si>
  <si>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</si>
  <si>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</si>
  <si>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</si>
  <si>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</si>
  <si>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</si>
  <si>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</si>
  <si>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</si>
  <si>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</si>
  <si>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</si>
  <si>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</si>
  <si>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</si>
  <si>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</si>
  <si>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</si>
  <si>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</si>
  <si>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</si>
  <si>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</si>
  <si>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</si>
  <si>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</si>
  <si>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</si>
  <si>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</si>
  <si>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</si>
  <si>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</si>
  <si>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</si>
  <si>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</si>
  <si>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</si>
  <si>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</si>
  <si>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</si>
  <si>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</si>
  <si>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</si>
  <si>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</si>
  <si>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</si>
  <si>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</si>
  <si>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</si>
  <si>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</si>
  <si>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</si>
  <si>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</si>
  <si>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</si>
  <si>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</si>
  <si>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</si>
  <si>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</si>
  <si>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</si>
  <si>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</si>
  <si>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</si>
  <si>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</si>
  <si>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</si>
  <si>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</si>
  <si>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</si>
  <si>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</si>
  <si>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</si>
  <si>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</si>
  <si>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</si>
  <si>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</si>
  <si>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</si>
  <si>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</si>
  <si>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</si>
  <si>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</si>
  <si>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</si>
  <si>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</si>
  <si>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</si>
  <si>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</si>
  <si>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</si>
  <si>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</si>
  <si>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</si>
  <si>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</si>
  <si>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</si>
  <si>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</si>
  <si>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</si>
  <si>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</si>
  <si>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</si>
  <si>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</si>
  <si>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</si>
  <si>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</si>
  <si>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</si>
  <si>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</si>
  <si>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</si>
  <si>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</si>
  <si>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</si>
  <si>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</si>
  <si>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</si>
  <si>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</si>
  <si>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</si>
  <si>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</si>
  <si>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</si>
  <si>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</si>
  <si>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</si>
  <si>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</si>
  <si>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</si>
  <si>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</si>
  <si>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</si>
  <si>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</si>
  <si>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</si>
  <si>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</si>
  <si>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</si>
  <si>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</si>
  <si>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</si>
  <si>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</si>
  <si>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</si>
  <si>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</si>
  <si>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</si>
  <si>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</si>
  <si>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</si>
  <si>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</si>
  <si>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</si>
  <si>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</si>
  <si>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</si>
  <si>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</si>
  <si>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</si>
  <si>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</si>
  <si>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</si>
  <si>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</si>
  <si>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</si>
  <si>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</si>
  <si>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</si>
  <si>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</si>
  <si>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</si>
  <si>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</si>
  <si>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</si>
  <si>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</si>
  <si>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</si>
  <si>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</si>
  <si>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</si>
  <si>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</si>
  <si>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</si>
  <si>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</si>
  <si>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</si>
  <si>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</si>
  <si>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</si>
  <si>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</si>
  <si>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</si>
  <si>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</si>
  <si>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</si>
  <si>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</si>
  <si>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</si>
  <si>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</si>
  <si>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</si>
  <si>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</si>
  <si>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</si>
  <si>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</si>
  <si>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</si>
  <si>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</si>
  <si>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</si>
  <si>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</si>
  <si>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</si>
  <si>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</si>
  <si>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</si>
  <si>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</si>
  <si>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</si>
  <si>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</si>
  <si>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</si>
  <si>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</si>
  <si>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</si>
  <si>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</si>
  <si>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</si>
  <si>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</si>
  <si>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</si>
  <si>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</si>
  <si>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</si>
  <si>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</si>
  <si>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</si>
  <si>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</si>
  <si>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</si>
  <si>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</si>
  <si>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</si>
  <si>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</si>
  <si>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</si>
  <si>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</si>
  <si>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</si>
  <si>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</si>
  <si>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</si>
  <si>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</si>
  <si>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</si>
  <si>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</si>
  <si>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</si>
  <si>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</si>
  <si>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</si>
  <si>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</si>
  <si>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</si>
  <si>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</si>
  <si>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</si>
  <si>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</si>
  <si>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</si>
  <si>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</si>
  <si>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</si>
  <si>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</si>
  <si>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</si>
  <si>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</si>
  <si>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</si>
  <si>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</si>
  <si>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</si>
  <si>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</si>
  <si>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</si>
  <si>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</si>
  <si>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</si>
  <si>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</si>
  <si>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</si>
  <si>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</si>
  <si>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</si>
  <si>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</si>
  <si>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</si>
  <si>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</si>
  <si>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</si>
  <si>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</si>
  <si>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</si>
  <si>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</si>
  <si>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</si>
  <si>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</si>
  <si>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</si>
  <si>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</si>
  <si>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</si>
  <si>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</si>
  <si>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</si>
  <si>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</si>
  <si>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</si>
  <si>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</si>
  <si>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</si>
  <si>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</si>
  <si>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</si>
  <si>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</si>
  <si>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</si>
  <si>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</si>
  <si>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</si>
  <si>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</si>
  <si>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</si>
  <si>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</si>
  <si>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</si>
  <si>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</si>
  <si>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</si>
  <si>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</si>
  <si>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</si>
  <si>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</si>
  <si>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</si>
  <si>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</si>
  <si>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</si>
  <si>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</si>
  <si>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</si>
  <si>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</si>
  <si>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</si>
  <si>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</si>
  <si>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</si>
  <si>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</si>
  <si>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</si>
  <si>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</si>
  <si>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</si>
  <si>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</si>
  <si>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</si>
  <si>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</si>
  <si>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</si>
  <si>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</si>
  <si>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</si>
  <si>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</si>
  <si>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</si>
  <si>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</si>
  <si>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</si>
  <si>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</si>
  <si>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</si>
  <si>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</si>
  <si>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</si>
  <si>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</si>
  <si>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</si>
  <si>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</si>
  <si>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</si>
  <si>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</si>
  <si>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</si>
  <si>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</si>
  <si>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</si>
  <si>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</si>
  <si>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</si>
  <si>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</si>
  <si>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</si>
  <si>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</si>
  <si>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</si>
  <si>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</si>
  <si>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</si>
  <si>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</si>
  <si>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</si>
  <si>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</si>
  <si>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</si>
  <si>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</si>
  <si>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</si>
  <si>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</si>
  <si>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</si>
  <si>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</si>
  <si>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</si>
  <si>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</si>
  <si>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</si>
  <si>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</si>
  <si>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</si>
  <si>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</si>
  <si>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</si>
  <si>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</si>
  <si>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</si>
  <si>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</si>
  <si>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</si>
  <si>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</si>
  <si>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</si>
  <si>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</si>
  <si>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</si>
  <si>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</si>
  <si>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</si>
  <si>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</si>
  <si>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</si>
  <si>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</si>
  <si>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</si>
  <si>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</si>
  <si>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</si>
  <si>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</si>
  <si>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</si>
  <si>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</si>
  <si>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</si>
  <si>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</si>
  <si>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</si>
  <si>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</si>
  <si>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</si>
  <si>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</si>
  <si>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</si>
  <si>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</si>
  <si>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</si>
  <si>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</si>
  <si>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</si>
  <si>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</si>
  <si>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</si>
  <si>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</si>
  <si>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</si>
  <si>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</si>
  <si>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</si>
  <si>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</si>
  <si>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</si>
  <si>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</si>
  <si>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</si>
  <si>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</si>
  <si>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</si>
  <si>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</si>
  <si>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</si>
  <si>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</si>
  <si>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</si>
  <si>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</si>
  <si>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</si>
  <si>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</si>
  <si>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</si>
  <si>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</si>
  <si>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</si>
  <si>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</si>
  <si>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</si>
  <si>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</si>
  <si>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</si>
  <si>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</si>
  <si>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</si>
  <si>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</si>
  <si>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</si>
  <si>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</si>
  <si>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</si>
  <si>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</si>
  <si>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</si>
  <si>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</si>
  <si>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</si>
  <si>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</si>
  <si>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</si>
  <si>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</si>
  <si>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</si>
  <si>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</si>
  <si>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</si>
  <si>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</si>
  <si>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</si>
  <si>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</si>
  <si>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</si>
  <si>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</si>
  <si>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</si>
  <si>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</si>
  <si>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</si>
  <si>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</si>
  <si>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</si>
  <si>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</si>
  <si>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</si>
  <si>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</si>
  <si>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</si>
  <si>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</si>
  <si>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</si>
  <si>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</si>
  <si>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</si>
  <si>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</si>
  <si>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</si>
  <si>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</si>
  <si>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</si>
  <si>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</si>
  <si>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</si>
  <si>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</si>
  <si>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</si>
  <si>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</si>
  <si>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</si>
  <si>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</si>
  <si>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</si>
  <si>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</si>
  <si>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</si>
  <si>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</si>
  <si>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</si>
  <si>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</si>
  <si>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</si>
  <si>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</si>
  <si>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</si>
  <si>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</si>
  <si>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</si>
  <si>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</si>
  <si>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</si>
  <si>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</si>
  <si>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</si>
  <si>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</si>
  <si>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</si>
  <si>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</si>
  <si>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</si>
  <si>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</si>
  <si>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</si>
  <si>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</si>
  <si>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</si>
  <si>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</si>
  <si>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</si>
  <si>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</si>
  <si>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</si>
  <si>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</si>
  <si>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</si>
  <si>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</si>
  <si>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</si>
  <si>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</si>
  <si>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</si>
  <si>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</si>
  <si>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</si>
  <si>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</si>
  <si>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</si>
  <si>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</si>
  <si>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</si>
  <si>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</si>
  <si>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</si>
  <si>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</si>
  <si>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</si>
  <si>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</si>
  <si>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</si>
  <si>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</si>
  <si>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</si>
  <si>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</si>
  <si>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</si>
  <si>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</si>
  <si>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</si>
  <si>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</si>
  <si>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</si>
  <si>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</si>
  <si>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</si>
  <si>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</si>
  <si>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</si>
  <si>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</si>
  <si>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</si>
  <si>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</si>
  <si>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</si>
  <si>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</si>
  <si>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</si>
  <si>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</si>
  <si>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</si>
  <si>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</si>
  <si>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</si>
  <si>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</si>
  <si>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</si>
  <si>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</si>
  <si>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</si>
  <si>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</si>
  <si>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</si>
  <si>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</si>
  <si>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</si>
  <si>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</si>
  <si>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</si>
  <si>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</si>
  <si>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</si>
  <si>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</si>
  <si>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</si>
  <si>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</si>
  <si>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</si>
  <si>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</si>
  <si>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</si>
  <si>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</si>
  <si>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</si>
  <si>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</si>
  <si>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</si>
  <si>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</si>
  <si>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</si>
  <si>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</si>
  <si>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</si>
  <si>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</si>
  <si>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</si>
  <si>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</si>
  <si>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</si>
  <si>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</si>
  <si>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</si>
  <si>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</si>
  <si>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</si>
  <si>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</si>
  <si>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</si>
  <si>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</si>
  <si>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</si>
  <si>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</si>
  <si>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</si>
  <si>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</si>
  <si>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</si>
  <si>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</si>
  <si>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</si>
  <si>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</si>
  <si>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</si>
  <si>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</si>
  <si>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</si>
  <si>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</si>
  <si>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</si>
  <si>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</si>
  <si>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</si>
  <si>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</si>
  <si>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</si>
  <si>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</si>
  <si>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</si>
  <si>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</si>
  <si>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</si>
  <si>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</si>
  <si>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</si>
  <si>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</si>
  <si>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</si>
  <si>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</si>
  <si>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</si>
  <si>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</si>
  <si>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</si>
  <si>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</si>
  <si>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</si>
  <si>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</si>
  <si>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</si>
  <si>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</si>
  <si>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</si>
  <si>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</si>
  <si>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</si>
  <si>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</si>
  <si>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</si>
  <si>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</si>
  <si>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</si>
  <si>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</si>
  <si>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</si>
  <si>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</si>
  <si>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</si>
  <si>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</si>
  <si>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</si>
  <si>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</si>
  <si>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</si>
  <si>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</si>
  <si>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</si>
  <si>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</si>
  <si>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</si>
  <si>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</si>
  <si>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</si>
  <si>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</si>
  <si>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</si>
  <si>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</si>
  <si>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</si>
  <si>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</si>
  <si>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</si>
  <si>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</si>
  <si>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</si>
  <si>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</si>
  <si>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</si>
  <si>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</si>
  <si>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</si>
  <si>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</si>
  <si>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</si>
  <si>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</si>
  <si>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</si>
  <si>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</si>
  <si>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</si>
  <si>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</si>
  <si>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</si>
  <si>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</si>
  <si>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</si>
  <si>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</si>
  <si>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</si>
  <si>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</si>
  <si>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</si>
  <si>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</si>
  <si>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</si>
  <si>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</si>
  <si>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</si>
  <si>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</si>
  <si>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</si>
  <si>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</si>
  <si>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</si>
  <si>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</si>
  <si>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</si>
  <si>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</si>
  <si>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</si>
  <si>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</si>
  <si>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</si>
  <si>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</si>
  <si>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</si>
  <si>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</si>
  <si>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</si>
  <si>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</si>
  <si>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</si>
  <si>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</si>
  <si>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</si>
  <si>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</si>
  <si>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</si>
  <si>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</si>
  <si>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</si>
  <si>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</si>
  <si>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</si>
  <si>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</si>
  <si>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</si>
  <si>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</si>
  <si>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</si>
  <si>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</si>
  <si>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</si>
  <si>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</si>
  <si>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</si>
  <si>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</si>
  <si>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</si>
  <si>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</si>
  <si>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</si>
  <si>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</si>
  <si>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</si>
  <si>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</si>
  <si>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</si>
  <si>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</si>
  <si>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</si>
  <si>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</si>
  <si>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</si>
  <si>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</si>
  <si>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</si>
  <si>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</si>
  <si>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</si>
  <si>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</si>
  <si>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</si>
  <si>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</si>
  <si>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</si>
  <si>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</si>
  <si>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</si>
  <si>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</si>
  <si>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</si>
  <si>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</si>
  <si>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</si>
  <si>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</si>
  <si>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</si>
  <si>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</si>
  <si>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</si>
  <si>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</si>
  <si>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</si>
  <si>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</si>
  <si>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</si>
  <si>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</si>
  <si>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</si>
  <si>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</si>
  <si>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</si>
  <si>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</si>
  <si>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</si>
  <si>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</si>
  <si>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</si>
  <si>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</si>
  <si>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</si>
  <si>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</si>
  <si>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</si>
  <si>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</si>
  <si>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</si>
  <si>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</si>
  <si>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</si>
  <si>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</si>
  <si>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</si>
  <si>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</si>
  <si>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</si>
  <si>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</si>
  <si>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</si>
  <si>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</si>
  <si>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</si>
  <si>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</si>
  <si>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</si>
  <si>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</si>
  <si>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</si>
  <si>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</si>
  <si>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</si>
  <si>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</si>
  <si>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</si>
  <si>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</si>
  <si>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</si>
  <si>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</si>
  <si>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</si>
  <si>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</si>
  <si>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</si>
  <si>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</si>
  <si>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</si>
  <si>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</si>
  <si>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</si>
  <si>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</si>
  <si>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</si>
  <si>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</si>
  <si>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</si>
  <si>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</si>
  <si>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</si>
  <si>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</si>
  <si>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</si>
  <si>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</si>
  <si>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</si>
  <si>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</si>
  <si>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</si>
  <si>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</si>
  <si>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</si>
  <si>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</si>
  <si>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</si>
  <si>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</si>
  <si>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</si>
  <si>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</si>
  <si>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</si>
  <si>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</si>
  <si>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</si>
  <si>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</si>
  <si>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</si>
  <si>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</si>
  <si>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</si>
  <si>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</si>
  <si>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</si>
  <si>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</si>
  <si>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</si>
  <si>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</si>
  <si>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</si>
  <si>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</si>
  <si>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</si>
  <si>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</si>
  <si>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</si>
  <si>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</si>
  <si>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</si>
  <si>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</si>
  <si>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</si>
  <si>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</si>
  <si>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</si>
  <si>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</si>
  <si>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</si>
  <si>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</si>
  <si>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</si>
  <si>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</si>
  <si>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</si>
  <si>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</si>
  <si>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</si>
  <si>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</si>
  <si>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</si>
  <si>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</si>
  <si>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</si>
  <si>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</si>
  <si>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</si>
  <si>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</si>
  <si>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</si>
  <si>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</si>
  <si>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</si>
  <si>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</si>
  <si>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</si>
  <si>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</si>
  <si>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</si>
  <si>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</si>
  <si>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</si>
  <si>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</si>
  <si>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</si>
  <si>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</si>
  <si>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</si>
  <si>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</si>
  <si>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</si>
  <si>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</si>
  <si>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</si>
  <si>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</si>
  <si>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</si>
  <si>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</si>
  <si>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</si>
  <si>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</si>
  <si>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</si>
  <si>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</si>
  <si>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</si>
  <si>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</si>
  <si>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</si>
  <si>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</si>
  <si>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</si>
  <si>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</si>
  <si>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</si>
  <si>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</si>
  <si>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</si>
  <si>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</si>
  <si>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</si>
  <si>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</si>
  <si>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</si>
  <si>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</si>
  <si>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</si>
  <si>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</si>
  <si>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</si>
  <si>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</si>
  <si>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</si>
  <si>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</si>
  <si>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</si>
  <si>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</si>
  <si>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</si>
  <si>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</si>
  <si>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</si>
  <si>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</si>
  <si>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</si>
  <si>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</si>
  <si>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</si>
  <si>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</si>
  <si>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</si>
  <si>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</si>
  <si>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</si>
  <si>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</si>
  <si>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</si>
  <si>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</si>
  <si>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</si>
  <si>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</si>
  <si>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</si>
  <si>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</si>
  <si>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</si>
  <si>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</si>
  <si>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</si>
  <si>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</si>
  <si>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</si>
  <si>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</si>
  <si>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</si>
  <si>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</si>
  <si>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</si>
  <si>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</si>
  <si>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</si>
  <si>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</si>
  <si>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</si>
  <si>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</si>
  <si>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</si>
  <si>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</si>
  <si>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</si>
  <si>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</si>
  <si>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</si>
  <si>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</si>
  <si>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</si>
  <si>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</si>
  <si>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</si>
  <si>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</si>
  <si>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</si>
  <si>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</si>
  <si>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</si>
  <si>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</si>
  <si>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</si>
  <si>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</si>
  <si>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</si>
  <si>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</si>
  <si>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</si>
  <si>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</si>
  <si>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</si>
  <si>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</si>
  <si>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</si>
  <si>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</si>
  <si>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</si>
  <si>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</si>
  <si>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</si>
  <si>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</si>
  <si>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</si>
  <si>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</si>
  <si>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</si>
  <si>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</si>
  <si>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</si>
  <si>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</si>
  <si>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</si>
  <si>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</si>
  <si>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</si>
  <si>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</si>
  <si>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</si>
  <si>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</si>
  <si>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</si>
  <si>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</si>
  <si>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</si>
  <si>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</si>
  <si>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</si>
  <si>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</si>
  <si>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</si>
  <si>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</si>
  <si>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</si>
  <si>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</si>
  <si>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</si>
  <si>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</si>
  <si>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</si>
  <si>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</si>
  <si>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</si>
  <si>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</si>
  <si>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</si>
  <si>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</si>
  <si>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</si>
  <si>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</si>
  <si>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</si>
  <si>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</si>
  <si>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</si>
  <si>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</si>
  <si>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</si>
  <si>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</si>
  <si>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</si>
  <si>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</si>
  <si>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</si>
  <si>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</si>
  <si>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</si>
  <si>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</si>
  <si>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</si>
  <si>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</si>
  <si>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</si>
  <si>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</si>
  <si>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</si>
  <si>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</si>
  <si>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</si>
  <si>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</si>
  <si>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</si>
  <si>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</si>
  <si>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</si>
  <si>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</si>
  <si>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</si>
  <si>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</si>
  <si>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</si>
  <si>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</si>
  <si>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</si>
  <si>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</si>
  <si>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</si>
  <si>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</si>
  <si>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</si>
  <si>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</si>
  <si>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</si>
  <si>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</si>
  <si>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</si>
  <si>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</si>
  <si>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</si>
  <si>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</si>
  <si>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</si>
  <si>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</si>
  <si>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</si>
  <si>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</si>
  <si>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</si>
  <si>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</si>
  <si>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</si>
  <si>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</si>
  <si>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</si>
  <si>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</si>
  <si>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</si>
  <si>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</si>
  <si>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</si>
  <si>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</si>
  <si>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</si>
  <si>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</si>
  <si>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</si>
  <si>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</si>
  <si>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</si>
  <si>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</si>
  <si>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</si>
  <si>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</si>
  <si>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</si>
  <si>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</si>
  <si>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</si>
  <si>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</si>
  <si>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</si>
  <si>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</si>
  <si>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</si>
  <si>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</si>
  <si>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</si>
  <si>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</si>
  <si>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</si>
  <si>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</si>
  <si>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</si>
  <si>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</si>
  <si>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</si>
  <si>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</si>
  <si>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</si>
  <si>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</si>
  <si>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</si>
  <si>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</si>
  <si>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</si>
  <si>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</si>
  <si>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</si>
  <si>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</si>
  <si>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</si>
  <si>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</si>
  <si>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</si>
  <si>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</si>
  <si>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</si>
  <si>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</si>
  <si>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</si>
  <si>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</si>
  <si>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</si>
  <si>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</si>
  <si>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</si>
  <si>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</si>
  <si>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</si>
  <si>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</si>
  <si>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</si>
  <si>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</si>
  <si>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</si>
  <si>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</si>
  <si>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</si>
  <si>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</si>
  <si>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</si>
  <si>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</si>
  <si>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</si>
  <si>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</si>
  <si>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</si>
  <si>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</si>
  <si>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</si>
  <si>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</si>
  <si>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</si>
  <si>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</si>
  <si>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</si>
  <si>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</si>
  <si>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</si>
  <si>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</si>
  <si>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</si>
  <si>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</si>
  <si>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</si>
  <si>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</si>
  <si>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</si>
  <si>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</si>
  <si>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</si>
  <si>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</si>
  <si>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</si>
  <si>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</si>
  <si>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</si>
  <si>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</si>
  <si>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</si>
  <si>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</si>
  <si>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</si>
  <si>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</si>
  <si>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</si>
  <si>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</si>
  <si>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</si>
  <si>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</si>
  <si>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</si>
  <si>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</si>
  <si>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</si>
  <si>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</si>
  <si>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</si>
  <si>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</si>
  <si>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</si>
  <si>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</si>
  <si>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</si>
  <si>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</si>
  <si>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</si>
  <si>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</si>
  <si>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</si>
  <si>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</si>
  <si>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</si>
  <si>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</si>
  <si>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</si>
  <si>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</si>
  <si>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</si>
  <si>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</si>
  <si>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</si>
  <si>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</si>
  <si>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</si>
  <si>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</si>
  <si>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</si>
  <si>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</si>
  <si>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</si>
  <si>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</si>
  <si>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</si>
  <si>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</si>
  <si>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</si>
  <si>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</si>
  <si>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</si>
  <si>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</si>
  <si>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</si>
  <si>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</si>
  <si>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</si>
  <si>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</si>
  <si>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</si>
  <si>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</si>
  <si>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</si>
  <si>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</si>
  <si>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</si>
  <si>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</si>
  <si>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</si>
  <si>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</si>
  <si>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</si>
  <si>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</si>
  <si>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</si>
  <si>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</si>
  <si>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</si>
  <si>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</si>
  <si>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</si>
  <si>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</si>
  <si>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</si>
  <si>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</si>
  <si>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</si>
  <si>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</si>
  <si>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</si>
  <si>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</si>
  <si>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</si>
  <si>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</si>
  <si>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</si>
  <si>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</si>
  <si>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</si>
  <si>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</si>
  <si>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</si>
  <si>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</si>
  <si>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</si>
  <si>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</si>
  <si>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</si>
  <si>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</si>
  <si>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</si>
  <si>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</si>
  <si>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</si>
  <si>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</si>
  <si>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</si>
  <si>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</si>
  <si>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</si>
  <si>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</si>
  <si>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</si>
  <si>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</si>
  <si>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</si>
  <si>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</si>
  <si>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</si>
  <si>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</si>
  <si>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</si>
  <si>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</si>
  <si>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</si>
  <si>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</si>
  <si>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</si>
  <si>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</si>
  <si>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</si>
  <si>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</si>
  <si>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</si>
  <si>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</si>
  <si>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</si>
  <si>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</si>
  <si>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</si>
  <si>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</si>
  <si>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</si>
  <si>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</si>
  <si>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</si>
  <si>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</si>
  <si>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</si>
  <si>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</si>
  <si>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</si>
  <si>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</si>
  <si>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</si>
  <si>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</si>
  <si>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</si>
  <si>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</si>
  <si>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</si>
  <si>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</si>
  <si>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</si>
  <si>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</si>
  <si>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</si>
  <si>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</si>
  <si>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</si>
  <si>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</si>
  <si>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</si>
  <si>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</si>
  <si>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</si>
  <si>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</si>
  <si>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</si>
  <si>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</si>
  <si>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</si>
  <si>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</si>
  <si>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</si>
  <si>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</si>
  <si>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</si>
  <si>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</si>
  <si>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</si>
  <si>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</si>
  <si>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</si>
  <si>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</si>
  <si>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</si>
  <si>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</si>
  <si>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</si>
  <si>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</si>
  <si>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</si>
  <si>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</si>
  <si>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</si>
  <si>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</si>
  <si>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</si>
  <si>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</si>
  <si>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</si>
  <si>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</si>
  <si>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</si>
  <si>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</si>
  <si>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</si>
  <si>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</si>
  <si>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</si>
  <si>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</si>
  <si>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</si>
  <si>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</si>
  <si>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</si>
  <si>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</si>
  <si>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</si>
  <si>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</si>
  <si>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</si>
  <si>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</si>
  <si>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</si>
  <si>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</si>
  <si>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</si>
  <si>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</si>
  <si>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</si>
  <si>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</si>
  <si>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</si>
  <si>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</si>
  <si>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</si>
  <si>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</si>
  <si>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</si>
  <si>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</si>
  <si>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</si>
  <si>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</si>
  <si>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</si>
  <si>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</si>
  <si>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</si>
  <si>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</si>
  <si>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</si>
  <si>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</si>
  <si>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</si>
  <si>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</si>
  <si>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</si>
  <si>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</si>
  <si>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</si>
  <si>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</si>
  <si>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</si>
  <si>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</si>
  <si>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</si>
  <si>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</si>
  <si>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</si>
  <si>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</si>
  <si>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</si>
  <si>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</si>
  <si>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</si>
  <si>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</si>
  <si>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</si>
  <si>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</si>
  <si>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</si>
  <si>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</si>
  <si>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</si>
  <si>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</si>
  <si>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</si>
  <si>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</si>
  <si>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</si>
  <si>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</si>
  <si>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</si>
  <si>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</si>
  <si>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</si>
  <si>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</si>
  <si>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</si>
  <si>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</si>
  <si>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</si>
  <si>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</si>
  <si>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</si>
  <si>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</si>
  <si>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</si>
  <si>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</si>
  <si>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</si>
  <si>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</si>
  <si>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</si>
  <si>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</si>
  <si>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</si>
  <si>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</si>
  <si>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</si>
  <si>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</si>
  <si>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</si>
  <si>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</si>
  <si>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</si>
  <si>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</si>
  <si>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</si>
  <si>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</si>
  <si>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</si>
  <si>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</si>
  <si>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</si>
  <si>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</si>
  <si>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</si>
  <si>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</si>
  <si>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</si>
  <si>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</si>
  <si>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</si>
  <si>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</si>
  <si>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</si>
  <si>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</si>
  <si>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</si>
  <si>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</si>
  <si>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</si>
  <si>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</si>
  <si>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</si>
  <si>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</si>
  <si>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</si>
  <si>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</si>
  <si>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</si>
  <si>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</si>
  <si>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</si>
  <si>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</si>
  <si>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</si>
  <si>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</si>
  <si>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</si>
  <si>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</si>
  <si>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</si>
  <si>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</si>
  <si>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</si>
  <si>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</si>
  <si>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</si>
  <si>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</si>
  <si>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</si>
  <si>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</si>
  <si>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</si>
  <si>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</si>
  <si>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</si>
  <si>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</si>
  <si>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</si>
  <si>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</si>
  <si>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</si>
  <si>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</si>
  <si>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</si>
  <si>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</si>
  <si>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</si>
  <si>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</si>
  <si>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</si>
  <si>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</si>
  <si>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</si>
  <si>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</si>
  <si>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</si>
  <si>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</si>
  <si>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</si>
  <si>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</si>
  <si>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</si>
  <si>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</si>
  <si>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</si>
  <si>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</si>
  <si>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</si>
  <si>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</si>
  <si>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</si>
  <si>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</si>
  <si>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</si>
  <si>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</si>
  <si>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</si>
  <si>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</si>
  <si>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</si>
  <si>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</si>
  <si>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</si>
  <si>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</si>
  <si>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</si>
  <si>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</si>
  <si>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</si>
  <si>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</si>
  <si>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</si>
  <si>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</si>
  <si>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</si>
  <si>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</si>
  <si>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</si>
  <si>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</si>
  <si>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</si>
  <si>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</si>
  <si>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</si>
  <si>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</si>
  <si>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</si>
  <si>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</si>
  <si>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</si>
  <si>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</si>
  <si>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</si>
  <si>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</si>
  <si>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</si>
  <si>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</si>
  <si>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</si>
  <si>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</si>
  <si>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</si>
  <si>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</si>
  <si>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</si>
  <si>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</si>
  <si>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</si>
  <si>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</si>
  <si>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</si>
  <si>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</si>
  <si>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</si>
  <si>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</si>
  <si>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</si>
  <si>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</si>
  <si>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</si>
  <si>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</si>
  <si>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</si>
  <si>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</si>
  <si>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</si>
  <si>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</si>
  <si>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</si>
  <si>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</si>
  <si>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</si>
  <si>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</si>
  <si>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</si>
  <si>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</si>
  <si>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</si>
  <si>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</si>
  <si>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</si>
  <si>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</si>
  <si>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</si>
  <si>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</si>
  <si>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</si>
  <si>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</si>
  <si>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</si>
  <si>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</si>
  <si>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</si>
  <si>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</si>
  <si>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</si>
  <si>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</si>
  <si>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</si>
  <si>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</si>
  <si>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</si>
  <si>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</si>
  <si>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</si>
  <si>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</si>
  <si>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</si>
  <si>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</si>
  <si>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</si>
  <si>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</si>
  <si>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</si>
  <si>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</si>
  <si>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</si>
  <si>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</si>
  <si>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</si>
  <si>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</si>
  <si>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</si>
  <si>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</si>
  <si>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</si>
  <si>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</si>
  <si>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</si>
  <si>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</si>
  <si>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</si>
  <si>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</si>
  <si>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</si>
  <si>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</si>
  <si>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</si>
  <si>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</si>
  <si>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</si>
  <si>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</si>
  <si>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</si>
  <si>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</si>
  <si>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</si>
  <si>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</si>
  <si>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</si>
  <si>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</si>
  <si>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</si>
  <si>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</si>
  <si>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</si>
  <si>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</si>
  <si>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</si>
  <si>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</si>
  <si>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</si>
  <si>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</si>
  <si>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</si>
  <si>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</si>
  <si>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</si>
  <si>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</si>
  <si>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</si>
  <si>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</si>
  <si>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</si>
  <si>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</si>
  <si>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</si>
  <si>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</si>
  <si>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</si>
  <si>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</si>
  <si>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</si>
  <si>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</si>
  <si>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</si>
  <si>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</si>
  <si>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</si>
  <si>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</si>
  <si>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</si>
  <si>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</si>
  <si>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</si>
  <si>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</si>
  <si>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</si>
  <si>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</si>
  <si>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</si>
  <si>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</si>
  <si>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</si>
  <si>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</si>
  <si>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</si>
  <si>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</si>
  <si>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</si>
  <si>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</si>
  <si>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</si>
  <si>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</si>
  <si>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</si>
  <si>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</si>
  <si>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</si>
  <si>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</si>
  <si>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</si>
  <si>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</si>
  <si>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</si>
  <si>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</si>
  <si>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</si>
  <si>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</si>
  <si>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</si>
  <si>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</si>
  <si>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</si>
  <si>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</si>
  <si>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</si>
  <si>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</si>
  <si>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</si>
  <si>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</si>
  <si>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</si>
  <si>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</si>
  <si>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</si>
  <si>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</si>
  <si>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</si>
  <si>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</si>
  <si>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</si>
  <si>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</si>
  <si>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</si>
  <si>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</si>
  <si>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</si>
  <si>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</si>
  <si>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</si>
  <si>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</si>
  <si>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</si>
  <si>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</si>
  <si>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</si>
  <si>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</si>
  <si>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</si>
  <si>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</si>
  <si>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</si>
  <si>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</si>
  <si>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</si>
  <si>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</si>
  <si>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</si>
  <si>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</si>
  <si>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</si>
  <si>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</si>
  <si>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</si>
  <si>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</si>
  <si>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</si>
  <si>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</si>
  <si>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</si>
  <si>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</si>
  <si>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</si>
  <si>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</si>
  <si>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</si>
  <si>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</si>
  <si>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</si>
  <si>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</si>
  <si>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</si>
  <si>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</si>
  <si>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</si>
  <si>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</si>
  <si>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</si>
  <si>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</si>
  <si>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</si>
  <si>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</si>
  <si>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</si>
  <si>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</si>
  <si>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</si>
  <si>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</si>
  <si>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</si>
  <si>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</si>
  <si>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</si>
  <si>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</si>
  <si>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</si>
  <si>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</si>
  <si>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</si>
  <si>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</si>
  <si>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</si>
  <si>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</si>
  <si>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</si>
  <si>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</si>
  <si>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</si>
  <si>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</si>
  <si>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</si>
  <si>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</si>
  <si>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</si>
  <si>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</si>
  <si>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</si>
  <si>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</si>
  <si>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</si>
  <si>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</si>
  <si>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</si>
  <si>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</si>
  <si>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</si>
  <si>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</si>
  <si>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</si>
  <si>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</si>
  <si>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</si>
  <si>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</si>
  <si>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</si>
  <si>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</si>
  <si>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</si>
  <si>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</si>
  <si>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</si>
  <si>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</si>
  <si>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</si>
  <si>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</si>
  <si>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</si>
  <si>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</si>
  <si>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</si>
  <si>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</si>
  <si>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</si>
  <si>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</si>
  <si>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</si>
  <si>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</si>
  <si>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</si>
  <si>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</si>
  <si>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</si>
  <si>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</si>
  <si>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</si>
  <si>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</si>
  <si>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</si>
  <si>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</si>
  <si>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</si>
  <si>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</si>
  <si>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</si>
  <si>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</si>
  <si>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</si>
  <si>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</si>
  <si>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</si>
  <si>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</si>
  <si>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</si>
  <si>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</si>
  <si>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</si>
  <si>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</si>
  <si>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</si>
  <si>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</si>
  <si>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</si>
  <si>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</si>
  <si>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</si>
  <si>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</si>
  <si>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</si>
  <si>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</si>
  <si>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</si>
  <si>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</si>
  <si>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</si>
  <si>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</si>
  <si>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</si>
  <si>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</si>
  <si>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</si>
  <si>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</si>
  <si>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</si>
  <si>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</si>
  <si>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</si>
  <si>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</si>
  <si>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</si>
  <si>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</si>
  <si>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</si>
  <si>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</si>
  <si>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</si>
  <si>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</si>
  <si>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</si>
  <si>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</si>
  <si>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</si>
  <si>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</si>
  <si>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</si>
  <si>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</si>
  <si>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</si>
  <si>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</si>
  <si>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</si>
  <si>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</si>
  <si>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</si>
  <si>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</si>
  <si>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</si>
  <si>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</si>
  <si>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</si>
  <si>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</si>
  <si>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</si>
  <si>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</si>
  <si>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</si>
  <si>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</si>
  <si>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</si>
  <si>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</si>
  <si>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</si>
  <si>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</si>
  <si>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</si>
  <si>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</si>
  <si>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</si>
  <si>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</si>
  <si>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</si>
  <si>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</si>
  <si>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</si>
  <si>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</si>
  <si>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</si>
  <si>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</si>
  <si>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</si>
  <si>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</si>
  <si>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</si>
  <si>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</si>
  <si>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</si>
  <si>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</si>
  <si>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</si>
  <si>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</si>
  <si>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</si>
  <si>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</si>
  <si>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</si>
  <si>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</si>
  <si>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</si>
  <si>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</si>
  <si>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</si>
  <si>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</si>
  <si>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</si>
  <si>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</si>
  <si>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</si>
  <si>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</si>
  <si>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</si>
  <si>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</si>
  <si>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</si>
  <si>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</si>
  <si>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</si>
  <si>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</si>
  <si>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</si>
  <si>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</si>
  <si>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</si>
  <si>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</si>
  <si>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</si>
  <si>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</si>
  <si>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</si>
  <si>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</si>
  <si>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</si>
  <si>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</si>
  <si>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</si>
  <si>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</si>
  <si>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</si>
  <si>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</si>
  <si>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</si>
  <si>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</si>
  <si>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</si>
  <si>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</si>
  <si>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</si>
  <si>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</si>
  <si>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</si>
  <si>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</si>
  <si>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</si>
  <si>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</si>
  <si>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</si>
  <si>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</si>
  <si>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</si>
  <si>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</si>
  <si>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</si>
  <si>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</si>
  <si>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</si>
  <si>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</si>
  <si>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</si>
  <si>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</si>
  <si>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</si>
  <si>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</si>
  <si>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</si>
  <si>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</si>
  <si>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</si>
  <si>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</si>
  <si>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</si>
  <si>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</si>
  <si>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</si>
  <si>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</si>
  <si>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</si>
  <si>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</si>
  <si>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</si>
  <si>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</si>
  <si>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</si>
  <si>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</si>
  <si>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</si>
  <si>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</si>
  <si>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</si>
  <si>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</si>
  <si>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</si>
  <si>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</si>
  <si>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</si>
  <si>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</si>
  <si>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</si>
  <si>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</si>
  <si>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</si>
  <si>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</si>
  <si>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</si>
  <si>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</si>
  <si>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</si>
  <si>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</si>
  <si>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</si>
  <si>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</si>
  <si>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</si>
  <si>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</si>
  <si>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</si>
  <si>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</si>
  <si>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</si>
  <si>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</si>
  <si>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</si>
  <si>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</si>
  <si>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</si>
  <si>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</si>
  <si>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</si>
  <si>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</si>
  <si>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</si>
  <si>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</si>
  <si>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</si>
  <si>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</si>
  <si>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</si>
  <si>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</si>
  <si>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</si>
  <si>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</si>
  <si>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</si>
  <si>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</si>
  <si>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</si>
  <si>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</si>
  <si>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</si>
  <si>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</si>
  <si>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</si>
  <si>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</si>
  <si>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</si>
  <si>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</si>
  <si>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</si>
  <si>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</si>
  <si>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</si>
  <si>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</si>
  <si>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</si>
  <si>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</si>
  <si>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</si>
  <si>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</si>
  <si>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</si>
  <si>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</si>
  <si>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</si>
  <si>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</si>
  <si>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</si>
  <si>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</si>
  <si>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</si>
  <si>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</si>
  <si>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</si>
  <si>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</si>
  <si>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</si>
  <si>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</si>
  <si>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</si>
  <si>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</si>
  <si>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</si>
  <si>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</si>
  <si>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</si>
  <si>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</si>
  <si>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</si>
  <si>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</si>
  <si>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</si>
  <si>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</si>
  <si>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</si>
  <si>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</si>
  <si>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</si>
  <si>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</si>
  <si>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</si>
  <si>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</si>
  <si>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</si>
  <si>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</si>
  <si>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</si>
  <si>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</si>
  <si>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</si>
  <si>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</si>
  <si>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</si>
  <si>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</si>
  <si>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</si>
  <si>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</si>
  <si>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</si>
  <si>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</si>
  <si>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</si>
  <si>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</si>
  <si>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</si>
  <si>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</si>
  <si>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</si>
  <si>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</si>
  <si>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</si>
  <si>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</si>
  <si>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</si>
  <si>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</si>
  <si>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</si>
  <si>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</si>
  <si>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</si>
  <si>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</si>
  <si>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</si>
  <si>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</si>
  <si>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</si>
  <si>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</si>
  <si>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</si>
  <si>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</si>
  <si>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</si>
  <si>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</si>
  <si>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</si>
  <si>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</si>
  <si>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</si>
  <si>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</si>
  <si>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</si>
  <si>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</si>
  <si>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</si>
  <si>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</si>
  <si>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</si>
  <si>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</si>
  <si>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</si>
  <si>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</si>
  <si>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</si>
  <si>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</si>
  <si>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</si>
  <si>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</si>
  <si>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</si>
  <si>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</si>
  <si>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</si>
  <si>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</si>
  <si>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</si>
  <si>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</si>
  <si>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</si>
  <si>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</si>
  <si>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</si>
  <si>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</si>
  <si>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</si>
  <si>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</si>
  <si>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</si>
  <si>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</si>
  <si>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</si>
  <si>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</si>
  <si>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</si>
  <si>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</si>
  <si>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</si>
  <si>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</si>
  <si>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</si>
  <si>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</si>
  <si>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</si>
  <si>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</si>
  <si>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</si>
  <si>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</si>
  <si>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</si>
  <si>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</si>
  <si>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</si>
  <si>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</si>
  <si>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</si>
  <si>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</si>
  <si>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</si>
  <si>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</si>
  <si>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</si>
  <si>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</si>
  <si>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</si>
  <si>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</si>
  <si>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</si>
  <si>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</si>
  <si>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</si>
  <si>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</si>
  <si>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</si>
  <si>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</si>
  <si>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</si>
  <si>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</si>
  <si>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</si>
  <si>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</si>
  <si>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</si>
  <si>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</si>
  <si>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</si>
  <si>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</si>
  <si>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</si>
  <si>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</si>
  <si>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</si>
  <si>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</si>
  <si>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</si>
  <si>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</si>
  <si>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</si>
  <si>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</si>
  <si>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</si>
  <si>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</si>
  <si>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</si>
  <si>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</si>
  <si>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</si>
  <si>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</si>
  <si>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</si>
  <si>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</si>
  <si>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</si>
  <si>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</si>
  <si>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</si>
  <si>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</si>
  <si>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</si>
  <si>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</si>
  <si>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</si>
  <si>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</si>
  <si>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</si>
  <si>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</si>
  <si>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</si>
  <si>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</si>
  <si>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</si>
  <si>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</si>
  <si>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</si>
  <si>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</si>
  <si>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</si>
  <si>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</si>
  <si>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</si>
  <si>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</si>
  <si>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</si>
  <si>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</si>
  <si>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</si>
  <si>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</si>
  <si>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</si>
  <si>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</si>
  <si>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</si>
  <si>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</si>
  <si>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</si>
  <si>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</si>
  <si>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</si>
  <si>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</si>
  <si>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</si>
  <si>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</si>
  <si>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</si>
  <si>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</si>
  <si>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</si>
  <si>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</si>
  <si>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</si>
  <si>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</si>
  <si>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</si>
  <si>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</si>
  <si>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</si>
  <si>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</si>
  <si>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</si>
  <si>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</si>
  <si>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</si>
  <si>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</si>
  <si>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</si>
  <si>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</si>
  <si>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</si>
  <si>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</si>
  <si>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</si>
  <si>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</si>
  <si>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</si>
  <si>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</si>
  <si>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</si>
  <si>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</si>
  <si>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</si>
  <si>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</si>
  <si>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</si>
  <si>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</si>
  <si>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</si>
  <si>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</si>
  <si>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</si>
  <si>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</si>
  <si>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</si>
  <si>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</si>
  <si>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</si>
  <si>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</si>
  <si>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</si>
  <si>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</si>
  <si>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</si>
  <si>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</si>
  <si>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</si>
  <si>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</si>
  <si>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</si>
  <si>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</si>
  <si>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</si>
  <si>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</si>
  <si>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</si>
  <si>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</si>
  <si>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</si>
  <si>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</si>
  <si>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</si>
  <si>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</si>
  <si>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</si>
  <si>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</si>
  <si>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</si>
  <si>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</si>
  <si>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</si>
  <si>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</si>
  <si>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</si>
  <si>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</si>
  <si>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</si>
  <si>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</si>
  <si>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</si>
  <si>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</si>
  <si>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</si>
  <si>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</si>
  <si>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</si>
  <si>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</si>
  <si>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</si>
  <si>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</si>
  <si>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</si>
  <si>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</si>
  <si>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</si>
  <si>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</si>
  <si>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</si>
  <si>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</si>
  <si>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</si>
  <si>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</si>
  <si>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</si>
  <si>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</si>
  <si>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</si>
  <si>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</si>
  <si>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</si>
  <si>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</si>
  <si>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</si>
  <si>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</si>
  <si>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</si>
  <si>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</si>
  <si>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</si>
  <si>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</si>
  <si>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</si>
  <si>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</si>
  <si>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</si>
  <si>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</si>
  <si>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</si>
  <si>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</si>
  <si>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</si>
  <si>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</si>
  <si>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</si>
  <si>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</si>
  <si>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</si>
  <si>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</si>
  <si>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</si>
  <si>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</si>
  <si>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</si>
  <si>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</si>
  <si>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</si>
  <si>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</si>
  <si>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</si>
  <si>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</si>
  <si>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</si>
  <si>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</si>
  <si>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</si>
  <si>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</si>
  <si>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</si>
  <si>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</si>
  <si>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</si>
  <si>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</si>
  <si>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</si>
  <si>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</si>
  <si>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</si>
  <si>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</si>
  <si>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</si>
  <si>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</si>
  <si>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</si>
  <si>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</si>
  <si>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</si>
  <si>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</si>
  <si>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</si>
  <si>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</si>
  <si>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</si>
  <si>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</si>
  <si>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</si>
  <si>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</si>
  <si>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</si>
  <si>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</si>
  <si>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</si>
  <si>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</si>
  <si>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</si>
  <si>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</si>
  <si>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</si>
  <si>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</si>
  <si>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</si>
  <si>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</si>
  <si>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</si>
  <si>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</si>
  <si>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</si>
  <si>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</si>
  <si>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</si>
  <si>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</si>
  <si>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</si>
  <si>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</si>
  <si>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</si>
  <si>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</si>
  <si>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</si>
  <si>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</si>
  <si>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</si>
  <si>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</si>
  <si>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</si>
  <si>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</si>
  <si>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</si>
  <si>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</si>
  <si>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</si>
  <si>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</si>
  <si>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</si>
  <si>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</si>
  <si>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</si>
  <si>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</si>
  <si>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</si>
  <si>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</si>
  <si>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</si>
  <si>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</si>
  <si>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</si>
  <si>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</si>
  <si>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</si>
  <si>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</si>
  <si>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</si>
  <si>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</si>
  <si>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</si>
  <si>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</si>
  <si>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</si>
  <si>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</si>
  <si>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</si>
  <si>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</si>
  <si>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</si>
  <si>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</si>
  <si>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</si>
  <si>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</si>
  <si>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</si>
  <si>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</si>
  <si>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</si>
  <si>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</si>
  <si>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</si>
  <si>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</si>
  <si>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</si>
  <si>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</si>
  <si>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</si>
  <si>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</si>
  <si>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</si>
  <si>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</si>
  <si>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</si>
  <si>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</si>
  <si>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</si>
  <si>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</si>
  <si>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</si>
  <si>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</si>
  <si>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</si>
  <si>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</si>
  <si>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</si>
  <si>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</si>
  <si>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</si>
  <si>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</si>
  <si>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</si>
  <si>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</si>
  <si>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</si>
  <si>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</si>
  <si>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</si>
  <si>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</si>
  <si>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</si>
  <si>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</si>
  <si>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</si>
  <si>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</si>
  <si>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</si>
  <si>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</si>
  <si>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</si>
  <si>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</si>
  <si>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</si>
  <si>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</si>
  <si>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</si>
  <si>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</si>
  <si>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</si>
  <si>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</si>
  <si>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</si>
  <si>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</si>
  <si>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</si>
  <si>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</si>
  <si>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</si>
  <si>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</si>
  <si>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</si>
  <si>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</si>
  <si>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</si>
  <si>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</si>
  <si>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</si>
  <si>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</si>
  <si>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</si>
  <si>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</si>
  <si>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</si>
  <si>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</si>
  <si>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</si>
  <si>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</si>
  <si>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</si>
  <si>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</si>
  <si>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</si>
  <si>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</si>
  <si>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</si>
  <si>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</si>
  <si>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</si>
  <si>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</si>
  <si>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</si>
  <si>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</si>
  <si>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</si>
  <si>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</si>
  <si>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</si>
  <si>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</si>
  <si>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</si>
  <si>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</si>
  <si>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</si>
  <si>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</si>
  <si>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</si>
  <si>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</si>
  <si>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</si>
  <si>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</si>
  <si>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</si>
  <si>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</si>
  <si>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</si>
  <si>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</si>
  <si>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</si>
  <si>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</si>
  <si>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</si>
  <si>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</si>
  <si>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</si>
  <si>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</si>
  <si>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</si>
  <si>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</si>
  <si>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</si>
  <si>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</si>
  <si>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</si>
  <si>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</si>
  <si>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</si>
  <si>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</si>
  <si>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</si>
  <si>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</si>
  <si>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</si>
  <si>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</si>
  <si>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</si>
  <si>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</si>
  <si>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</si>
  <si>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</si>
  <si>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</si>
  <si>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</si>
  <si>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</si>
  <si>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</si>
  <si>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</si>
  <si>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</si>
  <si>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</si>
  <si>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</si>
  <si>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</si>
  <si>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</si>
  <si>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</si>
  <si>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</si>
  <si>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</si>
  <si>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</si>
  <si>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</si>
  <si>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</si>
  <si>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</si>
  <si>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</si>
  <si>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</si>
  <si>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</si>
  <si>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</si>
  <si>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</si>
  <si>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</si>
  <si>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</si>
  <si>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</si>
  <si>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</si>
  <si>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</si>
  <si>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</si>
  <si>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</si>
  <si>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</si>
  <si>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</si>
  <si>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</si>
  <si>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</si>
  <si>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</si>
  <si>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</si>
  <si>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</si>
  <si>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</si>
  <si>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</si>
  <si>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</si>
  <si>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</si>
  <si>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</si>
  <si>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</si>
  <si>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</si>
  <si>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</si>
  <si>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</si>
  <si>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</si>
  <si>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</si>
  <si>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</si>
  <si>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</si>
  <si>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</si>
  <si>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</si>
  <si>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</si>
  <si>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</si>
  <si>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</si>
  <si>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</si>
  <si>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</si>
  <si>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</si>
  <si>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</si>
  <si>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</si>
  <si>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</si>
  <si>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</si>
  <si>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</si>
  <si>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</si>
  <si>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</si>
  <si>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</si>
  <si>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</si>
  <si>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</si>
  <si>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</si>
  <si>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</si>
  <si>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</si>
  <si>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</si>
  <si>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</si>
  <si>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</si>
  <si>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</si>
  <si>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</si>
  <si>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</si>
  <si>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</si>
  <si>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</si>
  <si>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</si>
  <si>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</si>
  <si>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</si>
  <si>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</si>
  <si>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</si>
  <si>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</si>
  <si>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</si>
  <si>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</si>
  <si>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</si>
  <si>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</si>
  <si>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</si>
  <si>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</si>
  <si>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</si>
  <si>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</si>
  <si>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</si>
  <si>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</si>
  <si>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</si>
  <si>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</si>
  <si>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</si>
  <si>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</si>
  <si>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</si>
  <si>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</si>
  <si>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</si>
  <si>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</si>
  <si>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</si>
  <si>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</si>
  <si>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</si>
  <si>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</si>
  <si>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</si>
  <si>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</si>
  <si>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</si>
  <si>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</si>
  <si>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</si>
  <si>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</si>
  <si>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</si>
  <si>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</si>
  <si>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</si>
  <si>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</si>
  <si>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</si>
  <si>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</si>
  <si>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</si>
  <si>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</si>
  <si>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</si>
  <si>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</si>
  <si>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</si>
  <si>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</si>
  <si>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</si>
  <si>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</si>
  <si>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</si>
  <si>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</si>
  <si>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</si>
  <si>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</si>
  <si>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</si>
  <si>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</si>
  <si>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</si>
  <si>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</si>
  <si>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</si>
  <si>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</si>
  <si>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</si>
  <si>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</si>
  <si>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</si>
  <si>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</si>
  <si>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</si>
  <si>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</si>
  <si>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</si>
  <si>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</si>
  <si>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</si>
  <si>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</si>
  <si>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</si>
  <si>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</si>
  <si>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</si>
  <si>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</si>
  <si>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</si>
  <si>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</si>
  <si>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</si>
  <si>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</si>
  <si>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</si>
  <si>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</si>
  <si>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</si>
  <si>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</si>
  <si>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</si>
  <si>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</si>
  <si>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</si>
  <si>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</si>
  <si>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</si>
  <si>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</si>
  <si>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</si>
  <si>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</si>
  <si>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</si>
  <si>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</si>
  <si>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</si>
  <si>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</si>
  <si>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</si>
  <si>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</si>
  <si>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</si>
  <si>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</si>
  <si>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</si>
  <si>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</si>
  <si>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</si>
  <si>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</si>
  <si>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</si>
  <si>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</si>
  <si>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</si>
  <si>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</si>
  <si>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</si>
  <si>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</si>
  <si>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</si>
  <si>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</si>
  <si>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</si>
  <si>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</si>
  <si>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</si>
  <si>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</si>
  <si>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</si>
  <si>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</si>
  <si>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</si>
  <si>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</si>
  <si>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</si>
  <si>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</si>
  <si>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</si>
  <si>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</si>
  <si>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</si>
  <si>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</si>
  <si>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</si>
  <si>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</si>
  <si>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</si>
  <si>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</si>
  <si>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</si>
  <si>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</si>
  <si>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</si>
  <si>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</si>
  <si>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</si>
  <si>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</si>
  <si>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</si>
  <si>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</si>
  <si>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</si>
  <si>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</si>
  <si>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</si>
  <si>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</si>
  <si>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</si>
  <si>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</si>
  <si>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</si>
  <si>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</si>
  <si>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</si>
  <si>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</si>
  <si>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</si>
  <si>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</si>
  <si>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</si>
  <si>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</si>
  <si>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</si>
  <si>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</si>
  <si>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</si>
  <si>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</si>
  <si>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</si>
  <si>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</si>
  <si>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</si>
  <si>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</si>
  <si>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</si>
  <si>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</si>
  <si>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</si>
  <si>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</si>
  <si>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</si>
  <si>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</si>
  <si>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</si>
  <si>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</si>
  <si>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</si>
  <si>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</si>
  <si>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</si>
  <si>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</si>
  <si>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</si>
  <si>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</si>
  <si>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</si>
  <si>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</si>
  <si>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</si>
  <si>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</si>
  <si>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</si>
  <si>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</si>
  <si>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</si>
  <si>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</si>
  <si>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</si>
  <si>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</si>
  <si>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</si>
  <si>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</si>
  <si>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</si>
  <si>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</si>
  <si>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</si>
  <si>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</si>
  <si>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</si>
  <si>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</si>
  <si>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</si>
  <si>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</si>
  <si>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</si>
  <si>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</si>
  <si>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</si>
  <si>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</si>
  <si>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</si>
  <si>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</si>
  <si>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</si>
  <si>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</si>
  <si>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</si>
  <si>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</si>
  <si>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</si>
  <si>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</si>
  <si>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</si>
  <si>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</si>
  <si>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</si>
  <si>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</si>
  <si>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</si>
  <si>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</si>
  <si>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</si>
  <si>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</si>
  <si>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</si>
  <si>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</si>
  <si>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</si>
  <si>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</si>
  <si>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</si>
  <si>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</si>
  <si>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</si>
  <si>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</si>
  <si>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</si>
  <si>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</si>
  <si>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</si>
  <si>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</si>
  <si>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</si>
  <si>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</si>
  <si>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</si>
  <si>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</si>
  <si>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</si>
  <si>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</si>
  <si>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</si>
  <si>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</si>
  <si>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</si>
  <si>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</si>
  <si>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</si>
  <si>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</si>
  <si>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</si>
  <si>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</si>
  <si>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</si>
  <si>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</si>
  <si>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</si>
  <si>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</si>
  <si>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</si>
  <si>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</si>
  <si>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</si>
  <si>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</si>
  <si>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</si>
  <si>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</si>
  <si>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</si>
  <si>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</si>
  <si>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</si>
  <si>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</si>
  <si>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</si>
  <si>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</si>
  <si>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</si>
  <si>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</si>
  <si>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</si>
  <si>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</si>
  <si>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</si>
  <si>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</si>
  <si>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</si>
  <si>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</si>
  <si>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</si>
  <si>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</si>
  <si>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</si>
  <si>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</si>
  <si>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</si>
  <si>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</si>
  <si>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</si>
  <si>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</si>
  <si>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</si>
  <si>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</si>
  <si>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</si>
  <si>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</si>
  <si>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</si>
  <si>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</si>
  <si>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</si>
  <si>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</si>
  <si>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</si>
  <si>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</si>
  <si>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</si>
  <si>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</si>
  <si>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</si>
  <si>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</si>
  <si>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</si>
  <si>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</si>
  <si>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</si>
  <si>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</si>
  <si>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</si>
  <si>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</si>
  <si>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</si>
  <si>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</si>
  <si>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</si>
  <si>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</si>
  <si>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</si>
  <si>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</si>
  <si>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</si>
  <si>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</si>
  <si>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</si>
  <si>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</si>
  <si>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</si>
  <si>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</si>
  <si>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</si>
  <si>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</si>
  <si>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</si>
  <si>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</si>
  <si>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</si>
  <si>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</si>
  <si>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</si>
  <si>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</si>
  <si>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</si>
  <si>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</si>
  <si>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</si>
  <si>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</si>
  <si>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</si>
  <si>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</si>
  <si>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</si>
  <si>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</si>
  <si>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</si>
  <si>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</si>
  <si>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</si>
  <si>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</si>
  <si>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</si>
  <si>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</si>
  <si>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</si>
  <si>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</si>
  <si>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</si>
  <si>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</si>
  <si>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</si>
  <si>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</si>
  <si>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</si>
  <si>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</si>
  <si>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</si>
  <si>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</si>
  <si>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</si>
  <si>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</si>
  <si>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</si>
  <si>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</si>
  <si>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</si>
  <si>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</si>
  <si>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</si>
  <si>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</si>
  <si>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</si>
  <si>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</si>
  <si>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</si>
  <si>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</si>
  <si>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</si>
  <si>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</si>
  <si>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</si>
  <si>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</si>
  <si>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</si>
  <si>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</si>
  <si>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</si>
  <si>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</si>
  <si>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</si>
  <si>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</si>
  <si>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</si>
  <si>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</si>
  <si>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</si>
  <si>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</si>
  <si>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</si>
  <si>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</si>
  <si>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</si>
  <si>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</si>
  <si>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</si>
  <si>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</si>
  <si>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</si>
  <si>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</si>
  <si>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</si>
  <si>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</si>
  <si>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</si>
  <si>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</si>
  <si>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</si>
  <si>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</si>
  <si>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</si>
  <si>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</si>
  <si>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</si>
  <si>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</si>
  <si>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</si>
  <si>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</si>
  <si>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</si>
  <si>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</si>
  <si>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</si>
  <si>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</si>
  <si>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</si>
  <si>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</si>
  <si>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</si>
  <si>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</si>
  <si>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</si>
  <si>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</si>
  <si>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</si>
  <si>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</si>
  <si>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</si>
  <si>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</si>
  <si>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</si>
  <si>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</si>
  <si>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</si>
  <si>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</si>
  <si>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</si>
  <si>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</si>
  <si>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</si>
  <si>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</si>
  <si>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</si>
  <si>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</si>
  <si>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</si>
  <si>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</si>
  <si>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</si>
  <si>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</si>
  <si>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</si>
  <si>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</si>
  <si>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</si>
  <si>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</si>
  <si>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</si>
  <si>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</si>
  <si>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</si>
  <si>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</si>
  <si>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</si>
  <si>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</si>
  <si>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</si>
  <si>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</si>
  <si>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</si>
  <si>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</si>
  <si>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</si>
  <si>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</si>
  <si>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</si>
  <si>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</si>
  <si>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</si>
  <si>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</si>
  <si>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</si>
  <si>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</si>
  <si>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</si>
  <si>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</si>
  <si>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</si>
  <si>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</si>
  <si>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</si>
  <si>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</si>
  <si>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</si>
  <si>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</si>
  <si>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</si>
  <si>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</si>
  <si>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</si>
  <si>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</si>
  <si>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</si>
  <si>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</si>
  <si>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</si>
  <si>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</si>
  <si>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</si>
  <si>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</si>
  <si>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</si>
  <si>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</si>
  <si>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</si>
  <si>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</si>
  <si>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</si>
  <si>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</si>
  <si>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</si>
  <si>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</si>
  <si>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</si>
  <si>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</si>
  <si>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</si>
  <si>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</si>
  <si>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</si>
  <si>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</si>
  <si>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</si>
  <si>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</si>
  <si>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</si>
  <si>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</si>
  <si>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</si>
  <si>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</si>
  <si>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</si>
  <si>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</si>
  <si>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</si>
  <si>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</si>
  <si>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</si>
  <si>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</si>
  <si>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</si>
  <si>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</si>
  <si>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</si>
  <si>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</si>
  <si>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</si>
  <si>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</si>
  <si>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</si>
  <si>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</si>
  <si>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</si>
  <si>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</si>
  <si>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</si>
  <si>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</si>
  <si>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</si>
  <si>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</si>
  <si>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</si>
  <si>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</si>
  <si>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</si>
  <si>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</si>
  <si>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</si>
  <si>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</si>
  <si>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</si>
  <si>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</si>
  <si>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</si>
  <si>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</si>
  <si>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</si>
  <si>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</si>
  <si>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</si>
  <si>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</si>
  <si>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</si>
  <si>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</si>
  <si>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</si>
  <si>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</si>
  <si>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</si>
  <si>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</si>
  <si>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</si>
  <si>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</si>
  <si>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</si>
  <si>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</si>
  <si>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</si>
  <si>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</si>
  <si>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</si>
  <si>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</si>
  <si>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</si>
  <si>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</si>
  <si>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</si>
  <si>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</si>
  <si>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</si>
  <si>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</si>
  <si>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</si>
  <si>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</si>
  <si>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</si>
  <si>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</si>
  <si>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</si>
  <si>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</si>
  <si>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</si>
  <si>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</si>
  <si>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</si>
  <si>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</si>
  <si>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</si>
  <si>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</si>
  <si>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</si>
  <si>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</si>
  <si>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</si>
  <si>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</si>
  <si>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</si>
  <si>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</si>
  <si>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</si>
  <si>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</si>
  <si>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</si>
  <si>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</si>
  <si>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</si>
  <si>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</si>
  <si>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</si>
  <si>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</si>
  <si>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</si>
  <si>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</si>
  <si>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</si>
  <si>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</si>
  <si>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</si>
  <si>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</si>
  <si>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</si>
  <si>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</si>
  <si>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</si>
  <si>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</si>
  <si>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</si>
  <si>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</si>
  <si>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</si>
  <si>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</si>
  <si>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</si>
  <si>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</si>
  <si>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</si>
  <si>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</si>
  <si>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</si>
  <si>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</si>
  <si>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</si>
  <si>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</si>
  <si>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</si>
  <si>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</si>
  <si>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</si>
  <si>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</si>
  <si>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</si>
  <si>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</si>
  <si>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</si>
  <si>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</si>
  <si>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</si>
  <si>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</si>
  <si>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</si>
  <si>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</si>
  <si>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</si>
  <si>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</si>
  <si>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</si>
  <si>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</si>
  <si>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</si>
  <si>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</si>
  <si>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</si>
  <si>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</si>
  <si>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</si>
  <si>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</si>
  <si>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</si>
  <si>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</si>
  <si>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</si>
  <si>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</si>
  <si>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</si>
  <si>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</si>
  <si>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</si>
  <si>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</si>
  <si>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</si>
  <si>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</si>
  <si>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</si>
  <si>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</si>
  <si>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</si>
  <si>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</si>
  <si>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</si>
  <si>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</si>
  <si>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</si>
  <si>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</si>
  <si>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</si>
  <si>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</si>
  <si>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</si>
  <si>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</si>
  <si>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</si>
  <si>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</si>
  <si>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</si>
  <si>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</si>
  <si>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</si>
  <si>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</si>
  <si>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</si>
  <si>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</si>
  <si>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</si>
  <si>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</si>
  <si>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</si>
  <si>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</si>
  <si>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</si>
  <si>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</si>
  <si>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</si>
  <si>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</si>
  <si>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</si>
  <si>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</si>
  <si>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</si>
  <si>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</si>
  <si>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</si>
  <si>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</si>
  <si>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</si>
  <si>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</si>
  <si>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</si>
  <si>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</si>
  <si>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</si>
  <si>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</si>
  <si>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</si>
  <si>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</si>
  <si>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</si>
  <si>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</si>
  <si>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</si>
  <si>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</si>
  <si>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</si>
  <si>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</si>
  <si>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</si>
  <si>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</si>
  <si>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</si>
  <si>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</si>
  <si>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</si>
  <si>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</si>
  <si>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</si>
  <si>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</si>
  <si>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</si>
  <si>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</si>
  <si>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</si>
  <si>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</si>
  <si>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</si>
  <si>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</si>
  <si>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</si>
  <si>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</si>
  <si>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</si>
  <si>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</si>
  <si>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</si>
  <si>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</si>
  <si>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</si>
  <si>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</si>
  <si>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</si>
  <si>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</si>
  <si>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</si>
  <si>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</si>
  <si>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</si>
  <si>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</si>
  <si>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</si>
  <si>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</si>
  <si>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</si>
  <si>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</si>
  <si>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</si>
  <si>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</si>
  <si>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</si>
  <si>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</si>
  <si>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</si>
  <si>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</si>
  <si>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</si>
  <si>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</si>
  <si>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</si>
  <si>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</si>
  <si>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</si>
  <si>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</si>
  <si>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</si>
  <si>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</si>
  <si>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</si>
  <si>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</si>
  <si>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</si>
  <si>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</si>
  <si>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</si>
  <si>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</si>
  <si>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</si>
  <si>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</si>
  <si>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</si>
  <si>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</si>
  <si>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</si>
  <si>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</si>
  <si>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</si>
  <si>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</si>
  <si>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</si>
  <si>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</si>
  <si>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</si>
  <si>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</si>
  <si>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</si>
  <si>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</si>
  <si>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</si>
  <si>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</si>
  <si>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</si>
  <si>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</si>
  <si>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</si>
  <si>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</si>
  <si>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</si>
  <si>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</si>
  <si>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</si>
  <si>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</si>
  <si>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</si>
  <si>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</si>
  <si>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</si>
  <si>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</si>
  <si>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</si>
  <si>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</si>
  <si>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</si>
  <si>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</si>
  <si>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</si>
  <si>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</si>
  <si>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</si>
  <si>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</si>
  <si>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</si>
  <si>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</si>
  <si>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</si>
  <si>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</si>
  <si>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</si>
  <si>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</si>
  <si>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</si>
  <si>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</si>
  <si>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</si>
  <si>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</si>
  <si>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</si>
  <si>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</si>
  <si>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</si>
  <si>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</si>
  <si>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</si>
  <si>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</si>
  <si>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</si>
  <si>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</si>
  <si>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</si>
  <si>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</si>
  <si>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</si>
  <si>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</si>
  <si>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</si>
  <si>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</si>
  <si>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</si>
  <si>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</si>
  <si>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</si>
  <si>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</si>
  <si>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</si>
  <si>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</si>
  <si>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</si>
  <si>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</si>
  <si>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</si>
  <si>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</si>
  <si>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</si>
  <si>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</si>
  <si>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</si>
  <si>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</si>
  <si>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</si>
  <si>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</si>
  <si>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</si>
  <si>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</si>
  <si>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</si>
  <si>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</si>
  <si>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</si>
  <si>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</si>
  <si>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</si>
  <si>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</si>
  <si>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</si>
  <si>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</si>
  <si>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</si>
  <si>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</si>
  <si>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</si>
  <si>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</si>
  <si>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</si>
  <si>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</si>
  <si>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</si>
  <si>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</si>
  <si>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</si>
  <si>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</si>
  <si>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</si>
  <si>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</si>
  <si>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</si>
  <si>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</si>
  <si>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</si>
  <si>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</si>
  <si>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</si>
  <si>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</si>
  <si>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</si>
  <si>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</si>
  <si>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</si>
  <si>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</si>
  <si>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</si>
  <si>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</si>
  <si>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</si>
  <si>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</si>
  <si>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</si>
  <si>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</si>
  <si>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</si>
  <si>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</si>
  <si>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</si>
  <si>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</si>
  <si>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</si>
  <si>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</si>
  <si>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</si>
  <si>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</si>
  <si>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</si>
  <si>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</si>
  <si>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</si>
  <si>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</si>
  <si>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</si>
  <si>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</si>
  <si>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</si>
  <si>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</si>
  <si>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</si>
  <si>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</si>
  <si>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</si>
  <si>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</si>
  <si>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</si>
  <si>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</si>
  <si>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</si>
  <si>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</si>
  <si>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</si>
  <si>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</si>
  <si>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</si>
  <si>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</si>
  <si>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</si>
  <si>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</si>
  <si>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</si>
  <si>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</si>
  <si>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</si>
  <si>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</si>
  <si>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</si>
  <si>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</si>
  <si>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</si>
  <si>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</si>
  <si>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</si>
  <si>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</si>
  <si>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</si>
  <si>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</si>
  <si>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</si>
  <si>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</si>
  <si>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</si>
  <si>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</si>
  <si>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</si>
  <si>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</si>
  <si>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</si>
  <si>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</si>
  <si>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</si>
  <si>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</si>
  <si>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</si>
  <si>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</si>
  <si>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</si>
  <si>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</si>
  <si>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</si>
  <si>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</si>
  <si>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</si>
  <si>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</si>
  <si>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</si>
  <si>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</si>
  <si>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</si>
  <si>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</si>
  <si>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</si>
  <si>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</si>
  <si>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</si>
  <si>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</si>
  <si>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</si>
  <si>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</si>
  <si>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</si>
  <si>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</si>
  <si>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</si>
  <si>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</si>
  <si>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</si>
  <si>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</si>
  <si>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</si>
  <si>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</si>
  <si>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</si>
  <si>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</si>
  <si>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</si>
  <si>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</si>
  <si>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</si>
  <si>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</si>
  <si>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</si>
  <si>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</si>
  <si>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</si>
  <si>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</si>
  <si>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</si>
  <si>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</si>
  <si>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</si>
  <si>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</si>
  <si>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</si>
  <si>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</si>
  <si>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</si>
  <si>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</si>
  <si>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</si>
  <si>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</si>
  <si>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</si>
  <si>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</si>
  <si>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</si>
  <si>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</si>
  <si>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</si>
  <si>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</si>
  <si>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</si>
  <si>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</si>
  <si>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</si>
  <si>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</si>
  <si>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</si>
  <si>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</si>
  <si>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</si>
  <si>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</si>
  <si>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</si>
  <si>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</si>
  <si>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</si>
  <si>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</si>
  <si>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</si>
  <si>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</si>
  <si>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</si>
  <si>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</si>
  <si>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</si>
  <si>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</si>
  <si>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</si>
  <si>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</si>
  <si>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</si>
  <si>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</si>
  <si>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</si>
  <si>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</si>
  <si>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</si>
  <si>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</si>
  <si>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</si>
  <si>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</si>
  <si>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</si>
  <si>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</si>
  <si>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</si>
  <si>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</si>
  <si>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</si>
  <si>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</si>
  <si>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</si>
  <si>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</si>
  <si>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</si>
  <si>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</si>
  <si>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</si>
  <si>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</si>
  <si>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</si>
  <si>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</si>
  <si>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</si>
  <si>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</si>
  <si>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</si>
  <si>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</si>
  <si>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</si>
  <si>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</si>
  <si>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</si>
  <si>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</si>
  <si>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</si>
  <si>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</si>
  <si>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</si>
  <si>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</si>
  <si>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</si>
  <si>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</si>
  <si>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</si>
  <si>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</si>
  <si>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</si>
  <si>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</si>
  <si>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</si>
  <si>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</si>
  <si>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</si>
  <si>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</si>
  <si>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</si>
  <si>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</si>
  <si>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</si>
  <si>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</si>
  <si>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</si>
  <si>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</si>
  <si>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</si>
  <si>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</si>
  <si>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</si>
  <si>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</si>
  <si>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</si>
  <si>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</si>
  <si>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</si>
  <si>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</si>
  <si>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</si>
  <si>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</si>
  <si>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</si>
  <si>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</si>
  <si>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</si>
  <si>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</si>
  <si>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</si>
  <si>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</si>
  <si>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</si>
  <si>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</si>
  <si>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</si>
  <si>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</si>
  <si>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</si>
  <si>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</si>
  <si>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</si>
  <si>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</si>
  <si>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</si>
  <si>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</si>
  <si>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</si>
  <si>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</si>
  <si>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</si>
  <si>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</si>
  <si>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</si>
  <si>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</si>
  <si>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</si>
  <si>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</si>
  <si>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</si>
  <si>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</si>
  <si>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</si>
  <si>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</si>
  <si>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</si>
  <si>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</si>
  <si>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</si>
  <si>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</si>
  <si>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</si>
  <si>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</si>
  <si>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</si>
  <si>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</si>
  <si>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</si>
  <si>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</si>
  <si>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</si>
  <si>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</si>
  <si>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</si>
  <si>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</si>
  <si>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</si>
  <si>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</si>
  <si>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</si>
  <si>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</si>
  <si>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</si>
  <si>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</si>
  <si>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</si>
  <si>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</si>
  <si>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</si>
  <si>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</si>
  <si>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</si>
  <si>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</si>
  <si>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</si>
  <si>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</si>
  <si>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</si>
  <si>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</si>
  <si>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</si>
  <si>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</si>
  <si>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</si>
  <si>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</si>
  <si>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</si>
  <si>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</si>
  <si>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</si>
  <si>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</si>
  <si>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</si>
  <si>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</si>
  <si>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</si>
  <si>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</si>
  <si>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</si>
  <si>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</si>
  <si>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</si>
  <si>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</si>
  <si>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</si>
  <si>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</si>
  <si>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</si>
  <si>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</si>
  <si>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</si>
  <si>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</si>
  <si>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</si>
  <si>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</si>
  <si>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</si>
  <si>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</si>
  <si>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</si>
  <si>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</si>
  <si>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</si>
  <si>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</si>
  <si>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</si>
  <si>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</si>
  <si>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</si>
  <si>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</si>
  <si>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</si>
  <si>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</si>
  <si>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</si>
  <si>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</si>
  <si>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</si>
  <si>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</si>
  <si>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</si>
  <si>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</si>
  <si>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</si>
  <si>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</si>
  <si>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</si>
  <si>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</si>
  <si>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</si>
  <si>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</si>
  <si>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</si>
  <si>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</si>
  <si>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</si>
  <si>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</si>
  <si>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</si>
  <si>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</si>
  <si>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</si>
  <si>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</si>
  <si>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</si>
  <si>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</si>
  <si>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</si>
  <si>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</si>
  <si>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</si>
  <si>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</si>
  <si>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</si>
  <si>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</si>
  <si>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</si>
  <si>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</si>
  <si>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</si>
  <si>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</si>
  <si>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</si>
  <si>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</si>
  <si>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</si>
  <si>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</si>
  <si>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</si>
  <si>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</si>
  <si>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</si>
  <si>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</si>
  <si>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</si>
  <si>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</si>
  <si>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</si>
  <si>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</si>
  <si>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</si>
  <si>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</si>
  <si>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</si>
  <si>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</si>
  <si>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</si>
  <si>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</si>
  <si>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</si>
  <si>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</si>
  <si>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</si>
  <si>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</si>
  <si>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</si>
  <si>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</si>
  <si>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</si>
  <si>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</si>
  <si>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</si>
  <si>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</si>
  <si>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</si>
  <si>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</si>
  <si>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</si>
  <si>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</si>
  <si>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</si>
  <si>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</si>
  <si>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</si>
  <si>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</si>
  <si>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</si>
  <si>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</si>
  <si>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</si>
  <si>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</si>
  <si>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</si>
  <si>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</si>
  <si>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</si>
  <si>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</si>
  <si>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</si>
  <si>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</si>
  <si>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</si>
  <si>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</si>
  <si>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</si>
  <si>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</si>
  <si>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</si>
  <si>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</si>
  <si>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</si>
  <si>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</si>
  <si>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</si>
  <si>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</si>
  <si>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</si>
  <si>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</si>
  <si>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</si>
  <si>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</si>
  <si>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</si>
  <si>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</si>
  <si>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</si>
  <si>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</si>
  <si>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</si>
  <si>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</si>
  <si>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</si>
  <si>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</si>
  <si>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</si>
  <si>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</si>
  <si>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</si>
  <si>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</si>
  <si>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</si>
  <si>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</si>
  <si>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</si>
  <si>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</si>
  <si>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</si>
  <si>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</si>
  <si>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</si>
  <si>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</si>
  <si>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</si>
  <si>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</si>
  <si>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</si>
  <si>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</si>
  <si>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</si>
  <si>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</si>
  <si>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</si>
  <si>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</si>
  <si>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</si>
  <si>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</si>
  <si>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</si>
  <si>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</si>
  <si>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</si>
  <si>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</si>
  <si>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</si>
  <si>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</si>
  <si>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</si>
  <si>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</si>
  <si>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</si>
  <si>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</si>
  <si>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</si>
  <si>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</si>
  <si>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</si>
  <si>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</si>
  <si>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</si>
  <si>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</si>
  <si>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</si>
  <si>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</si>
  <si>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</si>
  <si>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</si>
  <si>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</si>
  <si>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</si>
  <si>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</si>
  <si>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</si>
  <si>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</si>
  <si>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</si>
  <si>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</si>
  <si>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</si>
  <si>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</si>
  <si>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</si>
  <si>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</si>
  <si>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</si>
  <si>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</si>
  <si>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</si>
  <si>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</si>
  <si>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</si>
  <si>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</si>
  <si>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</si>
  <si>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</si>
  <si>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</si>
  <si>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</si>
  <si>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</si>
  <si>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</si>
  <si>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</si>
  <si>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</si>
  <si>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</si>
  <si>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</si>
  <si>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</si>
  <si>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</si>
  <si>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</si>
  <si>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</si>
  <si>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</si>
  <si>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</si>
  <si>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</si>
  <si>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</si>
  <si>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</si>
  <si>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</si>
  <si>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</si>
  <si>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</si>
  <si>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</si>
  <si>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</si>
  <si>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</si>
  <si>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</si>
  <si>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</si>
  <si>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</si>
  <si>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</si>
  <si>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</si>
  <si>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</si>
  <si>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</si>
  <si>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</si>
  <si>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</si>
  <si>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</si>
  <si>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</si>
  <si>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</si>
  <si>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</si>
  <si>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</si>
  <si>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</si>
  <si>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</si>
  <si>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</si>
  <si>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</si>
  <si>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</si>
  <si>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</si>
  <si>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</si>
  <si>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</si>
  <si>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</si>
  <si>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</si>
  <si>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</si>
  <si>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</si>
  <si>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</si>
  <si>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</si>
  <si>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</si>
  <si>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</si>
  <si>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</si>
  <si>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</si>
  <si>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</si>
  <si>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</si>
  <si>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</si>
  <si>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</si>
  <si>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</si>
  <si>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</si>
  <si>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</si>
  <si>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</si>
  <si>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</si>
  <si>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</si>
  <si>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</si>
  <si>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</si>
  <si>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</si>
  <si>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</si>
  <si>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</si>
  <si>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</si>
  <si>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</si>
  <si>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</si>
  <si>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</si>
  <si>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</si>
  <si>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</si>
  <si>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</si>
  <si>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</si>
  <si>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</si>
  <si>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</si>
  <si>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</si>
  <si>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</si>
  <si>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</si>
  <si>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</si>
  <si>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</si>
  <si>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</si>
  <si>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</si>
  <si>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</si>
  <si>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</si>
  <si>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</si>
  <si>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</si>
  <si>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</si>
  <si>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</si>
  <si>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</si>
  <si>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</si>
  <si>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</si>
  <si>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</si>
  <si>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</si>
  <si>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</si>
  <si>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</si>
  <si>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</si>
  <si>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</si>
  <si>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</si>
  <si>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</si>
  <si>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</si>
  <si>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</si>
  <si>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</si>
  <si>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</si>
  <si>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</si>
  <si>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</si>
  <si>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</si>
  <si>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</si>
  <si>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</si>
  <si>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</si>
  <si>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</si>
  <si>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</si>
  <si>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</si>
  <si>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</si>
  <si>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</si>
  <si>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</si>
  <si>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</si>
  <si>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</si>
  <si>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</si>
  <si>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</si>
  <si>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</si>
  <si>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</si>
  <si>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</si>
  <si>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</si>
  <si>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</si>
  <si>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</si>
  <si>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</si>
  <si>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</si>
  <si>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</si>
  <si>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</si>
  <si>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</si>
  <si>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</si>
  <si>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</si>
  <si>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</si>
  <si>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</si>
  <si>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</si>
  <si>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</si>
  <si>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</si>
  <si>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</si>
  <si>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</si>
  <si>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</si>
  <si>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</si>
  <si>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</si>
  <si>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</si>
  <si>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</si>
  <si>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</si>
  <si>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</si>
  <si>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</si>
  <si>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</si>
  <si>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</si>
  <si>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</si>
  <si>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</si>
  <si>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</si>
  <si>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</si>
  <si>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</si>
  <si>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</si>
  <si>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</si>
  <si>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</si>
  <si>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</si>
  <si>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</si>
  <si>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</si>
  <si>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</si>
  <si>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</si>
  <si>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</si>
  <si>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</si>
  <si>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</si>
  <si>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</si>
  <si>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</si>
  <si>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</si>
  <si>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</si>
  <si>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</si>
  <si>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</si>
  <si>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</si>
  <si>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</si>
  <si>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</si>
  <si>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</si>
  <si>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</si>
  <si>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</si>
  <si>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</si>
  <si>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</si>
  <si>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</si>
  <si>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</si>
  <si>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</si>
  <si>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</si>
  <si>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</si>
  <si>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</si>
  <si>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</si>
  <si>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</si>
  <si>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</si>
  <si>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</si>
  <si>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</si>
  <si>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</si>
  <si>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</si>
  <si>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</si>
  <si>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</si>
  <si>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</si>
  <si>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</si>
  <si>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</si>
  <si>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</si>
  <si>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</si>
  <si>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</si>
  <si>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</si>
  <si>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</si>
  <si>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</si>
  <si>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</si>
  <si>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</si>
  <si>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</si>
  <si>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</si>
  <si>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</si>
  <si>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</si>
  <si>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</si>
  <si>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</si>
  <si>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</si>
  <si>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</si>
  <si>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</si>
  <si>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</si>
  <si>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</si>
  <si>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</si>
  <si>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</si>
  <si>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</si>
  <si>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</si>
  <si>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</si>
  <si>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</si>
  <si>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</si>
  <si>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</si>
  <si>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</si>
  <si>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</si>
  <si>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</si>
  <si>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</si>
  <si>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</si>
  <si>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</si>
  <si>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</si>
  <si>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</si>
  <si>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</si>
  <si>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</si>
  <si>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</si>
  <si>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</si>
  <si>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</si>
  <si>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</si>
  <si>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</si>
  <si>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</si>
  <si>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</si>
  <si>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</si>
  <si>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</si>
  <si>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</si>
  <si>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</si>
  <si>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</si>
  <si>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</si>
  <si>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</si>
  <si>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</si>
  <si>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</si>
  <si>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</si>
  <si>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</si>
  <si>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</si>
  <si>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</si>
  <si>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</si>
  <si>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</si>
  <si>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</si>
  <si>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</si>
  <si>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</si>
  <si>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</si>
  <si>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</si>
  <si>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</si>
  <si>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</si>
  <si>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</si>
  <si>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</si>
  <si>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</si>
  <si>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</si>
  <si>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</si>
  <si>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</si>
  <si>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</si>
  <si>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</si>
  <si>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</si>
  <si>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</si>
  <si>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</si>
  <si>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</si>
  <si>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</si>
  <si>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</si>
  <si>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</si>
  <si>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</si>
  <si>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</si>
  <si>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</si>
  <si>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</si>
  <si>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</si>
  <si>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</si>
  <si>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</si>
  <si>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</si>
  <si>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</si>
  <si>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</si>
  <si>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</si>
  <si>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</si>
  <si>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</si>
  <si>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</si>
  <si>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</si>
  <si>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</si>
  <si>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</si>
  <si>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</si>
  <si>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</si>
  <si>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</si>
  <si>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</si>
  <si>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</si>
  <si>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</si>
  <si>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</si>
  <si>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</si>
  <si>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</si>
  <si>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</si>
  <si>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</si>
  <si>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</si>
  <si>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</si>
  <si>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</si>
  <si>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</si>
  <si>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</si>
  <si>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</si>
  <si>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</si>
  <si>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</si>
  <si>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</si>
  <si>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</si>
  <si>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</si>
  <si>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</si>
  <si>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</si>
  <si>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</si>
  <si>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</si>
  <si>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</si>
  <si>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</si>
  <si>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</si>
  <si>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</si>
  <si>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</si>
  <si>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</si>
  <si>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</si>
  <si>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</si>
  <si>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</si>
  <si>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</si>
  <si>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</si>
  <si>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</si>
  <si>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</si>
  <si>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</si>
  <si>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</si>
  <si>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</si>
  <si>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</si>
  <si>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</si>
  <si>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</si>
  <si>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</si>
  <si>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</si>
  <si>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</si>
  <si>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</si>
  <si>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</si>
  <si>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</si>
  <si>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</si>
  <si>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</si>
  <si>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</si>
  <si>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</si>
  <si>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</si>
  <si>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</si>
  <si>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</si>
  <si>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</si>
  <si>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</si>
  <si>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</si>
  <si>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</si>
  <si>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</si>
  <si>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</si>
  <si>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</si>
  <si>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</si>
  <si>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</si>
  <si>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</si>
  <si>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</si>
  <si>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</si>
  <si>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</si>
  <si>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</si>
  <si>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</si>
  <si>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</si>
  <si>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</si>
  <si>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</si>
  <si>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</si>
  <si>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</si>
  <si>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</si>
  <si>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</si>
  <si>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</si>
  <si>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</si>
  <si>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</si>
  <si>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</si>
  <si>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</si>
  <si>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</si>
  <si>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</si>
  <si>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</si>
  <si>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</si>
  <si>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</si>
  <si>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</si>
  <si>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</si>
  <si>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</si>
  <si>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</si>
  <si>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</si>
  <si>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</si>
  <si>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</si>
  <si>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</si>
  <si>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</si>
  <si>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</si>
  <si>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</si>
  <si>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</si>
  <si>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</si>
  <si>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</si>
  <si>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</si>
  <si>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</si>
  <si>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</si>
  <si>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</si>
  <si>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</si>
  <si>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</si>
  <si>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</si>
  <si>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</si>
  <si>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</si>
  <si>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</si>
  <si>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</si>
  <si>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</si>
  <si>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</si>
  <si>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</si>
  <si>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</si>
  <si>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</si>
  <si>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</si>
  <si>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</si>
  <si>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</si>
  <si>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</si>
  <si>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</si>
  <si>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</si>
  <si>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</si>
  <si>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</si>
  <si>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</si>
  <si>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</si>
  <si>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</si>
  <si>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</si>
  <si>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</si>
  <si>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</si>
  <si>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</si>
  <si>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</si>
  <si>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</si>
  <si>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</si>
  <si>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</si>
  <si>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</si>
  <si>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</si>
  <si>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</si>
  <si>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</si>
  <si>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</si>
  <si>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</si>
  <si>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</si>
  <si>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</si>
  <si>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</si>
  <si>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</si>
  <si>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</si>
  <si>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</si>
  <si>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</si>
  <si>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</si>
  <si>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</si>
  <si>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</si>
  <si>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</si>
  <si>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</si>
  <si>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</si>
  <si>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</si>
  <si>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</si>
  <si>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</si>
  <si>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</si>
  <si>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</si>
  <si>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</si>
  <si>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</si>
  <si>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</si>
  <si>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</si>
  <si>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</si>
  <si>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</si>
  <si>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</si>
  <si>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</si>
  <si>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</si>
  <si>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</si>
  <si>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</si>
  <si>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</si>
  <si>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</si>
  <si>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</si>
  <si>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</si>
  <si>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</si>
  <si>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</si>
  <si>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</si>
  <si>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</si>
  <si>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</si>
  <si>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</si>
  <si>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</si>
  <si>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</si>
  <si>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</si>
  <si>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</si>
  <si>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</si>
  <si>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</si>
  <si>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</si>
  <si>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</si>
  <si>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</si>
  <si>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</si>
  <si>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</si>
  <si>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</si>
  <si>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</si>
  <si>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</si>
  <si>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</si>
  <si>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</si>
  <si>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</si>
  <si>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</si>
  <si>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</si>
  <si>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</si>
  <si>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</si>
  <si>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</si>
  <si>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</si>
  <si>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</si>
  <si>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</si>
  <si>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</si>
  <si>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</si>
  <si>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</si>
  <si>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</si>
  <si>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</si>
  <si>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</si>
  <si>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</si>
  <si>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</si>
  <si>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</si>
  <si>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</si>
  <si>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</si>
  <si>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</si>
  <si>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</si>
  <si>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</si>
  <si>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</si>
  <si>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</si>
  <si>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</si>
  <si>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</si>
  <si>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</si>
  <si>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</si>
  <si>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</si>
  <si>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</si>
  <si>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</si>
  <si>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</si>
  <si>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</si>
  <si>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</si>
  <si>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</si>
  <si>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</si>
  <si>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</si>
  <si>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</si>
  <si>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</si>
  <si>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</si>
  <si>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</si>
  <si>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</si>
  <si>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</si>
  <si>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</si>
  <si>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</si>
  <si>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</si>
  <si>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</si>
  <si>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</si>
  <si>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</si>
  <si>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</si>
  <si>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</si>
  <si>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</si>
  <si>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</si>
  <si>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</si>
  <si>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</si>
  <si>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</si>
  <si>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</si>
  <si>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</si>
  <si>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</si>
  <si>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</si>
  <si>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</si>
  <si>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</si>
  <si>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</si>
  <si>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</si>
  <si>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</si>
  <si>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</si>
  <si>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</si>
  <si>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</si>
  <si>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</si>
  <si>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</si>
  <si>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</si>
  <si>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</si>
  <si>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</si>
  <si>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</si>
  <si>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</si>
  <si>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</si>
  <si>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</si>
  <si>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</si>
  <si>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</si>
  <si>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</si>
  <si>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</si>
  <si>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</si>
  <si>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</si>
  <si>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</si>
  <si>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</si>
  <si>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</si>
  <si>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</si>
  <si>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</si>
  <si>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</si>
  <si>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</si>
  <si>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</si>
  <si>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</si>
  <si>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</si>
  <si>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</si>
  <si>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</si>
  <si>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</si>
  <si>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</si>
  <si>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</si>
  <si>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</si>
  <si>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</si>
  <si>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</si>
  <si>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</si>
  <si>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</si>
  <si>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</si>
  <si>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</si>
  <si>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</si>
  <si>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</si>
  <si>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</si>
  <si>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</si>
  <si>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</si>
  <si>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</si>
  <si>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</si>
  <si>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</si>
  <si>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</si>
  <si>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</si>
  <si>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</si>
  <si>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</si>
  <si>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</si>
  <si>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</si>
  <si>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</si>
  <si>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</si>
  <si>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</si>
  <si>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</si>
  <si>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</si>
  <si>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</si>
  <si>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</si>
  <si>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</si>
  <si>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</si>
  <si>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</si>
  <si>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</si>
  <si>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</si>
  <si>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</si>
  <si>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</si>
  <si>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</si>
  <si>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</si>
  <si>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</si>
  <si>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</si>
  <si>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</si>
  <si>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</si>
  <si>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</si>
  <si>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</si>
  <si>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</si>
  <si>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</si>
  <si>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</si>
  <si>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</si>
  <si>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</si>
  <si>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</si>
  <si>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</si>
  <si>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</si>
  <si>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</si>
  <si>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</si>
  <si>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</si>
  <si>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</si>
  <si>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</si>
  <si>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</si>
  <si>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</si>
  <si>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</si>
  <si>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</si>
  <si>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</si>
  <si>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</si>
  <si>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</si>
  <si>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</si>
  <si>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</si>
  <si>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</si>
  <si>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</si>
  <si>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</si>
  <si>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</si>
  <si>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</si>
  <si>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</si>
  <si>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</si>
  <si>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</si>
  <si>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</si>
  <si>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</si>
  <si>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</si>
  <si>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</si>
  <si>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</si>
  <si>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</si>
  <si>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</si>
  <si>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</si>
  <si>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</si>
  <si>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</si>
  <si>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</si>
  <si>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</si>
  <si>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</si>
  <si>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</si>
  <si>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</si>
  <si>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</si>
  <si>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</si>
  <si>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</si>
  <si>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</si>
  <si>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</si>
  <si>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</si>
  <si>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</si>
  <si>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</si>
  <si>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</si>
  <si>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</si>
  <si>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</si>
  <si>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</si>
  <si>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</si>
  <si>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</si>
  <si>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</si>
  <si>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</si>
  <si>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</si>
  <si>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</si>
  <si>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</si>
  <si>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</si>
  <si>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</si>
  <si>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</si>
  <si>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</si>
  <si>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</si>
  <si>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</si>
  <si>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</si>
  <si>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</si>
  <si>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</si>
  <si>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</si>
  <si>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</si>
  <si>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</si>
  <si>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</si>
  <si>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</si>
  <si>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</si>
  <si>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</si>
  <si>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</si>
  <si>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</si>
  <si>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</si>
  <si>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</si>
  <si>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</si>
  <si>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</si>
  <si>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</si>
  <si>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</si>
  <si>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</si>
  <si>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</si>
  <si>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</si>
  <si>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</si>
  <si>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</si>
  <si>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</si>
  <si>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</si>
  <si>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</si>
  <si>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</si>
  <si>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</si>
  <si>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</si>
  <si>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</si>
  <si>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</si>
  <si>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</si>
  <si>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</si>
  <si>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</si>
  <si>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</si>
  <si>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</si>
  <si>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</si>
  <si>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</si>
  <si>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</si>
  <si>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</si>
  <si>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</si>
  <si>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</si>
  <si>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</si>
  <si>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</si>
  <si>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</si>
  <si>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</si>
  <si>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</si>
  <si>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</si>
  <si>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</si>
  <si>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</si>
  <si>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</si>
  <si>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</si>
  <si>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</si>
  <si>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</si>
  <si>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</si>
  <si>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</si>
  <si>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</si>
  <si>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</si>
  <si>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</si>
  <si>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</si>
  <si>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</si>
  <si>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</si>
  <si>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</si>
  <si>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</si>
  <si>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</si>
  <si>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</si>
  <si>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</si>
  <si>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</si>
  <si>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</si>
  <si>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</si>
  <si>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</si>
  <si>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</si>
  <si>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</si>
  <si>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</si>
  <si>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</si>
  <si>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</si>
  <si>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</si>
  <si>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</si>
  <si>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</si>
  <si>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</si>
  <si>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</si>
  <si>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</si>
  <si>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</si>
  <si>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</si>
  <si>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</si>
  <si>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</si>
  <si>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</si>
  <si>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</si>
  <si>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</si>
  <si>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</si>
  <si>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</si>
  <si>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</si>
  <si>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</si>
  <si>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</si>
  <si>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</si>
  <si>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</si>
  <si>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</si>
  <si>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</si>
  <si>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</si>
  <si>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</si>
  <si>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</si>
  <si>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</si>
  <si>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</si>
  <si>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</si>
  <si>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</si>
  <si>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</si>
  <si>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</si>
  <si>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</si>
  <si>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</si>
  <si>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</si>
  <si>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</si>
  <si>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</si>
  <si>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</si>
  <si>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</si>
  <si>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</si>
  <si>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</si>
  <si>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</si>
  <si>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</si>
  <si>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</si>
  <si>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</si>
  <si>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</si>
  <si>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</si>
  <si>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</si>
  <si>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</si>
  <si>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</si>
  <si>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</si>
  <si>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</si>
  <si>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</si>
  <si>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</si>
  <si>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</si>
  <si>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</si>
  <si>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</si>
  <si>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</si>
  <si>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</si>
  <si>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</si>
  <si>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</si>
  <si>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</si>
  <si>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</si>
  <si>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</si>
  <si>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</si>
  <si>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</si>
  <si>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</si>
  <si>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</si>
  <si>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</si>
  <si>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</si>
  <si>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</si>
  <si>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</si>
  <si>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</si>
  <si>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</si>
  <si>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</si>
  <si>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</si>
  <si>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</si>
  <si>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</si>
  <si>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</si>
  <si>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</si>
  <si>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</si>
  <si>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</si>
  <si>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</si>
  <si>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</si>
  <si>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</si>
  <si>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</si>
  <si>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</si>
  <si>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</si>
  <si>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</si>
  <si>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</si>
  <si>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</si>
  <si>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</si>
  <si>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</si>
  <si>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</si>
  <si>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</si>
  <si>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</si>
  <si>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</si>
  <si>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</si>
  <si>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</si>
  <si>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</si>
  <si>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</si>
  <si>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</si>
  <si>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</si>
  <si>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</si>
  <si>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</si>
  <si>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</si>
  <si>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</si>
  <si>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</si>
  <si>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</si>
  <si>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</si>
  <si>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</si>
  <si>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</si>
  <si>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</si>
  <si>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</si>
  <si>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</si>
  <si>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</si>
  <si>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</si>
  <si>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</si>
  <si>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</si>
  <si>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</si>
  <si>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</si>
  <si>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</si>
  <si>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</si>
  <si>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</si>
  <si>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</si>
  <si>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</si>
  <si>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</si>
  <si>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</si>
  <si>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</si>
  <si>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</si>
  <si>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</si>
  <si>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</si>
  <si>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</si>
  <si>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</si>
  <si>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</si>
  <si>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</si>
  <si>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</si>
  <si>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</si>
  <si>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</si>
  <si>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</si>
  <si>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</si>
  <si>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</si>
  <si>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</si>
  <si>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</si>
  <si>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</si>
  <si>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</si>
  <si>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</si>
  <si>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</si>
  <si>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</si>
  <si>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</si>
  <si>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</si>
  <si>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</si>
  <si>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</si>
  <si>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</si>
  <si>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</si>
  <si>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</si>
  <si>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</si>
  <si>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</si>
  <si>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</si>
  <si>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</si>
  <si>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</si>
  <si>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</si>
  <si>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</si>
  <si>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</si>
  <si>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</si>
  <si>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</si>
  <si>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</si>
  <si>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</si>
  <si>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</si>
  <si>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</si>
  <si>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</si>
  <si>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</si>
  <si>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</si>
  <si>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</si>
  <si>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</si>
  <si>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</si>
  <si>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</si>
  <si>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</si>
  <si>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</si>
  <si>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</si>
  <si>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</si>
  <si>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</si>
  <si>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</si>
  <si>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</si>
  <si>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</si>
  <si>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</si>
  <si>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</si>
  <si>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</si>
  <si>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</si>
  <si>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</si>
  <si>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</si>
  <si>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</si>
  <si>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</si>
  <si>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</si>
  <si>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</si>
  <si>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</si>
  <si>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</si>
  <si>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</si>
  <si>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</si>
  <si>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</si>
  <si>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</si>
  <si>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</si>
  <si>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</si>
  <si>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</si>
  <si>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</si>
  <si>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</si>
  <si>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</si>
  <si>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</si>
  <si>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</si>
  <si>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</si>
  <si>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</si>
  <si>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</si>
  <si>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</si>
  <si>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</si>
  <si>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</si>
  <si>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</si>
  <si>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</si>
  <si>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</si>
  <si>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</si>
  <si>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</si>
  <si>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</si>
  <si>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</si>
  <si>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</si>
  <si>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</si>
  <si>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</si>
  <si>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</si>
  <si>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</si>
  <si>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</si>
  <si>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</si>
  <si>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</si>
  <si>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</si>
  <si>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</si>
  <si>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</si>
  <si>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</si>
  <si>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</si>
  <si>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</si>
  <si>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</si>
  <si>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</si>
  <si>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</si>
  <si>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</si>
  <si>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</si>
  <si>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</si>
  <si>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</si>
  <si>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</si>
  <si>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</si>
  <si>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</si>
  <si>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</si>
  <si>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</si>
  <si>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</si>
  <si>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</si>
  <si>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</si>
  <si>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</si>
  <si>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</si>
  <si>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</si>
  <si>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</si>
  <si>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</si>
  <si>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</si>
  <si>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</si>
  <si>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</si>
  <si>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</si>
  <si>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</si>
  <si>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</si>
  <si>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</si>
  <si>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</si>
  <si>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</si>
  <si>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</si>
  <si>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</si>
  <si>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</si>
  <si>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</si>
  <si>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</si>
  <si>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</si>
  <si>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</si>
  <si>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</si>
  <si>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</si>
  <si>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</si>
  <si>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</si>
  <si>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</si>
  <si>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</si>
  <si>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</si>
  <si>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</si>
  <si>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</si>
  <si>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</si>
  <si>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</si>
  <si>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</si>
  <si>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</si>
  <si>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</si>
  <si>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</si>
  <si>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</si>
  <si>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</si>
  <si>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</si>
  <si>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</si>
  <si>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</si>
  <si>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</si>
  <si>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</si>
  <si>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</si>
  <si>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</si>
  <si>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</si>
  <si>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</si>
  <si>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</si>
  <si>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</si>
  <si>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</si>
  <si>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</si>
  <si>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</si>
  <si>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</si>
  <si>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</si>
  <si>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</si>
  <si>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</si>
  <si>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</si>
  <si>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</si>
  <si>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</si>
  <si>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</si>
  <si>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</si>
  <si>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</si>
  <si>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</si>
  <si>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</si>
  <si>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</si>
  <si>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</si>
  <si>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</si>
  <si>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</si>
  <si>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</si>
  <si>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</si>
  <si>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</si>
  <si>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</si>
  <si>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</si>
  <si>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</si>
  <si>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</si>
  <si>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</si>
  <si>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</si>
  <si>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</si>
  <si>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</si>
  <si>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</si>
  <si>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</si>
  <si>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</si>
  <si>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</si>
  <si>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</si>
  <si>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</si>
  <si>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</si>
  <si>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</si>
  <si>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</si>
  <si>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</si>
  <si>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</si>
  <si>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</si>
  <si>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</si>
  <si>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</si>
  <si>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</si>
  <si>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</si>
  <si>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</si>
  <si>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</si>
  <si>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</si>
  <si>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</si>
  <si>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</si>
  <si>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</si>
  <si>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</si>
  <si>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</si>
  <si>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</si>
  <si>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</si>
  <si>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</si>
  <si>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</si>
  <si>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</si>
  <si>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</si>
  <si>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</si>
  <si>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</si>
  <si>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</si>
  <si>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</si>
  <si>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</si>
  <si>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</si>
  <si>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</si>
  <si>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</si>
  <si>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</si>
  <si>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</si>
  <si>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</si>
  <si>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</si>
  <si>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</si>
  <si>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</si>
  <si>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</si>
  <si>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</si>
  <si>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</si>
  <si>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</si>
  <si>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</si>
  <si>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</si>
  <si>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</si>
  <si>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</si>
  <si>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</si>
  <si>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</si>
  <si>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</si>
  <si>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</si>
  <si>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</si>
  <si>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</si>
  <si>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</si>
  <si>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</si>
  <si>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</si>
  <si>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</si>
  <si>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</si>
  <si>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</si>
  <si>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</si>
  <si>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</si>
  <si>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</si>
  <si>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</si>
  <si>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</si>
  <si>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</si>
  <si>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</si>
  <si>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</si>
  <si>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</si>
  <si>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</si>
  <si>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</si>
  <si>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</si>
  <si>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</si>
  <si>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</si>
  <si>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</si>
  <si>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</si>
  <si>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</si>
  <si>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</si>
  <si>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</si>
  <si>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</si>
  <si>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</si>
  <si>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</si>
  <si>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</si>
  <si>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</si>
  <si>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</si>
  <si>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</si>
  <si>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</si>
  <si>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</si>
  <si>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</si>
  <si>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</si>
  <si>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</si>
  <si>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</si>
  <si>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</si>
  <si>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</si>
  <si>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</si>
  <si>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</si>
  <si>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</si>
  <si>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</si>
  <si>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</si>
  <si>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</si>
  <si>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</si>
  <si>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</si>
  <si>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</si>
  <si>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</si>
  <si>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</si>
  <si>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</si>
  <si>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</si>
  <si>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</si>
  <si>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</si>
  <si>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</si>
  <si>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</si>
  <si>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</si>
  <si>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</si>
  <si>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</si>
  <si>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</si>
  <si>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</si>
  <si>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</si>
  <si>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</si>
  <si>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</si>
  <si>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</si>
  <si>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</si>
  <si>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</si>
  <si>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</si>
  <si>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</si>
  <si>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</si>
  <si>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</si>
  <si>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</si>
  <si>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</si>
  <si>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</si>
  <si>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</si>
  <si>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</si>
  <si>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</si>
  <si>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</si>
  <si>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</si>
  <si>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</si>
  <si>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</si>
  <si>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</si>
  <si>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</si>
  <si>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</si>
  <si>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</si>
  <si>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</si>
  <si>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</si>
  <si>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</si>
  <si>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</si>
  <si>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</si>
  <si>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</si>
  <si>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</si>
  <si>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</si>
  <si>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</si>
  <si>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</si>
  <si>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</si>
  <si>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</si>
  <si>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</si>
  <si>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</si>
  <si>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</si>
  <si>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</si>
  <si>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</si>
  <si>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</si>
  <si>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</si>
  <si>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</si>
  <si>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</si>
  <si>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</si>
  <si>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</si>
  <si>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</si>
  <si>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</si>
  <si>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</si>
  <si>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</si>
  <si>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</si>
  <si>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</si>
  <si>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</si>
  <si>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</si>
  <si>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</si>
  <si>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</si>
  <si>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</si>
  <si>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</si>
  <si>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</si>
  <si>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</si>
  <si>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</si>
  <si>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</si>
  <si>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</si>
  <si>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</si>
  <si>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</si>
  <si>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</si>
  <si>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</si>
  <si>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</si>
  <si>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</si>
  <si>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</si>
  <si>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</si>
  <si>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</si>
  <si>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</si>
  <si>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</si>
  <si>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</si>
  <si>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</si>
  <si>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</si>
  <si>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</si>
  <si>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</si>
  <si>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</si>
  <si>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</si>
  <si>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</si>
  <si>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</si>
  <si>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</si>
  <si>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</si>
  <si>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</si>
  <si>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</si>
  <si>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</si>
  <si>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</si>
  <si>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</si>
  <si>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</si>
  <si>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</si>
  <si>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</si>
  <si>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</si>
  <si>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</si>
  <si>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</si>
  <si>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</si>
  <si>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</si>
  <si>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</si>
  <si>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</si>
  <si>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</si>
  <si>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</si>
  <si>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</si>
  <si>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</si>
  <si>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</si>
  <si>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</si>
  <si>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</si>
  <si>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</si>
  <si>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</si>
  <si>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</si>
  <si>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</si>
  <si>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</si>
  <si>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</si>
  <si>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</si>
  <si>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</si>
  <si>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</si>
  <si>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</si>
  <si>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</si>
  <si>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</si>
  <si>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</si>
  <si>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</si>
  <si>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</si>
  <si>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</si>
  <si>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</si>
  <si>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</si>
  <si>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</si>
  <si>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</si>
  <si>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</si>
  <si>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</si>
  <si>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</si>
  <si>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</si>
  <si>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</si>
  <si>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</si>
  <si>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</si>
  <si>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</si>
  <si>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</si>
  <si>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</si>
  <si>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</si>
  <si>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</si>
  <si>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</si>
  <si>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</si>
  <si>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</si>
  <si>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</si>
  <si>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</si>
  <si>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</si>
  <si>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</si>
  <si>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</si>
  <si>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</si>
  <si>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</si>
  <si>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</si>
  <si>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</si>
  <si>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</si>
  <si>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</si>
  <si>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</si>
  <si>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</si>
  <si>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</si>
  <si>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</si>
  <si>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</si>
  <si>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</si>
  <si>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</si>
  <si>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</si>
  <si>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</si>
  <si>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</si>
  <si>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</si>
  <si>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</si>
  <si>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</si>
  <si>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</si>
  <si>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</si>
  <si>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</si>
  <si>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</si>
  <si>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</si>
  <si>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</si>
  <si>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</si>
  <si>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</si>
  <si>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</si>
  <si>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</si>
  <si>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</si>
  <si>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</si>
  <si>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</si>
  <si>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</si>
  <si>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</si>
  <si>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</si>
  <si>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</si>
  <si>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</si>
  <si>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</si>
  <si>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</si>
  <si>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</si>
  <si>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</si>
  <si>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</si>
  <si>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</si>
  <si>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</si>
  <si>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</si>
  <si>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</si>
  <si>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</si>
  <si>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</si>
  <si>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</si>
  <si>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</si>
  <si>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</si>
  <si>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</si>
  <si>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</si>
  <si>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</si>
  <si>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</si>
  <si>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</si>
  <si>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</si>
  <si>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</si>
  <si>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</si>
  <si>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</si>
  <si>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</si>
  <si>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</si>
  <si>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</si>
  <si>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</si>
  <si>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</si>
  <si>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</si>
  <si>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</si>
  <si>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</si>
  <si>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</si>
  <si>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</si>
  <si>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</si>
  <si>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</si>
  <si>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</si>
  <si>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</si>
  <si>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</si>
  <si>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</si>
  <si>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</si>
  <si>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</si>
  <si>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</si>
  <si>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</si>
  <si>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</si>
  <si>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</si>
  <si>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</si>
  <si>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</si>
  <si>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</si>
  <si>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</si>
  <si>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</si>
  <si>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</si>
  <si>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</si>
  <si>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</si>
  <si>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</si>
  <si>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</si>
  <si>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</si>
  <si>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</si>
  <si>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</si>
  <si>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</si>
  <si>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</si>
  <si>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</si>
  <si>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</si>
  <si>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</si>
  <si>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</si>
  <si>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</si>
  <si>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</si>
  <si>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</si>
  <si>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</si>
  <si>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</si>
  <si>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</si>
  <si>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</si>
  <si>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</si>
  <si>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</si>
  <si>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</si>
  <si>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</si>
  <si>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</si>
  <si>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</si>
  <si>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</si>
  <si>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</si>
  <si>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</si>
  <si>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</si>
  <si>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</si>
  <si>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</si>
  <si>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</si>
  <si>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</si>
  <si>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</si>
  <si>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</si>
  <si>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</si>
  <si>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</si>
  <si>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</si>
  <si>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</si>
  <si>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</si>
  <si>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</si>
  <si>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</si>
  <si>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</si>
  <si>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</si>
  <si>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</si>
  <si>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</si>
  <si>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</si>
  <si>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</si>
  <si>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</si>
  <si>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</si>
  <si>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</si>
  <si>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</si>
  <si>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</si>
  <si>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</si>
  <si>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</si>
  <si>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</si>
  <si>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</si>
  <si>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</si>
  <si>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</si>
  <si>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</si>
  <si>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</si>
  <si>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</si>
  <si>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</si>
  <si>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</si>
  <si>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</si>
  <si>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</si>
  <si>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</si>
  <si>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</si>
  <si>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</si>
  <si>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</si>
  <si>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</si>
  <si>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</si>
  <si>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</si>
  <si>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</si>
  <si>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</si>
  <si>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</si>
  <si>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</si>
  <si>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</si>
  <si>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</si>
  <si>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</si>
  <si>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</si>
  <si>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</si>
  <si>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</si>
  <si>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</si>
  <si>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</si>
  <si>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</si>
  <si>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</si>
  <si>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</si>
  <si>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</si>
  <si>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</si>
  <si>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</si>
  <si>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</si>
  <si>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</si>
  <si>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</si>
  <si>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</si>
  <si>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</si>
  <si>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</si>
  <si>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</si>
  <si>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</si>
  <si>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</si>
  <si>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</si>
  <si>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</si>
  <si>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</si>
  <si>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</si>
  <si>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</si>
  <si>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</si>
  <si>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</si>
  <si>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</si>
  <si>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</si>
  <si>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</si>
  <si>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</si>
  <si>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</si>
  <si>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</si>
  <si>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</si>
  <si>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</si>
  <si>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</si>
  <si>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</si>
  <si>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</si>
  <si>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</si>
  <si>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</si>
  <si>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</si>
  <si>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</si>
  <si>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</si>
  <si>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</si>
  <si>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</si>
  <si>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</si>
  <si>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</si>
  <si>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</si>
  <si>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</si>
  <si>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</si>
  <si>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</si>
  <si>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</si>
  <si>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</si>
  <si>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</si>
  <si>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</si>
  <si>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</si>
  <si>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</si>
  <si>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</si>
  <si>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</si>
  <si>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</si>
  <si>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</si>
  <si>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</si>
  <si>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</si>
  <si>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</si>
  <si>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</si>
  <si>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</si>
  <si>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</si>
  <si>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</si>
  <si>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</si>
  <si>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</si>
  <si>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</si>
  <si>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</si>
  <si>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</si>
  <si>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</si>
  <si>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</si>
  <si>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</si>
  <si>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</si>
  <si>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</si>
  <si>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</si>
  <si>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</si>
  <si>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</si>
  <si>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</si>
  <si>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</si>
  <si>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</si>
  <si>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</si>
  <si>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</si>
  <si>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</si>
  <si>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</si>
  <si>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</si>
  <si>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</si>
  <si>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</si>
  <si>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</si>
  <si>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</si>
  <si>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</si>
  <si>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</si>
  <si>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</si>
  <si>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</si>
  <si>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</si>
  <si>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</si>
  <si>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</si>
  <si>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</si>
  <si>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</si>
  <si>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</si>
  <si>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</si>
  <si>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</si>
  <si>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</si>
  <si>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</si>
  <si>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</si>
  <si>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</si>
  <si>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</si>
  <si>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</si>
  <si>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</si>
  <si>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</si>
  <si>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</si>
  <si>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</si>
  <si>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</si>
  <si>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</si>
  <si>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</si>
  <si>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</si>
  <si>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</si>
  <si>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</si>
  <si>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</si>
  <si>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</si>
  <si>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</si>
  <si>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</si>
  <si>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</si>
  <si>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</si>
  <si>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</si>
  <si>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</si>
  <si>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</si>
  <si>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</si>
  <si>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</si>
  <si>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</si>
  <si>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</si>
  <si>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</si>
  <si>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</si>
  <si>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</si>
  <si>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</si>
  <si>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</si>
  <si>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</si>
  <si>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</si>
  <si>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</si>
  <si>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</si>
  <si>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</si>
  <si>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</si>
  <si>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</si>
  <si>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</si>
  <si>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</si>
  <si>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</si>
  <si>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</si>
  <si>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</si>
  <si>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</si>
  <si>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</si>
  <si>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</si>
  <si>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</si>
  <si>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</si>
  <si>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</si>
  <si>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</si>
  <si>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</si>
  <si>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</si>
  <si>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</si>
  <si>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</si>
  <si>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</si>
  <si>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</si>
  <si>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</si>
  <si>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</si>
  <si>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</si>
  <si>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</si>
  <si>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</si>
  <si>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</si>
  <si>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</si>
  <si>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</si>
  <si>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</si>
  <si>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</si>
  <si>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</si>
  <si>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</si>
  <si>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</si>
  <si>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</si>
  <si>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</si>
  <si>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</si>
  <si>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</si>
  <si>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</si>
  <si>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</si>
  <si>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</si>
  <si>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</si>
  <si>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</si>
  <si>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</si>
  <si>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</si>
  <si>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</si>
  <si>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</si>
  <si>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</si>
  <si>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</si>
  <si>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</si>
  <si>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</si>
  <si>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</si>
  <si>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</si>
  <si>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</si>
  <si>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</si>
  <si>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</si>
  <si>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</si>
  <si>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</si>
  <si>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</si>
  <si>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</si>
  <si>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</si>
  <si>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</si>
  <si>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</si>
  <si>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</si>
  <si>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</si>
  <si>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</si>
  <si>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</si>
  <si>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</si>
  <si>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</si>
  <si>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</si>
  <si>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</si>
  <si>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</si>
  <si>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</si>
  <si>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</si>
  <si>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</si>
  <si>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</si>
  <si>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</si>
  <si>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</si>
  <si>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</si>
  <si>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</si>
  <si>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</si>
  <si>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</si>
  <si>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</si>
  <si>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</si>
  <si>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</si>
  <si>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</si>
  <si>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</si>
  <si>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</si>
  <si>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</si>
  <si>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</si>
  <si>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</si>
  <si>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</si>
  <si>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</si>
  <si>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</si>
  <si>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</si>
  <si>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</si>
  <si>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</si>
  <si>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</si>
  <si>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</si>
  <si>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</si>
  <si>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</si>
  <si>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</si>
  <si>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</si>
  <si>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</si>
  <si>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</si>
  <si>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</si>
  <si>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</si>
  <si>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</si>
  <si>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</si>
  <si>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</si>
  <si>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</si>
  <si>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</si>
  <si>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</si>
  <si>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</si>
  <si>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</si>
  <si>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</si>
  <si>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</si>
  <si>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</si>
  <si>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</si>
  <si>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</si>
  <si>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</si>
  <si>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</si>
  <si>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</si>
  <si>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</si>
  <si>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</si>
  <si>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</si>
  <si>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</si>
  <si>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</si>
  <si>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</si>
  <si>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</si>
  <si>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</si>
  <si>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</si>
  <si>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</si>
  <si>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</si>
  <si>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</si>
  <si>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</si>
  <si>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</si>
  <si>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</si>
  <si>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</si>
  <si>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</si>
  <si>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</si>
  <si>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</si>
  <si>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</si>
  <si>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</si>
  <si>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</si>
  <si>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</si>
  <si>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</si>
  <si>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</si>
  <si>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</si>
  <si>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</si>
  <si>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</si>
  <si>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</si>
  <si>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</si>
  <si>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</si>
  <si>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</si>
  <si>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</si>
  <si>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</si>
  <si>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</si>
  <si>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</si>
  <si>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</si>
  <si>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</si>
  <si>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</si>
  <si>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</si>
  <si>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</si>
  <si>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</si>
  <si>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</si>
  <si>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</si>
  <si>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</si>
  <si>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</si>
  <si>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</si>
  <si>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</si>
  <si>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</si>
  <si>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</si>
  <si>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</si>
  <si>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</si>
  <si>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</si>
  <si>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</si>
  <si>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</si>
  <si>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</si>
  <si>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</si>
  <si>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</si>
  <si>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</si>
  <si>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</si>
  <si>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</si>
  <si>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</si>
  <si>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</si>
  <si>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</si>
  <si>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</si>
  <si>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</si>
  <si>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</si>
  <si>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</si>
  <si>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</si>
  <si>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</si>
  <si>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</si>
  <si>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</si>
  <si>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</si>
  <si>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</si>
  <si>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</si>
  <si>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</si>
  <si>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</si>
  <si>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</si>
  <si>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</si>
  <si>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</si>
  <si>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</si>
  <si>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</si>
  <si>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</si>
  <si>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</si>
  <si>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</si>
  <si>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</si>
  <si>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</si>
  <si>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</si>
  <si>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</si>
  <si>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</si>
  <si>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</si>
  <si>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</si>
  <si>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</si>
  <si>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</si>
  <si>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</si>
  <si>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</si>
  <si>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</si>
  <si>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</si>
  <si>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</si>
  <si>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</si>
  <si>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</si>
  <si>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</si>
  <si>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</si>
  <si>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</si>
  <si>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</si>
  <si>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</si>
  <si>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</si>
  <si>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</si>
  <si>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</si>
  <si>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</si>
  <si>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</si>
  <si>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</si>
  <si>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</si>
  <si>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</si>
  <si>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</si>
  <si>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</si>
  <si>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</si>
  <si>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</si>
  <si>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</si>
  <si>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</si>
  <si>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</si>
  <si>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</si>
  <si>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</si>
  <si>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</si>
  <si>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</si>
  <si>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</si>
  <si>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</si>
  <si>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</si>
  <si>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</si>
  <si>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</si>
  <si>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</si>
  <si>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</si>
  <si>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</si>
  <si>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</si>
  <si>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</si>
  <si>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</si>
  <si>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</si>
  <si>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</si>
  <si>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</si>
  <si>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</si>
  <si>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</si>
  <si>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</si>
  <si>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</si>
  <si>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</si>
  <si>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</si>
  <si>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</si>
  <si>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</si>
  <si>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</si>
  <si>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</si>
  <si>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</si>
  <si>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</si>
  <si>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</si>
  <si>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</si>
  <si>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</si>
  <si>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</si>
  <si>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</si>
  <si>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</si>
  <si>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</si>
  <si>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</si>
  <si>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</si>
  <si>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</si>
  <si>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</si>
  <si>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</si>
  <si>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</si>
  <si>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</si>
  <si>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</si>
  <si>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</si>
  <si>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</si>
  <si>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024/0049/C</t>
  </si>
  <si>
    <t>RECEBEU INDENIZAÇÃO PELO SELO 012/0004/A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</si>
</sst>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Arial"/>
      <family val="2"/>
    </font>
    <font>
      <b/>
      <sz val="12"/>
      <color rgb="FFFF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5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45" fillId="22" borderId="1" xfId="0" applyFont="1" applyFill="1" applyBorder="1" applyAlignment="1">
      <alignment horizontal="center" vertical="center"/>
    </xf>
    <xf numFmtId="0" fontId="54" fillId="22" borderId="18" xfId="0" applyFont="1" applyFill="1" applyBorder="1" applyAlignment="1">
      <alignment horizontal="center" vertical="center"/>
    </xf>
    <xf numFmtId="166" fontId="55" fillId="11" borderId="18" xfId="0" applyNumberFormat="1" applyFont="1" applyFill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44" fillId="22" borderId="18" xfId="0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Y37846"/>
  <sheetViews>
    <sheetView showGridLines="0" tabSelected="1" topLeftCell="A10" zoomScale="80" zoomScaleNormal="80" workbookViewId="0">
      <pane xSplit="6" ySplit="4" topLeftCell="BH14" activePane="bottomRight" state="frozen"/>
      <selection pane="topRight"/>
      <selection pane="bottomLeft"/>
      <selection pane="bottomRight" activeCell="BI53" sqref="BI53"/>
    </sheetView>
  </sheetViews>
  <sheetFormatPr defaultColWidth="9.140625" defaultRowHeight="30" customHeight="1" x14ac:dyDescent="0.25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 x14ac:dyDescent="0.25">
      <c r="O1" s="157"/>
      <c r="Z1" s="122"/>
      <c r="AZ1" s="120"/>
      <c r="BA1" s="120"/>
      <c r="BB1" s="120"/>
      <c r="BC1" s="120"/>
    </row>
    <row r="2" spans="1:103" ht="30" customHeight="1" x14ac:dyDescent="0.25">
      <c r="O2" s="157"/>
      <c r="Z2" s="122"/>
      <c r="AZ2" s="120"/>
      <c r="BA2" s="120"/>
      <c r="BB2" s="120"/>
      <c r="BC2" s="120"/>
    </row>
    <row r="3" spans="1:103" ht="30" customHeight="1" x14ac:dyDescent="0.25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 x14ac:dyDescent="0.25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 x14ac:dyDescent="0.25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 x14ac:dyDescent="0.25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 x14ac:dyDescent="0.25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 x14ac:dyDescent="0.25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 x14ac:dyDescent="0.25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 x14ac:dyDescent="0.25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 x14ac:dyDescent="0.25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 x14ac:dyDescent="0.25">
      <c r="A12" s="340" t="s">
        <v>34</v>
      </c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2"/>
      <c r="P12" s="337" t="s">
        <v>35</v>
      </c>
      <c r="Q12" s="337"/>
      <c r="R12" s="337"/>
      <c r="S12" s="337"/>
      <c r="T12" s="337"/>
      <c r="U12" s="338"/>
      <c r="V12" s="337"/>
      <c r="W12" s="337"/>
      <c r="X12" s="337"/>
      <c r="Y12" s="338"/>
      <c r="Z12" s="337"/>
      <c r="AA12" s="339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43" t="s">
        <v>37</v>
      </c>
      <c r="BC12" s="344"/>
      <c r="BD12" s="335"/>
      <c r="BE12" s="336"/>
      <c r="BF12" s="336"/>
      <c r="BG12" s="336"/>
      <c r="BH12" s="336"/>
      <c r="BI12" s="336"/>
      <c r="BJ12" s="336"/>
      <c r="BK12" s="336"/>
      <c r="BL12" s="336"/>
      <c r="BM12" s="336"/>
    </row>
    <row r="13" spans="1:103" s="121" customFormat="1" ht="48" customHeight="1" x14ac:dyDescent="0.25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hidden="1" customHeight="1" x14ac:dyDescent="0.25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46" si="0">IF(AY14-KD14=0,"",AY14-O14)</f>
        <v>51</v>
      </c>
      <c r="BD14" s="134" t="str">
        <f t="shared" ref="BD14:BD46" si="1">IF(AND(AI14&lt;&gt;"SIM",AI14="UH"),"AA","INDENIZAÇÃO")</f>
        <v>INDENIZAÇÃO</v>
      </c>
      <c r="BE14" s="134" t="str">
        <f t="shared" ref="BE14:BE46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hidden="1" customHeight="1" x14ac:dyDescent="0.25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 x14ac:dyDescent="0.25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98" t="s">
        <v>110</v>
      </c>
      <c r="AW16" s="198" t="s">
        <v>110</v>
      </c>
      <c r="AX16" s="194">
        <v>46260</v>
      </c>
      <c r="AY16" s="140">
        <v>46260</v>
      </c>
      <c r="AZ16" s="145" t="s">
        <v>33</v>
      </c>
      <c r="BA16" s="145" t="s">
        <v>1</v>
      </c>
      <c r="BB16" s="149" t="s">
        <v>110</v>
      </c>
      <c r="BC16" s="142">
        <f t="shared" si="0"/>
        <v>69</v>
      </c>
      <c r="BD16" s="134" t="str">
        <f t="shared" si="1"/>
        <v>INDENIZAÇÃO</v>
      </c>
      <c r="BE16" s="134" t="str">
        <f t="shared" si="2"/>
        <v>NÃO</v>
      </c>
      <c r="BF16" s="134" t="s">
        <v>24</v>
      </c>
      <c r="BG16" s="134" t="s">
        <v>24</v>
      </c>
      <c r="BH16" s="134" t="s">
        <v>24</v>
      </c>
      <c r="BI16" s="198" t="s">
        <v>110</v>
      </c>
      <c r="BJ16" s="145" t="s">
        <v>33</v>
      </c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hidden="1" customHeight="1" x14ac:dyDescent="0.25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125</v>
      </c>
      <c r="G17" s="149" t="s">
        <v>102</v>
      </c>
      <c r="H17" s="149" t="s">
        <v>103</v>
      </c>
      <c r="I17" s="149" t="s">
        <v>104</v>
      </c>
      <c r="J17" s="152" t="s">
        <v>126</v>
      </c>
      <c r="K17" s="152" t="s">
        <v>127</v>
      </c>
      <c r="L17" s="152" t="s">
        <v>128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126</v>
      </c>
      <c r="AC17" s="152" t="s">
        <v>127</v>
      </c>
      <c r="AD17" s="152" t="s">
        <v>128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129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 x14ac:dyDescent="0.25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130</v>
      </c>
      <c r="G18" s="149" t="s">
        <v>102</v>
      </c>
      <c r="H18" s="149" t="s">
        <v>103</v>
      </c>
      <c r="I18" s="149" t="s">
        <v>104</v>
      </c>
      <c r="J18" s="152" t="s">
        <v>131</v>
      </c>
      <c r="K18" s="152" t="s">
        <v>132</v>
      </c>
      <c r="L18" s="152" t="s">
        <v>133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131</v>
      </c>
      <c r="AC18" s="152" t="s">
        <v>132</v>
      </c>
      <c r="AD18" s="152" t="s">
        <v>133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134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98" t="s">
        <v>110</v>
      </c>
      <c r="AW18" s="198" t="s">
        <v>110</v>
      </c>
      <c r="AX18" s="194">
        <v>46269</v>
      </c>
      <c r="AY18" s="197">
        <v>46269</v>
      </c>
      <c r="AZ18" s="140" t="s">
        <v>33</v>
      </c>
      <c r="BA18" s="145" t="s">
        <v>113</v>
      </c>
      <c r="BB18" s="198" t="s">
        <v>110</v>
      </c>
      <c r="BC18" s="142">
        <f t="shared" si="0"/>
        <v>78</v>
      </c>
      <c r="BD18" s="134" t="str">
        <f t="shared" si="1"/>
        <v>INDENIZAÇÃO</v>
      </c>
      <c r="BE18" s="134" t="str">
        <f t="shared" si="2"/>
        <v>NÃO</v>
      </c>
      <c r="BF18" s="198" t="s">
        <v>24</v>
      </c>
      <c r="BG18" s="198" t="s">
        <v>24</v>
      </c>
      <c r="BH18" s="198" t="s">
        <v>24</v>
      </c>
      <c r="BI18" s="198" t="s">
        <v>110</v>
      </c>
      <c r="BJ18" s="145" t="s">
        <v>33</v>
      </c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hidden="1" customHeight="1" x14ac:dyDescent="0.25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135</v>
      </c>
      <c r="G19" s="149" t="s">
        <v>102</v>
      </c>
      <c r="H19" s="149" t="s">
        <v>103</v>
      </c>
      <c r="I19" s="149" t="s">
        <v>104</v>
      </c>
      <c r="J19" s="152" t="s">
        <v>136</v>
      </c>
      <c r="K19" s="152" t="s">
        <v>137</v>
      </c>
      <c r="L19" s="152" t="s">
        <v>138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136</v>
      </c>
      <c r="AC19" s="152" t="s">
        <v>137</v>
      </c>
      <c r="AD19" s="152" t="s">
        <v>138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139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hidden="1" customHeight="1" x14ac:dyDescent="0.25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140</v>
      </c>
      <c r="G20" s="149" t="s">
        <v>102</v>
      </c>
      <c r="H20" s="149" t="s">
        <v>103</v>
      </c>
      <c r="I20" s="149" t="s">
        <v>104</v>
      </c>
      <c r="J20" s="152" t="s">
        <v>141</v>
      </c>
      <c r="K20" s="152" t="s">
        <v>142</v>
      </c>
      <c r="L20" s="152" t="s">
        <v>143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141</v>
      </c>
      <c r="AC20" s="152" t="s">
        <v>142</v>
      </c>
      <c r="AD20" s="152" t="s">
        <v>143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144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hidden="1" customHeight="1" x14ac:dyDescent="0.25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145</v>
      </c>
      <c r="G21" s="149" t="s">
        <v>102</v>
      </c>
      <c r="H21" s="149" t="s">
        <v>103</v>
      </c>
      <c r="I21" s="149" t="s">
        <v>104</v>
      </c>
      <c r="J21" s="152" t="s">
        <v>146</v>
      </c>
      <c r="K21" s="152" t="s">
        <v>147</v>
      </c>
      <c r="L21" s="152" t="s">
        <v>148</v>
      </c>
      <c r="M21" s="149" t="s">
        <v>4</v>
      </c>
      <c r="N21" s="149" t="s">
        <v>149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146</v>
      </c>
      <c r="AC21" s="152" t="s">
        <v>147</v>
      </c>
      <c r="AD21" s="152" t="s">
        <v>148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hidden="1" customHeight="1" x14ac:dyDescent="0.25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150</v>
      </c>
      <c r="G22" s="149" t="s">
        <v>102</v>
      </c>
      <c r="H22" s="149" t="s">
        <v>103</v>
      </c>
      <c r="I22" s="149" t="s">
        <v>104</v>
      </c>
      <c r="J22" s="152" t="s">
        <v>151</v>
      </c>
      <c r="K22" s="152" t="s">
        <v>152</v>
      </c>
      <c r="L22" s="152" t="s">
        <v>153</v>
      </c>
      <c r="M22" s="149" t="s">
        <v>4</v>
      </c>
      <c r="N22" s="149" t="s">
        <v>149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151</v>
      </c>
      <c r="AC22" s="152" t="s">
        <v>152</v>
      </c>
      <c r="AD22" s="152" t="s">
        <v>153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hidden="1" customHeight="1" x14ac:dyDescent="0.25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154</v>
      </c>
      <c r="G23" s="149" t="s">
        <v>102</v>
      </c>
      <c r="H23" s="149" t="s">
        <v>103</v>
      </c>
      <c r="I23" s="149" t="s">
        <v>104</v>
      </c>
      <c r="J23" s="152" t="s">
        <v>155</v>
      </c>
      <c r="K23" s="152" t="s">
        <v>156</v>
      </c>
      <c r="L23" s="152" t="s">
        <v>157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155</v>
      </c>
      <c r="AC23" s="152" t="s">
        <v>156</v>
      </c>
      <c r="AD23" s="152" t="s">
        <v>157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158</v>
      </c>
      <c r="AP23" s="199" t="s">
        <v>159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hidden="1" customHeight="1" x14ac:dyDescent="0.25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160</v>
      </c>
      <c r="G24" s="149" t="s">
        <v>102</v>
      </c>
      <c r="H24" s="149" t="s">
        <v>103</v>
      </c>
      <c r="I24" s="149" t="s">
        <v>104</v>
      </c>
      <c r="J24" s="152" t="s">
        <v>161</v>
      </c>
      <c r="K24" s="152" t="s">
        <v>162</v>
      </c>
      <c r="L24" s="152" t="s">
        <v>163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161</v>
      </c>
      <c r="AC24" s="152" t="s">
        <v>162</v>
      </c>
      <c r="AD24" s="152" t="s">
        <v>163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164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hidden="1" customHeight="1" x14ac:dyDescent="0.25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165</v>
      </c>
      <c r="G25" s="149" t="s">
        <v>102</v>
      </c>
      <c r="H25" s="149" t="s">
        <v>103</v>
      </c>
      <c r="I25" s="149" t="s">
        <v>104</v>
      </c>
      <c r="J25" s="152" t="s">
        <v>166</v>
      </c>
      <c r="K25" s="152" t="s">
        <v>167</v>
      </c>
      <c r="L25" s="152" t="s">
        <v>168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166</v>
      </c>
      <c r="AC25" s="152" t="s">
        <v>167</v>
      </c>
      <c r="AD25" s="152" t="s">
        <v>168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169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hidden="1" customHeight="1" x14ac:dyDescent="0.25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170</v>
      </c>
      <c r="G26" s="149" t="s">
        <v>102</v>
      </c>
      <c r="H26" s="149" t="s">
        <v>103</v>
      </c>
      <c r="I26" s="149" t="s">
        <v>104</v>
      </c>
      <c r="J26" s="152" t="s">
        <v>171</v>
      </c>
      <c r="K26" s="152" t="s">
        <v>172</v>
      </c>
      <c r="L26" s="152" t="s">
        <v>173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171</v>
      </c>
      <c r="AC26" s="152" t="s">
        <v>172</v>
      </c>
      <c r="AD26" s="152" t="s">
        <v>173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174</v>
      </c>
      <c r="AQ26" s="198" t="s">
        <v>110</v>
      </c>
      <c r="AR26" s="198" t="s">
        <v>110</v>
      </c>
      <c r="AS26" s="198" t="s">
        <v>110</v>
      </c>
      <c r="AT26" s="198" t="s">
        <v>110</v>
      </c>
      <c r="AU26" s="194">
        <v>46275</v>
      </c>
      <c r="AV26" s="198" t="s">
        <v>110</v>
      </c>
      <c r="AW26" s="145" t="s">
        <v>33</v>
      </c>
      <c r="AX26" s="302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hidden="1" customHeight="1" x14ac:dyDescent="0.25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175</v>
      </c>
      <c r="G27" s="149" t="s">
        <v>102</v>
      </c>
      <c r="H27" s="149" t="s">
        <v>103</v>
      </c>
      <c r="I27" s="149" t="s">
        <v>104</v>
      </c>
      <c r="J27" s="152" t="s">
        <v>176</v>
      </c>
      <c r="K27" s="152" t="s">
        <v>177</v>
      </c>
      <c r="L27" s="152" t="s">
        <v>178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176</v>
      </c>
      <c r="AC27" s="152" t="s">
        <v>177</v>
      </c>
      <c r="AD27" s="152" t="s">
        <v>178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179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 x14ac:dyDescent="0.25">
      <c r="A28" s="134">
        <v>320</v>
      </c>
      <c r="B28" s="134" t="s">
        <v>99</v>
      </c>
      <c r="C28" s="134">
        <v>2</v>
      </c>
      <c r="D28" s="134" t="s">
        <v>100</v>
      </c>
      <c r="E28" s="134" t="s">
        <v>100</v>
      </c>
      <c r="F28" s="138" t="s">
        <v>180</v>
      </c>
      <c r="G28" s="149" t="s">
        <v>102</v>
      </c>
      <c r="H28" s="149" t="s">
        <v>103</v>
      </c>
      <c r="I28" s="149" t="s">
        <v>104</v>
      </c>
      <c r="J28" s="152" t="s">
        <v>181</v>
      </c>
      <c r="K28" s="152" t="s">
        <v>182</v>
      </c>
      <c r="L28" s="152" t="s">
        <v>183</v>
      </c>
      <c r="M28" s="134" t="s">
        <v>4</v>
      </c>
      <c r="N28" s="134" t="s">
        <v>5</v>
      </c>
      <c r="O28" s="274">
        <v>46140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273"/>
      <c r="AB28" s="152" t="s">
        <v>181</v>
      </c>
      <c r="AC28" s="152" t="s">
        <v>182</v>
      </c>
      <c r="AD28" s="152" t="s">
        <v>183</v>
      </c>
      <c r="AE28" s="149" t="s">
        <v>108</v>
      </c>
      <c r="AF28" s="134" t="s">
        <v>4</v>
      </c>
      <c r="AG28" s="208">
        <v>4741.1499999999996</v>
      </c>
      <c r="AH28" s="208">
        <v>34741.15</v>
      </c>
      <c r="AI28" s="231" t="s">
        <v>6</v>
      </c>
      <c r="AJ28" s="138" t="s">
        <v>109</v>
      </c>
      <c r="AK28" s="275">
        <v>153151246</v>
      </c>
      <c r="AL28" s="134" t="s">
        <v>110</v>
      </c>
      <c r="AM28" s="134" t="s">
        <v>110</v>
      </c>
      <c r="AN28" s="273" t="s">
        <v>111</v>
      </c>
      <c r="AO28" s="273"/>
      <c r="AP28" s="199" t="s">
        <v>184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46203</v>
      </c>
      <c r="AY28" s="197">
        <v>46203</v>
      </c>
      <c r="AZ28" s="197" t="s">
        <v>33</v>
      </c>
      <c r="BA28" s="145" t="s">
        <v>113</v>
      </c>
      <c r="BB28" s="149" t="s">
        <v>110</v>
      </c>
      <c r="BC28" s="142">
        <f t="shared" si="0"/>
        <v>63</v>
      </c>
      <c r="BD28" s="134" t="str">
        <f t="shared" si="1"/>
        <v>INDENIZAÇÃO</v>
      </c>
      <c r="BE28" s="134" t="str">
        <f t="shared" si="2"/>
        <v>NÃO</v>
      </c>
      <c r="BF28" s="149" t="s">
        <v>24</v>
      </c>
      <c r="BG28" s="149" t="s">
        <v>24</v>
      </c>
      <c r="BH28" s="149" t="s">
        <v>24</v>
      </c>
      <c r="BI28" s="198" t="s">
        <v>110</v>
      </c>
      <c r="BJ28" s="145" t="s">
        <v>33</v>
      </c>
      <c r="BK28" s="145"/>
      <c r="BL28" s="145"/>
      <c r="BM28" s="145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20"/>
      <c r="CE28" s="120"/>
      <c r="CF28" s="120"/>
      <c r="CG28" s="120"/>
      <c r="CH28" s="120"/>
      <c r="CI28" s="120"/>
      <c r="CJ28" s="120"/>
      <c r="CK28" s="120"/>
      <c r="CL28" s="120"/>
      <c r="CM28" s="120"/>
      <c r="CN28" s="120"/>
      <c r="CO28" s="120"/>
      <c r="CP28" s="120"/>
      <c r="CQ28" s="120"/>
      <c r="CR28" s="120"/>
      <c r="CS28" s="120"/>
      <c r="CT28" s="120"/>
      <c r="CU28" s="120"/>
      <c r="CV28" s="120"/>
      <c r="CW28" s="120"/>
      <c r="CX28" s="120"/>
      <c r="CY28" s="120"/>
    </row>
    <row r="29" spans="1:103" s="276" customFormat="1" ht="30" hidden="1" customHeight="1" x14ac:dyDescent="0.25">
      <c r="A29" s="134">
        <v>16</v>
      </c>
      <c r="B29" s="134" t="s">
        <v>99</v>
      </c>
      <c r="C29" s="134">
        <v>2</v>
      </c>
      <c r="D29" s="134" t="s">
        <v>100</v>
      </c>
      <c r="E29" s="134" t="s">
        <v>100</v>
      </c>
      <c r="F29" s="138" t="s">
        <v>185</v>
      </c>
      <c r="G29" s="149" t="s">
        <v>102</v>
      </c>
      <c r="H29" s="149" t="s">
        <v>103</v>
      </c>
      <c r="I29" s="149" t="s">
        <v>104</v>
      </c>
      <c r="J29" s="152" t="s">
        <v>186</v>
      </c>
      <c r="K29" s="152" t="s">
        <v>187</v>
      </c>
      <c r="L29" s="152" t="s">
        <v>188</v>
      </c>
      <c r="M29" s="134" t="s">
        <v>4</v>
      </c>
      <c r="N29" s="134" t="s">
        <v>5</v>
      </c>
      <c r="O29" s="274">
        <v>45894</v>
      </c>
      <c r="P29" s="139" t="s">
        <v>24</v>
      </c>
      <c r="Q29" s="139" t="s">
        <v>24</v>
      </c>
      <c r="R29" s="139" t="s">
        <v>24</v>
      </c>
      <c r="S29" s="139" t="s">
        <v>24</v>
      </c>
      <c r="T29" s="139" t="s">
        <v>24</v>
      </c>
      <c r="U29" s="139" t="s">
        <v>24</v>
      </c>
      <c r="V29" s="139" t="s">
        <v>24</v>
      </c>
      <c r="W29" s="139" t="s">
        <v>24</v>
      </c>
      <c r="X29" s="139" t="s">
        <v>24</v>
      </c>
      <c r="Y29" s="139" t="s">
        <v>24</v>
      </c>
      <c r="Z29" s="139" t="s">
        <v>24</v>
      </c>
      <c r="AA29" s="273"/>
      <c r="AB29" s="152" t="s">
        <v>186</v>
      </c>
      <c r="AC29" s="152" t="s">
        <v>187</v>
      </c>
      <c r="AD29" s="152" t="s">
        <v>188</v>
      </c>
      <c r="AE29" s="149" t="s">
        <v>108</v>
      </c>
      <c r="AF29" s="134" t="s">
        <v>4</v>
      </c>
      <c r="AG29" s="208">
        <v>23408.06</v>
      </c>
      <c r="AH29" s="208">
        <v>53408.06</v>
      </c>
      <c r="AI29" s="231" t="s">
        <v>6</v>
      </c>
      <c r="AJ29" s="138" t="s">
        <v>109</v>
      </c>
      <c r="AK29" s="275">
        <v>128821715</v>
      </c>
      <c r="AL29" s="134" t="s">
        <v>110</v>
      </c>
      <c r="AM29" s="134" t="s">
        <v>110</v>
      </c>
      <c r="AN29" s="273" t="s">
        <v>111</v>
      </c>
      <c r="AO29" s="273"/>
      <c r="AP29" s="199" t="s">
        <v>189</v>
      </c>
      <c r="AQ29" s="198" t="s">
        <v>110</v>
      </c>
      <c r="AR29" s="198" t="s">
        <v>110</v>
      </c>
      <c r="AS29" s="198" t="s">
        <v>110</v>
      </c>
      <c r="AT29" s="198" t="s">
        <v>110</v>
      </c>
      <c r="AU29" s="274">
        <v>45937</v>
      </c>
      <c r="AV29" s="198" t="s">
        <v>110</v>
      </c>
      <c r="AW29" s="198" t="s">
        <v>110</v>
      </c>
      <c r="AX29" s="274">
        <v>45947</v>
      </c>
      <c r="AY29" s="140">
        <v>45947</v>
      </c>
      <c r="AZ29" s="140" t="s">
        <v>33</v>
      </c>
      <c r="BA29" s="145" t="s">
        <v>113</v>
      </c>
      <c r="BB29" s="198" t="s">
        <v>110</v>
      </c>
      <c r="BC29" s="142">
        <f t="shared" si="0"/>
        <v>53</v>
      </c>
      <c r="BD29" s="134" t="str">
        <f t="shared" si="1"/>
        <v>INDENIZAÇÃO</v>
      </c>
      <c r="BE29" s="134" t="str">
        <f t="shared" si="2"/>
        <v>NÃO</v>
      </c>
      <c r="BF29" s="198" t="s">
        <v>24</v>
      </c>
      <c r="BG29" s="198" t="s">
        <v>24</v>
      </c>
      <c r="BH29" s="198" t="s">
        <v>24</v>
      </c>
      <c r="BI29" s="149" t="s">
        <v>110</v>
      </c>
      <c r="BJ29" s="149" t="s">
        <v>110</v>
      </c>
      <c r="BK29" s="194">
        <v>46231</v>
      </c>
      <c r="BL29" s="145" t="s">
        <v>114</v>
      </c>
      <c r="BM29" s="145"/>
    </row>
    <row r="30" spans="1:103" s="276" customFormat="1" ht="30" hidden="1" customHeight="1" x14ac:dyDescent="0.25">
      <c r="A30" s="134">
        <v>17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190</v>
      </c>
      <c r="G30" s="149" t="s">
        <v>102</v>
      </c>
      <c r="H30" s="149" t="s">
        <v>103</v>
      </c>
      <c r="I30" s="149" t="s">
        <v>104</v>
      </c>
      <c r="J30" s="152" t="s">
        <v>191</v>
      </c>
      <c r="K30" s="152" t="s">
        <v>192</v>
      </c>
      <c r="L30" s="152" t="s">
        <v>193</v>
      </c>
      <c r="M30" s="134" t="s">
        <v>4</v>
      </c>
      <c r="N30" s="134" t="s">
        <v>5</v>
      </c>
      <c r="O30" s="274">
        <v>46001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191</v>
      </c>
      <c r="AC30" s="152" t="s">
        <v>192</v>
      </c>
      <c r="AD30" s="152" t="s">
        <v>193</v>
      </c>
      <c r="AE30" s="149" t="s">
        <v>108</v>
      </c>
      <c r="AF30" s="134" t="s">
        <v>4</v>
      </c>
      <c r="AG30" s="208">
        <v>30881.25</v>
      </c>
      <c r="AH30" s="208">
        <v>60000</v>
      </c>
      <c r="AI30" s="231" t="s">
        <v>6</v>
      </c>
      <c r="AJ30" s="138" t="s">
        <v>109</v>
      </c>
      <c r="AK30" s="275">
        <v>142053894</v>
      </c>
      <c r="AL30" s="134" t="s">
        <v>110</v>
      </c>
      <c r="AM30" s="134" t="s">
        <v>110</v>
      </c>
      <c r="AN30" s="273" t="s">
        <v>111</v>
      </c>
      <c r="AO30" s="273"/>
      <c r="AP30" s="152" t="s">
        <v>194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194">
        <v>46021</v>
      </c>
      <c r="AV30" s="198" t="s">
        <v>110</v>
      </c>
      <c r="AW30" s="198" t="s">
        <v>110</v>
      </c>
      <c r="AX30" s="194">
        <v>46041</v>
      </c>
      <c r="AY30" s="197">
        <v>46041</v>
      </c>
      <c r="AZ30" s="197" t="s">
        <v>33</v>
      </c>
      <c r="BA30" s="145" t="s">
        <v>113</v>
      </c>
      <c r="BB30" s="149" t="s">
        <v>110</v>
      </c>
      <c r="BC30" s="142">
        <f t="shared" si="0"/>
        <v>40</v>
      </c>
      <c r="BD30" s="134" t="str">
        <f t="shared" si="1"/>
        <v>INDENIZAÇÃO</v>
      </c>
      <c r="BE30" s="134" t="str">
        <f t="shared" si="2"/>
        <v>NÃO</v>
      </c>
      <c r="BF30" s="149" t="s">
        <v>24</v>
      </c>
      <c r="BG30" s="149" t="s">
        <v>24</v>
      </c>
      <c r="BH30" s="149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20"/>
      <c r="CE30" s="120"/>
      <c r="CF30" s="120"/>
      <c r="CG30" s="120"/>
      <c r="CH30" s="120"/>
      <c r="CI30" s="120"/>
      <c r="CJ30" s="120"/>
      <c r="CK30" s="120"/>
      <c r="CL30" s="120"/>
      <c r="CM30" s="120"/>
      <c r="CN30" s="120"/>
      <c r="CO30" s="120"/>
      <c r="CP30" s="120"/>
      <c r="CQ30" s="120"/>
      <c r="CR30" s="120"/>
      <c r="CS30" s="120"/>
      <c r="CT30" s="120"/>
      <c r="CU30" s="120"/>
      <c r="CV30" s="120"/>
      <c r="CW30" s="120"/>
      <c r="CX30" s="120"/>
      <c r="CY30" s="120"/>
    </row>
    <row r="31" spans="1:103" s="121" customFormat="1" ht="30" hidden="1" customHeight="1" x14ac:dyDescent="0.25">
      <c r="A31" s="134">
        <v>18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195</v>
      </c>
      <c r="G31" s="149" t="s">
        <v>102</v>
      </c>
      <c r="H31" s="149" t="s">
        <v>103</v>
      </c>
      <c r="I31" s="149" t="s">
        <v>104</v>
      </c>
      <c r="J31" s="152" t="s">
        <v>196</v>
      </c>
      <c r="K31" s="152" t="s">
        <v>197</v>
      </c>
      <c r="L31" s="152" t="s">
        <v>198</v>
      </c>
      <c r="M31" s="134" t="s">
        <v>4</v>
      </c>
      <c r="N31" s="134" t="s">
        <v>5</v>
      </c>
      <c r="O31" s="274">
        <v>45894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196</v>
      </c>
      <c r="AC31" s="152" t="s">
        <v>197</v>
      </c>
      <c r="AD31" s="152" t="s">
        <v>198</v>
      </c>
      <c r="AE31" s="149" t="s">
        <v>108</v>
      </c>
      <c r="AF31" s="134" t="s">
        <v>4</v>
      </c>
      <c r="AG31" s="208">
        <v>49197.74</v>
      </c>
      <c r="AH31" s="208">
        <v>60000</v>
      </c>
      <c r="AI31" s="231" t="s">
        <v>6</v>
      </c>
      <c r="AJ31" s="138" t="s">
        <v>109</v>
      </c>
      <c r="AK31" s="275">
        <v>128821794</v>
      </c>
      <c r="AL31" s="134" t="s">
        <v>110</v>
      </c>
      <c r="AM31" s="134" t="s">
        <v>110</v>
      </c>
      <c r="AN31" s="273" t="s">
        <v>111</v>
      </c>
      <c r="AO31" s="273"/>
      <c r="AP31" s="199" t="s">
        <v>199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274">
        <v>45937</v>
      </c>
      <c r="AV31" s="198" t="s">
        <v>110</v>
      </c>
      <c r="AW31" s="198" t="s">
        <v>110</v>
      </c>
      <c r="AX31" s="274">
        <v>45975</v>
      </c>
      <c r="AY31" s="197">
        <v>45975</v>
      </c>
      <c r="AZ31" s="197" t="s">
        <v>33</v>
      </c>
      <c r="BA31" s="145" t="s">
        <v>113</v>
      </c>
      <c r="BB31" s="149" t="s">
        <v>110</v>
      </c>
      <c r="BC31" s="142">
        <f t="shared" si="0"/>
        <v>81</v>
      </c>
      <c r="BD31" s="134" t="str">
        <f t="shared" si="1"/>
        <v>INDENIZAÇÃO</v>
      </c>
      <c r="BE31" s="134" t="str">
        <f t="shared" si="2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hidden="1" customHeight="1" x14ac:dyDescent="0.25">
      <c r="A32" s="134">
        <v>19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200</v>
      </c>
      <c r="G32" s="149" t="s">
        <v>102</v>
      </c>
      <c r="H32" s="149" t="s">
        <v>103</v>
      </c>
      <c r="I32" s="149" t="s">
        <v>104</v>
      </c>
      <c r="J32" s="152" t="s">
        <v>201</v>
      </c>
      <c r="K32" s="152" t="s">
        <v>202</v>
      </c>
      <c r="L32" s="152" t="s">
        <v>203</v>
      </c>
      <c r="M32" s="134" t="s">
        <v>4</v>
      </c>
      <c r="N32" s="134" t="s">
        <v>204</v>
      </c>
      <c r="O32" s="274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273"/>
      <c r="AB32" s="152" t="s">
        <v>201</v>
      </c>
      <c r="AC32" s="152" t="s">
        <v>202</v>
      </c>
      <c r="AD32" s="152" t="s">
        <v>203</v>
      </c>
      <c r="AE32" s="273"/>
      <c r="AF32" s="134"/>
      <c r="AG32" s="208"/>
      <c r="AH32" s="208"/>
      <c r="AI32" s="231"/>
      <c r="AJ32" s="138"/>
      <c r="AK32" s="275"/>
      <c r="AL32" s="134"/>
      <c r="AM32" s="134"/>
      <c r="AN32" s="273"/>
      <c r="AO32" s="273"/>
      <c r="AP32" s="199"/>
      <c r="AQ32" s="198"/>
      <c r="AR32" s="198"/>
      <c r="AS32" s="198"/>
      <c r="AT32" s="198"/>
      <c r="AU32" s="274"/>
      <c r="AV32" s="198"/>
      <c r="AW32" s="198"/>
      <c r="AX32" s="274"/>
      <c r="AY32" s="140"/>
      <c r="AZ32" s="141"/>
      <c r="BA32" s="145"/>
      <c r="BB32" s="198"/>
      <c r="BC32" s="142" t="str">
        <f t="shared" si="0"/>
        <v/>
      </c>
      <c r="BD32" s="134" t="str">
        <f t="shared" si="1"/>
        <v>INDENIZAÇÃO</v>
      </c>
      <c r="BE32" s="134" t="str">
        <f t="shared" si="2"/>
        <v>NÃO</v>
      </c>
      <c r="BF32" s="198"/>
      <c r="BG32" s="198"/>
      <c r="BH32" s="198"/>
      <c r="BI32" s="198"/>
      <c r="BJ32" s="198"/>
      <c r="BK32" s="274"/>
      <c r="BL32" s="198"/>
      <c r="BM32" s="198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hidden="1" customHeight="1" x14ac:dyDescent="0.25">
      <c r="A33" s="134">
        <v>20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205</v>
      </c>
      <c r="G33" s="149" t="s">
        <v>102</v>
      </c>
      <c r="H33" s="149" t="s">
        <v>103</v>
      </c>
      <c r="I33" s="149" t="s">
        <v>104</v>
      </c>
      <c r="J33" s="152" t="s">
        <v>206</v>
      </c>
      <c r="K33" s="152" t="s">
        <v>207</v>
      </c>
      <c r="L33" s="152" t="s">
        <v>208</v>
      </c>
      <c r="M33" s="134" t="s">
        <v>4</v>
      </c>
      <c r="N33" s="134" t="s">
        <v>5</v>
      </c>
      <c r="O33" s="274">
        <v>45905</v>
      </c>
      <c r="P33" s="139" t="s">
        <v>24</v>
      </c>
      <c r="Q33" s="139" t="s">
        <v>24</v>
      </c>
      <c r="R33" s="139" t="s">
        <v>24</v>
      </c>
      <c r="S33" s="139" t="s">
        <v>24</v>
      </c>
      <c r="T33" s="139" t="s">
        <v>24</v>
      </c>
      <c r="U33" s="139" t="s">
        <v>24</v>
      </c>
      <c r="V33" s="139" t="s">
        <v>24</v>
      </c>
      <c r="W33" s="139" t="s">
        <v>24</v>
      </c>
      <c r="X33" s="139" t="s">
        <v>24</v>
      </c>
      <c r="Y33" s="139" t="s">
        <v>24</v>
      </c>
      <c r="Z33" s="139" t="s">
        <v>24</v>
      </c>
      <c r="AA33" s="273"/>
      <c r="AB33" s="152" t="s">
        <v>206</v>
      </c>
      <c r="AC33" s="152" t="s">
        <v>207</v>
      </c>
      <c r="AD33" s="152" t="s">
        <v>208</v>
      </c>
      <c r="AE33" s="149" t="s">
        <v>108</v>
      </c>
      <c r="AF33" s="134" t="s">
        <v>4</v>
      </c>
      <c r="AG33" s="208">
        <v>3653.17</v>
      </c>
      <c r="AH33" s="208">
        <v>33653.17</v>
      </c>
      <c r="AI33" s="231" t="s">
        <v>6</v>
      </c>
      <c r="AJ33" s="138" t="s">
        <v>109</v>
      </c>
      <c r="AK33" s="275">
        <v>128822058</v>
      </c>
      <c r="AL33" s="134" t="s">
        <v>110</v>
      </c>
      <c r="AM33" s="134" t="s">
        <v>110</v>
      </c>
      <c r="AN33" s="273" t="s">
        <v>111</v>
      </c>
      <c r="AO33" s="273"/>
      <c r="AP33" s="199" t="s">
        <v>209</v>
      </c>
      <c r="AQ33" s="198" t="s">
        <v>110</v>
      </c>
      <c r="AR33" s="198" t="s">
        <v>110</v>
      </c>
      <c r="AS33" s="198" t="s">
        <v>110</v>
      </c>
      <c r="AT33" s="198" t="s">
        <v>110</v>
      </c>
      <c r="AU33" s="274">
        <v>45937</v>
      </c>
      <c r="AV33" s="198" t="s">
        <v>110</v>
      </c>
      <c r="AW33" s="198" t="s">
        <v>110</v>
      </c>
      <c r="AX33" s="274">
        <v>45947</v>
      </c>
      <c r="AY33" s="140">
        <v>45947</v>
      </c>
      <c r="AZ33" s="140" t="s">
        <v>33</v>
      </c>
      <c r="BA33" s="145" t="s">
        <v>113</v>
      </c>
      <c r="BB33" s="198" t="s">
        <v>110</v>
      </c>
      <c r="BC33" s="142">
        <f t="shared" si="0"/>
        <v>42</v>
      </c>
      <c r="BD33" s="134" t="str">
        <f t="shared" si="1"/>
        <v>INDENIZAÇÃO</v>
      </c>
      <c r="BE33" s="134" t="str">
        <f t="shared" si="2"/>
        <v>NÃO</v>
      </c>
      <c r="BF33" s="198" t="s">
        <v>24</v>
      </c>
      <c r="BG33" s="198" t="s">
        <v>24</v>
      </c>
      <c r="BH33" s="198" t="s">
        <v>24</v>
      </c>
      <c r="BI33" s="149" t="s">
        <v>110</v>
      </c>
      <c r="BJ33" s="149" t="s">
        <v>110</v>
      </c>
      <c r="BK33" s="194">
        <v>46231</v>
      </c>
      <c r="BL33" s="145" t="s">
        <v>114</v>
      </c>
      <c r="BM33" s="145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hidden="1" customHeight="1" x14ac:dyDescent="0.25">
      <c r="A34" s="134">
        <v>21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210</v>
      </c>
      <c r="G34" s="149" t="s">
        <v>102</v>
      </c>
      <c r="H34" s="149" t="s">
        <v>103</v>
      </c>
      <c r="I34" s="149" t="s">
        <v>104</v>
      </c>
      <c r="J34" s="152" t="s">
        <v>211</v>
      </c>
      <c r="K34" s="152" t="s">
        <v>212</v>
      </c>
      <c r="L34" s="152" t="s">
        <v>213</v>
      </c>
      <c r="M34" s="134" t="s">
        <v>4</v>
      </c>
      <c r="N34" s="134" t="s">
        <v>5</v>
      </c>
      <c r="O34" s="274">
        <v>46063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211</v>
      </c>
      <c r="AC34" s="152" t="s">
        <v>212</v>
      </c>
      <c r="AD34" s="152" t="s">
        <v>213</v>
      </c>
      <c r="AE34" s="149" t="s">
        <v>108</v>
      </c>
      <c r="AF34" s="134" t="s">
        <v>4</v>
      </c>
      <c r="AG34" s="208">
        <v>15372.17</v>
      </c>
      <c r="AH34" s="208">
        <v>45372.17</v>
      </c>
      <c r="AI34" s="231" t="s">
        <v>6</v>
      </c>
      <c r="AJ34" s="138" t="s">
        <v>109</v>
      </c>
      <c r="AK34" s="275">
        <v>149983688</v>
      </c>
      <c r="AL34" s="149" t="s">
        <v>110</v>
      </c>
      <c r="AM34" s="134" t="s">
        <v>110</v>
      </c>
      <c r="AN34" s="134" t="s">
        <v>111</v>
      </c>
      <c r="AO34" s="273"/>
      <c r="AP34" s="199" t="s">
        <v>214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144">
        <v>46142</v>
      </c>
      <c r="AV34" s="198" t="s">
        <v>110</v>
      </c>
      <c r="AW34" s="198" t="s">
        <v>110</v>
      </c>
      <c r="AX34" s="144">
        <v>46153</v>
      </c>
      <c r="AY34" s="140">
        <v>46153</v>
      </c>
      <c r="AZ34" s="145" t="s">
        <v>33</v>
      </c>
      <c r="BA34" s="145" t="s">
        <v>113</v>
      </c>
      <c r="BB34" s="149" t="s">
        <v>110</v>
      </c>
      <c r="BC34" s="142">
        <f t="shared" si="0"/>
        <v>90</v>
      </c>
      <c r="BD34" s="134" t="str">
        <f t="shared" si="1"/>
        <v>INDENIZAÇÃO</v>
      </c>
      <c r="BE34" s="134" t="str">
        <f t="shared" si="2"/>
        <v>NÃO</v>
      </c>
      <c r="BF34" s="149" t="s">
        <v>24</v>
      </c>
      <c r="BG34" s="149" t="s">
        <v>24</v>
      </c>
      <c r="BH34" s="149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hidden="1" customHeight="1" x14ac:dyDescent="0.25">
      <c r="A35" s="134">
        <v>22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215</v>
      </c>
      <c r="G35" s="149" t="s">
        <v>102</v>
      </c>
      <c r="H35" s="149" t="s">
        <v>103</v>
      </c>
      <c r="I35" s="149" t="s">
        <v>104</v>
      </c>
      <c r="J35" s="152" t="s">
        <v>216</v>
      </c>
      <c r="K35" s="152" t="s">
        <v>217</v>
      </c>
      <c r="L35" s="152" t="s">
        <v>218</v>
      </c>
      <c r="M35" s="134" t="s">
        <v>4</v>
      </c>
      <c r="N35" s="134" t="s">
        <v>204</v>
      </c>
      <c r="O35" s="274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273"/>
      <c r="AB35" s="152" t="s">
        <v>216</v>
      </c>
      <c r="AC35" s="152" t="s">
        <v>217</v>
      </c>
      <c r="AD35" s="152" t="s">
        <v>218</v>
      </c>
      <c r="AE35" s="273"/>
      <c r="AF35" s="134"/>
      <c r="AG35" s="208"/>
      <c r="AH35" s="208"/>
      <c r="AI35" s="231"/>
      <c r="AJ35" s="138"/>
      <c r="AK35" s="275"/>
      <c r="AL35" s="134"/>
      <c r="AM35" s="134"/>
      <c r="AN35" s="273"/>
      <c r="AO35" s="273"/>
      <c r="AP35" s="276"/>
      <c r="AQ35" s="198"/>
      <c r="AR35" s="198"/>
      <c r="AS35" s="198"/>
      <c r="AT35" s="198"/>
      <c r="AU35" s="274"/>
      <c r="AV35" s="198"/>
      <c r="AW35" s="198"/>
      <c r="AX35" s="274"/>
      <c r="AY35" s="140"/>
      <c r="AZ35" s="140"/>
      <c r="BA35" s="145"/>
      <c r="BB35" s="198"/>
      <c r="BC35" s="142" t="str">
        <f t="shared" si="0"/>
        <v/>
      </c>
      <c r="BD35" s="134" t="str">
        <f t="shared" si="1"/>
        <v>INDENIZAÇÃO</v>
      </c>
      <c r="BE35" s="134" t="str">
        <f t="shared" si="2"/>
        <v>NÃO</v>
      </c>
      <c r="BF35" s="198"/>
      <c r="BG35" s="198"/>
      <c r="BH35" s="198"/>
      <c r="BI35" s="145"/>
      <c r="BJ35" s="145"/>
      <c r="BK35" s="279"/>
      <c r="BL35" s="145"/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hidden="1" customHeight="1" x14ac:dyDescent="0.25">
      <c r="A36" s="134">
        <v>23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219</v>
      </c>
      <c r="G36" s="149" t="s">
        <v>102</v>
      </c>
      <c r="H36" s="149" t="s">
        <v>103</v>
      </c>
      <c r="I36" s="149" t="s">
        <v>104</v>
      </c>
      <c r="J36" s="152" t="s">
        <v>220</v>
      </c>
      <c r="K36" s="152" t="s">
        <v>221</v>
      </c>
      <c r="L36" s="152" t="s">
        <v>222</v>
      </c>
      <c r="M36" s="134" t="s">
        <v>4</v>
      </c>
      <c r="N36" s="134" t="s">
        <v>204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220</v>
      </c>
      <c r="AC36" s="152" t="s">
        <v>221</v>
      </c>
      <c r="AD36" s="152" t="s">
        <v>222</v>
      </c>
      <c r="AE36" s="149" t="s">
        <v>108</v>
      </c>
      <c r="AF36" s="134" t="s">
        <v>4</v>
      </c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0"/>
        <v/>
      </c>
      <c r="BD36" s="134" t="str">
        <f t="shared" si="1"/>
        <v>INDENIZAÇÃO</v>
      </c>
      <c r="BE36" s="134" t="str">
        <f t="shared" si="2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hidden="1" customHeight="1" x14ac:dyDescent="0.25">
      <c r="A37" s="134">
        <v>24</v>
      </c>
      <c r="B37" s="134" t="s">
        <v>99</v>
      </c>
      <c r="C37" s="134">
        <v>2</v>
      </c>
      <c r="D37" s="134" t="s">
        <v>100</v>
      </c>
      <c r="E37" s="134" t="s">
        <v>100</v>
      </c>
      <c r="F37" s="152" t="s">
        <v>223</v>
      </c>
      <c r="G37" s="149" t="s">
        <v>102</v>
      </c>
      <c r="H37" s="149" t="s">
        <v>103</v>
      </c>
      <c r="I37" s="149" t="s">
        <v>104</v>
      </c>
      <c r="J37" s="152" t="s">
        <v>224</v>
      </c>
      <c r="K37" s="152" t="s">
        <v>225</v>
      </c>
      <c r="L37" s="152" t="s">
        <v>226</v>
      </c>
      <c r="M37" s="149" t="s">
        <v>4</v>
      </c>
      <c r="N37" s="149" t="s">
        <v>5</v>
      </c>
      <c r="O37" s="194">
        <v>45929</v>
      </c>
      <c r="P37" s="139" t="s">
        <v>24</v>
      </c>
      <c r="Q37" s="139" t="s">
        <v>24</v>
      </c>
      <c r="R37" s="139" t="s">
        <v>24</v>
      </c>
      <c r="S37" s="139" t="s">
        <v>24</v>
      </c>
      <c r="T37" s="139" t="s">
        <v>24</v>
      </c>
      <c r="U37" s="139" t="s">
        <v>24</v>
      </c>
      <c r="V37" s="139" t="s">
        <v>24</v>
      </c>
      <c r="W37" s="139" t="s">
        <v>24</v>
      </c>
      <c r="X37" s="139" t="s">
        <v>24</v>
      </c>
      <c r="Y37" s="139" t="s">
        <v>24</v>
      </c>
      <c r="Z37" s="139" t="s">
        <v>24</v>
      </c>
      <c r="AA37" s="149"/>
      <c r="AB37" s="152" t="s">
        <v>224</v>
      </c>
      <c r="AC37" s="152" t="s">
        <v>225</v>
      </c>
      <c r="AD37" s="152" t="s">
        <v>226</v>
      </c>
      <c r="AE37" s="149" t="s">
        <v>108</v>
      </c>
      <c r="AF37" s="149" t="s">
        <v>4</v>
      </c>
      <c r="AG37" s="208">
        <v>42209.31</v>
      </c>
      <c r="AH37" s="208">
        <v>60000</v>
      </c>
      <c r="AI37" s="234" t="s">
        <v>6</v>
      </c>
      <c r="AJ37" s="138" t="s">
        <v>109</v>
      </c>
      <c r="AK37" s="200">
        <v>142054025</v>
      </c>
      <c r="AL37" s="134" t="s">
        <v>110</v>
      </c>
      <c r="AM37" s="134" t="s">
        <v>110</v>
      </c>
      <c r="AN37" s="149" t="s">
        <v>111</v>
      </c>
      <c r="AO37" s="283"/>
      <c r="AP37" s="276" t="s">
        <v>227</v>
      </c>
      <c r="AQ37" s="198" t="s">
        <v>110</v>
      </c>
      <c r="AR37" s="198" t="s">
        <v>110</v>
      </c>
      <c r="AS37" s="198" t="s">
        <v>110</v>
      </c>
      <c r="AT37" s="198" t="s">
        <v>110</v>
      </c>
      <c r="AU37" s="194">
        <v>45974</v>
      </c>
      <c r="AV37" s="198" t="s">
        <v>110</v>
      </c>
      <c r="AW37" s="198" t="s">
        <v>110</v>
      </c>
      <c r="AX37" s="194">
        <v>45980</v>
      </c>
      <c r="AY37" s="197">
        <v>45980</v>
      </c>
      <c r="AZ37" s="197" t="s">
        <v>33</v>
      </c>
      <c r="BA37" s="145" t="s">
        <v>113</v>
      </c>
      <c r="BB37" s="149" t="s">
        <v>110</v>
      </c>
      <c r="BC37" s="142">
        <f t="shared" si="0"/>
        <v>51</v>
      </c>
      <c r="BD37" s="134" t="str">
        <f t="shared" si="1"/>
        <v>INDENIZAÇÃO</v>
      </c>
      <c r="BE37" s="134" t="str">
        <f t="shared" si="2"/>
        <v>NÃO</v>
      </c>
      <c r="BF37" s="149" t="s">
        <v>24</v>
      </c>
      <c r="BG37" s="149" t="s">
        <v>24</v>
      </c>
      <c r="BH37" s="149" t="s">
        <v>24</v>
      </c>
      <c r="BI37" s="149" t="s">
        <v>110</v>
      </c>
      <c r="BJ37" s="149" t="s">
        <v>110</v>
      </c>
      <c r="BK37" s="194">
        <v>46231</v>
      </c>
      <c r="BL37" s="145" t="s">
        <v>114</v>
      </c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hidden="1" customHeight="1" x14ac:dyDescent="0.25">
      <c r="A38" s="134">
        <v>25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228</v>
      </c>
      <c r="G38" s="149" t="s">
        <v>102</v>
      </c>
      <c r="H38" s="149" t="s">
        <v>103</v>
      </c>
      <c r="I38" s="149" t="s">
        <v>104</v>
      </c>
      <c r="J38" s="152" t="s">
        <v>229</v>
      </c>
      <c r="K38" s="152" t="s">
        <v>230</v>
      </c>
      <c r="L38" s="152" t="s">
        <v>231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229</v>
      </c>
      <c r="AC38" s="152" t="s">
        <v>230</v>
      </c>
      <c r="AD38" s="152" t="s">
        <v>231</v>
      </c>
      <c r="AE38" s="149" t="s">
        <v>108</v>
      </c>
      <c r="AF38" s="149" t="s">
        <v>4</v>
      </c>
      <c r="AG38" s="208">
        <v>105987.17</v>
      </c>
      <c r="AH38" s="208">
        <v>105987.17</v>
      </c>
      <c r="AI38" s="234" t="s">
        <v>6</v>
      </c>
      <c r="AJ38" s="138" t="s">
        <v>109</v>
      </c>
      <c r="AK38" s="200">
        <v>142054424</v>
      </c>
      <c r="AL38" s="134" t="s">
        <v>110</v>
      </c>
      <c r="AM38" s="134" t="s">
        <v>110</v>
      </c>
      <c r="AN38" s="149" t="s">
        <v>111</v>
      </c>
      <c r="AO38" s="226"/>
      <c r="AP38" s="276" t="s">
        <v>232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0"/>
        <v>51</v>
      </c>
      <c r="BD38" s="134" t="str">
        <f t="shared" si="1"/>
        <v>INDENIZAÇÃO</v>
      </c>
      <c r="BE38" s="134" t="str">
        <f t="shared" si="2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hidden="1" customHeight="1" x14ac:dyDescent="0.25">
      <c r="A39" s="134">
        <v>26</v>
      </c>
      <c r="B39" s="273" t="s">
        <v>99</v>
      </c>
      <c r="C39" s="273">
        <v>2</v>
      </c>
      <c r="D39" s="273" t="s">
        <v>100</v>
      </c>
      <c r="E39" s="273" t="s">
        <v>100</v>
      </c>
      <c r="F39" s="199" t="s">
        <v>233</v>
      </c>
      <c r="G39" s="149" t="s">
        <v>102</v>
      </c>
      <c r="H39" s="149" t="s">
        <v>103</v>
      </c>
      <c r="I39" s="149" t="s">
        <v>104</v>
      </c>
      <c r="J39" s="152" t="s">
        <v>234</v>
      </c>
      <c r="K39" s="152" t="s">
        <v>235</v>
      </c>
      <c r="L39" s="152" t="s">
        <v>236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234</v>
      </c>
      <c r="AC39" s="152" t="s">
        <v>235</v>
      </c>
      <c r="AD39" s="152" t="s">
        <v>236</v>
      </c>
      <c r="AE39" s="149" t="s">
        <v>108</v>
      </c>
      <c r="AF39" s="149" t="s">
        <v>4</v>
      </c>
      <c r="AG39" s="208">
        <v>47627.75</v>
      </c>
      <c r="AH39" s="208">
        <v>60000</v>
      </c>
      <c r="AI39" s="149" t="s">
        <v>6</v>
      </c>
      <c r="AJ39" s="138" t="s">
        <v>109</v>
      </c>
      <c r="AK39" s="149">
        <v>142054521</v>
      </c>
      <c r="AL39" s="134" t="s">
        <v>110</v>
      </c>
      <c r="AM39" s="134" t="s">
        <v>110</v>
      </c>
      <c r="AN39" s="149" t="s">
        <v>111</v>
      </c>
      <c r="AO39" s="226"/>
      <c r="AP39" s="276" t="s">
        <v>237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0"/>
        <v>51</v>
      </c>
      <c r="BD39" s="134" t="str">
        <f t="shared" si="1"/>
        <v>INDENIZAÇÃO</v>
      </c>
      <c r="BE39" s="134" t="str">
        <f t="shared" si="2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hidden="1" customHeight="1" x14ac:dyDescent="0.25">
      <c r="A40" s="134">
        <v>27</v>
      </c>
      <c r="B40" s="134" t="s">
        <v>99</v>
      </c>
      <c r="C40" s="134">
        <v>2</v>
      </c>
      <c r="D40" s="134" t="s">
        <v>100</v>
      </c>
      <c r="E40" s="134" t="s">
        <v>100</v>
      </c>
      <c r="F40" s="152" t="s">
        <v>238</v>
      </c>
      <c r="G40" s="149" t="s">
        <v>102</v>
      </c>
      <c r="H40" s="149" t="s">
        <v>103</v>
      </c>
      <c r="I40" s="149" t="s">
        <v>104</v>
      </c>
      <c r="J40" s="152" t="s">
        <v>239</v>
      </c>
      <c r="K40" s="152" t="s">
        <v>240</v>
      </c>
      <c r="L40" s="152" t="s">
        <v>241</v>
      </c>
      <c r="M40" s="149" t="s">
        <v>4</v>
      </c>
      <c r="N40" s="149" t="s">
        <v>5</v>
      </c>
      <c r="O40" s="194">
        <v>45959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239</v>
      </c>
      <c r="AC40" s="152" t="s">
        <v>240</v>
      </c>
      <c r="AD40" s="152" t="s">
        <v>241</v>
      </c>
      <c r="AE40" s="149" t="s">
        <v>108</v>
      </c>
      <c r="AF40" s="149" t="s">
        <v>4</v>
      </c>
      <c r="AG40" s="208">
        <v>55268.79</v>
      </c>
      <c r="AH40" s="208">
        <v>60000</v>
      </c>
      <c r="AI40" s="149" t="s">
        <v>6</v>
      </c>
      <c r="AJ40" s="138" t="s">
        <v>109</v>
      </c>
      <c r="AK40" s="149">
        <v>144756915</v>
      </c>
      <c r="AL40" s="198" t="s">
        <v>110</v>
      </c>
      <c r="AM40" s="134" t="s">
        <v>110</v>
      </c>
      <c r="AN40" s="273" t="s">
        <v>111</v>
      </c>
      <c r="AO40" s="149" t="s">
        <v>242</v>
      </c>
      <c r="AP40" s="276" t="s">
        <v>243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46021</v>
      </c>
      <c r="AV40" s="198" t="s">
        <v>110</v>
      </c>
      <c r="AW40" s="198" t="s">
        <v>110</v>
      </c>
      <c r="AX40" s="194">
        <v>46041</v>
      </c>
      <c r="AY40" s="197">
        <v>46041</v>
      </c>
      <c r="AZ40" s="197" t="s">
        <v>33</v>
      </c>
      <c r="BA40" s="145" t="s">
        <v>113</v>
      </c>
      <c r="BB40" s="149" t="s">
        <v>110</v>
      </c>
      <c r="BC40" s="142">
        <f t="shared" si="0"/>
        <v>82</v>
      </c>
      <c r="BD40" s="134" t="str">
        <f t="shared" si="1"/>
        <v>INDENIZAÇÃO</v>
      </c>
      <c r="BE40" s="134" t="str">
        <f t="shared" si="2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hidden="1" customHeight="1" x14ac:dyDescent="0.25">
      <c r="A41" s="134">
        <v>28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244</v>
      </c>
      <c r="G41" s="149" t="s">
        <v>102</v>
      </c>
      <c r="H41" s="149" t="s">
        <v>103</v>
      </c>
      <c r="I41" s="149" t="s">
        <v>104</v>
      </c>
      <c r="J41" s="152" t="s">
        <v>245</v>
      </c>
      <c r="K41" s="152" t="s">
        <v>246</v>
      </c>
      <c r="L41" s="152" t="s">
        <v>247</v>
      </c>
      <c r="M41" s="149" t="s">
        <v>4</v>
      </c>
      <c r="N41" s="149" t="s">
        <v>5</v>
      </c>
      <c r="O41" s="194">
        <v>45929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245</v>
      </c>
      <c r="AC41" s="152" t="s">
        <v>246</v>
      </c>
      <c r="AD41" s="152" t="s">
        <v>247</v>
      </c>
      <c r="AE41" s="149" t="s">
        <v>108</v>
      </c>
      <c r="AF41" s="149" t="s">
        <v>4</v>
      </c>
      <c r="AG41" s="208">
        <v>94771.8</v>
      </c>
      <c r="AH41" s="208">
        <v>94771.8</v>
      </c>
      <c r="AI41" s="149" t="s">
        <v>6</v>
      </c>
      <c r="AJ41" s="138" t="s">
        <v>109</v>
      </c>
      <c r="AK41" s="149">
        <v>142054614</v>
      </c>
      <c r="AL41" s="134" t="s">
        <v>110</v>
      </c>
      <c r="AM41" s="134" t="s">
        <v>110</v>
      </c>
      <c r="AN41" s="149" t="s">
        <v>111</v>
      </c>
      <c r="AO41" s="226"/>
      <c r="AP41" s="276" t="s">
        <v>248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45974</v>
      </c>
      <c r="AV41" s="198" t="s">
        <v>110</v>
      </c>
      <c r="AW41" s="198" t="s">
        <v>110</v>
      </c>
      <c r="AX41" s="194">
        <v>45980</v>
      </c>
      <c r="AY41" s="197">
        <v>45980</v>
      </c>
      <c r="AZ41" s="197" t="s">
        <v>33</v>
      </c>
      <c r="BA41" s="145" t="s">
        <v>113</v>
      </c>
      <c r="BB41" s="149" t="s">
        <v>110</v>
      </c>
      <c r="BC41" s="142">
        <f t="shared" si="0"/>
        <v>51</v>
      </c>
      <c r="BD41" s="134" t="str">
        <f t="shared" si="1"/>
        <v>INDENIZAÇÃO</v>
      </c>
      <c r="BE41" s="134" t="str">
        <f t="shared" si="2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hidden="1" customHeight="1" x14ac:dyDescent="0.25">
      <c r="A42" s="134">
        <v>29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249</v>
      </c>
      <c r="G42" s="149" t="s">
        <v>102</v>
      </c>
      <c r="H42" s="149" t="s">
        <v>103</v>
      </c>
      <c r="I42" s="149" t="s">
        <v>104</v>
      </c>
      <c r="J42" s="152" t="s">
        <v>250</v>
      </c>
      <c r="K42" s="152" t="s">
        <v>251</v>
      </c>
      <c r="L42" s="152" t="s">
        <v>252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250</v>
      </c>
      <c r="AC42" s="152" t="s">
        <v>251</v>
      </c>
      <c r="AD42" s="152" t="s">
        <v>252</v>
      </c>
      <c r="AE42" s="149" t="s">
        <v>108</v>
      </c>
      <c r="AF42" s="149" t="s">
        <v>4</v>
      </c>
      <c r="AG42" s="208">
        <v>74754.58</v>
      </c>
      <c r="AH42" s="208">
        <v>74754.58</v>
      </c>
      <c r="AI42" s="149" t="s">
        <v>6</v>
      </c>
      <c r="AJ42" s="138" t="s">
        <v>109</v>
      </c>
      <c r="AK42" s="149">
        <v>142054660</v>
      </c>
      <c r="AL42" s="134" t="s">
        <v>110</v>
      </c>
      <c r="AM42" s="134" t="s">
        <v>110</v>
      </c>
      <c r="AN42" s="149" t="s">
        <v>111</v>
      </c>
      <c r="AO42" s="226"/>
      <c r="AP42" s="276" t="s">
        <v>253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0"/>
        <v>51</v>
      </c>
      <c r="BD42" s="134" t="str">
        <f t="shared" si="1"/>
        <v>INDENIZAÇÃO</v>
      </c>
      <c r="BE42" s="134" t="str">
        <f t="shared" si="2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28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</row>
    <row r="43" spans="1:103" s="134" customFormat="1" ht="30" hidden="1" customHeight="1" x14ac:dyDescent="0.25">
      <c r="A43" s="134">
        <v>30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254</v>
      </c>
      <c r="G43" s="149" t="s">
        <v>102</v>
      </c>
      <c r="H43" s="149" t="s">
        <v>103</v>
      </c>
      <c r="I43" s="149" t="s">
        <v>104</v>
      </c>
      <c r="J43" s="152" t="s">
        <v>255</v>
      </c>
      <c r="K43" s="152" t="s">
        <v>256</v>
      </c>
      <c r="L43" s="152" t="s">
        <v>257</v>
      </c>
      <c r="M43" s="149" t="s">
        <v>4</v>
      </c>
      <c r="N43" s="149" t="s">
        <v>5</v>
      </c>
      <c r="O43" s="194">
        <v>46001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255</v>
      </c>
      <c r="AC43" s="152" t="s">
        <v>256</v>
      </c>
      <c r="AD43" s="152" t="s">
        <v>257</v>
      </c>
      <c r="AE43" s="149" t="s">
        <v>108</v>
      </c>
      <c r="AF43" s="149" t="s">
        <v>4</v>
      </c>
      <c r="AG43" s="208">
        <v>94771.8</v>
      </c>
      <c r="AH43" s="208">
        <v>94771.8</v>
      </c>
      <c r="AI43" s="149" t="s">
        <v>6</v>
      </c>
      <c r="AJ43" s="138" t="s">
        <v>109</v>
      </c>
      <c r="AK43" s="149">
        <v>142054714</v>
      </c>
      <c r="AL43" s="134" t="s">
        <v>110</v>
      </c>
      <c r="AM43" s="134" t="s">
        <v>110</v>
      </c>
      <c r="AN43" s="149" t="s">
        <v>111</v>
      </c>
      <c r="AO43" s="149"/>
      <c r="AP43" s="276" t="s">
        <v>258</v>
      </c>
      <c r="AQ43" s="134" t="s">
        <v>110</v>
      </c>
      <c r="AR43" s="134" t="s">
        <v>110</v>
      </c>
      <c r="AS43" s="134" t="s">
        <v>110</v>
      </c>
      <c r="AT43" s="134" t="s">
        <v>110</v>
      </c>
      <c r="AU43" s="144">
        <v>46098</v>
      </c>
      <c r="AV43" s="134" t="s">
        <v>110</v>
      </c>
      <c r="AW43" s="134" t="s">
        <v>110</v>
      </c>
      <c r="AX43" s="144">
        <v>46108</v>
      </c>
      <c r="AY43" s="197">
        <v>46108</v>
      </c>
      <c r="AZ43" s="145" t="s">
        <v>33</v>
      </c>
      <c r="BA43" s="145" t="s">
        <v>113</v>
      </c>
      <c r="BB43" s="149" t="s">
        <v>110</v>
      </c>
      <c r="BC43" s="142">
        <f t="shared" si="0"/>
        <v>107</v>
      </c>
      <c r="BD43" s="134" t="str">
        <f t="shared" si="1"/>
        <v>INDENIZAÇÃO</v>
      </c>
      <c r="BE43" s="134" t="str">
        <f t="shared" si="2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333"/>
      <c r="BO43" s="333"/>
      <c r="BP43" s="333"/>
      <c r="CI43" s="211"/>
    </row>
    <row r="44" spans="1:103" s="134" customFormat="1" ht="30" hidden="1" customHeight="1" x14ac:dyDescent="0.25">
      <c r="A44" s="134">
        <v>31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259</v>
      </c>
      <c r="G44" s="149" t="s">
        <v>102</v>
      </c>
      <c r="H44" s="149" t="s">
        <v>103</v>
      </c>
      <c r="I44" s="149" t="s">
        <v>104</v>
      </c>
      <c r="J44" s="152" t="s">
        <v>260</v>
      </c>
      <c r="K44" s="152" t="s">
        <v>261</v>
      </c>
      <c r="L44" s="152" t="s">
        <v>262</v>
      </c>
      <c r="M44" s="149" t="s">
        <v>4</v>
      </c>
      <c r="N44" s="149" t="s">
        <v>5</v>
      </c>
      <c r="O44" s="194">
        <v>46057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260</v>
      </c>
      <c r="AC44" s="152" t="s">
        <v>261</v>
      </c>
      <c r="AD44" s="152" t="s">
        <v>262</v>
      </c>
      <c r="AE44" s="149" t="s">
        <v>108</v>
      </c>
      <c r="AF44" s="149" t="s">
        <v>4</v>
      </c>
      <c r="AG44" s="208">
        <v>54206.78</v>
      </c>
      <c r="AH44" s="208">
        <v>60000</v>
      </c>
      <c r="AI44" s="149" t="s">
        <v>6</v>
      </c>
      <c r="AJ44" s="138" t="s">
        <v>109</v>
      </c>
      <c r="AK44" s="149">
        <v>128822494</v>
      </c>
      <c r="AL44" s="149" t="s">
        <v>110</v>
      </c>
      <c r="AM44" s="134" t="s">
        <v>110</v>
      </c>
      <c r="AN44" s="134" t="s">
        <v>111</v>
      </c>
      <c r="AO44" s="226"/>
      <c r="AP44" s="276" t="s">
        <v>263</v>
      </c>
      <c r="AQ44" s="198" t="s">
        <v>110</v>
      </c>
      <c r="AR44" s="198" t="s">
        <v>110</v>
      </c>
      <c r="AS44" s="198" t="s">
        <v>110</v>
      </c>
      <c r="AT44" s="198" t="s">
        <v>110</v>
      </c>
      <c r="AU44" s="144">
        <v>46142</v>
      </c>
      <c r="AV44" s="198" t="s">
        <v>110</v>
      </c>
      <c r="AW44" s="134" t="s">
        <v>110</v>
      </c>
      <c r="AX44" s="144">
        <v>46171</v>
      </c>
      <c r="AY44" s="140">
        <v>46171</v>
      </c>
      <c r="AZ44" s="197" t="s">
        <v>33</v>
      </c>
      <c r="BA44" s="145" t="s">
        <v>113</v>
      </c>
      <c r="BB44" s="149" t="s">
        <v>110</v>
      </c>
      <c r="BC44" s="142">
        <f t="shared" si="0"/>
        <v>114</v>
      </c>
      <c r="BD44" s="134" t="str">
        <f t="shared" si="1"/>
        <v>INDENIZAÇÃO</v>
      </c>
      <c r="BE44" s="134" t="str">
        <f t="shared" si="2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 x14ac:dyDescent="0.25">
      <c r="A45" s="134">
        <v>32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264</v>
      </c>
      <c r="G45" s="149" t="s">
        <v>102</v>
      </c>
      <c r="H45" s="149" t="s">
        <v>103</v>
      </c>
      <c r="I45" s="149" t="s">
        <v>104</v>
      </c>
      <c r="J45" s="152" t="s">
        <v>265</v>
      </c>
      <c r="K45" s="152" t="s">
        <v>266</v>
      </c>
      <c r="L45" s="152" t="s">
        <v>267</v>
      </c>
      <c r="M45" s="149" t="s">
        <v>4</v>
      </c>
      <c r="N45" s="149" t="s">
        <v>5</v>
      </c>
      <c r="O45" s="194">
        <v>46077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265</v>
      </c>
      <c r="AC45" s="152" t="s">
        <v>266</v>
      </c>
      <c r="AD45" s="152" t="s">
        <v>267</v>
      </c>
      <c r="AE45" s="149" t="s">
        <v>108</v>
      </c>
      <c r="AF45" s="149" t="s">
        <v>4</v>
      </c>
      <c r="AG45" s="208">
        <v>99276.28</v>
      </c>
      <c r="AH45" s="208">
        <v>99276.28</v>
      </c>
      <c r="AI45" s="149" t="s">
        <v>6</v>
      </c>
      <c r="AJ45" s="138" t="s">
        <v>109</v>
      </c>
      <c r="AK45" s="149">
        <v>128823660</v>
      </c>
      <c r="AL45" s="149" t="s">
        <v>110</v>
      </c>
      <c r="AM45" s="134" t="s">
        <v>110</v>
      </c>
      <c r="AN45" s="149" t="s">
        <v>111</v>
      </c>
      <c r="AO45" s="226"/>
      <c r="AP45" s="276" t="s">
        <v>268</v>
      </c>
      <c r="AQ45" s="149" t="s">
        <v>110</v>
      </c>
      <c r="AR45" s="149" t="s">
        <v>110</v>
      </c>
      <c r="AS45" s="149" t="s">
        <v>110</v>
      </c>
      <c r="AT45" s="149" t="s">
        <v>110</v>
      </c>
      <c r="AU45" s="194">
        <v>46182</v>
      </c>
      <c r="AV45" s="149" t="s">
        <v>110</v>
      </c>
      <c r="AW45" s="149" t="s">
        <v>110</v>
      </c>
      <c r="AX45" s="194">
        <v>46223</v>
      </c>
      <c r="AY45" s="197">
        <v>46223</v>
      </c>
      <c r="AZ45" s="197" t="s">
        <v>33</v>
      </c>
      <c r="BA45" s="145" t="s">
        <v>113</v>
      </c>
      <c r="BB45" s="149" t="s">
        <v>110</v>
      </c>
      <c r="BC45" s="142">
        <f t="shared" si="0"/>
        <v>146</v>
      </c>
      <c r="BD45" s="134" t="str">
        <f t="shared" si="1"/>
        <v>INDENIZAÇÃO</v>
      </c>
      <c r="BE45" s="134" t="str">
        <f t="shared" si="2"/>
        <v>NÃO</v>
      </c>
      <c r="BF45" s="149" t="s">
        <v>24</v>
      </c>
      <c r="BG45" s="149" t="s">
        <v>24</v>
      </c>
      <c r="BH45" s="149" t="s">
        <v>24</v>
      </c>
      <c r="BI45" s="198" t="s">
        <v>110</v>
      </c>
      <c r="BJ45" s="145" t="s">
        <v>33</v>
      </c>
      <c r="BK45" s="145"/>
      <c r="BL45" s="145"/>
      <c r="BM45" s="145"/>
      <c r="CI45" s="211"/>
    </row>
    <row r="46" spans="1:103" s="134" customFormat="1" ht="30" customHeight="1" x14ac:dyDescent="0.25">
      <c r="A46" s="134">
        <v>15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269</v>
      </c>
      <c r="G46" s="149" t="s">
        <v>102</v>
      </c>
      <c r="H46" s="149" t="s">
        <v>103</v>
      </c>
      <c r="I46" s="149" t="s">
        <v>104</v>
      </c>
      <c r="J46" s="152" t="s">
        <v>270</v>
      </c>
      <c r="K46" s="152" t="s">
        <v>271</v>
      </c>
      <c r="L46" s="152" t="s">
        <v>272</v>
      </c>
      <c r="M46" s="149" t="s">
        <v>4</v>
      </c>
      <c r="N46" s="149" t="s">
        <v>5</v>
      </c>
      <c r="O46" s="194">
        <v>46139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270</v>
      </c>
      <c r="AC46" s="152" t="s">
        <v>271</v>
      </c>
      <c r="AD46" s="152" t="s">
        <v>272</v>
      </c>
      <c r="AE46" s="149" t="s">
        <v>108</v>
      </c>
      <c r="AF46" s="149" t="s">
        <v>4</v>
      </c>
      <c r="AG46" s="208">
        <v>9604.58</v>
      </c>
      <c r="AH46" s="208">
        <v>39604.58</v>
      </c>
      <c r="AI46" s="234" t="s">
        <v>6</v>
      </c>
      <c r="AJ46" s="138" t="s">
        <v>109</v>
      </c>
      <c r="AK46" s="275" t="s">
        <v>273</v>
      </c>
      <c r="AL46" s="134" t="s">
        <v>110</v>
      </c>
      <c r="AM46" s="134" t="s">
        <v>110</v>
      </c>
      <c r="AN46" s="273" t="s">
        <v>111</v>
      </c>
      <c r="AO46" s="226"/>
      <c r="AP46" s="276" t="s">
        <v>274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46189</v>
      </c>
      <c r="AY46" s="197">
        <v>46189</v>
      </c>
      <c r="AZ46" s="145" t="s">
        <v>33</v>
      </c>
      <c r="BA46" s="145" t="s">
        <v>113</v>
      </c>
      <c r="BB46" s="149" t="s">
        <v>110</v>
      </c>
      <c r="BC46" s="142">
        <f t="shared" si="0"/>
        <v>50</v>
      </c>
      <c r="BD46" s="134" t="str">
        <f t="shared" si="1"/>
        <v>INDENIZAÇÃO</v>
      </c>
      <c r="BE46" s="134" t="str">
        <f t="shared" si="2"/>
        <v>NÃO</v>
      </c>
      <c r="BF46" s="149" t="s">
        <v>24</v>
      </c>
      <c r="BG46" s="149" t="s">
        <v>24</v>
      </c>
      <c r="BH46" s="149" t="s">
        <v>24</v>
      </c>
      <c r="BI46" s="198" t="s">
        <v>110</v>
      </c>
      <c r="BJ46" s="145" t="s">
        <v>33</v>
      </c>
      <c r="BK46" s="145"/>
      <c r="BL46" s="145"/>
      <c r="BM46" s="145"/>
      <c r="BN46" s="199"/>
      <c r="BO46" s="199"/>
      <c r="BP46" s="199"/>
      <c r="BQ46" s="199"/>
      <c r="BR46" s="199"/>
      <c r="BS46" s="199"/>
      <c r="BT46" s="199"/>
      <c r="BU46" s="199"/>
      <c r="BV46" s="199"/>
      <c r="BW46" s="199"/>
      <c r="BX46" s="199"/>
      <c r="BY46" s="199"/>
      <c r="BZ46" s="199"/>
      <c r="CA46" s="199"/>
      <c r="CB46" s="199"/>
      <c r="CC46" s="199"/>
      <c r="CD46" s="199"/>
      <c r="CE46" s="199"/>
      <c r="CF46" s="199"/>
      <c r="CG46" s="199"/>
      <c r="CH46" s="199"/>
      <c r="CI46" s="281"/>
      <c r="CJ46" s="199"/>
      <c r="CK46" s="199"/>
      <c r="CL46" s="199"/>
      <c r="CM46" s="199"/>
      <c r="CN46" s="199"/>
      <c r="CO46" s="199"/>
      <c r="CP46" s="199"/>
      <c r="CQ46" s="199"/>
      <c r="CR46" s="199"/>
      <c r="CS46" s="199"/>
      <c r="CT46" s="199"/>
      <c r="CU46" s="199"/>
      <c r="CV46" s="199"/>
      <c r="CW46" s="199"/>
      <c r="CX46" s="199"/>
      <c r="CY46" s="199"/>
    </row>
    <row r="47" spans="1:103" s="134" customFormat="1" ht="30" hidden="1" customHeight="1" x14ac:dyDescent="0.25">
      <c r="B47" s="134" t="s">
        <v>99</v>
      </c>
      <c r="C47" s="134">
        <v>2</v>
      </c>
      <c r="D47" s="134" t="s">
        <v>100</v>
      </c>
      <c r="E47" s="134" t="s">
        <v>100</v>
      </c>
      <c r="F47" s="152" t="s">
        <v>275</v>
      </c>
      <c r="G47" s="149" t="s">
        <v>102</v>
      </c>
      <c r="H47" s="149" t="s">
        <v>103</v>
      </c>
      <c r="I47" s="149" t="s">
        <v>104</v>
      </c>
      <c r="J47" s="332" t="s">
        <v>276</v>
      </c>
      <c r="K47" s="332" t="s">
        <v>277</v>
      </c>
      <c r="L47" s="332" t="s">
        <v>278</v>
      </c>
      <c r="M47" s="149" t="s">
        <v>4</v>
      </c>
      <c r="N47" s="149" t="s">
        <v>5</v>
      </c>
      <c r="O47" s="194">
        <v>46255</v>
      </c>
      <c r="P47" s="139" t="s">
        <v>24</v>
      </c>
      <c r="Q47" s="139" t="s">
        <v>24</v>
      </c>
      <c r="R47" s="139" t="s">
        <v>24</v>
      </c>
      <c r="S47" s="139" t="s">
        <v>24</v>
      </c>
      <c r="T47" s="139" t="s">
        <v>24</v>
      </c>
      <c r="U47" s="139" t="s">
        <v>24</v>
      </c>
      <c r="V47" s="139" t="s">
        <v>24</v>
      </c>
      <c r="W47" s="139" t="s">
        <v>24</v>
      </c>
      <c r="X47" s="139" t="s">
        <v>24</v>
      </c>
      <c r="Y47" s="139" t="s">
        <v>24</v>
      </c>
      <c r="Z47" s="139" t="s">
        <v>24</v>
      </c>
      <c r="AA47" s="149"/>
      <c r="AB47" s="332" t="s">
        <v>276</v>
      </c>
      <c r="AC47" s="332" t="s">
        <v>277</v>
      </c>
      <c r="AD47" s="332" t="s">
        <v>278</v>
      </c>
      <c r="AE47" s="149" t="s">
        <v>108</v>
      </c>
      <c r="AF47" s="149" t="s">
        <v>4</v>
      </c>
      <c r="AG47" s="208">
        <v>20377.18</v>
      </c>
      <c r="AH47" s="208">
        <v>50377.18</v>
      </c>
      <c r="AI47" s="234" t="s">
        <v>6</v>
      </c>
      <c r="AJ47" s="138" t="s">
        <v>109</v>
      </c>
      <c r="AK47" s="198">
        <v>163100919</v>
      </c>
      <c r="AL47" s="134" t="s">
        <v>279</v>
      </c>
      <c r="AM47" s="134" t="s">
        <v>110</v>
      </c>
      <c r="AN47" s="273" t="s">
        <v>280</v>
      </c>
      <c r="AO47" s="226"/>
      <c r="AP47" s="276"/>
      <c r="AQ47" s="149"/>
      <c r="AR47" s="149"/>
      <c r="AS47" s="149"/>
      <c r="AT47" s="149"/>
      <c r="AU47" s="194"/>
      <c r="AV47" s="149"/>
      <c r="AW47" s="149"/>
      <c r="AX47" s="194"/>
      <c r="AY47" s="197"/>
      <c r="AZ47" s="145"/>
      <c r="BA47" s="145"/>
      <c r="BB47" s="149"/>
      <c r="BC47" s="142"/>
      <c r="BF47" s="149"/>
      <c r="BG47" s="149"/>
      <c r="BH47" s="149"/>
      <c r="BI47" s="145"/>
      <c r="BJ47" s="145"/>
      <c r="BK47" s="145"/>
      <c r="BL47" s="145"/>
      <c r="BM47" s="145"/>
      <c r="BN47" s="276"/>
      <c r="BO47" s="276"/>
      <c r="BP47" s="276"/>
      <c r="BQ47" s="199"/>
      <c r="BR47" s="199"/>
      <c r="BS47" s="199"/>
      <c r="BT47" s="199"/>
      <c r="BU47" s="199"/>
      <c r="BV47" s="199"/>
      <c r="BW47" s="199"/>
      <c r="BX47" s="199"/>
      <c r="BY47" s="199"/>
      <c r="BZ47" s="199"/>
      <c r="CA47" s="199"/>
      <c r="CB47" s="199"/>
      <c r="CC47" s="199"/>
      <c r="CD47" s="199"/>
      <c r="CE47" s="199"/>
      <c r="CF47" s="199"/>
      <c r="CG47" s="199"/>
      <c r="CH47" s="199"/>
      <c r="CI47" s="281"/>
      <c r="CJ47" s="199"/>
      <c r="CK47" s="199"/>
      <c r="CL47" s="199"/>
      <c r="CM47" s="199"/>
      <c r="CN47" s="199"/>
      <c r="CO47" s="199"/>
      <c r="CP47" s="199"/>
      <c r="CQ47" s="199"/>
      <c r="CR47" s="199"/>
      <c r="CS47" s="199"/>
      <c r="CT47" s="199"/>
      <c r="CU47" s="199"/>
      <c r="CV47" s="199"/>
      <c r="CW47" s="199"/>
      <c r="CX47" s="199"/>
      <c r="CY47" s="199"/>
    </row>
    <row r="48" spans="1:103" s="149" customFormat="1" ht="30" hidden="1" customHeight="1" x14ac:dyDescent="0.25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281</v>
      </c>
      <c r="G48" s="149" t="s">
        <v>102</v>
      </c>
      <c r="H48" s="149" t="s">
        <v>103</v>
      </c>
      <c r="I48" s="149" t="s">
        <v>104</v>
      </c>
      <c r="J48" s="152" t="s">
        <v>282</v>
      </c>
      <c r="K48" s="152" t="s">
        <v>283</v>
      </c>
      <c r="L48" s="152" t="s">
        <v>284</v>
      </c>
      <c r="M48" s="149" t="s">
        <v>4</v>
      </c>
      <c r="N48" s="149" t="s">
        <v>204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282</v>
      </c>
      <c r="AC48" s="152" t="s">
        <v>283</v>
      </c>
      <c r="AD48" s="152" t="s">
        <v>284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ref="BC48:BC76" si="3">IF(AY48-KD48=0,"",AY48-O48)</f>
        <v/>
      </c>
      <c r="BD48" s="134" t="str">
        <f t="shared" ref="BD48:BD76" si="4">IF(AND(AI48&lt;&gt;"SIM",AI48="UH"),"AA","INDENIZAÇÃO")</f>
        <v>INDENIZAÇÃO</v>
      </c>
      <c r="BE48" s="134" t="str">
        <f t="shared" ref="BE48:BE76" si="5">IF(AND(AY48&lt;&gt;"AGUARDANDO",AY48&lt;&gt;"",N48="AUXÍLIO ALUGUEL ATÉ INDENIZAÇÃO"),"SIM","NÃO")</f>
        <v>NÃO</v>
      </c>
      <c r="BG48" s="194"/>
      <c r="BH48" s="194"/>
      <c r="CI48" s="200"/>
    </row>
    <row r="49" spans="1:87" s="149" customFormat="1" ht="30" hidden="1" customHeight="1" x14ac:dyDescent="0.25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285</v>
      </c>
      <c r="G49" s="149" t="s">
        <v>102</v>
      </c>
      <c r="H49" s="149" t="s">
        <v>103</v>
      </c>
      <c r="I49" s="149" t="s">
        <v>104</v>
      </c>
      <c r="J49" s="152" t="s">
        <v>286</v>
      </c>
      <c r="K49" s="152" t="s">
        <v>156</v>
      </c>
      <c r="L49" s="152" t="s">
        <v>287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286</v>
      </c>
      <c r="AC49" s="152" t="s">
        <v>156</v>
      </c>
      <c r="AD49" s="152" t="s">
        <v>287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288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hidden="1" customHeight="1" x14ac:dyDescent="0.25">
      <c r="A50" s="134">
        <v>36</v>
      </c>
      <c r="B50" s="134" t="s">
        <v>99</v>
      </c>
      <c r="C50" s="134">
        <v>2</v>
      </c>
      <c r="D50" s="134" t="s">
        <v>156</v>
      </c>
      <c r="E50" s="134" t="s">
        <v>100</v>
      </c>
      <c r="F50" s="152" t="s">
        <v>289</v>
      </c>
      <c r="G50" s="149" t="s">
        <v>102</v>
      </c>
      <c r="H50" s="149" t="s">
        <v>103</v>
      </c>
      <c r="I50" s="149" t="s">
        <v>104</v>
      </c>
      <c r="J50" s="152" t="s">
        <v>290</v>
      </c>
      <c r="K50" s="152" t="s">
        <v>291</v>
      </c>
      <c r="L50" s="152" t="s">
        <v>292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290</v>
      </c>
      <c r="AC50" s="152" t="s">
        <v>291</v>
      </c>
      <c r="AD50" s="152" t="s">
        <v>292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293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294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hidden="1" customHeight="1" x14ac:dyDescent="0.25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295</v>
      </c>
      <c r="G51" s="149" t="s">
        <v>102</v>
      </c>
      <c r="H51" s="149" t="s">
        <v>103</v>
      </c>
      <c r="I51" s="149" t="s">
        <v>104</v>
      </c>
      <c r="J51" s="152" t="s">
        <v>296</v>
      </c>
      <c r="K51" s="152" t="s">
        <v>297</v>
      </c>
      <c r="L51" s="152" t="s">
        <v>298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296</v>
      </c>
      <c r="AC51" s="152" t="s">
        <v>297</v>
      </c>
      <c r="AD51" s="152" t="s">
        <v>298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299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 x14ac:dyDescent="0.25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300</v>
      </c>
      <c r="G52" s="149" t="s">
        <v>102</v>
      </c>
      <c r="H52" s="149" t="s">
        <v>103</v>
      </c>
      <c r="I52" s="149" t="s">
        <v>104</v>
      </c>
      <c r="J52" s="152" t="s">
        <v>301</v>
      </c>
      <c r="K52" s="152" t="s">
        <v>302</v>
      </c>
      <c r="L52" s="152" t="s">
        <v>303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301</v>
      </c>
      <c r="AC52" s="152" t="s">
        <v>302</v>
      </c>
      <c r="AD52" s="152" t="s">
        <v>303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304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98" t="s">
        <v>110</v>
      </c>
      <c r="BJ52" s="145" t="s">
        <v>33</v>
      </c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 x14ac:dyDescent="0.25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305</v>
      </c>
      <c r="G53" s="149" t="s">
        <v>102</v>
      </c>
      <c r="H53" s="149" t="s">
        <v>103</v>
      </c>
      <c r="I53" s="149" t="s">
        <v>104</v>
      </c>
      <c r="J53" s="152" t="s">
        <v>306</v>
      </c>
      <c r="K53" s="152" t="s">
        <v>307</v>
      </c>
      <c r="L53" s="152" t="s">
        <v>308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306</v>
      </c>
      <c r="AC53" s="152" t="s">
        <v>307</v>
      </c>
      <c r="AD53" s="152" t="s">
        <v>308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309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98" t="s">
        <v>110</v>
      </c>
      <c r="BJ53" s="145" t="s">
        <v>33</v>
      </c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 x14ac:dyDescent="0.25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310</v>
      </c>
      <c r="G54" s="149" t="s">
        <v>102</v>
      </c>
      <c r="H54" s="149" t="s">
        <v>103</v>
      </c>
      <c r="I54" s="149" t="s">
        <v>104</v>
      </c>
      <c r="J54" s="152" t="s">
        <v>311</v>
      </c>
      <c r="K54" s="152" t="s">
        <v>312</v>
      </c>
      <c r="L54" s="152" t="s">
        <v>313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311</v>
      </c>
      <c r="AC54" s="152" t="s">
        <v>312</v>
      </c>
      <c r="AD54" s="152" t="s">
        <v>313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293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314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98" t="s">
        <v>110</v>
      </c>
      <c r="BJ54" s="145" t="s">
        <v>33</v>
      </c>
      <c r="BK54" s="145"/>
      <c r="BL54" s="145"/>
      <c r="BM54" s="145"/>
      <c r="CI54" s="200"/>
    </row>
    <row r="55" spans="1:87" s="149" customFormat="1" ht="30" customHeight="1" x14ac:dyDescent="0.25">
      <c r="A55" s="134">
        <v>178</v>
      </c>
      <c r="B55" s="134" t="s">
        <v>99</v>
      </c>
      <c r="C55" s="143">
        <v>2</v>
      </c>
      <c r="D55" s="134" t="s">
        <v>100</v>
      </c>
      <c r="E55" s="134" t="s">
        <v>100</v>
      </c>
      <c r="F55" s="152" t="s">
        <v>315</v>
      </c>
      <c r="G55" s="149" t="s">
        <v>102</v>
      </c>
      <c r="H55" s="149" t="s">
        <v>103</v>
      </c>
      <c r="I55" s="149" t="s">
        <v>104</v>
      </c>
      <c r="J55" s="152" t="s">
        <v>316</v>
      </c>
      <c r="K55" s="152" t="s">
        <v>317</v>
      </c>
      <c r="L55" s="152" t="s">
        <v>318</v>
      </c>
      <c r="M55" s="149" t="s">
        <v>4</v>
      </c>
      <c r="N55" s="149" t="s">
        <v>5</v>
      </c>
      <c r="O55" s="194">
        <v>46155</v>
      </c>
      <c r="P55" s="139" t="s">
        <v>24</v>
      </c>
      <c r="Q55" s="139" t="s">
        <v>24</v>
      </c>
      <c r="R55" s="139" t="s">
        <v>24</v>
      </c>
      <c r="S55" s="139" t="s">
        <v>24</v>
      </c>
      <c r="T55" s="139" t="s">
        <v>24</v>
      </c>
      <c r="U55" s="139" t="s">
        <v>24</v>
      </c>
      <c r="V55" s="139" t="s">
        <v>24</v>
      </c>
      <c r="W55" s="139" t="s">
        <v>24</v>
      </c>
      <c r="X55" s="139" t="s">
        <v>24</v>
      </c>
      <c r="Y55" s="139" t="s">
        <v>24</v>
      </c>
      <c r="Z55" s="139" t="s">
        <v>24</v>
      </c>
      <c r="AB55" s="152" t="s">
        <v>316</v>
      </c>
      <c r="AC55" s="152" t="s">
        <v>317</v>
      </c>
      <c r="AD55" s="152" t="s">
        <v>318</v>
      </c>
      <c r="AE55" s="149" t="s">
        <v>108</v>
      </c>
      <c r="AF55" s="149" t="s">
        <v>4</v>
      </c>
      <c r="AG55" s="208">
        <v>83056.23</v>
      </c>
      <c r="AH55" s="208">
        <v>83056.23</v>
      </c>
      <c r="AI55" s="149" t="s">
        <v>6</v>
      </c>
      <c r="AJ55" s="138" t="s">
        <v>293</v>
      </c>
      <c r="AK55" s="149">
        <v>155556198</v>
      </c>
      <c r="AL55" s="134" t="s">
        <v>110</v>
      </c>
      <c r="AM55" s="134" t="s">
        <v>110</v>
      </c>
      <c r="AN55" s="149" t="s">
        <v>111</v>
      </c>
      <c r="AO55" s="224"/>
      <c r="AP55" s="121" t="s">
        <v>319</v>
      </c>
      <c r="AQ55" s="198" t="s">
        <v>110</v>
      </c>
      <c r="AR55" s="198" t="s">
        <v>110</v>
      </c>
      <c r="AS55" s="198" t="s">
        <v>110</v>
      </c>
      <c r="AT55" s="198" t="s">
        <v>110</v>
      </c>
      <c r="AU55" s="194">
        <v>46195</v>
      </c>
      <c r="AV55" s="198" t="s">
        <v>110</v>
      </c>
      <c r="AW55" s="198" t="s">
        <v>110</v>
      </c>
      <c r="AX55" s="194">
        <v>46199</v>
      </c>
      <c r="AY55" s="197">
        <v>46199</v>
      </c>
      <c r="AZ55" s="145" t="s">
        <v>33</v>
      </c>
      <c r="BA55" s="145" t="s">
        <v>113</v>
      </c>
      <c r="BB55" s="149" t="s">
        <v>110</v>
      </c>
      <c r="BC55" s="142">
        <f t="shared" si="3"/>
        <v>44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98" t="s">
        <v>110</v>
      </c>
      <c r="BJ55" s="145" t="s">
        <v>33</v>
      </c>
      <c r="BK55" s="145"/>
      <c r="BL55" s="145"/>
      <c r="BM55" s="145"/>
      <c r="BN55" s="276"/>
      <c r="BO55" s="276"/>
      <c r="CI55" s="200"/>
    </row>
    <row r="56" spans="1:87" s="149" customFormat="1" ht="30" customHeight="1" x14ac:dyDescent="0.25">
      <c r="A56" s="134">
        <v>289</v>
      </c>
      <c r="B56" s="134" t="s">
        <v>99</v>
      </c>
      <c r="C56" s="143">
        <v>2</v>
      </c>
      <c r="D56" s="134" t="s">
        <v>100</v>
      </c>
      <c r="E56" s="134" t="s">
        <v>100</v>
      </c>
      <c r="F56" s="152" t="s">
        <v>320</v>
      </c>
      <c r="G56" s="149" t="s">
        <v>102</v>
      </c>
      <c r="H56" s="149" t="s">
        <v>103</v>
      </c>
      <c r="I56" s="149" t="s">
        <v>104</v>
      </c>
      <c r="J56" s="152" t="s">
        <v>321</v>
      </c>
      <c r="K56" s="152" t="s">
        <v>322</v>
      </c>
      <c r="L56" s="152" t="s">
        <v>323</v>
      </c>
      <c r="M56" s="149" t="s">
        <v>4</v>
      </c>
      <c r="N56" s="149" t="s">
        <v>5</v>
      </c>
      <c r="O56" s="194">
        <v>46141</v>
      </c>
      <c r="P56" s="139" t="s">
        <v>24</v>
      </c>
      <c r="Q56" s="139" t="s">
        <v>24</v>
      </c>
      <c r="R56" s="139" t="s">
        <v>24</v>
      </c>
      <c r="S56" s="139" t="s">
        <v>24</v>
      </c>
      <c r="T56" s="139" t="s">
        <v>24</v>
      </c>
      <c r="U56" s="139" t="s">
        <v>24</v>
      </c>
      <c r="V56" s="139" t="s">
        <v>24</v>
      </c>
      <c r="W56" s="139" t="s">
        <v>24</v>
      </c>
      <c r="X56" s="139" t="s">
        <v>24</v>
      </c>
      <c r="Y56" s="139" t="s">
        <v>24</v>
      </c>
      <c r="Z56" s="139" t="s">
        <v>24</v>
      </c>
      <c r="AB56" s="152" t="s">
        <v>324</v>
      </c>
      <c r="AC56" s="152" t="s">
        <v>322</v>
      </c>
      <c r="AD56" s="152" t="s">
        <v>323</v>
      </c>
      <c r="AE56" s="149" t="s">
        <v>108</v>
      </c>
      <c r="AF56" s="149" t="s">
        <v>4</v>
      </c>
      <c r="AG56" s="208">
        <v>32597.07</v>
      </c>
      <c r="AH56" s="208">
        <v>60000</v>
      </c>
      <c r="AI56" s="149" t="s">
        <v>6</v>
      </c>
      <c r="AJ56" s="138" t="s">
        <v>293</v>
      </c>
      <c r="AK56" s="149">
        <v>153151461</v>
      </c>
      <c r="AL56" s="134" t="s">
        <v>110</v>
      </c>
      <c r="AM56" s="134" t="s">
        <v>110</v>
      </c>
      <c r="AN56" s="273" t="s">
        <v>111</v>
      </c>
      <c r="AO56" s="224"/>
      <c r="AP56" s="121" t="s">
        <v>325</v>
      </c>
      <c r="AQ56" s="198" t="s">
        <v>110</v>
      </c>
      <c r="AR56" s="198" t="s">
        <v>110</v>
      </c>
      <c r="AS56" s="198" t="s">
        <v>110</v>
      </c>
      <c r="AT56" s="198" t="s">
        <v>110</v>
      </c>
      <c r="AU56" s="194">
        <v>46195</v>
      </c>
      <c r="AV56" s="198" t="s">
        <v>110</v>
      </c>
      <c r="AW56" s="198" t="s">
        <v>110</v>
      </c>
      <c r="AX56" s="194">
        <v>46199</v>
      </c>
      <c r="AY56" s="197">
        <v>46199</v>
      </c>
      <c r="AZ56" s="145" t="s">
        <v>33</v>
      </c>
      <c r="BA56" s="145" t="s">
        <v>113</v>
      </c>
      <c r="BB56" s="149" t="s">
        <v>110</v>
      </c>
      <c r="BC56" s="142">
        <f t="shared" si="3"/>
        <v>58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98" t="s">
        <v>110</v>
      </c>
      <c r="BJ56" s="145" t="s">
        <v>33</v>
      </c>
      <c r="BK56" s="145"/>
      <c r="BL56" s="145"/>
      <c r="BM56" s="145"/>
      <c r="BN56" s="276"/>
      <c r="BO56" s="276"/>
      <c r="CI56" s="200"/>
    </row>
    <row r="57" spans="1:87" s="149" customFormat="1" ht="30" customHeight="1" x14ac:dyDescent="0.25">
      <c r="A57" s="134">
        <v>43</v>
      </c>
      <c r="B57" s="134" t="s">
        <v>99</v>
      </c>
      <c r="C57" s="134">
        <v>2</v>
      </c>
      <c r="D57" s="134"/>
      <c r="E57" s="134"/>
      <c r="F57" s="152" t="s">
        <v>326</v>
      </c>
      <c r="G57" s="149" t="s">
        <v>102</v>
      </c>
      <c r="H57" s="149" t="s">
        <v>103</v>
      </c>
      <c r="I57" s="149" t="s">
        <v>104</v>
      </c>
      <c r="J57" s="152" t="s">
        <v>327</v>
      </c>
      <c r="K57" s="152" t="s">
        <v>328</v>
      </c>
      <c r="L57" s="152" t="s">
        <v>329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327</v>
      </c>
      <c r="AC57" s="152" t="s">
        <v>328</v>
      </c>
      <c r="AD57" s="152" t="s">
        <v>329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293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330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98" t="s">
        <v>110</v>
      </c>
      <c r="BJ57" s="145" t="s">
        <v>33</v>
      </c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 x14ac:dyDescent="0.25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331</v>
      </c>
      <c r="G58" s="149" t="s">
        <v>102</v>
      </c>
      <c r="H58" s="149" t="s">
        <v>103</v>
      </c>
      <c r="I58" s="149" t="s">
        <v>104</v>
      </c>
      <c r="J58" s="152" t="s">
        <v>332</v>
      </c>
      <c r="K58" s="152" t="s">
        <v>333</v>
      </c>
      <c r="L58" s="152" t="s">
        <v>334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332</v>
      </c>
      <c r="AC58" s="152" t="s">
        <v>333</v>
      </c>
      <c r="AD58" s="152" t="s">
        <v>334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293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335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98" t="s">
        <v>110</v>
      </c>
      <c r="BJ58" s="145" t="s">
        <v>33</v>
      </c>
      <c r="BK58" s="279"/>
      <c r="BL58" s="145"/>
      <c r="BM58" s="145"/>
      <c r="CI58" s="200"/>
    </row>
    <row r="59" spans="1:87" s="149" customFormat="1" ht="30" customHeight="1" x14ac:dyDescent="0.25">
      <c r="A59" s="134">
        <v>45</v>
      </c>
      <c r="B59" s="134" t="s">
        <v>99</v>
      </c>
      <c r="C59" s="134">
        <v>2</v>
      </c>
      <c r="D59" s="134" t="s">
        <v>100</v>
      </c>
      <c r="E59" s="134" t="s">
        <v>100</v>
      </c>
      <c r="F59" s="152" t="s">
        <v>336</v>
      </c>
      <c r="G59" s="149" t="s">
        <v>337</v>
      </c>
      <c r="H59" s="149" t="s">
        <v>103</v>
      </c>
      <c r="I59" s="149" t="s">
        <v>338</v>
      </c>
      <c r="J59" s="152" t="s">
        <v>339</v>
      </c>
      <c r="K59" s="152" t="s">
        <v>340</v>
      </c>
      <c r="L59" s="152" t="s">
        <v>341</v>
      </c>
      <c r="M59" s="149" t="s">
        <v>4</v>
      </c>
      <c r="N59" s="149" t="s">
        <v>5</v>
      </c>
      <c r="O59" s="194">
        <v>46141</v>
      </c>
      <c r="P59" s="139" t="s">
        <v>24</v>
      </c>
      <c r="Q59" s="139" t="s">
        <v>24</v>
      </c>
      <c r="R59" s="139" t="s">
        <v>24</v>
      </c>
      <c r="S59" s="139" t="s">
        <v>24</v>
      </c>
      <c r="T59" s="139" t="s">
        <v>24</v>
      </c>
      <c r="U59" s="139" t="s">
        <v>24</v>
      </c>
      <c r="V59" s="139" t="s">
        <v>24</v>
      </c>
      <c r="W59" s="139" t="s">
        <v>24</v>
      </c>
      <c r="X59" s="139" t="s">
        <v>24</v>
      </c>
      <c r="Y59" s="139" t="s">
        <v>24</v>
      </c>
      <c r="Z59" s="139" t="s">
        <v>24</v>
      </c>
      <c r="AB59" s="152" t="s">
        <v>339</v>
      </c>
      <c r="AC59" s="152" t="s">
        <v>340</v>
      </c>
      <c r="AD59" s="152" t="s">
        <v>341</v>
      </c>
      <c r="AE59" s="134" t="s">
        <v>342</v>
      </c>
      <c r="AF59" s="149" t="s">
        <v>4</v>
      </c>
      <c r="AG59" s="208">
        <v>8883.09</v>
      </c>
      <c r="AH59" s="208">
        <v>38883.089999999997</v>
      </c>
      <c r="AI59" s="149" t="s">
        <v>6</v>
      </c>
      <c r="AJ59" s="138" t="s">
        <v>293</v>
      </c>
      <c r="AK59" s="198" t="s">
        <v>343</v>
      </c>
      <c r="AL59" s="134" t="s">
        <v>110</v>
      </c>
      <c r="AM59" s="134" t="s">
        <v>110</v>
      </c>
      <c r="AN59" s="273" t="s">
        <v>111</v>
      </c>
      <c r="AO59" s="224"/>
      <c r="AP59" s="152" t="s">
        <v>344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si="3"/>
        <v>92</v>
      </c>
      <c r="BD59" s="134" t="str">
        <f t="shared" si="4"/>
        <v>INDENIZAÇÃO</v>
      </c>
      <c r="BE59" s="134" t="str">
        <f t="shared" si="5"/>
        <v>NÃO</v>
      </c>
      <c r="BF59" s="134" t="s">
        <v>24</v>
      </c>
      <c r="BG59" s="134" t="s">
        <v>24</v>
      </c>
      <c r="BH59" s="134" t="s">
        <v>24</v>
      </c>
      <c r="BI59" s="198" t="s">
        <v>110</v>
      </c>
      <c r="BJ59" s="145" t="s">
        <v>33</v>
      </c>
      <c r="BK59" s="279"/>
      <c r="BL59" s="145"/>
      <c r="BM59" s="145"/>
      <c r="CI59" s="200"/>
    </row>
    <row r="60" spans="1:87" s="149" customFormat="1" ht="30" customHeight="1" x14ac:dyDescent="0.25">
      <c r="A60" s="134">
        <v>297</v>
      </c>
      <c r="B60" s="134" t="s">
        <v>99</v>
      </c>
      <c r="C60" s="134">
        <v>2</v>
      </c>
      <c r="D60" s="134" t="s">
        <v>100</v>
      </c>
      <c r="E60" s="134" t="s">
        <v>100</v>
      </c>
      <c r="F60" s="152" t="s">
        <v>345</v>
      </c>
      <c r="G60" s="149" t="s">
        <v>337</v>
      </c>
      <c r="H60" s="149" t="s">
        <v>103</v>
      </c>
      <c r="I60" s="149" t="s">
        <v>338</v>
      </c>
      <c r="J60" s="152" t="s">
        <v>346</v>
      </c>
      <c r="K60" s="152" t="s">
        <v>347</v>
      </c>
      <c r="L60" s="152" t="s">
        <v>348</v>
      </c>
      <c r="M60" s="149" t="s">
        <v>4</v>
      </c>
      <c r="N60" s="149" t="s">
        <v>5</v>
      </c>
      <c r="O60" s="194">
        <v>46140</v>
      </c>
      <c r="P60" s="139" t="s">
        <v>24</v>
      </c>
      <c r="Q60" s="139" t="s">
        <v>24</v>
      </c>
      <c r="R60" s="139" t="s">
        <v>24</v>
      </c>
      <c r="S60" s="139" t="s">
        <v>24</v>
      </c>
      <c r="T60" s="139" t="s">
        <v>24</v>
      </c>
      <c r="U60" s="139" t="s">
        <v>24</v>
      </c>
      <c r="V60" s="139" t="s">
        <v>24</v>
      </c>
      <c r="W60" s="139" t="s">
        <v>24</v>
      </c>
      <c r="X60" s="139" t="s">
        <v>24</v>
      </c>
      <c r="Y60" s="139" t="s">
        <v>24</v>
      </c>
      <c r="Z60" s="139" t="s">
        <v>24</v>
      </c>
      <c r="AB60" s="152" t="s">
        <v>346</v>
      </c>
      <c r="AC60" s="152" t="s">
        <v>347</v>
      </c>
      <c r="AD60" s="152" t="s">
        <v>348</v>
      </c>
      <c r="AE60" s="134" t="s">
        <v>342</v>
      </c>
      <c r="AF60" s="149" t="s">
        <v>4</v>
      </c>
      <c r="AG60" s="208">
        <v>13520.66</v>
      </c>
      <c r="AH60" s="208">
        <v>43520.66</v>
      </c>
      <c r="AI60" s="149" t="s">
        <v>6</v>
      </c>
      <c r="AJ60" s="138" t="s">
        <v>293</v>
      </c>
      <c r="AK60" s="149">
        <v>153151571</v>
      </c>
      <c r="AL60" s="134" t="s">
        <v>110</v>
      </c>
      <c r="AM60" s="134" t="s">
        <v>110</v>
      </c>
      <c r="AN60" s="273" t="s">
        <v>111</v>
      </c>
      <c r="AO60" s="224"/>
      <c r="AP60" s="152" t="s">
        <v>349</v>
      </c>
      <c r="AQ60" s="198" t="s">
        <v>110</v>
      </c>
      <c r="AR60" s="198" t="s">
        <v>110</v>
      </c>
      <c r="AS60" s="198" t="s">
        <v>110</v>
      </c>
      <c r="AT60" s="198" t="s">
        <v>110</v>
      </c>
      <c r="AU60" s="194">
        <v>46195</v>
      </c>
      <c r="AV60" s="198" t="s">
        <v>110</v>
      </c>
      <c r="AW60" s="198" t="s">
        <v>110</v>
      </c>
      <c r="AX60" s="194">
        <v>46199</v>
      </c>
      <c r="AY60" s="197">
        <v>46199</v>
      </c>
      <c r="AZ60" s="145" t="s">
        <v>33</v>
      </c>
      <c r="BA60" s="145" t="s">
        <v>113</v>
      </c>
      <c r="BB60" s="149" t="s">
        <v>110</v>
      </c>
      <c r="BC60" s="142">
        <f t="shared" si="3"/>
        <v>59</v>
      </c>
      <c r="BD60" s="134" t="str">
        <f t="shared" si="4"/>
        <v>INDENIZAÇÃO</v>
      </c>
      <c r="BE60" s="134" t="str">
        <f t="shared" si="5"/>
        <v>NÃO</v>
      </c>
      <c r="BF60" s="149" t="s">
        <v>24</v>
      </c>
      <c r="BG60" s="149" t="s">
        <v>24</v>
      </c>
      <c r="BH60" s="149" t="s">
        <v>24</v>
      </c>
      <c r="BI60" s="198" t="s">
        <v>110</v>
      </c>
      <c r="BJ60" s="145" t="s">
        <v>33</v>
      </c>
      <c r="BK60" s="145"/>
      <c r="BL60" s="145"/>
      <c r="BM60" s="145"/>
      <c r="BN60" s="276"/>
      <c r="BO60" s="120"/>
      <c r="CI60" s="200"/>
    </row>
    <row r="61" spans="1:87" s="149" customFormat="1" ht="30" hidden="1" customHeight="1" x14ac:dyDescent="0.25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350</v>
      </c>
      <c r="G61" s="149" t="s">
        <v>102</v>
      </c>
      <c r="H61" s="149" t="s">
        <v>103</v>
      </c>
      <c r="I61" s="149" t="s">
        <v>108</v>
      </c>
      <c r="J61" s="152" t="s">
        <v>351</v>
      </c>
      <c r="K61" s="152" t="s">
        <v>352</v>
      </c>
      <c r="L61" s="152" t="s">
        <v>353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351</v>
      </c>
      <c r="AC61" s="152" t="s">
        <v>352</v>
      </c>
      <c r="AD61" s="152" t="s">
        <v>353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354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355</v>
      </c>
      <c r="BA61" s="245" t="s">
        <v>1</v>
      </c>
      <c r="BB61" s="250" t="s">
        <v>110</v>
      </c>
      <c r="BC61" s="142">
        <f t="shared" si="3"/>
        <v>135</v>
      </c>
      <c r="BD61" s="134" t="str">
        <f t="shared" si="4"/>
        <v>INDENIZAÇÃO</v>
      </c>
      <c r="BE61" s="134" t="str">
        <f t="shared" si="5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hidden="1" customHeight="1" x14ac:dyDescent="0.25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356</v>
      </c>
      <c r="G62" s="149" t="s">
        <v>102</v>
      </c>
      <c r="H62" s="149" t="s">
        <v>103</v>
      </c>
      <c r="I62" s="149" t="s">
        <v>108</v>
      </c>
      <c r="J62" s="152" t="s">
        <v>357</v>
      </c>
      <c r="K62" s="152" t="s">
        <v>358</v>
      </c>
      <c r="L62" s="152" t="s">
        <v>359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357</v>
      </c>
      <c r="AC62" s="152" t="s">
        <v>358</v>
      </c>
      <c r="AD62" s="152" t="s">
        <v>359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360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355</v>
      </c>
      <c r="BA62" s="245" t="s">
        <v>1</v>
      </c>
      <c r="BB62" s="250" t="s">
        <v>110</v>
      </c>
      <c r="BC62" s="142">
        <f t="shared" si="3"/>
        <v>168</v>
      </c>
      <c r="BD62" s="134" t="str">
        <f t="shared" si="4"/>
        <v>INDENIZAÇÃO</v>
      </c>
      <c r="BE62" s="134" t="str">
        <f t="shared" si="5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hidden="1" customHeight="1" x14ac:dyDescent="0.25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361</v>
      </c>
      <c r="G63" s="149" t="s">
        <v>337</v>
      </c>
      <c r="H63" s="149" t="s">
        <v>103</v>
      </c>
      <c r="I63" s="149" t="s">
        <v>342</v>
      </c>
      <c r="J63" s="152" t="s">
        <v>362</v>
      </c>
      <c r="K63" s="152" t="s">
        <v>363</v>
      </c>
      <c r="L63" s="152" t="s">
        <v>364</v>
      </c>
      <c r="M63" s="134" t="s">
        <v>4</v>
      </c>
      <c r="N63" s="214" t="s">
        <v>365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362</v>
      </c>
      <c r="AC63" s="152" t="s">
        <v>363</v>
      </c>
      <c r="AD63" s="152" t="s">
        <v>364</v>
      </c>
      <c r="AE63" s="134" t="s">
        <v>342</v>
      </c>
      <c r="AF63" s="134"/>
      <c r="AG63" s="208" t="s">
        <v>366</v>
      </c>
      <c r="AH63" s="208" t="s">
        <v>366</v>
      </c>
      <c r="AI63" s="134" t="s">
        <v>366</v>
      </c>
      <c r="AJ63" s="134" t="s">
        <v>366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3"/>
        <v/>
      </c>
      <c r="BD63" s="134" t="str">
        <f t="shared" si="4"/>
        <v>INDENIZAÇÃO</v>
      </c>
      <c r="BE63" s="134" t="str">
        <f t="shared" si="5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hidden="1" customHeight="1" x14ac:dyDescent="0.25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367</v>
      </c>
      <c r="G64" s="149" t="s">
        <v>102</v>
      </c>
      <c r="H64" s="149" t="s">
        <v>368</v>
      </c>
      <c r="I64" s="149" t="s">
        <v>342</v>
      </c>
      <c r="J64" s="152" t="s">
        <v>362</v>
      </c>
      <c r="K64" s="152" t="s">
        <v>363</v>
      </c>
      <c r="L64" s="152" t="s">
        <v>364</v>
      </c>
      <c r="M64" s="134" t="s">
        <v>4</v>
      </c>
      <c r="N64" s="134" t="s">
        <v>366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362</v>
      </c>
      <c r="AC64" s="152" t="s">
        <v>363</v>
      </c>
      <c r="AD64" s="152" t="s">
        <v>364</v>
      </c>
      <c r="AE64" s="134" t="s">
        <v>342</v>
      </c>
      <c r="AF64" s="134"/>
      <c r="AG64" s="208" t="s">
        <v>366</v>
      </c>
      <c r="AH64" s="208" t="s">
        <v>366</v>
      </c>
      <c r="AI64" s="134" t="s">
        <v>366</v>
      </c>
      <c r="AJ64" s="134" t="s">
        <v>366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3"/>
        <v/>
      </c>
      <c r="BD64" s="134" t="str">
        <f t="shared" si="4"/>
        <v>INDENIZAÇÃO</v>
      </c>
      <c r="BE64" s="134" t="str">
        <f t="shared" si="5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hidden="1" customHeight="1" x14ac:dyDescent="0.25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369</v>
      </c>
      <c r="G65" s="149" t="s">
        <v>102</v>
      </c>
      <c r="H65" s="149" t="s">
        <v>103</v>
      </c>
      <c r="I65" s="149" t="s">
        <v>108</v>
      </c>
      <c r="J65" s="152" t="s">
        <v>370</v>
      </c>
      <c r="K65" s="152" t="s">
        <v>371</v>
      </c>
      <c r="L65" s="152" t="s">
        <v>372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370</v>
      </c>
      <c r="AC65" s="152" t="s">
        <v>371</v>
      </c>
      <c r="AD65" s="152" t="s">
        <v>372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373</v>
      </c>
      <c r="AP65" s="152" t="s">
        <v>374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3"/>
        <v>78</v>
      </c>
      <c r="BD65" s="134" t="str">
        <f t="shared" si="4"/>
        <v>INDENIZAÇÃO</v>
      </c>
      <c r="BE65" s="134" t="str">
        <f t="shared" si="5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hidden="1" customHeight="1" x14ac:dyDescent="0.25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375</v>
      </c>
      <c r="G66" s="149" t="s">
        <v>10</v>
      </c>
      <c r="H66" s="149" t="s">
        <v>103</v>
      </c>
      <c r="I66" s="149" t="s">
        <v>342</v>
      </c>
      <c r="J66" s="152" t="s">
        <v>376</v>
      </c>
      <c r="K66" s="152" t="s">
        <v>377</v>
      </c>
      <c r="L66" s="152" t="s">
        <v>378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379</v>
      </c>
      <c r="AB66" s="152" t="s">
        <v>376</v>
      </c>
      <c r="AC66" s="152" t="s">
        <v>377</v>
      </c>
      <c r="AD66" s="152" t="s">
        <v>378</v>
      </c>
      <c r="AE66" s="134" t="s">
        <v>342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379</v>
      </c>
      <c r="AP66" s="138" t="s">
        <v>380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3"/>
        <v>57</v>
      </c>
      <c r="BD66" s="134" t="str">
        <f t="shared" si="4"/>
        <v>INDENIZAÇÃO</v>
      </c>
      <c r="BE66" s="134" t="str">
        <f t="shared" si="5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 x14ac:dyDescent="0.25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381</v>
      </c>
      <c r="G67" s="149" t="s">
        <v>102</v>
      </c>
      <c r="H67" s="149" t="s">
        <v>103</v>
      </c>
      <c r="I67" s="149" t="s">
        <v>382</v>
      </c>
      <c r="J67" s="152" t="s">
        <v>383</v>
      </c>
      <c r="K67" s="152" t="s">
        <v>384</v>
      </c>
      <c r="L67" s="152" t="s">
        <v>385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386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387</v>
      </c>
      <c r="AC67" s="152" t="s">
        <v>388</v>
      </c>
      <c r="AD67" s="152" t="s">
        <v>389</v>
      </c>
      <c r="AE67" s="134" t="s">
        <v>342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390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3"/>
        <v>96</v>
      </c>
      <c r="BD67" s="134" t="str">
        <f t="shared" si="4"/>
        <v>INDENIZAÇÃO</v>
      </c>
      <c r="BE67" s="134" t="str">
        <f t="shared" si="5"/>
        <v>NÃO</v>
      </c>
      <c r="BF67" s="198" t="s">
        <v>24</v>
      </c>
      <c r="BG67" s="198" t="s">
        <v>24</v>
      </c>
      <c r="BH67" s="198" t="s">
        <v>24</v>
      </c>
      <c r="BI67" s="198" t="s">
        <v>110</v>
      </c>
      <c r="BJ67" s="145" t="s">
        <v>33</v>
      </c>
      <c r="BK67" s="279"/>
      <c r="BL67" s="145"/>
      <c r="BM67" s="145"/>
      <c r="CI67" s="200"/>
    </row>
    <row r="68" spans="1:87" s="149" customFormat="1" ht="30" customHeight="1" x14ac:dyDescent="0.25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391</v>
      </c>
      <c r="G68" s="149" t="s">
        <v>102</v>
      </c>
      <c r="H68" s="149" t="s">
        <v>368</v>
      </c>
      <c r="I68" s="149" t="s">
        <v>342</v>
      </c>
      <c r="J68" s="152" t="s">
        <v>392</v>
      </c>
      <c r="K68" s="152" t="s">
        <v>393</v>
      </c>
      <c r="L68" s="152" t="s">
        <v>394</v>
      </c>
      <c r="M68" s="134" t="s">
        <v>4</v>
      </c>
      <c r="N68" s="134" t="s">
        <v>5</v>
      </c>
      <c r="O68" s="161" t="s">
        <v>395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392</v>
      </c>
      <c r="AC68" s="152" t="s">
        <v>393</v>
      </c>
      <c r="AD68" s="152" t="s">
        <v>394</v>
      </c>
      <c r="AE68" s="134" t="s">
        <v>342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396</v>
      </c>
      <c r="AL68" s="134" t="s">
        <v>110</v>
      </c>
      <c r="AM68" s="134" t="s">
        <v>110</v>
      </c>
      <c r="AN68" s="273" t="s">
        <v>111</v>
      </c>
      <c r="AO68" s="134"/>
      <c r="AP68" s="138" t="s">
        <v>397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329">
        <v>46251</v>
      </c>
      <c r="AZ68" s="330" t="s">
        <v>33</v>
      </c>
      <c r="BA68" s="145" t="s">
        <v>113</v>
      </c>
      <c r="BB68" s="149" t="s">
        <v>110</v>
      </c>
      <c r="BC68" s="142">
        <f t="shared" si="3"/>
        <v>111</v>
      </c>
      <c r="BD68" s="134" t="str">
        <f t="shared" si="4"/>
        <v>INDENIZAÇÃO</v>
      </c>
      <c r="BE68" s="134" t="str">
        <f t="shared" si="5"/>
        <v>NÃO</v>
      </c>
      <c r="BF68" s="134" t="s">
        <v>24</v>
      </c>
      <c r="BG68" s="134" t="s">
        <v>24</v>
      </c>
      <c r="BH68" s="134" t="s">
        <v>24</v>
      </c>
      <c r="BI68" s="198" t="s">
        <v>110</v>
      </c>
      <c r="BJ68" s="145" t="s">
        <v>33</v>
      </c>
      <c r="BK68" s="279"/>
      <c r="BL68" s="145"/>
      <c r="BM68" s="145"/>
      <c r="CI68" s="200"/>
    </row>
    <row r="69" spans="1:87" s="149" customFormat="1" ht="30" hidden="1" customHeight="1" x14ac:dyDescent="0.25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398</v>
      </c>
      <c r="G69" s="149" t="s">
        <v>102</v>
      </c>
      <c r="H69" s="149" t="s">
        <v>103</v>
      </c>
      <c r="I69" s="149" t="s">
        <v>108</v>
      </c>
      <c r="J69" s="152" t="s">
        <v>399</v>
      </c>
      <c r="K69" s="152" t="s">
        <v>400</v>
      </c>
      <c r="L69" s="152" t="s">
        <v>401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399</v>
      </c>
      <c r="AC69" s="152" t="s">
        <v>400</v>
      </c>
      <c r="AD69" s="152" t="s">
        <v>401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402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355</v>
      </c>
      <c r="BA69" s="245" t="s">
        <v>1</v>
      </c>
      <c r="BB69" s="250" t="s">
        <v>110</v>
      </c>
      <c r="BC69" s="142">
        <f t="shared" si="3"/>
        <v>134</v>
      </c>
      <c r="BD69" s="134" t="str">
        <f t="shared" si="4"/>
        <v>INDENIZAÇÃO</v>
      </c>
      <c r="BE69" s="134" t="str">
        <f t="shared" si="5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hidden="1" customHeight="1" x14ac:dyDescent="0.25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403</v>
      </c>
      <c r="G70" s="149" t="s">
        <v>102</v>
      </c>
      <c r="H70" s="149" t="s">
        <v>368</v>
      </c>
      <c r="I70" s="149" t="s">
        <v>342</v>
      </c>
      <c r="J70" s="152" t="s">
        <v>404</v>
      </c>
      <c r="K70" s="152" t="s">
        <v>405</v>
      </c>
      <c r="L70" s="152" t="s">
        <v>406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404</v>
      </c>
      <c r="AC70" s="152" t="s">
        <v>407</v>
      </c>
      <c r="AD70" s="152" t="s">
        <v>406</v>
      </c>
      <c r="AE70" s="134" t="s">
        <v>342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408</v>
      </c>
      <c r="AQ70" s="198" t="s">
        <v>110</v>
      </c>
      <c r="AR70" s="198" t="s">
        <v>110</v>
      </c>
      <c r="AS70" s="198" t="s">
        <v>110</v>
      </c>
      <c r="AT70" s="198" t="s">
        <v>110</v>
      </c>
      <c r="AU70" s="194">
        <v>46275</v>
      </c>
      <c r="AV70" s="198" t="s">
        <v>110</v>
      </c>
      <c r="AW70" s="145" t="s">
        <v>33</v>
      </c>
      <c r="AX70" s="331"/>
      <c r="AY70" s="197"/>
      <c r="AZ70" s="145"/>
      <c r="BA70" s="145"/>
      <c r="BC70" s="142" t="str">
        <f t="shared" si="3"/>
        <v/>
      </c>
      <c r="BD70" s="134" t="str">
        <f t="shared" si="4"/>
        <v>INDENIZAÇÃO</v>
      </c>
      <c r="BE70" s="134" t="str">
        <f t="shared" si="5"/>
        <v>NÃO</v>
      </c>
      <c r="BF70" s="134"/>
      <c r="BG70" s="194"/>
      <c r="BH70" s="194"/>
      <c r="CI70" s="200"/>
    </row>
    <row r="71" spans="1:87" s="149" customFormat="1" ht="30" hidden="1" customHeight="1" x14ac:dyDescent="0.25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409</v>
      </c>
      <c r="G71" s="149" t="s">
        <v>102</v>
      </c>
      <c r="H71" s="149" t="s">
        <v>103</v>
      </c>
      <c r="I71" s="149" t="s">
        <v>382</v>
      </c>
      <c r="J71" s="152" t="s">
        <v>410</v>
      </c>
      <c r="K71" s="152" t="s">
        <v>411</v>
      </c>
      <c r="L71" s="152" t="s">
        <v>412</v>
      </c>
      <c r="M71" s="134" t="s">
        <v>4</v>
      </c>
      <c r="N71" s="134" t="s">
        <v>366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404</v>
      </c>
      <c r="AC71" s="152" t="s">
        <v>407</v>
      </c>
      <c r="AD71" s="152" t="s">
        <v>406</v>
      </c>
      <c r="AE71" s="134" t="s">
        <v>342</v>
      </c>
      <c r="AG71" s="208" t="s">
        <v>366</v>
      </c>
      <c r="AH71" s="208" t="s">
        <v>366</v>
      </c>
      <c r="AI71" s="134" t="s">
        <v>366</v>
      </c>
      <c r="AJ71" s="134" t="s">
        <v>366</v>
      </c>
      <c r="AK71" s="134"/>
      <c r="AO71" s="334" t="s">
        <v>7702</v>
      </c>
      <c r="AP71" s="152" t="s">
        <v>24</v>
      </c>
      <c r="AQ71" s="149" t="s">
        <v>24</v>
      </c>
      <c r="AR71" s="149" t="s">
        <v>24</v>
      </c>
      <c r="AS71" s="149" t="s">
        <v>24</v>
      </c>
      <c r="AT71" s="149" t="s">
        <v>24</v>
      </c>
      <c r="AU71" s="149" t="s">
        <v>24</v>
      </c>
      <c r="AV71" s="149" t="s">
        <v>24</v>
      </c>
      <c r="AW71" s="149" t="s">
        <v>24</v>
      </c>
      <c r="AX71" s="149" t="s">
        <v>24</v>
      </c>
      <c r="AY71" s="149" t="s">
        <v>24</v>
      </c>
      <c r="BC71" s="142" t="e">
        <f t="shared" si="3"/>
        <v>#VALUE!</v>
      </c>
      <c r="BD71" s="134" t="str">
        <f t="shared" si="4"/>
        <v>INDENIZAÇÃO</v>
      </c>
      <c r="BE71" s="134" t="str">
        <f t="shared" si="5"/>
        <v>NÃO</v>
      </c>
      <c r="BF71" s="134"/>
      <c r="BG71" s="194"/>
      <c r="BH71" s="194"/>
      <c r="CI71" s="200"/>
    </row>
    <row r="72" spans="1:87" s="149" customFormat="1" ht="30" hidden="1" customHeight="1" x14ac:dyDescent="0.25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414</v>
      </c>
      <c r="G72" s="149" t="s">
        <v>10</v>
      </c>
      <c r="H72" s="149" t="s">
        <v>103</v>
      </c>
      <c r="I72" s="149" t="s">
        <v>342</v>
      </c>
      <c r="J72" s="152" t="s">
        <v>404</v>
      </c>
      <c r="K72" s="152" t="s">
        <v>413</v>
      </c>
      <c r="L72" s="152" t="s">
        <v>406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404</v>
      </c>
      <c r="AC72" s="152" t="s">
        <v>407</v>
      </c>
      <c r="AD72" s="152" t="s">
        <v>406</v>
      </c>
      <c r="AE72" s="134" t="s">
        <v>342</v>
      </c>
      <c r="AG72" s="208"/>
      <c r="AH72" s="208"/>
      <c r="AI72" s="134"/>
      <c r="AJ72" s="134"/>
      <c r="AK72" s="134"/>
      <c r="AO72" s="334" t="s">
        <v>7702</v>
      </c>
      <c r="AP72" s="152" t="s">
        <v>24</v>
      </c>
      <c r="AQ72" s="149" t="s">
        <v>24</v>
      </c>
      <c r="AR72" s="149" t="s">
        <v>24</v>
      </c>
      <c r="AS72" s="149" t="s">
        <v>24</v>
      </c>
      <c r="AT72" s="149" t="s">
        <v>24</v>
      </c>
      <c r="AU72" s="149" t="s">
        <v>24</v>
      </c>
      <c r="AV72" s="149" t="s">
        <v>24</v>
      </c>
      <c r="AW72" s="149" t="s">
        <v>24</v>
      </c>
      <c r="AX72" s="149" t="s">
        <v>24</v>
      </c>
      <c r="AY72" s="149" t="s">
        <v>24</v>
      </c>
      <c r="BC72" s="142" t="e">
        <f t="shared" si="3"/>
        <v>#VALUE!</v>
      </c>
      <c r="BD72" s="134" t="str">
        <f t="shared" si="4"/>
        <v>INDENIZAÇÃO</v>
      </c>
      <c r="BE72" s="134" t="str">
        <f t="shared" si="5"/>
        <v>NÃO</v>
      </c>
      <c r="BF72" s="134"/>
      <c r="BG72" s="194"/>
      <c r="BH72" s="194"/>
      <c r="CI72" s="200"/>
    </row>
    <row r="73" spans="1:87" s="149" customFormat="1" ht="30" hidden="1" customHeight="1" x14ac:dyDescent="0.25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415</v>
      </c>
      <c r="G73" s="149" t="s">
        <v>1</v>
      </c>
      <c r="H73" s="149" t="s">
        <v>103</v>
      </c>
      <c r="I73" s="149" t="s">
        <v>382</v>
      </c>
      <c r="J73" s="152" t="s">
        <v>416</v>
      </c>
      <c r="K73" s="152" t="s">
        <v>417</v>
      </c>
      <c r="L73" s="152" t="s">
        <v>418</v>
      </c>
      <c r="M73" s="134" t="s">
        <v>4</v>
      </c>
      <c r="N73" s="134" t="s">
        <v>366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404</v>
      </c>
      <c r="AC73" s="152" t="s">
        <v>407</v>
      </c>
      <c r="AD73" s="152" t="s">
        <v>406</v>
      </c>
      <c r="AE73" s="134" t="s">
        <v>342</v>
      </c>
      <c r="AG73" s="208" t="s">
        <v>366</v>
      </c>
      <c r="AH73" s="208" t="s">
        <v>366</v>
      </c>
      <c r="AI73" s="134" t="s">
        <v>366</v>
      </c>
      <c r="AJ73" s="134" t="s">
        <v>366</v>
      </c>
      <c r="AK73" s="134"/>
      <c r="AO73" s="334" t="s">
        <v>7702</v>
      </c>
      <c r="AP73" s="152" t="s">
        <v>24</v>
      </c>
      <c r="AQ73" s="149" t="s">
        <v>24</v>
      </c>
      <c r="AR73" s="149" t="s">
        <v>24</v>
      </c>
      <c r="AS73" s="149" t="s">
        <v>24</v>
      </c>
      <c r="AT73" s="149" t="s">
        <v>24</v>
      </c>
      <c r="AU73" s="149" t="s">
        <v>24</v>
      </c>
      <c r="AV73" s="149" t="s">
        <v>24</v>
      </c>
      <c r="AW73" s="149" t="s">
        <v>24</v>
      </c>
      <c r="AX73" s="149" t="s">
        <v>24</v>
      </c>
      <c r="AY73" s="149" t="s">
        <v>24</v>
      </c>
      <c r="BC73" s="142" t="e">
        <f t="shared" si="3"/>
        <v>#VALUE!</v>
      </c>
      <c r="BD73" s="134" t="str">
        <f t="shared" si="4"/>
        <v>INDENIZAÇÃO</v>
      </c>
      <c r="BE73" s="134" t="str">
        <f t="shared" si="5"/>
        <v>NÃO</v>
      </c>
      <c r="BF73" s="134"/>
      <c r="BG73" s="194"/>
      <c r="BH73" s="194"/>
      <c r="CI73" s="200"/>
    </row>
    <row r="74" spans="1:87" s="149" customFormat="1" ht="30" hidden="1" customHeight="1" x14ac:dyDescent="0.25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419</v>
      </c>
      <c r="G74" s="149" t="s">
        <v>337</v>
      </c>
      <c r="H74" s="149" t="s">
        <v>103</v>
      </c>
      <c r="I74" s="149" t="s">
        <v>342</v>
      </c>
      <c r="J74" s="152" t="s">
        <v>404</v>
      </c>
      <c r="K74" s="152" t="s">
        <v>413</v>
      </c>
      <c r="L74" s="152" t="s">
        <v>406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404</v>
      </c>
      <c r="AC74" s="152" t="s">
        <v>407</v>
      </c>
      <c r="AD74" s="152" t="s">
        <v>406</v>
      </c>
      <c r="AE74" s="134" t="s">
        <v>342</v>
      </c>
      <c r="AG74" s="208"/>
      <c r="AH74" s="208"/>
      <c r="AI74" s="134"/>
      <c r="AJ74" s="134"/>
      <c r="AK74" s="134"/>
      <c r="AO74" s="334" t="s">
        <v>7702</v>
      </c>
      <c r="AP74" s="152" t="s">
        <v>24</v>
      </c>
      <c r="AQ74" s="149" t="s">
        <v>24</v>
      </c>
      <c r="AR74" s="149" t="s">
        <v>24</v>
      </c>
      <c r="AS74" s="149" t="s">
        <v>24</v>
      </c>
      <c r="AT74" s="149" t="s">
        <v>24</v>
      </c>
      <c r="AU74" s="149" t="s">
        <v>24</v>
      </c>
      <c r="AV74" s="149" t="s">
        <v>24</v>
      </c>
      <c r="AW74" s="149" t="s">
        <v>24</v>
      </c>
      <c r="AX74" s="149" t="s">
        <v>24</v>
      </c>
      <c r="AY74" s="149" t="s">
        <v>24</v>
      </c>
      <c r="BC74" s="142" t="e">
        <f t="shared" si="3"/>
        <v>#VALUE!</v>
      </c>
      <c r="BD74" s="134" t="str">
        <f t="shared" si="4"/>
        <v>INDENIZAÇÃO</v>
      </c>
      <c r="BE74" s="134" t="str">
        <f t="shared" si="5"/>
        <v>NÃO</v>
      </c>
      <c r="BF74" s="134"/>
      <c r="BG74" s="194"/>
      <c r="BH74" s="194"/>
      <c r="CI74" s="200"/>
    </row>
    <row r="75" spans="1:87" s="149" customFormat="1" ht="30" hidden="1" customHeight="1" x14ac:dyDescent="0.25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420</v>
      </c>
      <c r="G75" s="149" t="s">
        <v>1</v>
      </c>
      <c r="H75" s="149" t="s">
        <v>103</v>
      </c>
      <c r="I75" s="149" t="s">
        <v>108</v>
      </c>
      <c r="J75" s="152" t="s">
        <v>404</v>
      </c>
      <c r="K75" s="152" t="s">
        <v>413</v>
      </c>
      <c r="L75" s="152" t="s">
        <v>406</v>
      </c>
      <c r="M75" s="134" t="s">
        <v>4</v>
      </c>
      <c r="N75" s="134" t="s">
        <v>366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404</v>
      </c>
      <c r="AC75" s="152" t="s">
        <v>407</v>
      </c>
      <c r="AD75" s="152" t="s">
        <v>406</v>
      </c>
      <c r="AE75" s="149" t="s">
        <v>108</v>
      </c>
      <c r="AG75" s="208" t="s">
        <v>366</v>
      </c>
      <c r="AH75" s="208" t="s">
        <v>366</v>
      </c>
      <c r="AI75" s="134" t="s">
        <v>366</v>
      </c>
      <c r="AJ75" s="134" t="s">
        <v>366</v>
      </c>
      <c r="AK75" s="134"/>
      <c r="AO75" s="334" t="s">
        <v>7702</v>
      </c>
      <c r="AP75" s="152" t="s">
        <v>24</v>
      </c>
      <c r="AQ75" s="149" t="s">
        <v>24</v>
      </c>
      <c r="AR75" s="149" t="s">
        <v>24</v>
      </c>
      <c r="AS75" s="149" t="s">
        <v>24</v>
      </c>
      <c r="AT75" s="149" t="s">
        <v>24</v>
      </c>
      <c r="AU75" s="149" t="s">
        <v>24</v>
      </c>
      <c r="AV75" s="149" t="s">
        <v>24</v>
      </c>
      <c r="AW75" s="149" t="s">
        <v>24</v>
      </c>
      <c r="AX75" s="149" t="s">
        <v>24</v>
      </c>
      <c r="AY75" s="149" t="s">
        <v>24</v>
      </c>
      <c r="BC75" s="142" t="e">
        <f t="shared" si="3"/>
        <v>#VALUE!</v>
      </c>
      <c r="BD75" s="134" t="str">
        <f t="shared" si="4"/>
        <v>INDENIZAÇÃO</v>
      </c>
      <c r="BE75" s="134" t="str">
        <f t="shared" si="5"/>
        <v>NÃO</v>
      </c>
      <c r="BF75" s="134"/>
      <c r="BG75" s="194"/>
      <c r="BH75" s="194"/>
      <c r="CI75" s="200"/>
    </row>
    <row r="76" spans="1:87" s="149" customFormat="1" ht="30" hidden="1" customHeight="1" x14ac:dyDescent="0.25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421</v>
      </c>
      <c r="G76" s="149" t="s">
        <v>1</v>
      </c>
      <c r="H76" s="149" t="s">
        <v>103</v>
      </c>
      <c r="I76" s="149" t="s">
        <v>104</v>
      </c>
      <c r="J76" s="152" t="s">
        <v>422</v>
      </c>
      <c r="K76" s="152" t="s">
        <v>423</v>
      </c>
      <c r="L76" s="152" t="s">
        <v>424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422</v>
      </c>
      <c r="AC76" s="152" t="s">
        <v>423</v>
      </c>
      <c r="AD76" s="152" t="s">
        <v>424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425</v>
      </c>
      <c r="AQ76" s="198" t="s">
        <v>110</v>
      </c>
      <c r="AR76" s="198" t="s">
        <v>110</v>
      </c>
      <c r="AS76" s="198" t="s">
        <v>110</v>
      </c>
      <c r="AT76" s="198" t="s">
        <v>110</v>
      </c>
      <c r="AU76" s="194">
        <v>46275</v>
      </c>
      <c r="AV76" s="198" t="s">
        <v>110</v>
      </c>
      <c r="AW76" s="145" t="s">
        <v>33</v>
      </c>
      <c r="AX76" s="145"/>
      <c r="AY76" s="197"/>
      <c r="AZ76" s="145"/>
      <c r="BA76" s="145"/>
      <c r="BC76" s="142" t="str">
        <f t="shared" si="3"/>
        <v/>
      </c>
      <c r="BD76" s="134" t="str">
        <f t="shared" si="4"/>
        <v>INDENIZAÇÃO</v>
      </c>
      <c r="BE76" s="134" t="str">
        <f t="shared" si="5"/>
        <v>NÃO</v>
      </c>
      <c r="BF76" s="134"/>
      <c r="BG76" s="194"/>
      <c r="BH76" s="194"/>
      <c r="CI76" s="200"/>
    </row>
    <row r="77" spans="1:87" s="149" customFormat="1" ht="30" hidden="1" customHeight="1" x14ac:dyDescent="0.25">
      <c r="A77" s="134"/>
      <c r="B77" s="134" t="s">
        <v>99</v>
      </c>
      <c r="C77" s="134">
        <v>2</v>
      </c>
      <c r="D77" s="134" t="s">
        <v>100</v>
      </c>
      <c r="E77" s="134" t="s">
        <v>100</v>
      </c>
      <c r="F77" s="138" t="s">
        <v>426</v>
      </c>
      <c r="G77" s="149" t="s">
        <v>1</v>
      </c>
      <c r="H77" s="149" t="s">
        <v>103</v>
      </c>
      <c r="I77" s="149" t="s">
        <v>382</v>
      </c>
      <c r="J77" s="152" t="s">
        <v>427</v>
      </c>
      <c r="K77" s="152" t="s">
        <v>428</v>
      </c>
      <c r="L77" s="152" t="s">
        <v>429</v>
      </c>
      <c r="M77" s="134" t="s">
        <v>4</v>
      </c>
      <c r="N77" s="134" t="s">
        <v>14</v>
      </c>
      <c r="O77" s="194">
        <v>46274</v>
      </c>
      <c r="P77" s="197" t="s">
        <v>17</v>
      </c>
      <c r="Q77" s="264" t="s">
        <v>386</v>
      </c>
      <c r="R77" s="197"/>
      <c r="S77" s="197"/>
      <c r="T77" s="197"/>
      <c r="U77" s="197"/>
      <c r="V77" s="197"/>
      <c r="W77" s="197"/>
      <c r="X77" s="197"/>
      <c r="Y77" s="197"/>
      <c r="Z77" s="197"/>
      <c r="AB77" s="152" t="s">
        <v>430</v>
      </c>
      <c r="AC77" s="152" t="s">
        <v>431</v>
      </c>
      <c r="AD77" s="152" t="s">
        <v>432</v>
      </c>
      <c r="AE77" s="134" t="s">
        <v>342</v>
      </c>
      <c r="AF77" s="149" t="s">
        <v>4</v>
      </c>
      <c r="AG77" s="208">
        <v>119368.65</v>
      </c>
      <c r="AH77" s="208">
        <v>119368.65</v>
      </c>
      <c r="AI77" s="134" t="s">
        <v>6</v>
      </c>
      <c r="AJ77" s="138" t="s">
        <v>109</v>
      </c>
      <c r="AK77" s="134">
        <v>159459126</v>
      </c>
      <c r="AL77" s="134" t="s">
        <v>433</v>
      </c>
      <c r="AP77" s="152"/>
      <c r="AQ77" s="198"/>
      <c r="BC77" s="142"/>
      <c r="BD77" s="134"/>
      <c r="BE77" s="134"/>
      <c r="BF77" s="134"/>
      <c r="BG77" s="194"/>
      <c r="BH77" s="194"/>
      <c r="CI77" s="200"/>
    </row>
    <row r="78" spans="1:87" s="149" customFormat="1" ht="30" hidden="1" customHeight="1" x14ac:dyDescent="0.25">
      <c r="A78" s="134"/>
      <c r="B78" s="134" t="s">
        <v>99</v>
      </c>
      <c r="C78" s="134">
        <v>2</v>
      </c>
      <c r="D78" s="134" t="s">
        <v>100</v>
      </c>
      <c r="E78" s="134" t="s">
        <v>100</v>
      </c>
      <c r="F78" s="138" t="s">
        <v>434</v>
      </c>
      <c r="G78" s="149" t="s">
        <v>1</v>
      </c>
      <c r="H78" s="149" t="s">
        <v>103</v>
      </c>
      <c r="I78" s="149" t="s">
        <v>382</v>
      </c>
      <c r="J78" s="152" t="s">
        <v>435</v>
      </c>
      <c r="K78" s="152" t="s">
        <v>436</v>
      </c>
      <c r="L78" s="152" t="s">
        <v>437</v>
      </c>
      <c r="M78" s="134" t="s">
        <v>4</v>
      </c>
      <c r="N78" s="134" t="s">
        <v>14</v>
      </c>
      <c r="O78" s="194">
        <v>46274</v>
      </c>
      <c r="P78" s="197" t="s">
        <v>17</v>
      </c>
      <c r="Q78" s="264" t="s">
        <v>386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438</v>
      </c>
      <c r="AC78" s="152" t="s">
        <v>439</v>
      </c>
      <c r="AD78" s="152" t="s">
        <v>440</v>
      </c>
      <c r="AE78" s="134" t="s">
        <v>342</v>
      </c>
      <c r="AF78" s="149" t="s">
        <v>4</v>
      </c>
      <c r="AG78" s="208">
        <v>124501.77</v>
      </c>
      <c r="AH78" s="208">
        <v>124501.77</v>
      </c>
      <c r="AI78" s="134" t="s">
        <v>6</v>
      </c>
      <c r="AJ78" s="138" t="s">
        <v>109</v>
      </c>
      <c r="AK78" s="134">
        <v>159459294</v>
      </c>
      <c r="AL78" s="134" t="s">
        <v>433</v>
      </c>
      <c r="AP78" s="152"/>
      <c r="AQ78" s="198"/>
      <c r="BC78" s="142"/>
      <c r="BD78" s="134"/>
      <c r="BE78" s="134"/>
      <c r="BF78" s="134"/>
      <c r="BG78" s="194"/>
      <c r="BH78" s="194"/>
      <c r="CI78" s="200"/>
    </row>
    <row r="79" spans="1:87" s="149" customFormat="1" ht="30" hidden="1" customHeight="1" x14ac:dyDescent="0.25">
      <c r="A79" s="134">
        <v>63</v>
      </c>
      <c r="B79" s="134" t="s">
        <v>99</v>
      </c>
      <c r="C79" s="134">
        <v>1</v>
      </c>
      <c r="D79" s="134" t="s">
        <v>100</v>
      </c>
      <c r="E79" s="134" t="s">
        <v>100</v>
      </c>
      <c r="F79" s="138" t="s">
        <v>441</v>
      </c>
      <c r="G79" s="149" t="s">
        <v>442</v>
      </c>
      <c r="H79" s="149" t="s">
        <v>443</v>
      </c>
      <c r="I79" s="149" t="s">
        <v>342</v>
      </c>
      <c r="J79" s="152" t="s">
        <v>444</v>
      </c>
      <c r="K79" s="152" t="s">
        <v>445</v>
      </c>
      <c r="L79" s="152" t="s">
        <v>446</v>
      </c>
      <c r="M79" s="134" t="s">
        <v>4</v>
      </c>
      <c r="N79" s="134" t="s">
        <v>5</v>
      </c>
      <c r="O79" s="194">
        <v>45849</v>
      </c>
      <c r="P79" s="144" t="s">
        <v>24</v>
      </c>
      <c r="Q79" s="144" t="s">
        <v>24</v>
      </c>
      <c r="R79" s="144" t="s">
        <v>24</v>
      </c>
      <c r="S79" s="144" t="s">
        <v>24</v>
      </c>
      <c r="T79" s="144" t="s">
        <v>24</v>
      </c>
      <c r="U79" s="144" t="s">
        <v>24</v>
      </c>
      <c r="V79" s="144" t="s">
        <v>24</v>
      </c>
      <c r="W79" s="144" t="s">
        <v>24</v>
      </c>
      <c r="X79" s="144" t="s">
        <v>24</v>
      </c>
      <c r="Y79" s="144" t="s">
        <v>24</v>
      </c>
      <c r="Z79" s="144" t="s">
        <v>24</v>
      </c>
      <c r="AB79" s="152" t="s">
        <v>444</v>
      </c>
      <c r="AC79" s="152" t="s">
        <v>445</v>
      </c>
      <c r="AD79" s="152" t="s">
        <v>446</v>
      </c>
      <c r="AE79" s="134" t="s">
        <v>342</v>
      </c>
      <c r="AF79" s="149" t="s">
        <v>4</v>
      </c>
      <c r="AG79" s="208">
        <v>121666.55</v>
      </c>
      <c r="AH79" s="208">
        <v>121666.55</v>
      </c>
      <c r="AI79" s="134" t="s">
        <v>6</v>
      </c>
      <c r="AJ79" s="138" t="s">
        <v>109</v>
      </c>
      <c r="AK79" s="134">
        <v>112908224</v>
      </c>
      <c r="AL79" s="149" t="s">
        <v>110</v>
      </c>
      <c r="AM79" s="149" t="s">
        <v>110</v>
      </c>
      <c r="AN79" s="149" t="s">
        <v>111</v>
      </c>
      <c r="AP79" s="138" t="s">
        <v>447</v>
      </c>
      <c r="AQ79" s="198" t="s">
        <v>110</v>
      </c>
      <c r="AR79" s="198" t="s">
        <v>110</v>
      </c>
      <c r="AS79" s="198" t="s">
        <v>110</v>
      </c>
      <c r="AT79" s="198" t="s">
        <v>110</v>
      </c>
      <c r="AU79" s="161">
        <v>45890</v>
      </c>
      <c r="AV79" s="198" t="s">
        <v>110</v>
      </c>
      <c r="AW79" s="198" t="s">
        <v>110</v>
      </c>
      <c r="AX79" s="161">
        <v>45902</v>
      </c>
      <c r="AY79" s="140">
        <v>45902</v>
      </c>
      <c r="AZ79" s="140" t="s">
        <v>33</v>
      </c>
      <c r="BA79" s="141" t="s">
        <v>113</v>
      </c>
      <c r="BB79" s="149" t="s">
        <v>110</v>
      </c>
      <c r="BC79" s="142">
        <f t="shared" ref="BC79:BC142" si="6">IF(AY79-KD79=0,"",AY79-O79)</f>
        <v>53</v>
      </c>
      <c r="BD79" s="134" t="str">
        <f t="shared" ref="BD79:BD142" si="7">IF(AND(AI79&lt;&gt;"SIM",AI79="UH"),"AA","INDENIZAÇÃO")</f>
        <v>INDENIZAÇÃO</v>
      </c>
      <c r="BE79" s="134" t="str">
        <f t="shared" ref="BE79:BE142" si="8">IF(AND(AY79&lt;&gt;"AGUARDANDO",AY79&lt;&gt;"",N79="AUXÍLIO ALUGUEL ATÉ INDENIZAÇÃO"),"SIM","NÃO")</f>
        <v>NÃO</v>
      </c>
      <c r="BF79" s="149" t="s">
        <v>24</v>
      </c>
      <c r="BG79" s="149" t="s">
        <v>24</v>
      </c>
      <c r="BH79" s="149" t="s">
        <v>24</v>
      </c>
      <c r="BI79" s="198" t="s">
        <v>110</v>
      </c>
      <c r="BJ79" s="198" t="s">
        <v>110</v>
      </c>
      <c r="BK79" s="161">
        <v>45923</v>
      </c>
      <c r="BL79" s="198" t="s">
        <v>110</v>
      </c>
      <c r="BM79" s="145" t="s">
        <v>33</v>
      </c>
      <c r="CI79" s="200"/>
    </row>
    <row r="80" spans="1:87" s="149" customFormat="1" ht="30" hidden="1" customHeight="1" x14ac:dyDescent="0.25">
      <c r="A80" s="134">
        <v>64</v>
      </c>
      <c r="B80" s="134" t="s">
        <v>99</v>
      </c>
      <c r="C80" s="134">
        <v>1</v>
      </c>
      <c r="D80" s="134" t="s">
        <v>100</v>
      </c>
      <c r="E80" s="134" t="s">
        <v>100</v>
      </c>
      <c r="F80" s="138" t="s">
        <v>448</v>
      </c>
      <c r="G80" s="149" t="s">
        <v>102</v>
      </c>
      <c r="H80" s="149" t="s">
        <v>103</v>
      </c>
      <c r="I80" s="149" t="s">
        <v>382</v>
      </c>
      <c r="J80" s="152" t="s">
        <v>449</v>
      </c>
      <c r="K80" s="152" t="s">
        <v>450</v>
      </c>
      <c r="L80" s="152" t="s">
        <v>451</v>
      </c>
      <c r="M80" s="134" t="s">
        <v>4</v>
      </c>
      <c r="N80" s="134" t="s">
        <v>14</v>
      </c>
      <c r="O80" s="194">
        <v>45628</v>
      </c>
      <c r="P80" s="197" t="s">
        <v>17</v>
      </c>
      <c r="Q80" s="264" t="s">
        <v>386</v>
      </c>
      <c r="R80" s="197"/>
      <c r="S80" s="197"/>
      <c r="T80" s="197"/>
      <c r="U80" s="197"/>
      <c r="V80" s="197"/>
      <c r="W80" s="197"/>
      <c r="X80" s="197"/>
      <c r="Y80" s="197"/>
      <c r="Z80" s="197"/>
      <c r="AB80" s="152" t="s">
        <v>452</v>
      </c>
      <c r="AC80" s="152" t="s">
        <v>453</v>
      </c>
      <c r="AD80" s="152" t="s">
        <v>454</v>
      </c>
      <c r="AE80" s="134" t="s">
        <v>342</v>
      </c>
      <c r="AF80" s="149" t="s">
        <v>4</v>
      </c>
      <c r="AG80" s="208">
        <v>38624.080000000002</v>
      </c>
      <c r="AH80" s="208">
        <v>38624.080000000002</v>
      </c>
      <c r="AI80" s="134" t="s">
        <v>6</v>
      </c>
      <c r="AJ80" s="138" t="s">
        <v>109</v>
      </c>
      <c r="AL80" s="134" t="s">
        <v>110</v>
      </c>
      <c r="AM80" s="149" t="s">
        <v>110</v>
      </c>
      <c r="AN80" s="134" t="s">
        <v>111</v>
      </c>
      <c r="AP80" s="152" t="s">
        <v>455</v>
      </c>
      <c r="AQ80" s="198" t="s">
        <v>110</v>
      </c>
      <c r="AR80" s="198" t="s">
        <v>110</v>
      </c>
      <c r="AS80" s="149" t="s">
        <v>110</v>
      </c>
      <c r="AT80" s="149" t="s">
        <v>110</v>
      </c>
      <c r="AU80" s="161">
        <v>45755</v>
      </c>
      <c r="AV80" s="149" t="s">
        <v>110</v>
      </c>
      <c r="AW80" s="149" t="s">
        <v>110</v>
      </c>
      <c r="AX80" s="139">
        <v>45762</v>
      </c>
      <c r="AY80" s="140">
        <v>45762</v>
      </c>
      <c r="AZ80" s="141" t="s">
        <v>33</v>
      </c>
      <c r="BA80" s="141" t="s">
        <v>1</v>
      </c>
      <c r="BB80" s="149" t="s">
        <v>110</v>
      </c>
      <c r="BC80" s="142">
        <f t="shared" si="6"/>
        <v>134</v>
      </c>
      <c r="BD80" s="134" t="str">
        <f t="shared" si="7"/>
        <v>INDENIZAÇÃO</v>
      </c>
      <c r="BE80" s="134" t="str">
        <f t="shared" si="8"/>
        <v>NÃO</v>
      </c>
      <c r="BF80" s="149" t="s">
        <v>24</v>
      </c>
      <c r="BG80" s="149" t="s">
        <v>24</v>
      </c>
      <c r="BH80" s="149" t="s">
        <v>24</v>
      </c>
      <c r="BI80" s="198" t="s">
        <v>110</v>
      </c>
      <c r="BJ80" s="198" t="s">
        <v>110</v>
      </c>
      <c r="BK80" s="161">
        <v>45783</v>
      </c>
      <c r="BL80" s="198" t="s">
        <v>110</v>
      </c>
      <c r="BM80" s="145" t="s">
        <v>33</v>
      </c>
      <c r="CI80" s="200"/>
    </row>
    <row r="81" spans="1:87" s="149" customFormat="1" ht="30" hidden="1" customHeight="1" x14ac:dyDescent="0.25">
      <c r="A81" s="134">
        <v>65</v>
      </c>
      <c r="B81" s="245" t="s">
        <v>99</v>
      </c>
      <c r="C81" s="245">
        <v>1</v>
      </c>
      <c r="D81" s="245" t="s">
        <v>100</v>
      </c>
      <c r="E81" s="245" t="s">
        <v>100</v>
      </c>
      <c r="F81" s="246" t="s">
        <v>456</v>
      </c>
      <c r="G81" s="149" t="s">
        <v>102</v>
      </c>
      <c r="H81" s="149" t="s">
        <v>103</v>
      </c>
      <c r="I81" s="149" t="s">
        <v>382</v>
      </c>
      <c r="J81" s="152" t="s">
        <v>457</v>
      </c>
      <c r="K81" s="152">
        <v>2704203</v>
      </c>
      <c r="L81" s="152" t="s">
        <v>458</v>
      </c>
      <c r="M81" s="245" t="s">
        <v>4</v>
      </c>
      <c r="N81" s="245" t="s">
        <v>14</v>
      </c>
      <c r="O81" s="256">
        <v>45505</v>
      </c>
      <c r="P81" s="249" t="s">
        <v>17</v>
      </c>
      <c r="Q81" s="246" t="s">
        <v>386</v>
      </c>
      <c r="R81" s="249"/>
      <c r="S81" s="249"/>
      <c r="T81" s="249"/>
      <c r="U81" s="249"/>
      <c r="V81" s="249"/>
      <c r="W81" s="249"/>
      <c r="X81" s="249"/>
      <c r="Y81" s="249"/>
      <c r="Z81" s="249"/>
      <c r="AA81" s="250"/>
      <c r="AB81" s="152" t="s">
        <v>459</v>
      </c>
      <c r="AC81" s="152" t="s">
        <v>460</v>
      </c>
      <c r="AD81" s="152" t="s">
        <v>461</v>
      </c>
      <c r="AE81" s="134" t="s">
        <v>342</v>
      </c>
      <c r="AF81" s="250" t="s">
        <v>4</v>
      </c>
      <c r="AG81" s="208">
        <v>35504.92</v>
      </c>
      <c r="AH81" s="208">
        <v>35504.92</v>
      </c>
      <c r="AI81" s="245" t="s">
        <v>6</v>
      </c>
      <c r="AJ81" s="246" t="s">
        <v>109</v>
      </c>
      <c r="AK81" s="250"/>
      <c r="AL81" s="250" t="s">
        <v>110</v>
      </c>
      <c r="AM81" s="250" t="s">
        <v>110</v>
      </c>
      <c r="AN81" s="250" t="s">
        <v>111</v>
      </c>
      <c r="AO81" s="250"/>
      <c r="AP81" s="253" t="s">
        <v>462</v>
      </c>
      <c r="AQ81" s="250" t="s">
        <v>110</v>
      </c>
      <c r="AR81" s="250" t="s">
        <v>110</v>
      </c>
      <c r="AS81" s="250" t="s">
        <v>110</v>
      </c>
      <c r="AT81" s="250" t="s">
        <v>110</v>
      </c>
      <c r="AU81" s="256">
        <v>45614</v>
      </c>
      <c r="AV81" s="250" t="s">
        <v>110</v>
      </c>
      <c r="AW81" s="250" t="s">
        <v>110</v>
      </c>
      <c r="AX81" s="256">
        <v>45621</v>
      </c>
      <c r="AY81" s="249">
        <v>45621</v>
      </c>
      <c r="AZ81" s="245" t="s">
        <v>355</v>
      </c>
      <c r="BA81" s="245" t="s">
        <v>1</v>
      </c>
      <c r="BB81" s="250" t="s">
        <v>110</v>
      </c>
      <c r="BC81" s="142">
        <f t="shared" si="6"/>
        <v>116</v>
      </c>
      <c r="BD81" s="134" t="str">
        <f t="shared" si="7"/>
        <v>INDENIZAÇÃO</v>
      </c>
      <c r="BE81" s="134" t="str">
        <f t="shared" si="8"/>
        <v>NÃO</v>
      </c>
      <c r="BF81" s="245" t="s">
        <v>24</v>
      </c>
      <c r="BG81" s="245" t="s">
        <v>24</v>
      </c>
      <c r="BH81" s="245" t="s">
        <v>24</v>
      </c>
      <c r="BI81" s="250" t="s">
        <v>110</v>
      </c>
      <c r="BJ81" s="250" t="s">
        <v>110</v>
      </c>
      <c r="BK81" s="256">
        <v>45677</v>
      </c>
      <c r="BL81" s="250" t="s">
        <v>110</v>
      </c>
      <c r="BM81" s="249" t="s">
        <v>33</v>
      </c>
      <c r="CI81" s="200"/>
    </row>
    <row r="82" spans="1:87" s="149" customFormat="1" ht="30" hidden="1" customHeight="1" x14ac:dyDescent="0.25">
      <c r="A82" s="134">
        <v>66</v>
      </c>
      <c r="B82" s="245" t="s">
        <v>99</v>
      </c>
      <c r="C82" s="245">
        <v>1</v>
      </c>
      <c r="D82" s="245" t="s">
        <v>100</v>
      </c>
      <c r="E82" s="245" t="s">
        <v>100</v>
      </c>
      <c r="F82" s="246" t="s">
        <v>463</v>
      </c>
      <c r="G82" s="149" t="s">
        <v>102</v>
      </c>
      <c r="H82" s="149" t="s">
        <v>103</v>
      </c>
      <c r="I82" s="149" t="s">
        <v>382</v>
      </c>
      <c r="J82" s="152" t="s">
        <v>464</v>
      </c>
      <c r="K82" s="152" t="s">
        <v>465</v>
      </c>
      <c r="L82" s="152" t="s">
        <v>466</v>
      </c>
      <c r="M82" s="245" t="s">
        <v>4</v>
      </c>
      <c r="N82" s="245" t="s">
        <v>14</v>
      </c>
      <c r="O82" s="256">
        <v>45505</v>
      </c>
      <c r="P82" s="249" t="s">
        <v>17</v>
      </c>
      <c r="Q82" s="246" t="s">
        <v>386</v>
      </c>
      <c r="R82" s="249"/>
      <c r="S82" s="249"/>
      <c r="T82" s="249"/>
      <c r="U82" s="249"/>
      <c r="V82" s="249"/>
      <c r="W82" s="249"/>
      <c r="X82" s="249"/>
      <c r="Y82" s="249"/>
      <c r="Z82" s="249"/>
      <c r="AA82" s="250"/>
      <c r="AB82" s="152" t="s">
        <v>467</v>
      </c>
      <c r="AC82" s="152" t="s">
        <v>468</v>
      </c>
      <c r="AD82" s="152" t="s">
        <v>469</v>
      </c>
      <c r="AE82" s="134" t="s">
        <v>342</v>
      </c>
      <c r="AF82" s="250" t="s">
        <v>4</v>
      </c>
      <c r="AG82" s="208">
        <v>101735.43</v>
      </c>
      <c r="AH82" s="208">
        <f>AG82</f>
        <v>101735.43</v>
      </c>
      <c r="AI82" s="245" t="s">
        <v>6</v>
      </c>
      <c r="AJ82" s="309" t="s">
        <v>109</v>
      </c>
      <c r="AK82" s="250"/>
      <c r="AL82" s="250" t="s">
        <v>110</v>
      </c>
      <c r="AM82" s="250" t="s">
        <v>110</v>
      </c>
      <c r="AN82" s="250" t="s">
        <v>111</v>
      </c>
      <c r="AO82" s="250"/>
      <c r="AP82" s="253" t="s">
        <v>470</v>
      </c>
      <c r="AQ82" s="250" t="s">
        <v>110</v>
      </c>
      <c r="AR82" s="250" t="s">
        <v>110</v>
      </c>
      <c r="AS82" s="250" t="s">
        <v>110</v>
      </c>
      <c r="AT82" s="250" t="s">
        <v>110</v>
      </c>
      <c r="AU82" s="256">
        <v>45573</v>
      </c>
      <c r="AV82" s="250" t="s">
        <v>110</v>
      </c>
      <c r="AW82" s="250" t="s">
        <v>110</v>
      </c>
      <c r="AX82" s="256">
        <v>45581</v>
      </c>
      <c r="AY82" s="249">
        <v>45581</v>
      </c>
      <c r="AZ82" s="245" t="s">
        <v>355</v>
      </c>
      <c r="BA82" s="245" t="s">
        <v>1</v>
      </c>
      <c r="BB82" s="250" t="s">
        <v>110</v>
      </c>
      <c r="BC82" s="142">
        <f t="shared" si="6"/>
        <v>76</v>
      </c>
      <c r="BD82" s="134" t="str">
        <f t="shared" si="7"/>
        <v>INDENIZAÇÃO</v>
      </c>
      <c r="BE82" s="134" t="str">
        <f t="shared" si="8"/>
        <v>NÃO</v>
      </c>
      <c r="BF82" s="245" t="s">
        <v>24</v>
      </c>
      <c r="BG82" s="245" t="s">
        <v>24</v>
      </c>
      <c r="BH82" s="245" t="s">
        <v>24</v>
      </c>
      <c r="BI82" s="250" t="s">
        <v>110</v>
      </c>
      <c r="BJ82" s="250" t="s">
        <v>110</v>
      </c>
      <c r="BK82" s="256">
        <v>45621</v>
      </c>
      <c r="BL82" s="250" t="s">
        <v>110</v>
      </c>
      <c r="BM82" s="250" t="s">
        <v>33</v>
      </c>
      <c r="CI82" s="200"/>
    </row>
    <row r="83" spans="1:87" s="149" customFormat="1" ht="30" hidden="1" customHeight="1" x14ac:dyDescent="0.25">
      <c r="A83" s="134">
        <v>67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471</v>
      </c>
      <c r="G83" s="149" t="s">
        <v>337</v>
      </c>
      <c r="H83" s="149" t="s">
        <v>103</v>
      </c>
      <c r="I83" s="149" t="s">
        <v>342</v>
      </c>
      <c r="J83" s="152" t="s">
        <v>472</v>
      </c>
      <c r="K83" s="152" t="s">
        <v>473</v>
      </c>
      <c r="L83" s="152" t="s">
        <v>474</v>
      </c>
      <c r="M83" s="134" t="s">
        <v>4</v>
      </c>
      <c r="N83" s="134" t="s">
        <v>5</v>
      </c>
      <c r="O83" s="194">
        <v>45600</v>
      </c>
      <c r="P83" s="144" t="s">
        <v>24</v>
      </c>
      <c r="Q83" s="144" t="s">
        <v>24</v>
      </c>
      <c r="R83" s="144" t="s">
        <v>24</v>
      </c>
      <c r="S83" s="144" t="s">
        <v>24</v>
      </c>
      <c r="T83" s="144" t="s">
        <v>24</v>
      </c>
      <c r="U83" s="144" t="s">
        <v>24</v>
      </c>
      <c r="V83" s="144" t="s">
        <v>24</v>
      </c>
      <c r="W83" s="144" t="s">
        <v>24</v>
      </c>
      <c r="X83" s="144" t="s">
        <v>24</v>
      </c>
      <c r="Y83" s="144" t="s">
        <v>24</v>
      </c>
      <c r="Z83" s="144" t="s">
        <v>24</v>
      </c>
      <c r="AB83" s="152" t="s">
        <v>472</v>
      </c>
      <c r="AC83" s="152" t="s">
        <v>473</v>
      </c>
      <c r="AD83" s="152" t="s">
        <v>474</v>
      </c>
      <c r="AE83" s="134" t="s">
        <v>342</v>
      </c>
      <c r="AF83" s="149" t="s">
        <v>4</v>
      </c>
      <c r="AG83" s="208">
        <v>18935.96</v>
      </c>
      <c r="AH83" s="208">
        <v>48935.96</v>
      </c>
      <c r="AI83" s="230" t="s">
        <v>6</v>
      </c>
      <c r="AJ83" s="138" t="s">
        <v>109</v>
      </c>
      <c r="AK83" s="200"/>
      <c r="AL83" s="149" t="s">
        <v>110</v>
      </c>
      <c r="AM83" s="149" t="s">
        <v>110</v>
      </c>
      <c r="AN83" s="134" t="s">
        <v>111</v>
      </c>
      <c r="AP83" s="152" t="s">
        <v>475</v>
      </c>
      <c r="AQ83" s="198" t="s">
        <v>110</v>
      </c>
      <c r="AR83" s="198" t="s">
        <v>110</v>
      </c>
      <c r="AS83" s="198" t="s">
        <v>110</v>
      </c>
      <c r="AT83" s="149" t="s">
        <v>110</v>
      </c>
      <c r="AU83" s="161">
        <v>45755</v>
      </c>
      <c r="AV83" s="149" t="s">
        <v>110</v>
      </c>
      <c r="AW83" s="149" t="s">
        <v>110</v>
      </c>
      <c r="AX83" s="139">
        <v>45762</v>
      </c>
      <c r="AY83" s="140">
        <v>45762</v>
      </c>
      <c r="AZ83" s="141" t="s">
        <v>33</v>
      </c>
      <c r="BA83" s="141" t="s">
        <v>1</v>
      </c>
      <c r="BB83" s="149" t="s">
        <v>110</v>
      </c>
      <c r="BC83" s="142">
        <f t="shared" si="6"/>
        <v>162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45783</v>
      </c>
      <c r="BL83" s="198" t="s">
        <v>110</v>
      </c>
      <c r="BM83" s="145" t="s">
        <v>33</v>
      </c>
      <c r="CI83" s="200"/>
    </row>
    <row r="84" spans="1:87" s="149" customFormat="1" ht="30" hidden="1" customHeight="1" x14ac:dyDescent="0.25">
      <c r="A84" s="134">
        <v>68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476</v>
      </c>
      <c r="G84" s="149" t="s">
        <v>102</v>
      </c>
      <c r="H84" s="149" t="s">
        <v>103</v>
      </c>
      <c r="I84" s="149" t="s">
        <v>108</v>
      </c>
      <c r="J84" s="152" t="s">
        <v>477</v>
      </c>
      <c r="K84" s="152" t="s">
        <v>478</v>
      </c>
      <c r="L84" s="152" t="s">
        <v>479</v>
      </c>
      <c r="M84" s="134" t="s">
        <v>4</v>
      </c>
      <c r="N84" s="134" t="s">
        <v>480</v>
      </c>
      <c r="O84" s="194">
        <v>45852</v>
      </c>
      <c r="P84" s="144" t="s">
        <v>24</v>
      </c>
      <c r="Q84" s="144" t="s">
        <v>24</v>
      </c>
      <c r="R84" s="144" t="s">
        <v>24</v>
      </c>
      <c r="S84" s="144" t="s">
        <v>24</v>
      </c>
      <c r="T84" s="144" t="s">
        <v>24</v>
      </c>
      <c r="U84" s="144" t="s">
        <v>24</v>
      </c>
      <c r="V84" s="144" t="s">
        <v>24</v>
      </c>
      <c r="W84" s="144" t="s">
        <v>24</v>
      </c>
      <c r="X84" s="144" t="s">
        <v>24</v>
      </c>
      <c r="Y84" s="144" t="s">
        <v>24</v>
      </c>
      <c r="Z84" s="144" t="s">
        <v>24</v>
      </c>
      <c r="AA84" s="149" t="s">
        <v>481</v>
      </c>
      <c r="AB84" s="152" t="s">
        <v>477</v>
      </c>
      <c r="AC84" s="152" t="s">
        <v>478</v>
      </c>
      <c r="AD84" s="152" t="s">
        <v>479</v>
      </c>
      <c r="AE84" s="149" t="s">
        <v>108</v>
      </c>
      <c r="AF84" s="149" t="s">
        <v>4</v>
      </c>
      <c r="AG84" s="208" t="s">
        <v>24</v>
      </c>
      <c r="AH84" s="208" t="s">
        <v>24</v>
      </c>
      <c r="AI84" s="234" t="s">
        <v>481</v>
      </c>
      <c r="AJ84" s="134" t="s">
        <v>24</v>
      </c>
      <c r="AK84" s="211" t="s">
        <v>24</v>
      </c>
      <c r="AL84" s="134" t="s">
        <v>24</v>
      </c>
      <c r="AM84" s="134" t="s">
        <v>24</v>
      </c>
      <c r="AN84" s="134" t="s">
        <v>24</v>
      </c>
      <c r="AO84" s="149" t="s">
        <v>481</v>
      </c>
      <c r="AP84" s="134" t="s">
        <v>24</v>
      </c>
      <c r="AQ84" s="134" t="s">
        <v>24</v>
      </c>
      <c r="AR84" s="134" t="s">
        <v>24</v>
      </c>
      <c r="AS84" s="134" t="s">
        <v>24</v>
      </c>
      <c r="AT84" s="134" t="s">
        <v>24</v>
      </c>
      <c r="AU84" s="134" t="s">
        <v>24</v>
      </c>
      <c r="AV84" s="134" t="s">
        <v>24</v>
      </c>
      <c r="AW84" s="134" t="s">
        <v>24</v>
      </c>
      <c r="AX84" s="134" t="s">
        <v>24</v>
      </c>
      <c r="AY84" s="134" t="s">
        <v>24</v>
      </c>
      <c r="AZ84" s="141" t="s">
        <v>33</v>
      </c>
      <c r="BA84" s="141" t="s">
        <v>113</v>
      </c>
      <c r="BB84" s="149" t="s">
        <v>110</v>
      </c>
      <c r="BC84" s="142" t="e">
        <f t="shared" si="6"/>
        <v>#VALUE!</v>
      </c>
      <c r="BD84" s="134" t="str">
        <f t="shared" si="7"/>
        <v>INDENIZAÇÃO</v>
      </c>
      <c r="BE84" s="134" t="str">
        <f t="shared" si="8"/>
        <v>NÃO</v>
      </c>
      <c r="BF84" s="142" t="s">
        <v>24</v>
      </c>
      <c r="BG84" s="142" t="s">
        <v>24</v>
      </c>
      <c r="BH84" s="142" t="s">
        <v>24</v>
      </c>
      <c r="BI84" s="142" t="s">
        <v>24</v>
      </c>
      <c r="BJ84" s="142" t="s">
        <v>24</v>
      </c>
      <c r="BK84" s="142" t="s">
        <v>24</v>
      </c>
      <c r="BL84" s="142" t="s">
        <v>24</v>
      </c>
      <c r="BM84" s="145" t="s">
        <v>110</v>
      </c>
      <c r="CI84" s="200"/>
    </row>
    <row r="85" spans="1:87" s="149" customFormat="1" ht="30" hidden="1" customHeight="1" x14ac:dyDescent="0.25">
      <c r="A85" s="134">
        <v>69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482</v>
      </c>
      <c r="G85" s="149" t="s">
        <v>102</v>
      </c>
      <c r="H85" s="149" t="s">
        <v>103</v>
      </c>
      <c r="I85" s="149" t="s">
        <v>382</v>
      </c>
      <c r="J85" s="152" t="s">
        <v>483</v>
      </c>
      <c r="K85" s="152" t="s">
        <v>484</v>
      </c>
      <c r="L85" s="152" t="s">
        <v>485</v>
      </c>
      <c r="M85" s="134" t="s">
        <v>4</v>
      </c>
      <c r="N85" s="134" t="s">
        <v>14</v>
      </c>
      <c r="O85" s="194">
        <v>45852</v>
      </c>
      <c r="P85" s="197" t="s">
        <v>17</v>
      </c>
      <c r="Q85" s="264" t="s">
        <v>386</v>
      </c>
      <c r="R85" s="197"/>
      <c r="S85" s="197"/>
      <c r="T85" s="197"/>
      <c r="U85" s="197"/>
      <c r="V85" s="197"/>
      <c r="W85" s="197"/>
      <c r="X85" s="197"/>
      <c r="Y85" s="197"/>
      <c r="Z85" s="197"/>
      <c r="AB85" s="152" t="s">
        <v>477</v>
      </c>
      <c r="AC85" s="152" t="s">
        <v>478</v>
      </c>
      <c r="AD85" s="152" t="s">
        <v>479</v>
      </c>
      <c r="AE85" s="134" t="s">
        <v>342</v>
      </c>
      <c r="AF85" s="149" t="s">
        <v>4</v>
      </c>
      <c r="AG85" s="208">
        <v>13868.87</v>
      </c>
      <c r="AH85" s="208">
        <v>13868.87</v>
      </c>
      <c r="AI85" s="230" t="s">
        <v>6</v>
      </c>
      <c r="AJ85" s="138" t="s">
        <v>109</v>
      </c>
      <c r="AK85" s="211">
        <v>93752897</v>
      </c>
      <c r="AL85" s="149" t="s">
        <v>110</v>
      </c>
      <c r="AM85" s="149" t="s">
        <v>110</v>
      </c>
      <c r="AN85" s="149" t="s">
        <v>111</v>
      </c>
      <c r="AP85" s="152" t="s">
        <v>486</v>
      </c>
      <c r="AQ85" s="198" t="s">
        <v>110</v>
      </c>
      <c r="AR85" s="198" t="s">
        <v>110</v>
      </c>
      <c r="AS85" s="198" t="s">
        <v>110</v>
      </c>
      <c r="AT85" s="198" t="s">
        <v>110</v>
      </c>
      <c r="AU85" s="161">
        <v>45890</v>
      </c>
      <c r="AV85" s="198" t="s">
        <v>110</v>
      </c>
      <c r="AW85" s="198" t="s">
        <v>110</v>
      </c>
      <c r="AX85" s="161">
        <v>45902</v>
      </c>
      <c r="AY85" s="140">
        <v>45902</v>
      </c>
      <c r="AZ85" s="140" t="s">
        <v>33</v>
      </c>
      <c r="BA85" s="141" t="s">
        <v>113</v>
      </c>
      <c r="BB85" s="149" t="s">
        <v>110</v>
      </c>
      <c r="BC85" s="142">
        <f t="shared" si="6"/>
        <v>50</v>
      </c>
      <c r="BD85" s="134" t="str">
        <f t="shared" si="7"/>
        <v>INDENIZAÇÃO</v>
      </c>
      <c r="BE85" s="134" t="str">
        <f t="shared" si="8"/>
        <v>NÃO</v>
      </c>
      <c r="BF85" s="149" t="s">
        <v>24</v>
      </c>
      <c r="BG85" s="149" t="s">
        <v>24</v>
      </c>
      <c r="BH85" s="149" t="s">
        <v>24</v>
      </c>
      <c r="BI85" s="198" t="s">
        <v>110</v>
      </c>
      <c r="BJ85" s="198" t="s">
        <v>110</v>
      </c>
      <c r="BK85" s="161">
        <v>45923</v>
      </c>
      <c r="BL85" s="198" t="s">
        <v>110</v>
      </c>
      <c r="BM85" s="145" t="s">
        <v>33</v>
      </c>
      <c r="CI85" s="200"/>
    </row>
    <row r="86" spans="1:87" s="149" customFormat="1" ht="30" hidden="1" customHeight="1" x14ac:dyDescent="0.25">
      <c r="A86" s="134">
        <v>70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487</v>
      </c>
      <c r="G86" s="149" t="s">
        <v>102</v>
      </c>
      <c r="H86" s="149" t="s">
        <v>103</v>
      </c>
      <c r="I86" s="149" t="s">
        <v>382</v>
      </c>
      <c r="J86" s="152" t="s">
        <v>488</v>
      </c>
      <c r="K86" s="152" t="s">
        <v>489</v>
      </c>
      <c r="L86" s="152" t="s">
        <v>490</v>
      </c>
      <c r="M86" s="134" t="s">
        <v>4</v>
      </c>
      <c r="N86" s="134" t="s">
        <v>14</v>
      </c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491</v>
      </c>
      <c r="AC86" s="152" t="s">
        <v>492</v>
      </c>
      <c r="AD86" s="152" t="s">
        <v>493</v>
      </c>
      <c r="AE86" s="134" t="s">
        <v>342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hidden="1" customHeight="1" x14ac:dyDescent="0.25">
      <c r="A87" s="134">
        <v>71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494</v>
      </c>
      <c r="G87" s="149" t="s">
        <v>102</v>
      </c>
      <c r="H87" s="149" t="s">
        <v>103</v>
      </c>
      <c r="I87" s="149" t="s">
        <v>382</v>
      </c>
      <c r="J87" s="152" t="s">
        <v>495</v>
      </c>
      <c r="K87" s="152" t="s">
        <v>496</v>
      </c>
      <c r="L87" s="152" t="s">
        <v>497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498</v>
      </c>
      <c r="AC87" s="152" t="s">
        <v>499</v>
      </c>
      <c r="AD87" s="152" t="s">
        <v>500</v>
      </c>
      <c r="AE87" s="134" t="s">
        <v>342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hidden="1" customHeight="1" x14ac:dyDescent="0.25">
      <c r="A88" s="134">
        <v>72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501</v>
      </c>
      <c r="G88" s="149" t="s">
        <v>102</v>
      </c>
      <c r="H88" s="149" t="s">
        <v>103</v>
      </c>
      <c r="I88" s="149" t="s">
        <v>382</v>
      </c>
      <c r="J88" s="152" t="s">
        <v>502</v>
      </c>
      <c r="K88" s="152" t="s">
        <v>503</v>
      </c>
      <c r="L88" s="152" t="s">
        <v>504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505</v>
      </c>
      <c r="AC88" s="152" t="s">
        <v>506</v>
      </c>
      <c r="AD88" s="152" t="s">
        <v>507</v>
      </c>
      <c r="AE88" s="134" t="s">
        <v>342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hidden="1" customHeight="1" x14ac:dyDescent="0.25">
      <c r="A89" s="134">
        <v>73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508</v>
      </c>
      <c r="G89" s="149" t="s">
        <v>102</v>
      </c>
      <c r="H89" s="149" t="s">
        <v>103</v>
      </c>
      <c r="I89" s="149" t="s">
        <v>108</v>
      </c>
      <c r="J89" s="152" t="s">
        <v>509</v>
      </c>
      <c r="K89" s="152" t="s">
        <v>510</v>
      </c>
      <c r="L89" s="152" t="s">
        <v>511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509</v>
      </c>
      <c r="AC89" s="152" t="s">
        <v>510</v>
      </c>
      <c r="AD89" s="152" t="s">
        <v>511</v>
      </c>
      <c r="AE89" s="149" t="s">
        <v>108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hidden="1" customHeight="1" x14ac:dyDescent="0.25">
      <c r="A90" s="134">
        <v>74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512</v>
      </c>
      <c r="G90" s="149" t="s">
        <v>337</v>
      </c>
      <c r="H90" s="149" t="s">
        <v>103</v>
      </c>
      <c r="I90" s="149" t="s">
        <v>342</v>
      </c>
      <c r="J90" s="152" t="s">
        <v>513</v>
      </c>
      <c r="K90" s="152" t="s">
        <v>514</v>
      </c>
      <c r="L90" s="152" t="s">
        <v>515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513</v>
      </c>
      <c r="AC90" s="152" t="s">
        <v>514</v>
      </c>
      <c r="AD90" s="152" t="s">
        <v>515</v>
      </c>
      <c r="AE90" s="134" t="s">
        <v>342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hidden="1" customHeight="1" x14ac:dyDescent="0.25">
      <c r="A91" s="134">
        <v>75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516</v>
      </c>
      <c r="G91" s="149" t="s">
        <v>337</v>
      </c>
      <c r="H91" s="149" t="s">
        <v>103</v>
      </c>
      <c r="I91" s="149" t="s">
        <v>342</v>
      </c>
      <c r="J91" s="152" t="s">
        <v>505</v>
      </c>
      <c r="K91" s="152" t="s">
        <v>506</v>
      </c>
      <c r="L91" s="152" t="s">
        <v>507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505</v>
      </c>
      <c r="AC91" s="152" t="s">
        <v>506</v>
      </c>
      <c r="AD91" s="152" t="s">
        <v>507</v>
      </c>
      <c r="AE91" s="134" t="s">
        <v>342</v>
      </c>
      <c r="AG91" s="208"/>
      <c r="AH91" s="208"/>
      <c r="AI91" s="230"/>
      <c r="AJ91" s="134"/>
      <c r="AK91" s="211"/>
      <c r="AP91" s="152"/>
      <c r="BC91" s="142" t="str">
        <f t="shared" si="6"/>
        <v/>
      </c>
      <c r="BD91" s="134" t="str">
        <f t="shared" si="7"/>
        <v>INDENIZAÇÃO</v>
      </c>
      <c r="BE91" s="134" t="str">
        <f t="shared" si="8"/>
        <v>NÃO</v>
      </c>
      <c r="BF91" s="134"/>
      <c r="BG91" s="194"/>
      <c r="BH91" s="194"/>
      <c r="CI91" s="200"/>
    </row>
    <row r="92" spans="1:87" s="149" customFormat="1" ht="30" hidden="1" customHeight="1" x14ac:dyDescent="0.25">
      <c r="A92" s="134">
        <v>76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517</v>
      </c>
      <c r="G92" s="149" t="s">
        <v>337</v>
      </c>
      <c r="H92" s="149" t="s">
        <v>103</v>
      </c>
      <c r="I92" s="149" t="s">
        <v>342</v>
      </c>
      <c r="J92" s="152" t="s">
        <v>505</v>
      </c>
      <c r="K92" s="152" t="s">
        <v>506</v>
      </c>
      <c r="L92" s="152" t="s">
        <v>507</v>
      </c>
      <c r="M92" s="134" t="s">
        <v>4</v>
      </c>
      <c r="N92" s="134"/>
      <c r="O92" s="194"/>
      <c r="P92" s="144"/>
      <c r="Q92" s="263"/>
      <c r="R92" s="144"/>
      <c r="S92" s="144"/>
      <c r="T92" s="144"/>
      <c r="U92" s="144"/>
      <c r="V92" s="144"/>
      <c r="W92" s="144"/>
      <c r="X92" s="144"/>
      <c r="Y92" s="144"/>
      <c r="Z92" s="144"/>
      <c r="AB92" s="152" t="s">
        <v>505</v>
      </c>
      <c r="AC92" s="152" t="s">
        <v>506</v>
      </c>
      <c r="AD92" s="152" t="s">
        <v>507</v>
      </c>
      <c r="AE92" s="134" t="s">
        <v>342</v>
      </c>
      <c r="AG92" s="208"/>
      <c r="AH92" s="208"/>
      <c r="AI92" s="230"/>
      <c r="AJ92" s="134"/>
      <c r="AK92" s="211"/>
      <c r="AP92" s="152"/>
      <c r="BC92" s="142" t="str">
        <f t="shared" si="6"/>
        <v/>
      </c>
      <c r="BD92" s="134" t="str">
        <f t="shared" si="7"/>
        <v>INDENIZAÇÃO</v>
      </c>
      <c r="BE92" s="134" t="str">
        <f t="shared" si="8"/>
        <v>NÃO</v>
      </c>
      <c r="BF92" s="134"/>
      <c r="BG92" s="194"/>
      <c r="BH92" s="194"/>
      <c r="CI92" s="200"/>
    </row>
    <row r="93" spans="1:87" s="149" customFormat="1" ht="30" hidden="1" customHeight="1" x14ac:dyDescent="0.25">
      <c r="A93" s="134">
        <v>77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518</v>
      </c>
      <c r="G93" s="149" t="s">
        <v>337</v>
      </c>
      <c r="H93" s="149" t="s">
        <v>103</v>
      </c>
      <c r="I93" s="149" t="s">
        <v>342</v>
      </c>
      <c r="J93" s="152" t="s">
        <v>519</v>
      </c>
      <c r="K93" s="152" t="s">
        <v>520</v>
      </c>
      <c r="L93" s="152" t="s">
        <v>521</v>
      </c>
      <c r="M93" s="134" t="s">
        <v>4</v>
      </c>
      <c r="N93" s="134"/>
      <c r="O93" s="194"/>
      <c r="P93" s="144"/>
      <c r="Q93" s="263"/>
      <c r="R93" s="144"/>
      <c r="S93" s="144"/>
      <c r="T93" s="144"/>
      <c r="U93" s="144"/>
      <c r="V93" s="144"/>
      <c r="W93" s="144"/>
      <c r="X93" s="144"/>
      <c r="Y93" s="144"/>
      <c r="Z93" s="144"/>
      <c r="AB93" s="152" t="s">
        <v>519</v>
      </c>
      <c r="AC93" s="152" t="s">
        <v>520</v>
      </c>
      <c r="AD93" s="152" t="s">
        <v>521</v>
      </c>
      <c r="AE93" s="134" t="s">
        <v>342</v>
      </c>
      <c r="AG93" s="208"/>
      <c r="AH93" s="208"/>
      <c r="AI93" s="134"/>
      <c r="AJ93" s="300"/>
      <c r="AK93" s="134"/>
      <c r="AP93" s="152"/>
      <c r="BC93" s="142" t="str">
        <f t="shared" si="6"/>
        <v/>
      </c>
      <c r="BD93" s="134" t="str">
        <f t="shared" si="7"/>
        <v>INDENIZAÇÃO</v>
      </c>
      <c r="BE93" s="134" t="str">
        <f t="shared" si="8"/>
        <v>NÃO</v>
      </c>
      <c r="BF93" s="134"/>
      <c r="BG93" s="194"/>
      <c r="BH93" s="194"/>
      <c r="CI93" s="200"/>
    </row>
    <row r="94" spans="1:87" s="149" customFormat="1" ht="30" hidden="1" customHeight="1" x14ac:dyDescent="0.25">
      <c r="A94" s="134">
        <v>78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522</v>
      </c>
      <c r="G94" s="149" t="s">
        <v>102</v>
      </c>
      <c r="H94" s="149" t="s">
        <v>103</v>
      </c>
      <c r="I94" s="149" t="s">
        <v>108</v>
      </c>
      <c r="J94" s="152" t="s">
        <v>523</v>
      </c>
      <c r="K94" s="152" t="s">
        <v>524</v>
      </c>
      <c r="L94" s="152" t="s">
        <v>525</v>
      </c>
      <c r="M94" s="134" t="s">
        <v>4</v>
      </c>
      <c r="N94" s="134" t="s">
        <v>5</v>
      </c>
      <c r="O94" s="194">
        <v>45414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523</v>
      </c>
      <c r="AC94" s="152" t="s">
        <v>524</v>
      </c>
      <c r="AD94" s="152" t="s">
        <v>525</v>
      </c>
      <c r="AE94" s="149" t="s">
        <v>108</v>
      </c>
      <c r="AF94" s="149" t="s">
        <v>4</v>
      </c>
      <c r="AG94" s="208">
        <v>43878.93</v>
      </c>
      <c r="AH94" s="208">
        <v>60000</v>
      </c>
      <c r="AI94" s="230" t="s">
        <v>6</v>
      </c>
      <c r="AJ94" s="138" t="s">
        <v>109</v>
      </c>
      <c r="AL94" s="149" t="s">
        <v>110</v>
      </c>
      <c r="AM94" s="149" t="s">
        <v>110</v>
      </c>
      <c r="AN94" s="149" t="s">
        <v>111</v>
      </c>
      <c r="AP94" s="199" t="s">
        <v>526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6"/>
        <v>92</v>
      </c>
      <c r="BD94" s="134" t="str">
        <f t="shared" si="7"/>
        <v>INDENIZAÇÃO</v>
      </c>
      <c r="BE94" s="134" t="str">
        <f t="shared" si="8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hidden="1" customHeight="1" x14ac:dyDescent="0.25">
      <c r="A95" s="134">
        <v>79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527</v>
      </c>
      <c r="G95" s="149" t="s">
        <v>102</v>
      </c>
      <c r="H95" s="149" t="s">
        <v>103</v>
      </c>
      <c r="I95" s="149" t="s">
        <v>108</v>
      </c>
      <c r="J95" s="152" t="s">
        <v>528</v>
      </c>
      <c r="K95" s="152" t="s">
        <v>529</v>
      </c>
      <c r="L95" s="152" t="s">
        <v>530</v>
      </c>
      <c r="M95" s="134" t="s">
        <v>4</v>
      </c>
      <c r="N95" s="134" t="s">
        <v>5</v>
      </c>
      <c r="O95" s="194">
        <v>45376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528</v>
      </c>
      <c r="AC95" s="152" t="s">
        <v>529</v>
      </c>
      <c r="AD95" s="152" t="s">
        <v>530</v>
      </c>
      <c r="AE95" s="149" t="s">
        <v>108</v>
      </c>
      <c r="AF95" s="149" t="s">
        <v>4</v>
      </c>
      <c r="AG95" s="208">
        <v>181445.15</v>
      </c>
      <c r="AH95" s="208">
        <v>181445.15</v>
      </c>
      <c r="AI95" s="214" t="s">
        <v>6</v>
      </c>
      <c r="AJ95" s="160" t="s">
        <v>109</v>
      </c>
      <c r="AK95" s="214"/>
      <c r="AL95" s="149" t="s">
        <v>110</v>
      </c>
      <c r="AM95" s="149" t="s">
        <v>110</v>
      </c>
      <c r="AN95" s="149" t="s">
        <v>111</v>
      </c>
      <c r="AP95" s="199" t="s">
        <v>531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45587</v>
      </c>
      <c r="AV95" s="198" t="s">
        <v>110</v>
      </c>
      <c r="AW95" s="198" t="s">
        <v>110</v>
      </c>
      <c r="AX95" s="194">
        <v>45600</v>
      </c>
      <c r="AY95" s="197">
        <v>45600</v>
      </c>
      <c r="AZ95" s="197" t="s">
        <v>33</v>
      </c>
      <c r="BA95" s="145" t="s">
        <v>113</v>
      </c>
      <c r="BB95" s="149" t="s">
        <v>110</v>
      </c>
      <c r="BC95" s="142">
        <f t="shared" si="6"/>
        <v>224</v>
      </c>
      <c r="BD95" s="134" t="str">
        <f t="shared" si="7"/>
        <v>INDENIZAÇÃO</v>
      </c>
      <c r="BE95" s="134" t="str">
        <f t="shared" si="8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hidden="1" customHeight="1" x14ac:dyDescent="0.25">
      <c r="A96" s="134">
        <v>80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532</v>
      </c>
      <c r="G96" s="149" t="s">
        <v>102</v>
      </c>
      <c r="H96" s="149" t="s">
        <v>103</v>
      </c>
      <c r="I96" s="149" t="s">
        <v>108</v>
      </c>
      <c r="J96" s="152" t="s">
        <v>533</v>
      </c>
      <c r="K96" s="152" t="s">
        <v>534</v>
      </c>
      <c r="L96" s="152" t="s">
        <v>535</v>
      </c>
      <c r="M96" s="134" t="s">
        <v>4</v>
      </c>
      <c r="N96" s="134" t="s">
        <v>5</v>
      </c>
      <c r="O96" s="194">
        <v>45376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533</v>
      </c>
      <c r="AC96" s="152" t="s">
        <v>534</v>
      </c>
      <c r="AD96" s="152" t="s">
        <v>535</v>
      </c>
      <c r="AE96" s="149" t="s">
        <v>108</v>
      </c>
      <c r="AF96" s="149" t="s">
        <v>4</v>
      </c>
      <c r="AG96" s="208">
        <v>72462.67</v>
      </c>
      <c r="AH96" s="208">
        <v>72462.67</v>
      </c>
      <c r="AI96" s="214" t="s">
        <v>6</v>
      </c>
      <c r="AJ96" s="138" t="s">
        <v>109</v>
      </c>
      <c r="AK96" s="214"/>
      <c r="AL96" s="149" t="s">
        <v>110</v>
      </c>
      <c r="AM96" s="149" t="s">
        <v>110</v>
      </c>
      <c r="AN96" s="149" t="s">
        <v>111</v>
      </c>
      <c r="AP96" s="199" t="s">
        <v>536</v>
      </c>
      <c r="AQ96" s="198" t="s">
        <v>110</v>
      </c>
      <c r="AR96" s="198" t="s">
        <v>110</v>
      </c>
      <c r="AS96" s="198" t="s">
        <v>110</v>
      </c>
      <c r="AT96" s="198" t="s">
        <v>110</v>
      </c>
      <c r="AU96" s="194">
        <v>45498</v>
      </c>
      <c r="AV96" s="198" t="s">
        <v>110</v>
      </c>
      <c r="AW96" s="198" t="s">
        <v>110</v>
      </c>
      <c r="AX96" s="194">
        <v>45506</v>
      </c>
      <c r="AY96" s="197">
        <v>45506</v>
      </c>
      <c r="AZ96" s="145" t="s">
        <v>33</v>
      </c>
      <c r="BA96" s="145" t="s">
        <v>113</v>
      </c>
      <c r="BB96" s="149" t="s">
        <v>110</v>
      </c>
      <c r="BC96" s="142">
        <f t="shared" si="6"/>
        <v>130</v>
      </c>
      <c r="BD96" s="134" t="str">
        <f t="shared" si="7"/>
        <v>INDENIZAÇÃO</v>
      </c>
      <c r="BE96" s="134" t="str">
        <f t="shared" si="8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45559</v>
      </c>
      <c r="BL96" s="198" t="s">
        <v>110</v>
      </c>
      <c r="BM96" s="145" t="s">
        <v>33</v>
      </c>
      <c r="CI96" s="200"/>
    </row>
    <row r="97" spans="1:87" s="149" customFormat="1" ht="30" hidden="1" customHeight="1" x14ac:dyDescent="0.25">
      <c r="A97" s="134">
        <v>81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537</v>
      </c>
      <c r="G97" s="149" t="s">
        <v>102</v>
      </c>
      <c r="H97" s="149" t="s">
        <v>103</v>
      </c>
      <c r="I97" s="149" t="s">
        <v>108</v>
      </c>
      <c r="J97" s="152" t="s">
        <v>538</v>
      </c>
      <c r="K97" s="152" t="s">
        <v>539</v>
      </c>
      <c r="L97" s="152" t="s">
        <v>540</v>
      </c>
      <c r="M97" s="134" t="s">
        <v>4</v>
      </c>
      <c r="N97" s="134" t="s">
        <v>5</v>
      </c>
      <c r="O97" s="194">
        <v>45539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538</v>
      </c>
      <c r="AC97" s="152" t="s">
        <v>539</v>
      </c>
      <c r="AD97" s="152" t="s">
        <v>540</v>
      </c>
      <c r="AE97" s="149" t="s">
        <v>108</v>
      </c>
      <c r="AF97" s="149" t="s">
        <v>4</v>
      </c>
      <c r="AG97" s="208">
        <v>61204.36</v>
      </c>
      <c r="AH97" s="208">
        <v>61204.36</v>
      </c>
      <c r="AI97" s="230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541</v>
      </c>
      <c r="AQ97" s="149" t="s">
        <v>110</v>
      </c>
      <c r="AR97" s="149" t="s">
        <v>110</v>
      </c>
      <c r="AS97" s="198" t="s">
        <v>110</v>
      </c>
      <c r="AT97" s="198" t="s">
        <v>110</v>
      </c>
      <c r="AU97" s="194">
        <v>45582</v>
      </c>
      <c r="AV97" s="198" t="s">
        <v>110</v>
      </c>
      <c r="AW97" s="198" t="s">
        <v>110</v>
      </c>
      <c r="AX97" s="194">
        <v>45588</v>
      </c>
      <c r="AY97" s="197">
        <v>45588</v>
      </c>
      <c r="AZ97" s="145" t="s">
        <v>33</v>
      </c>
      <c r="BA97" s="145" t="s">
        <v>113</v>
      </c>
      <c r="BB97" s="149" t="s">
        <v>110</v>
      </c>
      <c r="BC97" s="142">
        <f t="shared" si="6"/>
        <v>49</v>
      </c>
      <c r="BD97" s="134" t="str">
        <f t="shared" si="7"/>
        <v>INDENIZAÇÃO</v>
      </c>
      <c r="BE97" s="134" t="str">
        <f t="shared" si="8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45621</v>
      </c>
      <c r="BL97" s="198" t="s">
        <v>110</v>
      </c>
      <c r="BM97" s="145" t="s">
        <v>33</v>
      </c>
      <c r="CI97" s="200"/>
    </row>
    <row r="98" spans="1:87" s="149" customFormat="1" ht="30" hidden="1" customHeight="1" x14ac:dyDescent="0.25">
      <c r="A98" s="134">
        <v>82</v>
      </c>
      <c r="B98" s="134" t="s">
        <v>99</v>
      </c>
      <c r="C98" s="134">
        <v>1</v>
      </c>
      <c r="D98" s="134" t="s">
        <v>100</v>
      </c>
      <c r="E98" s="134" t="s">
        <v>100</v>
      </c>
      <c r="F98" s="138" t="s">
        <v>542</v>
      </c>
      <c r="G98" s="149" t="s">
        <v>102</v>
      </c>
      <c r="H98" s="149" t="s">
        <v>103</v>
      </c>
      <c r="I98" s="149" t="s">
        <v>108</v>
      </c>
      <c r="J98" s="152" t="s">
        <v>543</v>
      </c>
      <c r="K98" s="152" t="s">
        <v>544</v>
      </c>
      <c r="L98" s="152" t="s">
        <v>545</v>
      </c>
      <c r="M98" s="134" t="s">
        <v>4</v>
      </c>
      <c r="N98" s="134" t="s">
        <v>5</v>
      </c>
      <c r="O98" s="194">
        <v>45702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543</v>
      </c>
      <c r="AC98" s="152" t="s">
        <v>544</v>
      </c>
      <c r="AD98" s="152" t="s">
        <v>545</v>
      </c>
      <c r="AE98" s="149" t="s">
        <v>108</v>
      </c>
      <c r="AF98" s="149" t="s">
        <v>4</v>
      </c>
      <c r="AG98" s="208">
        <v>25313.15</v>
      </c>
      <c r="AH98" s="208">
        <v>55313.15</v>
      </c>
      <c r="AI98" s="134" t="s">
        <v>6</v>
      </c>
      <c r="AJ98" s="310" t="s">
        <v>109</v>
      </c>
      <c r="AK98" s="214">
        <v>115730063</v>
      </c>
      <c r="AL98" s="149" t="s">
        <v>110</v>
      </c>
      <c r="AM98" s="149" t="s">
        <v>110</v>
      </c>
      <c r="AN98" s="149" t="s">
        <v>111</v>
      </c>
      <c r="AP98" s="152" t="s">
        <v>546</v>
      </c>
      <c r="AQ98" s="149" t="s">
        <v>110</v>
      </c>
      <c r="AR98" s="149" t="s">
        <v>110</v>
      </c>
      <c r="AS98" s="149" t="s">
        <v>110</v>
      </c>
      <c r="AT98" s="149" t="s">
        <v>110</v>
      </c>
      <c r="AU98" s="194">
        <v>45775</v>
      </c>
      <c r="AV98" s="149" t="s">
        <v>110</v>
      </c>
      <c r="AW98" s="149" t="s">
        <v>110</v>
      </c>
      <c r="AX98" s="194">
        <v>45782</v>
      </c>
      <c r="AY98" s="197">
        <v>45782</v>
      </c>
      <c r="AZ98" s="140" t="s">
        <v>33</v>
      </c>
      <c r="BA98" s="145" t="s">
        <v>113</v>
      </c>
      <c r="BB98" s="149" t="s">
        <v>110</v>
      </c>
      <c r="BC98" s="142">
        <f t="shared" si="6"/>
        <v>80</v>
      </c>
      <c r="BD98" s="134" t="str">
        <f t="shared" si="7"/>
        <v>INDENIZAÇÃO</v>
      </c>
      <c r="BE98" s="134" t="str">
        <f t="shared" si="8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45859</v>
      </c>
      <c r="BL98" s="149" t="s">
        <v>110</v>
      </c>
      <c r="BM98" s="141" t="s">
        <v>33</v>
      </c>
      <c r="CI98" s="200"/>
    </row>
    <row r="99" spans="1:87" s="149" customFormat="1" ht="30" hidden="1" customHeight="1" x14ac:dyDescent="0.25">
      <c r="A99" s="134">
        <v>83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547</v>
      </c>
      <c r="G99" s="149" t="s">
        <v>102</v>
      </c>
      <c r="H99" s="149" t="s">
        <v>103</v>
      </c>
      <c r="I99" s="149" t="s">
        <v>108</v>
      </c>
      <c r="J99" s="152" t="s">
        <v>548</v>
      </c>
      <c r="K99" s="152" t="s">
        <v>549</v>
      </c>
      <c r="L99" s="152" t="s">
        <v>550</v>
      </c>
      <c r="M99" s="134" t="s">
        <v>4</v>
      </c>
      <c r="N99" s="134" t="s">
        <v>5</v>
      </c>
      <c r="O99" s="194">
        <v>45376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548</v>
      </c>
      <c r="AC99" s="152" t="s">
        <v>549</v>
      </c>
      <c r="AD99" s="152" t="s">
        <v>550</v>
      </c>
      <c r="AE99" s="149" t="s">
        <v>108</v>
      </c>
      <c r="AF99" s="149" t="s">
        <v>4</v>
      </c>
      <c r="AG99" s="208">
        <v>18447.400000000001</v>
      </c>
      <c r="AH99" s="208">
        <v>48447.4</v>
      </c>
      <c r="AI99" s="232" t="s">
        <v>6</v>
      </c>
      <c r="AJ99" s="138" t="s">
        <v>109</v>
      </c>
      <c r="AK99" s="235"/>
      <c r="AL99" s="149" t="s">
        <v>110</v>
      </c>
      <c r="AM99" s="149" t="s">
        <v>110</v>
      </c>
      <c r="AN99" s="149" t="s">
        <v>111</v>
      </c>
      <c r="AP99" s="199" t="s">
        <v>551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45498</v>
      </c>
      <c r="AV99" s="198" t="s">
        <v>110</v>
      </c>
      <c r="AW99" s="198" t="s">
        <v>110</v>
      </c>
      <c r="AX99" s="194">
        <v>45517</v>
      </c>
      <c r="AY99" s="197">
        <v>45517</v>
      </c>
      <c r="AZ99" s="145" t="s">
        <v>33</v>
      </c>
      <c r="BA99" s="145" t="s">
        <v>113</v>
      </c>
      <c r="BB99" s="149" t="s">
        <v>110</v>
      </c>
      <c r="BC99" s="142">
        <f t="shared" si="6"/>
        <v>141</v>
      </c>
      <c r="BD99" s="134" t="str">
        <f t="shared" si="7"/>
        <v>INDENIZAÇÃO</v>
      </c>
      <c r="BE99" s="134" t="str">
        <f t="shared" si="8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hidden="1" customHeight="1" x14ac:dyDescent="0.25">
      <c r="A100" s="134">
        <v>84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46" t="s">
        <v>552</v>
      </c>
      <c r="G100" s="149" t="s">
        <v>102</v>
      </c>
      <c r="H100" s="149" t="s">
        <v>103</v>
      </c>
      <c r="I100" s="149" t="s">
        <v>108</v>
      </c>
      <c r="J100" s="152" t="s">
        <v>553</v>
      </c>
      <c r="K100" s="152" t="s">
        <v>554</v>
      </c>
      <c r="L100" s="152" t="s">
        <v>555</v>
      </c>
      <c r="M100" s="134" t="s">
        <v>4</v>
      </c>
      <c r="N100" s="134" t="s">
        <v>5</v>
      </c>
      <c r="O100" s="194">
        <v>45414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553</v>
      </c>
      <c r="AC100" s="152" t="s">
        <v>554</v>
      </c>
      <c r="AD100" s="152" t="s">
        <v>555</v>
      </c>
      <c r="AE100" s="149" t="s">
        <v>108</v>
      </c>
      <c r="AF100" s="149" t="s">
        <v>4</v>
      </c>
      <c r="AG100" s="208">
        <v>1608.57</v>
      </c>
      <c r="AH100" s="208">
        <f>AG100+30000</f>
        <v>31608.57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49" t="s">
        <v>111</v>
      </c>
      <c r="AP100" s="199" t="s">
        <v>556</v>
      </c>
      <c r="AQ100" s="198" t="s">
        <v>110</v>
      </c>
      <c r="AR100" s="198" t="s">
        <v>110</v>
      </c>
      <c r="AS100" s="198" t="s">
        <v>110</v>
      </c>
      <c r="AT100" s="198" t="s">
        <v>110</v>
      </c>
      <c r="AU100" s="194">
        <v>45498</v>
      </c>
      <c r="AV100" s="198" t="s">
        <v>110</v>
      </c>
      <c r="AW100" s="198" t="s">
        <v>110</v>
      </c>
      <c r="AX100" s="194">
        <v>45506</v>
      </c>
      <c r="AY100" s="197">
        <v>45506</v>
      </c>
      <c r="AZ100" s="145" t="s">
        <v>33</v>
      </c>
      <c r="BA100" s="145" t="s">
        <v>113</v>
      </c>
      <c r="BB100" s="149" t="s">
        <v>110</v>
      </c>
      <c r="BC100" s="142">
        <f t="shared" si="6"/>
        <v>92</v>
      </c>
      <c r="BD100" s="134" t="str">
        <f t="shared" si="7"/>
        <v>INDENIZAÇÃO</v>
      </c>
      <c r="BE100" s="134" t="str">
        <f t="shared" si="8"/>
        <v>NÃO</v>
      </c>
      <c r="BF100" s="134" t="s">
        <v>24</v>
      </c>
      <c r="BG100" s="134" t="s">
        <v>24</v>
      </c>
      <c r="BH100" s="134" t="s">
        <v>24</v>
      </c>
      <c r="BI100" s="198" t="s">
        <v>110</v>
      </c>
      <c r="BJ100" s="198" t="s">
        <v>110</v>
      </c>
      <c r="BK100" s="194">
        <v>45559</v>
      </c>
      <c r="BL100" s="198" t="s">
        <v>110</v>
      </c>
      <c r="BM100" s="145" t="s">
        <v>33</v>
      </c>
      <c r="CI100" s="200"/>
    </row>
    <row r="101" spans="1:87" s="149" customFormat="1" ht="30" hidden="1" customHeight="1" x14ac:dyDescent="0.25">
      <c r="A101" s="134">
        <v>85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557</v>
      </c>
      <c r="G101" s="149" t="s">
        <v>102</v>
      </c>
      <c r="H101" s="149" t="s">
        <v>103</v>
      </c>
      <c r="I101" s="149" t="s">
        <v>108</v>
      </c>
      <c r="J101" s="152" t="s">
        <v>558</v>
      </c>
      <c r="K101" s="152" t="s">
        <v>559</v>
      </c>
      <c r="L101" s="152" t="s">
        <v>560</v>
      </c>
      <c r="M101" s="134" t="s">
        <v>4</v>
      </c>
      <c r="N101" s="134" t="s">
        <v>5</v>
      </c>
      <c r="O101" s="194">
        <v>45414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558</v>
      </c>
      <c r="AC101" s="152" t="s">
        <v>559</v>
      </c>
      <c r="AD101" s="152" t="s">
        <v>560</v>
      </c>
      <c r="AE101" s="149" t="s">
        <v>108</v>
      </c>
      <c r="AF101" s="149" t="s">
        <v>4</v>
      </c>
      <c r="AG101" s="208">
        <v>24090.05</v>
      </c>
      <c r="AH101" s="208">
        <f>AG101+30000</f>
        <v>54090.05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561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45495</v>
      </c>
      <c r="AV101" s="198" t="s">
        <v>110</v>
      </c>
      <c r="AW101" s="198" t="s">
        <v>110</v>
      </c>
      <c r="AX101" s="194">
        <v>45499</v>
      </c>
      <c r="AY101" s="197">
        <v>45499</v>
      </c>
      <c r="AZ101" s="145" t="s">
        <v>33</v>
      </c>
      <c r="BA101" s="145" t="s">
        <v>113</v>
      </c>
      <c r="BB101" s="149" t="s">
        <v>110</v>
      </c>
      <c r="BC101" s="142">
        <f t="shared" si="6"/>
        <v>85</v>
      </c>
      <c r="BD101" s="134" t="str">
        <f t="shared" si="7"/>
        <v>INDENIZAÇÃO</v>
      </c>
      <c r="BE101" s="134" t="str">
        <f t="shared" si="8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45559</v>
      </c>
      <c r="BL101" s="198" t="s">
        <v>110</v>
      </c>
      <c r="BM101" s="145" t="s">
        <v>33</v>
      </c>
      <c r="CI101" s="200"/>
    </row>
    <row r="102" spans="1:87" s="149" customFormat="1" ht="30" hidden="1" customHeight="1" x14ac:dyDescent="0.25">
      <c r="A102" s="134">
        <v>86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562</v>
      </c>
      <c r="G102" s="149" t="s">
        <v>102</v>
      </c>
      <c r="H102" s="149" t="s">
        <v>103</v>
      </c>
      <c r="I102" s="149" t="s">
        <v>108</v>
      </c>
      <c r="J102" s="152" t="s">
        <v>563</v>
      </c>
      <c r="K102" s="152" t="s">
        <v>564</v>
      </c>
      <c r="L102" s="152" t="s">
        <v>565</v>
      </c>
      <c r="M102" s="134" t="s">
        <v>4</v>
      </c>
      <c r="N102" s="134" t="s">
        <v>5</v>
      </c>
      <c r="O102" s="194">
        <v>45594</v>
      </c>
      <c r="P102" s="144" t="s">
        <v>24</v>
      </c>
      <c r="Q102" s="144" t="s">
        <v>24</v>
      </c>
      <c r="R102" s="144" t="s">
        <v>24</v>
      </c>
      <c r="S102" s="144" t="s">
        <v>24</v>
      </c>
      <c r="T102" s="144" t="s">
        <v>24</v>
      </c>
      <c r="U102" s="144" t="s">
        <v>24</v>
      </c>
      <c r="V102" s="144" t="s">
        <v>24</v>
      </c>
      <c r="W102" s="144" t="s">
        <v>24</v>
      </c>
      <c r="X102" s="144" t="s">
        <v>24</v>
      </c>
      <c r="Y102" s="144" t="s">
        <v>24</v>
      </c>
      <c r="Z102" s="144" t="s">
        <v>24</v>
      </c>
      <c r="AB102" s="152" t="s">
        <v>563</v>
      </c>
      <c r="AC102" s="152" t="s">
        <v>564</v>
      </c>
      <c r="AD102" s="152" t="s">
        <v>565</v>
      </c>
      <c r="AE102" s="149" t="s">
        <v>108</v>
      </c>
      <c r="AF102" s="149" t="s">
        <v>4</v>
      </c>
      <c r="AG102" s="208">
        <v>12030.65</v>
      </c>
      <c r="AH102" s="208">
        <v>42030.65</v>
      </c>
      <c r="AI102" s="230" t="s">
        <v>6</v>
      </c>
      <c r="AJ102" s="138" t="s">
        <v>109</v>
      </c>
      <c r="AK102" s="200"/>
      <c r="AL102" s="149" t="s">
        <v>110</v>
      </c>
      <c r="AM102" s="149" t="s">
        <v>110</v>
      </c>
      <c r="AN102" s="134" t="s">
        <v>111</v>
      </c>
      <c r="AP102" s="152" t="s">
        <v>566</v>
      </c>
      <c r="AQ102" s="198" t="s">
        <v>110</v>
      </c>
      <c r="AR102" s="198" t="s">
        <v>110</v>
      </c>
      <c r="AS102" s="198" t="s">
        <v>110</v>
      </c>
      <c r="AT102" s="149" t="s">
        <v>110</v>
      </c>
      <c r="AU102" s="161">
        <v>45755</v>
      </c>
      <c r="AV102" s="149" t="s">
        <v>110</v>
      </c>
      <c r="AW102" s="149" t="s">
        <v>110</v>
      </c>
      <c r="AX102" s="139">
        <v>45762</v>
      </c>
      <c r="AY102" s="140">
        <v>45762</v>
      </c>
      <c r="AZ102" s="141" t="s">
        <v>33</v>
      </c>
      <c r="BA102" s="141" t="s">
        <v>1</v>
      </c>
      <c r="BB102" s="149" t="s">
        <v>110</v>
      </c>
      <c r="BC102" s="142">
        <f t="shared" si="6"/>
        <v>168</v>
      </c>
      <c r="BD102" s="134" t="str">
        <f t="shared" si="7"/>
        <v>INDENIZAÇÃO</v>
      </c>
      <c r="BE102" s="134" t="str">
        <f t="shared" si="8"/>
        <v>NÃO</v>
      </c>
      <c r="BF102" s="149" t="s">
        <v>24</v>
      </c>
      <c r="BG102" s="149" t="s">
        <v>24</v>
      </c>
      <c r="BH102" s="149" t="s">
        <v>24</v>
      </c>
      <c r="BI102" s="198" t="s">
        <v>110</v>
      </c>
      <c r="BJ102" s="198" t="s">
        <v>110</v>
      </c>
      <c r="BK102" s="161">
        <v>45783</v>
      </c>
      <c r="BL102" s="198" t="s">
        <v>110</v>
      </c>
      <c r="BM102" s="145" t="s">
        <v>33</v>
      </c>
      <c r="CI102" s="200"/>
    </row>
    <row r="103" spans="1:87" s="149" customFormat="1" ht="30" hidden="1" customHeight="1" x14ac:dyDescent="0.25">
      <c r="A103" s="134">
        <v>87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567</v>
      </c>
      <c r="G103" s="149" t="s">
        <v>102</v>
      </c>
      <c r="H103" s="149" t="s">
        <v>103</v>
      </c>
      <c r="I103" s="149" t="s">
        <v>108</v>
      </c>
      <c r="J103" s="152" t="s">
        <v>568</v>
      </c>
      <c r="K103" s="152" t="s">
        <v>569</v>
      </c>
      <c r="L103" s="152" t="s">
        <v>570</v>
      </c>
      <c r="M103" s="134" t="s">
        <v>4</v>
      </c>
      <c r="N103" s="134" t="s">
        <v>5</v>
      </c>
      <c r="O103" s="194">
        <v>45546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568</v>
      </c>
      <c r="AC103" s="152" t="s">
        <v>569</v>
      </c>
      <c r="AD103" s="152" t="s">
        <v>570</v>
      </c>
      <c r="AE103" s="149" t="s">
        <v>108</v>
      </c>
      <c r="AF103" s="149" t="s">
        <v>4</v>
      </c>
      <c r="AG103" s="208">
        <v>11849.08</v>
      </c>
      <c r="AH103" s="208">
        <f>AG103+30000</f>
        <v>41849.08</v>
      </c>
      <c r="AI103" s="230" t="s">
        <v>6</v>
      </c>
      <c r="AJ103" s="138" t="s">
        <v>109</v>
      </c>
      <c r="AK103" s="200"/>
      <c r="AL103" s="149" t="s">
        <v>110</v>
      </c>
      <c r="AM103" s="149" t="s">
        <v>110</v>
      </c>
      <c r="AN103" s="149" t="s">
        <v>111</v>
      </c>
      <c r="AP103" s="199" t="s">
        <v>571</v>
      </c>
      <c r="AQ103" s="198" t="s">
        <v>110</v>
      </c>
      <c r="AR103" s="198" t="s">
        <v>110</v>
      </c>
      <c r="AS103" s="198" t="s">
        <v>110</v>
      </c>
      <c r="AT103" s="198" t="s">
        <v>110</v>
      </c>
      <c r="AU103" s="194">
        <v>45601</v>
      </c>
      <c r="AV103" s="198" t="s">
        <v>110</v>
      </c>
      <c r="AW103" s="198" t="s">
        <v>110</v>
      </c>
      <c r="AX103" s="194">
        <v>45617</v>
      </c>
      <c r="AY103" s="197">
        <v>45617</v>
      </c>
      <c r="AZ103" s="197" t="s">
        <v>33</v>
      </c>
      <c r="BA103" s="145" t="s">
        <v>113</v>
      </c>
      <c r="BB103" s="149" t="s">
        <v>110</v>
      </c>
      <c r="BC103" s="142">
        <f t="shared" si="6"/>
        <v>71</v>
      </c>
      <c r="BD103" s="134" t="str">
        <f t="shared" si="7"/>
        <v>INDENIZAÇÃO</v>
      </c>
      <c r="BE103" s="134" t="str">
        <f t="shared" si="8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45677</v>
      </c>
      <c r="BL103" s="198" t="s">
        <v>110</v>
      </c>
      <c r="BM103" s="197" t="s">
        <v>33</v>
      </c>
      <c r="CI103" s="200"/>
    </row>
    <row r="104" spans="1:87" s="149" customFormat="1" ht="30" hidden="1" customHeight="1" x14ac:dyDescent="0.25">
      <c r="A104" s="134">
        <v>88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572</v>
      </c>
      <c r="G104" s="149" t="s">
        <v>102</v>
      </c>
      <c r="H104" s="149" t="s">
        <v>103</v>
      </c>
      <c r="I104" s="149" t="s">
        <v>108</v>
      </c>
      <c r="J104" s="152" t="s">
        <v>573</v>
      </c>
      <c r="K104" s="152" t="s">
        <v>574</v>
      </c>
      <c r="L104" s="152" t="s">
        <v>575</v>
      </c>
      <c r="M104" s="134" t="s">
        <v>4</v>
      </c>
      <c r="N104" s="134" t="s">
        <v>366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573</v>
      </c>
      <c r="AC104" s="152" t="s">
        <v>574</v>
      </c>
      <c r="AD104" s="152" t="s">
        <v>575</v>
      </c>
      <c r="AE104" s="149" t="s">
        <v>108</v>
      </c>
      <c r="AG104" s="208" t="s">
        <v>366</v>
      </c>
      <c r="AH104" s="208" t="s">
        <v>366</v>
      </c>
      <c r="AI104" s="230" t="s">
        <v>366</v>
      </c>
      <c r="AJ104" s="134" t="s">
        <v>366</v>
      </c>
      <c r="AK104" s="211"/>
      <c r="AP104" s="152"/>
      <c r="BC104" s="142" t="str">
        <f t="shared" si="6"/>
        <v/>
      </c>
      <c r="BD104" s="134" t="str">
        <f t="shared" si="7"/>
        <v>INDENIZAÇÃO</v>
      </c>
      <c r="BE104" s="134" t="str">
        <f t="shared" si="8"/>
        <v>NÃO</v>
      </c>
      <c r="BF104" s="134"/>
      <c r="BG104" s="194"/>
      <c r="BH104" s="194"/>
      <c r="CI104" s="200"/>
    </row>
    <row r="105" spans="1:87" s="149" customFormat="1" ht="30" hidden="1" customHeight="1" x14ac:dyDescent="0.25">
      <c r="A105" s="134">
        <v>89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576</v>
      </c>
      <c r="G105" s="149" t="s">
        <v>10</v>
      </c>
      <c r="H105" s="149" t="s">
        <v>103</v>
      </c>
      <c r="I105" s="149" t="s">
        <v>342</v>
      </c>
      <c r="J105" s="152" t="s">
        <v>577</v>
      </c>
      <c r="K105" s="152" t="s">
        <v>578</v>
      </c>
      <c r="L105" s="152" t="s">
        <v>579</v>
      </c>
      <c r="M105" s="134" t="s">
        <v>4</v>
      </c>
      <c r="N105" s="134" t="s">
        <v>5</v>
      </c>
      <c r="O105" s="194">
        <v>45628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577</v>
      </c>
      <c r="AC105" s="152" t="s">
        <v>578</v>
      </c>
      <c r="AD105" s="152" t="s">
        <v>579</v>
      </c>
      <c r="AE105" s="134" t="s">
        <v>342</v>
      </c>
      <c r="AF105" s="149" t="s">
        <v>4</v>
      </c>
      <c r="AG105" s="208">
        <v>7257.13</v>
      </c>
      <c r="AH105" s="208">
        <f>AG105+30000</f>
        <v>37257.129999999997</v>
      </c>
      <c r="AI105" s="230" t="s">
        <v>6</v>
      </c>
      <c r="AJ105" s="138" t="s">
        <v>109</v>
      </c>
      <c r="AK105" s="211" t="s">
        <v>110</v>
      </c>
      <c r="AL105" s="149" t="s">
        <v>110</v>
      </c>
      <c r="AM105" s="149" t="s">
        <v>110</v>
      </c>
      <c r="AN105" s="149" t="s">
        <v>111</v>
      </c>
      <c r="AP105" s="152" t="s">
        <v>580</v>
      </c>
      <c r="AQ105" s="198" t="s">
        <v>110</v>
      </c>
      <c r="AR105" s="198" t="s">
        <v>110</v>
      </c>
      <c r="AS105" s="149" t="s">
        <v>110</v>
      </c>
      <c r="AT105" s="149" t="s">
        <v>110</v>
      </c>
      <c r="AU105" s="161">
        <v>45755</v>
      </c>
      <c r="AV105" s="198" t="s">
        <v>110</v>
      </c>
      <c r="AW105" s="198" t="s">
        <v>110</v>
      </c>
      <c r="AX105" s="161">
        <v>45800</v>
      </c>
      <c r="AY105" s="140">
        <v>45800</v>
      </c>
      <c r="AZ105" s="145" t="s">
        <v>33</v>
      </c>
      <c r="BA105" s="141" t="s">
        <v>113</v>
      </c>
      <c r="BB105" s="149" t="s">
        <v>110</v>
      </c>
      <c r="BC105" s="142">
        <f t="shared" si="6"/>
        <v>172</v>
      </c>
      <c r="BD105" s="134" t="str">
        <f t="shared" si="7"/>
        <v>INDENIZAÇÃO</v>
      </c>
      <c r="BE105" s="134" t="str">
        <f t="shared" si="8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hidden="1" customHeight="1" x14ac:dyDescent="0.25">
      <c r="A106" s="134">
        <v>90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581</v>
      </c>
      <c r="G106" s="149" t="s">
        <v>102</v>
      </c>
      <c r="H106" s="149" t="s">
        <v>103</v>
      </c>
      <c r="I106" s="149" t="s">
        <v>108</v>
      </c>
      <c r="J106" s="152" t="s">
        <v>582</v>
      </c>
      <c r="K106" s="152" t="s">
        <v>583</v>
      </c>
      <c r="L106" s="152" t="s">
        <v>584</v>
      </c>
      <c r="M106" s="134" t="s">
        <v>4</v>
      </c>
      <c r="N106" s="134" t="s">
        <v>366</v>
      </c>
      <c r="O106" s="194"/>
      <c r="P106" s="144"/>
      <c r="Q106" s="263"/>
      <c r="R106" s="144"/>
      <c r="S106" s="144"/>
      <c r="T106" s="144"/>
      <c r="U106" s="144"/>
      <c r="V106" s="144"/>
      <c r="W106" s="144"/>
      <c r="X106" s="144"/>
      <c r="Y106" s="144"/>
      <c r="Z106" s="144"/>
      <c r="AB106" s="152" t="s">
        <v>582</v>
      </c>
      <c r="AC106" s="152" t="s">
        <v>583</v>
      </c>
      <c r="AD106" s="152" t="s">
        <v>584</v>
      </c>
      <c r="AE106" s="149" t="s">
        <v>108</v>
      </c>
      <c r="AG106" s="208" t="s">
        <v>366</v>
      </c>
      <c r="AH106" s="208" t="s">
        <v>366</v>
      </c>
      <c r="AI106" s="230" t="s">
        <v>366</v>
      </c>
      <c r="AJ106" s="134" t="s">
        <v>366</v>
      </c>
      <c r="AK106" s="211"/>
      <c r="AP106" s="152"/>
      <c r="BC106" s="142" t="str">
        <f t="shared" si="6"/>
        <v/>
      </c>
      <c r="BD106" s="134" t="str">
        <f t="shared" si="7"/>
        <v>INDENIZAÇÃO</v>
      </c>
      <c r="BE106" s="134" t="str">
        <f t="shared" si="8"/>
        <v>NÃO</v>
      </c>
      <c r="BF106" s="134"/>
      <c r="BG106" s="194"/>
      <c r="BH106" s="194"/>
      <c r="CI106" s="200"/>
    </row>
    <row r="107" spans="1:87" s="149" customFormat="1" ht="30" hidden="1" customHeight="1" x14ac:dyDescent="0.25">
      <c r="A107" s="134">
        <v>91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585</v>
      </c>
      <c r="G107" s="149" t="s">
        <v>102</v>
      </c>
      <c r="H107" s="149" t="s">
        <v>103</v>
      </c>
      <c r="I107" s="149" t="s">
        <v>108</v>
      </c>
      <c r="J107" s="152" t="s">
        <v>586</v>
      </c>
      <c r="K107" s="152" t="s">
        <v>587</v>
      </c>
      <c r="L107" s="152" t="s">
        <v>588</v>
      </c>
      <c r="M107" s="134" t="s">
        <v>4</v>
      </c>
      <c r="N107" s="134" t="s">
        <v>5</v>
      </c>
      <c r="O107" s="194">
        <v>45770</v>
      </c>
      <c r="P107" s="144" t="s">
        <v>24</v>
      </c>
      <c r="Q107" s="144" t="s">
        <v>24</v>
      </c>
      <c r="R107" s="144" t="s">
        <v>24</v>
      </c>
      <c r="S107" s="144" t="s">
        <v>24</v>
      </c>
      <c r="T107" s="144" t="s">
        <v>24</v>
      </c>
      <c r="U107" s="144" t="s">
        <v>24</v>
      </c>
      <c r="V107" s="144" t="s">
        <v>24</v>
      </c>
      <c r="W107" s="144" t="s">
        <v>24</v>
      </c>
      <c r="X107" s="144" t="s">
        <v>24</v>
      </c>
      <c r="Y107" s="144" t="s">
        <v>24</v>
      </c>
      <c r="Z107" s="144" t="s">
        <v>24</v>
      </c>
      <c r="AB107" s="152" t="s">
        <v>586</v>
      </c>
      <c r="AC107" s="152" t="s">
        <v>587</v>
      </c>
      <c r="AD107" s="152" t="s">
        <v>588</v>
      </c>
      <c r="AE107" s="149" t="s">
        <v>108</v>
      </c>
      <c r="AF107" s="149" t="s">
        <v>4</v>
      </c>
      <c r="AG107" s="208">
        <v>26663.97</v>
      </c>
      <c r="AH107" s="208">
        <v>56663.97</v>
      </c>
      <c r="AI107" s="230" t="s">
        <v>6</v>
      </c>
      <c r="AJ107" s="138" t="s">
        <v>109</v>
      </c>
      <c r="AK107" s="211">
        <v>110303739</v>
      </c>
      <c r="AL107" s="149" t="s">
        <v>110</v>
      </c>
      <c r="AM107" s="149" t="s">
        <v>110</v>
      </c>
      <c r="AN107" s="149" t="s">
        <v>111</v>
      </c>
      <c r="AP107" s="152" t="s">
        <v>589</v>
      </c>
      <c r="AQ107" s="198" t="s">
        <v>110</v>
      </c>
      <c r="AR107" s="198" t="s">
        <v>110</v>
      </c>
      <c r="AS107" s="198" t="s">
        <v>110</v>
      </c>
      <c r="AT107" s="198" t="s">
        <v>110</v>
      </c>
      <c r="AU107" s="194">
        <v>45834</v>
      </c>
      <c r="AV107" s="198" t="s">
        <v>110</v>
      </c>
      <c r="AW107" s="198" t="s">
        <v>110</v>
      </c>
      <c r="AX107" s="194">
        <v>45842</v>
      </c>
      <c r="AY107" s="140">
        <v>45842</v>
      </c>
      <c r="AZ107" s="145" t="s">
        <v>33</v>
      </c>
      <c r="BA107" s="145" t="s">
        <v>113</v>
      </c>
      <c r="BB107" s="149" t="s">
        <v>110</v>
      </c>
      <c r="BC107" s="142">
        <f t="shared" si="6"/>
        <v>72</v>
      </c>
      <c r="BD107" s="134" t="str">
        <f t="shared" si="7"/>
        <v>INDENIZAÇÃO</v>
      </c>
      <c r="BE107" s="134" t="str">
        <f t="shared" si="8"/>
        <v>NÃO</v>
      </c>
      <c r="BF107" s="134" t="s">
        <v>24</v>
      </c>
      <c r="BG107" s="134" t="s">
        <v>24</v>
      </c>
      <c r="BH107" s="134" t="s">
        <v>24</v>
      </c>
      <c r="BI107" s="198" t="s">
        <v>110</v>
      </c>
      <c r="BJ107" s="198" t="s">
        <v>110</v>
      </c>
      <c r="BK107" s="194">
        <v>45859</v>
      </c>
      <c r="BL107" s="149" t="s">
        <v>110</v>
      </c>
      <c r="BM107" s="141" t="s">
        <v>33</v>
      </c>
      <c r="CI107" s="200"/>
    </row>
    <row r="108" spans="1:87" s="149" customFormat="1" ht="30" hidden="1" customHeight="1" x14ac:dyDescent="0.25">
      <c r="A108" s="134">
        <v>92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590</v>
      </c>
      <c r="G108" s="149" t="s">
        <v>102</v>
      </c>
      <c r="H108" s="149" t="s">
        <v>103</v>
      </c>
      <c r="I108" s="149" t="s">
        <v>108</v>
      </c>
      <c r="J108" s="152" t="s">
        <v>591</v>
      </c>
      <c r="K108" s="152" t="s">
        <v>592</v>
      </c>
      <c r="L108" s="152" t="s">
        <v>593</v>
      </c>
      <c r="M108" s="134" t="s">
        <v>4</v>
      </c>
      <c r="N108" s="134" t="s">
        <v>5</v>
      </c>
      <c r="O108" s="194">
        <v>45414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591</v>
      </c>
      <c r="AC108" s="152" t="s">
        <v>592</v>
      </c>
      <c r="AD108" s="152" t="s">
        <v>593</v>
      </c>
      <c r="AE108" s="149" t="s">
        <v>108</v>
      </c>
      <c r="AF108" s="149" t="s">
        <v>4</v>
      </c>
      <c r="AG108" s="208">
        <v>10457.17</v>
      </c>
      <c r="AH108" s="208">
        <f>AG108+30000</f>
        <v>40457.17</v>
      </c>
      <c r="AI108" s="230" t="s">
        <v>6</v>
      </c>
      <c r="AJ108" s="138" t="s">
        <v>109</v>
      </c>
      <c r="AK108" s="200"/>
      <c r="AL108" s="149" t="s">
        <v>110</v>
      </c>
      <c r="AM108" s="149" t="s">
        <v>110</v>
      </c>
      <c r="AN108" s="149" t="s">
        <v>111</v>
      </c>
      <c r="AP108" s="199" t="s">
        <v>594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194">
        <v>45495</v>
      </c>
      <c r="AV108" s="198" t="s">
        <v>110</v>
      </c>
      <c r="AW108" s="198" t="s">
        <v>110</v>
      </c>
      <c r="AX108" s="194">
        <v>45499</v>
      </c>
      <c r="AY108" s="197">
        <v>45499</v>
      </c>
      <c r="AZ108" s="145" t="s">
        <v>33</v>
      </c>
      <c r="BA108" s="145" t="s">
        <v>113</v>
      </c>
      <c r="BB108" s="149" t="s">
        <v>110</v>
      </c>
      <c r="BC108" s="142">
        <f t="shared" si="6"/>
        <v>85</v>
      </c>
      <c r="BD108" s="134" t="str">
        <f t="shared" si="7"/>
        <v>INDENIZAÇÃO</v>
      </c>
      <c r="BE108" s="134" t="str">
        <f t="shared" si="8"/>
        <v>NÃO</v>
      </c>
      <c r="BF108" s="134" t="s">
        <v>24</v>
      </c>
      <c r="BG108" s="134" t="s">
        <v>24</v>
      </c>
      <c r="BH108" s="134" t="s">
        <v>24</v>
      </c>
      <c r="BI108" s="198" t="s">
        <v>110</v>
      </c>
      <c r="BJ108" s="198" t="s">
        <v>110</v>
      </c>
      <c r="BK108" s="194">
        <v>45559</v>
      </c>
      <c r="BL108" s="198" t="s">
        <v>110</v>
      </c>
      <c r="BM108" s="145" t="s">
        <v>33</v>
      </c>
      <c r="CI108" s="200"/>
    </row>
    <row r="109" spans="1:87" s="149" customFormat="1" ht="30" hidden="1" customHeight="1" x14ac:dyDescent="0.25">
      <c r="A109" s="134">
        <v>93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595</v>
      </c>
      <c r="G109" s="149" t="s">
        <v>102</v>
      </c>
      <c r="H109" s="149" t="s">
        <v>103</v>
      </c>
      <c r="I109" s="149" t="s">
        <v>108</v>
      </c>
      <c r="J109" s="152" t="s">
        <v>596</v>
      </c>
      <c r="K109" s="152" t="s">
        <v>597</v>
      </c>
      <c r="L109" s="152" t="s">
        <v>598</v>
      </c>
      <c r="M109" s="134" t="s">
        <v>4</v>
      </c>
      <c r="N109" s="134" t="s">
        <v>366</v>
      </c>
      <c r="O109" s="194"/>
      <c r="P109" s="144"/>
      <c r="Q109" s="263"/>
      <c r="R109" s="144"/>
      <c r="S109" s="144"/>
      <c r="T109" s="144"/>
      <c r="U109" s="144"/>
      <c r="V109" s="144"/>
      <c r="W109" s="144"/>
      <c r="X109" s="144"/>
      <c r="Y109" s="144"/>
      <c r="Z109" s="144"/>
      <c r="AB109" s="152" t="s">
        <v>596</v>
      </c>
      <c r="AC109" s="152" t="s">
        <v>597</v>
      </c>
      <c r="AD109" s="152" t="s">
        <v>598</v>
      </c>
      <c r="AE109" s="149" t="s">
        <v>108</v>
      </c>
      <c r="AG109" s="208" t="s">
        <v>366</v>
      </c>
      <c r="AH109" s="208" t="s">
        <v>366</v>
      </c>
      <c r="AI109" s="230" t="s">
        <v>366</v>
      </c>
      <c r="AJ109" s="134" t="s">
        <v>366</v>
      </c>
      <c r="AK109" s="211"/>
      <c r="AP109" s="152"/>
      <c r="BC109" s="142" t="str">
        <f t="shared" si="6"/>
        <v/>
      </c>
      <c r="BD109" s="134" t="str">
        <f t="shared" si="7"/>
        <v>INDENIZAÇÃO</v>
      </c>
      <c r="BE109" s="134" t="str">
        <f t="shared" si="8"/>
        <v>NÃO</v>
      </c>
      <c r="BF109" s="134"/>
      <c r="BG109" s="194"/>
      <c r="BH109" s="194"/>
      <c r="CI109" s="200"/>
    </row>
    <row r="110" spans="1:87" s="149" customFormat="1" ht="30" customHeight="1" x14ac:dyDescent="0.25">
      <c r="A110" s="134">
        <v>94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599</v>
      </c>
      <c r="G110" s="149" t="s">
        <v>337</v>
      </c>
      <c r="H110" s="149" t="s">
        <v>103</v>
      </c>
      <c r="I110" s="149" t="s">
        <v>338</v>
      </c>
      <c r="J110" s="152" t="s">
        <v>600</v>
      </c>
      <c r="K110" s="152" t="s">
        <v>601</v>
      </c>
      <c r="L110" s="152" t="s">
        <v>602</v>
      </c>
      <c r="M110" s="134" t="s">
        <v>4</v>
      </c>
      <c r="N110" s="134" t="s">
        <v>5</v>
      </c>
      <c r="O110" s="194">
        <v>45905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600</v>
      </c>
      <c r="AC110" s="152" t="s">
        <v>601</v>
      </c>
      <c r="AD110" s="152" t="s">
        <v>602</v>
      </c>
      <c r="AE110" s="134" t="s">
        <v>342</v>
      </c>
      <c r="AF110" s="149" t="s">
        <v>4</v>
      </c>
      <c r="AG110" s="208">
        <v>2432.4899999999998</v>
      </c>
      <c r="AH110" s="208">
        <v>32432.49</v>
      </c>
      <c r="AI110" s="230" t="s">
        <v>6</v>
      </c>
      <c r="AJ110" s="138" t="s">
        <v>109</v>
      </c>
      <c r="AK110" s="211">
        <v>129684571</v>
      </c>
      <c r="AL110" s="134" t="s">
        <v>110</v>
      </c>
      <c r="AM110" s="134" t="s">
        <v>110</v>
      </c>
      <c r="AN110" s="273" t="s">
        <v>111</v>
      </c>
      <c r="AP110" s="199" t="s">
        <v>603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274">
        <v>45937</v>
      </c>
      <c r="AV110" s="198" t="s">
        <v>110</v>
      </c>
      <c r="AW110" s="198" t="s">
        <v>110</v>
      </c>
      <c r="AX110" s="274">
        <v>45947</v>
      </c>
      <c r="AY110" s="140">
        <v>45947</v>
      </c>
      <c r="AZ110" s="140" t="s">
        <v>33</v>
      </c>
      <c r="BA110" s="145" t="s">
        <v>113</v>
      </c>
      <c r="BB110" s="198" t="s">
        <v>110</v>
      </c>
      <c r="BC110" s="142">
        <f t="shared" si="6"/>
        <v>42</v>
      </c>
      <c r="BD110" s="134" t="str">
        <f t="shared" si="7"/>
        <v>INDENIZAÇÃO</v>
      </c>
      <c r="BE110" s="134" t="str">
        <f t="shared" si="8"/>
        <v>NÃO</v>
      </c>
      <c r="BF110" s="198" t="s">
        <v>24</v>
      </c>
      <c r="BG110" s="198" t="s">
        <v>24</v>
      </c>
      <c r="BH110" s="198" t="s">
        <v>24</v>
      </c>
      <c r="BI110" s="198" t="s">
        <v>110</v>
      </c>
      <c r="BJ110" s="145" t="s">
        <v>33</v>
      </c>
      <c r="BK110" s="279"/>
      <c r="BL110" s="145"/>
      <c r="BM110" s="145"/>
      <c r="CI110" s="200"/>
    </row>
    <row r="111" spans="1:87" s="149" customFormat="1" ht="30" hidden="1" customHeight="1" x14ac:dyDescent="0.25">
      <c r="A111" s="134">
        <v>95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604</v>
      </c>
      <c r="G111" s="149" t="s">
        <v>102</v>
      </c>
      <c r="H111" s="149" t="s">
        <v>103</v>
      </c>
      <c r="I111" s="149" t="s">
        <v>108</v>
      </c>
      <c r="J111" s="152" t="s">
        <v>605</v>
      </c>
      <c r="K111" s="152" t="s">
        <v>606</v>
      </c>
      <c r="L111" s="152" t="s">
        <v>607</v>
      </c>
      <c r="M111" s="134" t="s">
        <v>4</v>
      </c>
      <c r="N111" s="134" t="s">
        <v>5</v>
      </c>
      <c r="O111" s="194">
        <v>45376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605</v>
      </c>
      <c r="AC111" s="152" t="s">
        <v>606</v>
      </c>
      <c r="AD111" s="152" t="s">
        <v>607</v>
      </c>
      <c r="AE111" s="149" t="s">
        <v>108</v>
      </c>
      <c r="AF111" s="149" t="s">
        <v>4</v>
      </c>
      <c r="AG111" s="208">
        <v>19091.46</v>
      </c>
      <c r="AH111" s="208">
        <v>49091.46</v>
      </c>
      <c r="AI111" s="214" t="s">
        <v>6</v>
      </c>
      <c r="AJ111" s="138" t="s">
        <v>109</v>
      </c>
      <c r="AK111" s="214"/>
      <c r="AL111" s="149" t="s">
        <v>110</v>
      </c>
      <c r="AM111" s="149" t="s">
        <v>110</v>
      </c>
      <c r="AN111" s="149" t="s">
        <v>111</v>
      </c>
      <c r="AP111" s="199" t="s">
        <v>608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45498</v>
      </c>
      <c r="AV111" s="198" t="s">
        <v>110</v>
      </c>
      <c r="AW111" s="198" t="s">
        <v>110</v>
      </c>
      <c r="AX111" s="194">
        <v>45506</v>
      </c>
      <c r="AY111" s="197">
        <v>45506</v>
      </c>
      <c r="AZ111" s="145" t="s">
        <v>33</v>
      </c>
      <c r="BA111" s="145" t="s">
        <v>113</v>
      </c>
      <c r="BB111" s="149" t="s">
        <v>110</v>
      </c>
      <c r="BC111" s="142">
        <f t="shared" si="6"/>
        <v>130</v>
      </c>
      <c r="BD111" s="134" t="str">
        <f t="shared" si="7"/>
        <v>INDENIZAÇÃO</v>
      </c>
      <c r="BE111" s="134" t="str">
        <f t="shared" si="8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45559</v>
      </c>
      <c r="BL111" s="198" t="s">
        <v>110</v>
      </c>
      <c r="BM111" s="145" t="s">
        <v>33</v>
      </c>
      <c r="CI111" s="200"/>
    </row>
    <row r="112" spans="1:87" s="149" customFormat="1" ht="30" hidden="1" customHeight="1" x14ac:dyDescent="0.25">
      <c r="A112" s="134">
        <v>96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38" t="s">
        <v>609</v>
      </c>
      <c r="G112" s="149" t="s">
        <v>10</v>
      </c>
      <c r="H112" s="149" t="s">
        <v>103</v>
      </c>
      <c r="I112" s="149" t="s">
        <v>342</v>
      </c>
      <c r="J112" s="152" t="s">
        <v>610</v>
      </c>
      <c r="K112" s="152" t="s">
        <v>611</v>
      </c>
      <c r="L112" s="152" t="s">
        <v>612</v>
      </c>
      <c r="M112" s="134" t="s">
        <v>4</v>
      </c>
      <c r="N112" s="134" t="s">
        <v>5</v>
      </c>
      <c r="O112" s="194">
        <v>45546</v>
      </c>
      <c r="P112" s="144" t="s">
        <v>24</v>
      </c>
      <c r="Q112" s="144" t="s">
        <v>24</v>
      </c>
      <c r="R112" s="144" t="s">
        <v>24</v>
      </c>
      <c r="S112" s="144" t="s">
        <v>24</v>
      </c>
      <c r="T112" s="144" t="s">
        <v>24</v>
      </c>
      <c r="U112" s="144" t="s">
        <v>24</v>
      </c>
      <c r="V112" s="144" t="s">
        <v>24</v>
      </c>
      <c r="W112" s="144" t="s">
        <v>24</v>
      </c>
      <c r="X112" s="144" t="s">
        <v>24</v>
      </c>
      <c r="Y112" s="144" t="s">
        <v>24</v>
      </c>
      <c r="Z112" s="144" t="s">
        <v>24</v>
      </c>
      <c r="AB112" s="152" t="s">
        <v>610</v>
      </c>
      <c r="AC112" s="152" t="s">
        <v>611</v>
      </c>
      <c r="AD112" s="152" t="s">
        <v>612</v>
      </c>
      <c r="AE112" s="134" t="s">
        <v>342</v>
      </c>
      <c r="AF112" s="149" t="s">
        <v>4</v>
      </c>
      <c r="AG112" s="208">
        <v>3530.5</v>
      </c>
      <c r="AH112" s="208">
        <f>AG112+30000</f>
        <v>33530.5</v>
      </c>
      <c r="AI112" s="134" t="s">
        <v>6</v>
      </c>
      <c r="AJ112" s="138" t="s">
        <v>109</v>
      </c>
      <c r="AL112" s="149" t="s">
        <v>110</v>
      </c>
      <c r="AM112" s="149" t="s">
        <v>110</v>
      </c>
      <c r="AN112" s="149" t="s">
        <v>111</v>
      </c>
      <c r="AP112" s="199" t="s">
        <v>613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45601</v>
      </c>
      <c r="AV112" s="198" t="s">
        <v>110</v>
      </c>
      <c r="AW112" s="198" t="s">
        <v>110</v>
      </c>
      <c r="AX112" s="194">
        <v>45617</v>
      </c>
      <c r="AY112" s="197">
        <v>45617</v>
      </c>
      <c r="AZ112" s="145" t="s">
        <v>33</v>
      </c>
      <c r="BA112" s="145" t="s">
        <v>113</v>
      </c>
      <c r="BB112" s="149" t="s">
        <v>110</v>
      </c>
      <c r="BC112" s="142">
        <f t="shared" si="6"/>
        <v>71</v>
      </c>
      <c r="BD112" s="134" t="str">
        <f t="shared" si="7"/>
        <v>INDENIZAÇÃO</v>
      </c>
      <c r="BE112" s="134" t="str">
        <f t="shared" si="8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45677</v>
      </c>
      <c r="BL112" s="198" t="s">
        <v>110</v>
      </c>
      <c r="BM112" s="197" t="s">
        <v>33</v>
      </c>
      <c r="CI112" s="200"/>
    </row>
    <row r="113" spans="1:87" s="149" customFormat="1" ht="30" hidden="1" customHeight="1" x14ac:dyDescent="0.25">
      <c r="A113" s="134">
        <v>97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614</v>
      </c>
      <c r="G113" s="149" t="s">
        <v>102</v>
      </c>
      <c r="H113" s="149" t="s">
        <v>103</v>
      </c>
      <c r="I113" s="149" t="s">
        <v>108</v>
      </c>
      <c r="J113" s="152" t="s">
        <v>615</v>
      </c>
      <c r="K113" s="152" t="s">
        <v>616</v>
      </c>
      <c r="L113" s="152" t="s">
        <v>617</v>
      </c>
      <c r="M113" s="134" t="s">
        <v>4</v>
      </c>
      <c r="N113" s="134" t="s">
        <v>5</v>
      </c>
      <c r="O113" s="194">
        <v>45525</v>
      </c>
      <c r="P113" s="144" t="s">
        <v>24</v>
      </c>
      <c r="Q113" s="144" t="s">
        <v>24</v>
      </c>
      <c r="R113" s="144" t="s">
        <v>24</v>
      </c>
      <c r="S113" s="144" t="s">
        <v>24</v>
      </c>
      <c r="T113" s="144" t="s">
        <v>24</v>
      </c>
      <c r="U113" s="144" t="s">
        <v>24</v>
      </c>
      <c r="V113" s="144" t="s">
        <v>24</v>
      </c>
      <c r="W113" s="144" t="s">
        <v>24</v>
      </c>
      <c r="X113" s="144" t="s">
        <v>24</v>
      </c>
      <c r="Y113" s="144" t="s">
        <v>24</v>
      </c>
      <c r="Z113" s="144" t="s">
        <v>24</v>
      </c>
      <c r="AB113" s="152" t="s">
        <v>615</v>
      </c>
      <c r="AC113" s="152" t="s">
        <v>616</v>
      </c>
      <c r="AD113" s="152" t="s">
        <v>617</v>
      </c>
      <c r="AE113" s="149" t="s">
        <v>108</v>
      </c>
      <c r="AF113" s="149" t="s">
        <v>4</v>
      </c>
      <c r="AG113" s="208">
        <v>43209.08</v>
      </c>
      <c r="AH113" s="208">
        <v>60000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618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45573</v>
      </c>
      <c r="AV113" s="198" t="s">
        <v>110</v>
      </c>
      <c r="AW113" s="198" t="s">
        <v>110</v>
      </c>
      <c r="AX113" s="194">
        <v>45581</v>
      </c>
      <c r="AY113" s="197">
        <v>45581</v>
      </c>
      <c r="AZ113" s="145" t="s">
        <v>33</v>
      </c>
      <c r="BA113" s="145" t="s">
        <v>113</v>
      </c>
      <c r="BB113" s="149" t="s">
        <v>110</v>
      </c>
      <c r="BC113" s="142">
        <f t="shared" si="6"/>
        <v>56</v>
      </c>
      <c r="BD113" s="134" t="str">
        <f t="shared" si="7"/>
        <v>INDENIZAÇÃO</v>
      </c>
      <c r="BE113" s="134" t="str">
        <f t="shared" si="8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45621</v>
      </c>
      <c r="BL113" s="198" t="s">
        <v>110</v>
      </c>
      <c r="BM113" s="145" t="s">
        <v>33</v>
      </c>
      <c r="CI113" s="200"/>
    </row>
    <row r="114" spans="1:87" s="149" customFormat="1" ht="30" hidden="1" customHeight="1" x14ac:dyDescent="0.25">
      <c r="A114" s="134">
        <v>98</v>
      </c>
      <c r="B114" s="134" t="s">
        <v>99</v>
      </c>
      <c r="C114" s="134">
        <v>1</v>
      </c>
      <c r="D114" s="134" t="s">
        <v>100</v>
      </c>
      <c r="E114" s="134" t="s">
        <v>100</v>
      </c>
      <c r="F114" s="146" t="s">
        <v>619</v>
      </c>
      <c r="G114" s="149" t="s">
        <v>102</v>
      </c>
      <c r="H114" s="149" t="s">
        <v>103</v>
      </c>
      <c r="I114" s="149" t="s">
        <v>620</v>
      </c>
      <c r="J114" s="152" t="s">
        <v>621</v>
      </c>
      <c r="K114" s="152" t="s">
        <v>622</v>
      </c>
      <c r="L114" s="152" t="s">
        <v>623</v>
      </c>
      <c r="M114" s="134" t="s">
        <v>4</v>
      </c>
      <c r="N114" s="134" t="s">
        <v>14</v>
      </c>
      <c r="O114" s="194">
        <v>45525</v>
      </c>
      <c r="P114" s="197" t="s">
        <v>17</v>
      </c>
      <c r="Q114" s="264" t="s">
        <v>386</v>
      </c>
      <c r="R114" s="197"/>
      <c r="S114" s="197"/>
      <c r="T114" s="197"/>
      <c r="U114" s="197"/>
      <c r="V114" s="197"/>
      <c r="W114" s="197"/>
      <c r="X114" s="197"/>
      <c r="Y114" s="197"/>
      <c r="Z114" s="197"/>
      <c r="AB114" s="152" t="s">
        <v>624</v>
      </c>
      <c r="AC114" s="152" t="s">
        <v>625</v>
      </c>
      <c r="AD114" s="152" t="s">
        <v>626</v>
      </c>
      <c r="AE114" s="134" t="s">
        <v>342</v>
      </c>
      <c r="AF114" s="149" t="s">
        <v>4</v>
      </c>
      <c r="AG114" s="208">
        <v>42907.94</v>
      </c>
      <c r="AH114" s="208">
        <f>AG114</f>
        <v>42907.94</v>
      </c>
      <c r="AI114" s="230" t="s">
        <v>6</v>
      </c>
      <c r="AJ114" s="138" t="s">
        <v>109</v>
      </c>
      <c r="AK114" s="235"/>
      <c r="AL114" s="149" t="s">
        <v>110</v>
      </c>
      <c r="AM114" s="149" t="s">
        <v>110</v>
      </c>
      <c r="AN114" s="149" t="s">
        <v>111</v>
      </c>
      <c r="AP114" s="199" t="s">
        <v>627</v>
      </c>
      <c r="AQ114" s="198" t="s">
        <v>110</v>
      </c>
      <c r="AR114" s="198" t="s">
        <v>110</v>
      </c>
      <c r="AS114" s="198" t="s">
        <v>110</v>
      </c>
      <c r="AT114" s="198" t="s">
        <v>110</v>
      </c>
      <c r="AU114" s="194">
        <v>45573</v>
      </c>
      <c r="AV114" s="198" t="s">
        <v>110</v>
      </c>
      <c r="AW114" s="198" t="s">
        <v>110</v>
      </c>
      <c r="AX114" s="194">
        <v>45581</v>
      </c>
      <c r="AY114" s="197">
        <v>45581</v>
      </c>
      <c r="AZ114" s="145" t="s">
        <v>33</v>
      </c>
      <c r="BA114" s="145" t="s">
        <v>113</v>
      </c>
      <c r="BB114" s="149" t="s">
        <v>110</v>
      </c>
      <c r="BC114" s="142">
        <f t="shared" si="6"/>
        <v>56</v>
      </c>
      <c r="BD114" s="134" t="str">
        <f t="shared" si="7"/>
        <v>INDENIZAÇÃO</v>
      </c>
      <c r="BE114" s="134" t="str">
        <f t="shared" si="8"/>
        <v>NÃO</v>
      </c>
      <c r="BF114" s="134" t="s">
        <v>24</v>
      </c>
      <c r="BG114" s="134" t="s">
        <v>24</v>
      </c>
      <c r="BH114" s="134" t="s">
        <v>24</v>
      </c>
      <c r="BI114" s="198" t="s">
        <v>110</v>
      </c>
      <c r="BJ114" s="198" t="s">
        <v>110</v>
      </c>
      <c r="BK114" s="194">
        <v>45621</v>
      </c>
      <c r="BL114" s="198" t="s">
        <v>110</v>
      </c>
      <c r="BM114" s="145" t="s">
        <v>33</v>
      </c>
      <c r="CI114" s="200"/>
    </row>
    <row r="115" spans="1:87" s="149" customFormat="1" ht="30" hidden="1" customHeight="1" x14ac:dyDescent="0.25">
      <c r="A115" s="134">
        <v>99</v>
      </c>
      <c r="B115" s="134" t="s">
        <v>99</v>
      </c>
      <c r="C115" s="134">
        <v>1</v>
      </c>
      <c r="D115" s="134" t="s">
        <v>100</v>
      </c>
      <c r="E115" s="134" t="s">
        <v>100</v>
      </c>
      <c r="F115" s="138" t="s">
        <v>628</v>
      </c>
      <c r="G115" s="149" t="s">
        <v>102</v>
      </c>
      <c r="H115" s="149" t="s">
        <v>103</v>
      </c>
      <c r="I115" s="149" t="s">
        <v>620</v>
      </c>
      <c r="J115" s="152" t="s">
        <v>629</v>
      </c>
      <c r="K115" s="152" t="s">
        <v>630</v>
      </c>
      <c r="L115" s="152" t="s">
        <v>631</v>
      </c>
      <c r="M115" s="134" t="s">
        <v>4</v>
      </c>
      <c r="N115" s="134" t="s">
        <v>14</v>
      </c>
      <c r="O115" s="194">
        <v>45525</v>
      </c>
      <c r="P115" s="197" t="s">
        <v>17</v>
      </c>
      <c r="Q115" s="264" t="s">
        <v>386</v>
      </c>
      <c r="R115" s="197"/>
      <c r="S115" s="197"/>
      <c r="T115" s="197"/>
      <c r="U115" s="197"/>
      <c r="V115" s="197"/>
      <c r="W115" s="197"/>
      <c r="X115" s="197"/>
      <c r="Y115" s="197"/>
      <c r="Z115" s="197"/>
      <c r="AB115" s="152" t="s">
        <v>632</v>
      </c>
      <c r="AC115" s="152" t="s">
        <v>633</v>
      </c>
      <c r="AD115" s="152" t="s">
        <v>634</v>
      </c>
      <c r="AE115" s="134" t="s">
        <v>342</v>
      </c>
      <c r="AF115" s="149" t="s">
        <v>4</v>
      </c>
      <c r="AG115" s="208">
        <v>30898.33</v>
      </c>
      <c r="AH115" s="208">
        <f>AG115</f>
        <v>30898.33</v>
      </c>
      <c r="AI115" s="230" t="s">
        <v>6</v>
      </c>
      <c r="AJ115" s="138" t="s">
        <v>109</v>
      </c>
      <c r="AK115" s="235"/>
      <c r="AL115" s="149" t="s">
        <v>110</v>
      </c>
      <c r="AM115" s="149" t="s">
        <v>110</v>
      </c>
      <c r="AN115" s="149" t="s">
        <v>111</v>
      </c>
      <c r="AP115" s="199" t="s">
        <v>635</v>
      </c>
      <c r="AQ115" s="198" t="s">
        <v>110</v>
      </c>
      <c r="AR115" s="198" t="s">
        <v>110</v>
      </c>
      <c r="AS115" s="198" t="s">
        <v>110</v>
      </c>
      <c r="AT115" s="198" t="s">
        <v>110</v>
      </c>
      <c r="AU115" s="194">
        <v>45614</v>
      </c>
      <c r="AV115" s="198" t="s">
        <v>110</v>
      </c>
      <c r="AW115" s="198" t="s">
        <v>110</v>
      </c>
      <c r="AX115" s="194">
        <v>45621</v>
      </c>
      <c r="AY115" s="197">
        <v>45621</v>
      </c>
      <c r="AZ115" s="197" t="s">
        <v>33</v>
      </c>
      <c r="BA115" s="145" t="s">
        <v>113</v>
      </c>
      <c r="BB115" s="149" t="s">
        <v>110</v>
      </c>
      <c r="BC115" s="142">
        <f t="shared" si="6"/>
        <v>96</v>
      </c>
      <c r="BD115" s="134" t="str">
        <f t="shared" si="7"/>
        <v>INDENIZAÇÃO</v>
      </c>
      <c r="BE115" s="134" t="str">
        <f t="shared" si="8"/>
        <v>NÃO</v>
      </c>
      <c r="BF115" s="134" t="s">
        <v>24</v>
      </c>
      <c r="BG115" s="134" t="s">
        <v>24</v>
      </c>
      <c r="BH115" s="134" t="s">
        <v>24</v>
      </c>
      <c r="BI115" s="198" t="s">
        <v>110</v>
      </c>
      <c r="BJ115" s="198" t="s">
        <v>110</v>
      </c>
      <c r="BK115" s="194">
        <v>45677</v>
      </c>
      <c r="BL115" s="198" t="s">
        <v>110</v>
      </c>
      <c r="BM115" s="197" t="s">
        <v>33</v>
      </c>
      <c r="CI115" s="200"/>
    </row>
    <row r="116" spans="1:87" s="149" customFormat="1" ht="30" hidden="1" customHeight="1" x14ac:dyDescent="0.25">
      <c r="A116" s="134">
        <v>100</v>
      </c>
      <c r="B116" s="245" t="s">
        <v>99</v>
      </c>
      <c r="C116" s="245">
        <v>1</v>
      </c>
      <c r="D116" s="245" t="s">
        <v>100</v>
      </c>
      <c r="E116" s="245" t="s">
        <v>100</v>
      </c>
      <c r="F116" s="246" t="s">
        <v>636</v>
      </c>
      <c r="G116" s="149" t="s">
        <v>102</v>
      </c>
      <c r="H116" s="149" t="s">
        <v>103</v>
      </c>
      <c r="I116" s="149" t="s">
        <v>382</v>
      </c>
      <c r="J116" s="152" t="s">
        <v>637</v>
      </c>
      <c r="K116" s="152" t="s">
        <v>638</v>
      </c>
      <c r="L116" s="152" t="s">
        <v>639</v>
      </c>
      <c r="M116" s="245" t="s">
        <v>4</v>
      </c>
      <c r="N116" s="245" t="s">
        <v>14</v>
      </c>
      <c r="O116" s="256">
        <v>45525</v>
      </c>
      <c r="P116" s="249" t="s">
        <v>17</v>
      </c>
      <c r="Q116" s="246" t="s">
        <v>386</v>
      </c>
      <c r="R116" s="249"/>
      <c r="S116" s="249"/>
      <c r="T116" s="249"/>
      <c r="U116" s="249"/>
      <c r="V116" s="249"/>
      <c r="W116" s="249"/>
      <c r="X116" s="249"/>
      <c r="Y116" s="249"/>
      <c r="Z116" s="249"/>
      <c r="AA116" s="250"/>
      <c r="AB116" s="152" t="s">
        <v>640</v>
      </c>
      <c r="AC116" s="152" t="s">
        <v>641</v>
      </c>
      <c r="AD116" s="152" t="s">
        <v>642</v>
      </c>
      <c r="AE116" s="134" t="s">
        <v>342</v>
      </c>
      <c r="AF116" s="250" t="s">
        <v>4</v>
      </c>
      <c r="AG116" s="208">
        <v>31241.32</v>
      </c>
      <c r="AH116" s="208">
        <f>AG116</f>
        <v>31241.32</v>
      </c>
      <c r="AI116" s="251" t="s">
        <v>6</v>
      </c>
      <c r="AJ116" s="246" t="s">
        <v>109</v>
      </c>
      <c r="AK116" s="257"/>
      <c r="AL116" s="250" t="s">
        <v>110</v>
      </c>
      <c r="AM116" s="250" t="s">
        <v>110</v>
      </c>
      <c r="AN116" s="250" t="s">
        <v>111</v>
      </c>
      <c r="AO116" s="250"/>
      <c r="AP116" s="253" t="s">
        <v>643</v>
      </c>
      <c r="AQ116" s="250" t="s">
        <v>110</v>
      </c>
      <c r="AR116" s="250" t="s">
        <v>110</v>
      </c>
      <c r="AS116" s="250" t="s">
        <v>110</v>
      </c>
      <c r="AT116" s="250" t="s">
        <v>110</v>
      </c>
      <c r="AU116" s="256">
        <v>45573</v>
      </c>
      <c r="AV116" s="250" t="s">
        <v>110</v>
      </c>
      <c r="AW116" s="250" t="s">
        <v>110</v>
      </c>
      <c r="AX116" s="256">
        <v>45581</v>
      </c>
      <c r="AY116" s="249">
        <v>45581</v>
      </c>
      <c r="AZ116" s="245" t="s">
        <v>355</v>
      </c>
      <c r="BA116" s="245" t="s">
        <v>1</v>
      </c>
      <c r="BB116" s="250" t="s">
        <v>110</v>
      </c>
      <c r="BC116" s="142">
        <f t="shared" si="6"/>
        <v>56</v>
      </c>
      <c r="BD116" s="134" t="str">
        <f t="shared" si="7"/>
        <v>INDENIZAÇÃO</v>
      </c>
      <c r="BE116" s="134" t="str">
        <f t="shared" si="8"/>
        <v>NÃO</v>
      </c>
      <c r="BF116" s="245" t="s">
        <v>24</v>
      </c>
      <c r="BG116" s="245" t="s">
        <v>24</v>
      </c>
      <c r="BH116" s="245" t="s">
        <v>24</v>
      </c>
      <c r="BI116" s="250" t="s">
        <v>110</v>
      </c>
      <c r="BJ116" s="250" t="s">
        <v>110</v>
      </c>
      <c r="BK116" s="256">
        <v>45621</v>
      </c>
      <c r="BL116" s="250" t="s">
        <v>110</v>
      </c>
      <c r="BM116" s="250" t="s">
        <v>33</v>
      </c>
      <c r="CI116" s="200"/>
    </row>
    <row r="117" spans="1:87" s="149" customFormat="1" ht="30" hidden="1" customHeight="1" x14ac:dyDescent="0.25">
      <c r="A117" s="134">
        <v>101</v>
      </c>
      <c r="B117" s="245" t="s">
        <v>99</v>
      </c>
      <c r="C117" s="245">
        <v>1</v>
      </c>
      <c r="D117" s="245" t="s">
        <v>100</v>
      </c>
      <c r="E117" s="245" t="s">
        <v>100</v>
      </c>
      <c r="F117" s="246" t="s">
        <v>644</v>
      </c>
      <c r="G117" s="149" t="s">
        <v>102</v>
      </c>
      <c r="H117" s="149" t="s">
        <v>103</v>
      </c>
      <c r="I117" s="149" t="s">
        <v>108</v>
      </c>
      <c r="J117" s="152" t="s">
        <v>645</v>
      </c>
      <c r="K117" s="152" t="s">
        <v>646</v>
      </c>
      <c r="L117" s="152" t="s">
        <v>647</v>
      </c>
      <c r="M117" s="245" t="s">
        <v>4</v>
      </c>
      <c r="N117" s="245" t="s">
        <v>5</v>
      </c>
      <c r="O117" s="256">
        <v>45628</v>
      </c>
      <c r="P117" s="249" t="s">
        <v>24</v>
      </c>
      <c r="Q117" s="249" t="s">
        <v>24</v>
      </c>
      <c r="R117" s="249" t="s">
        <v>24</v>
      </c>
      <c r="S117" s="249" t="s">
        <v>24</v>
      </c>
      <c r="T117" s="249" t="s">
        <v>24</v>
      </c>
      <c r="U117" s="249" t="s">
        <v>24</v>
      </c>
      <c r="V117" s="249" t="s">
        <v>24</v>
      </c>
      <c r="W117" s="249" t="s">
        <v>24</v>
      </c>
      <c r="X117" s="249" t="s">
        <v>24</v>
      </c>
      <c r="Y117" s="249" t="s">
        <v>24</v>
      </c>
      <c r="Z117" s="249" t="s">
        <v>24</v>
      </c>
      <c r="AA117" s="250"/>
      <c r="AB117" s="152" t="s">
        <v>645</v>
      </c>
      <c r="AC117" s="152" t="s">
        <v>646</v>
      </c>
      <c r="AD117" s="152" t="s">
        <v>647</v>
      </c>
      <c r="AE117" s="149" t="s">
        <v>108</v>
      </c>
      <c r="AF117" s="250" t="s">
        <v>4</v>
      </c>
      <c r="AG117" s="208">
        <v>47156.27</v>
      </c>
      <c r="AH117" s="208">
        <v>60000</v>
      </c>
      <c r="AI117" s="251" t="s">
        <v>6</v>
      </c>
      <c r="AJ117" s="246" t="s">
        <v>109</v>
      </c>
      <c r="AK117" s="257"/>
      <c r="AL117" s="245" t="s">
        <v>110</v>
      </c>
      <c r="AM117" s="250" t="s">
        <v>110</v>
      </c>
      <c r="AN117" s="245" t="s">
        <v>111</v>
      </c>
      <c r="AO117" s="250"/>
      <c r="AP117" s="253" t="s">
        <v>648</v>
      </c>
      <c r="AQ117" s="250" t="s">
        <v>110</v>
      </c>
      <c r="AR117" s="250" t="s">
        <v>110</v>
      </c>
      <c r="AS117" s="250" t="s">
        <v>110</v>
      </c>
      <c r="AT117" s="250" t="s">
        <v>110</v>
      </c>
      <c r="AU117" s="258">
        <v>45754</v>
      </c>
      <c r="AV117" s="250" t="s">
        <v>110</v>
      </c>
      <c r="AW117" s="250" t="s">
        <v>110</v>
      </c>
      <c r="AX117" s="258">
        <v>45757</v>
      </c>
      <c r="AY117" s="254">
        <v>45757</v>
      </c>
      <c r="AZ117" s="245" t="s">
        <v>355</v>
      </c>
      <c r="BA117" s="245" t="s">
        <v>1</v>
      </c>
      <c r="BB117" s="250" t="s">
        <v>110</v>
      </c>
      <c r="BC117" s="142">
        <f t="shared" si="6"/>
        <v>129</v>
      </c>
      <c r="BD117" s="134" t="str">
        <f t="shared" si="7"/>
        <v>INDENIZAÇÃO</v>
      </c>
      <c r="BE117" s="134" t="str">
        <f t="shared" si="8"/>
        <v>NÃO</v>
      </c>
      <c r="BF117" s="250" t="s">
        <v>24</v>
      </c>
      <c r="BG117" s="250" t="s">
        <v>24</v>
      </c>
      <c r="BH117" s="250" t="s">
        <v>24</v>
      </c>
      <c r="BI117" s="250" t="s">
        <v>110</v>
      </c>
      <c r="BJ117" s="250" t="s">
        <v>110</v>
      </c>
      <c r="BK117" s="248">
        <v>45783</v>
      </c>
      <c r="BL117" s="250" t="s">
        <v>110</v>
      </c>
      <c r="BM117" s="250" t="s">
        <v>33</v>
      </c>
      <c r="CI117" s="200"/>
    </row>
    <row r="118" spans="1:87" s="149" customFormat="1" ht="30" hidden="1" customHeight="1" x14ac:dyDescent="0.25">
      <c r="A118" s="134">
        <v>102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649</v>
      </c>
      <c r="G118" s="149" t="s">
        <v>102</v>
      </c>
      <c r="H118" s="149" t="s">
        <v>103</v>
      </c>
      <c r="I118" s="149" t="s">
        <v>108</v>
      </c>
      <c r="J118" s="152" t="s">
        <v>650</v>
      </c>
      <c r="K118" s="152" t="s">
        <v>651</v>
      </c>
      <c r="L118" s="152" t="s">
        <v>652</v>
      </c>
      <c r="M118" s="134" t="s">
        <v>4</v>
      </c>
      <c r="N118" s="134" t="s">
        <v>5</v>
      </c>
      <c r="O118" s="194">
        <v>45628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650</v>
      </c>
      <c r="AC118" s="152" t="s">
        <v>651</v>
      </c>
      <c r="AD118" s="152" t="s">
        <v>652</v>
      </c>
      <c r="AE118" s="149" t="s">
        <v>108</v>
      </c>
      <c r="AF118" s="149" t="s">
        <v>4</v>
      </c>
      <c r="AG118" s="208">
        <v>27196.59</v>
      </c>
      <c r="AH118" s="208">
        <v>57196.59</v>
      </c>
      <c r="AI118" s="134" t="s">
        <v>6</v>
      </c>
      <c r="AJ118" s="160" t="s">
        <v>109</v>
      </c>
      <c r="AK118" s="214"/>
      <c r="AL118" s="134" t="s">
        <v>110</v>
      </c>
      <c r="AM118" s="149" t="s">
        <v>110</v>
      </c>
      <c r="AN118" s="134" t="s">
        <v>111</v>
      </c>
      <c r="AP118" s="152" t="s">
        <v>653</v>
      </c>
      <c r="AQ118" s="198" t="s">
        <v>110</v>
      </c>
      <c r="AR118" s="198" t="s">
        <v>110</v>
      </c>
      <c r="AS118" s="198" t="s">
        <v>110</v>
      </c>
      <c r="AT118" s="198" t="s">
        <v>110</v>
      </c>
      <c r="AU118" s="177">
        <v>45754</v>
      </c>
      <c r="AV118" s="198" t="s">
        <v>110</v>
      </c>
      <c r="AW118" s="198" t="s">
        <v>110</v>
      </c>
      <c r="AX118" s="177">
        <v>45757</v>
      </c>
      <c r="AY118" s="140">
        <v>45757</v>
      </c>
      <c r="AZ118" s="141" t="s">
        <v>33</v>
      </c>
      <c r="BA118" s="141" t="s">
        <v>1</v>
      </c>
      <c r="BB118" s="149" t="s">
        <v>110</v>
      </c>
      <c r="BC118" s="142">
        <f t="shared" si="6"/>
        <v>129</v>
      </c>
      <c r="BD118" s="134" t="str">
        <f t="shared" si="7"/>
        <v>INDENIZAÇÃO</v>
      </c>
      <c r="BE118" s="134" t="str">
        <f t="shared" si="8"/>
        <v>NÃO</v>
      </c>
      <c r="BF118" s="149" t="s">
        <v>24</v>
      </c>
      <c r="BG118" s="149" t="s">
        <v>24</v>
      </c>
      <c r="BH118" s="149" t="s">
        <v>24</v>
      </c>
      <c r="BI118" s="198" t="s">
        <v>110</v>
      </c>
      <c r="BJ118" s="198" t="s">
        <v>110</v>
      </c>
      <c r="BK118" s="161">
        <v>45783</v>
      </c>
      <c r="BL118" s="198" t="s">
        <v>110</v>
      </c>
      <c r="BM118" s="145" t="s">
        <v>33</v>
      </c>
      <c r="CI118" s="200"/>
    </row>
    <row r="119" spans="1:87" s="149" customFormat="1" ht="30" hidden="1" customHeight="1" x14ac:dyDescent="0.25">
      <c r="A119" s="134">
        <v>103</v>
      </c>
      <c r="B119" s="134" t="s">
        <v>99</v>
      </c>
      <c r="C119" s="134">
        <v>1</v>
      </c>
      <c r="D119" s="134" t="s">
        <v>100</v>
      </c>
      <c r="E119" s="134" t="s">
        <v>100</v>
      </c>
      <c r="F119" s="138" t="s">
        <v>654</v>
      </c>
      <c r="G119" s="149" t="s">
        <v>102</v>
      </c>
      <c r="H119" s="149" t="s">
        <v>103</v>
      </c>
      <c r="I119" s="149" t="s">
        <v>108</v>
      </c>
      <c r="J119" s="152" t="s">
        <v>655</v>
      </c>
      <c r="K119" s="152" t="s">
        <v>656</v>
      </c>
      <c r="L119" s="152" t="s">
        <v>657</v>
      </c>
      <c r="M119" s="134" t="s">
        <v>4</v>
      </c>
      <c r="N119" s="134" t="s">
        <v>5</v>
      </c>
      <c r="O119" s="194">
        <v>45376</v>
      </c>
      <c r="P119" s="144" t="s">
        <v>24</v>
      </c>
      <c r="Q119" s="144" t="s">
        <v>24</v>
      </c>
      <c r="R119" s="144" t="s">
        <v>24</v>
      </c>
      <c r="S119" s="144" t="s">
        <v>24</v>
      </c>
      <c r="T119" s="144" t="s">
        <v>24</v>
      </c>
      <c r="U119" s="144" t="s">
        <v>24</v>
      </c>
      <c r="V119" s="144" t="s">
        <v>24</v>
      </c>
      <c r="W119" s="144" t="s">
        <v>24</v>
      </c>
      <c r="X119" s="144" t="s">
        <v>24</v>
      </c>
      <c r="Y119" s="144" t="s">
        <v>24</v>
      </c>
      <c r="Z119" s="144" t="s">
        <v>24</v>
      </c>
      <c r="AB119" s="152" t="s">
        <v>655</v>
      </c>
      <c r="AC119" s="152" t="s">
        <v>656</v>
      </c>
      <c r="AD119" s="152" t="s">
        <v>657</v>
      </c>
      <c r="AE119" s="149" t="s">
        <v>108</v>
      </c>
      <c r="AF119" s="149" t="s">
        <v>4</v>
      </c>
      <c r="AG119" s="208">
        <v>96637.21</v>
      </c>
      <c r="AH119" s="208">
        <v>96637.21</v>
      </c>
      <c r="AI119" s="214" t="s">
        <v>6</v>
      </c>
      <c r="AJ119" s="138" t="s">
        <v>109</v>
      </c>
      <c r="AK119" s="214"/>
      <c r="AL119" s="149" t="s">
        <v>110</v>
      </c>
      <c r="AM119" s="149" t="s">
        <v>110</v>
      </c>
      <c r="AN119" s="149" t="s">
        <v>111</v>
      </c>
      <c r="AP119" s="199" t="s">
        <v>658</v>
      </c>
      <c r="AQ119" s="198" t="s">
        <v>110</v>
      </c>
      <c r="AR119" s="198" t="s">
        <v>110</v>
      </c>
      <c r="AS119" s="198" t="s">
        <v>110</v>
      </c>
      <c r="AT119" s="198" t="s">
        <v>110</v>
      </c>
      <c r="AU119" s="194">
        <v>45498</v>
      </c>
      <c r="AV119" s="198" t="s">
        <v>110</v>
      </c>
      <c r="AW119" s="198" t="s">
        <v>110</v>
      </c>
      <c r="AX119" s="194">
        <v>45516</v>
      </c>
      <c r="AY119" s="197">
        <v>45516</v>
      </c>
      <c r="AZ119" s="145" t="s">
        <v>33</v>
      </c>
      <c r="BA119" s="145" t="s">
        <v>113</v>
      </c>
      <c r="BB119" s="149" t="s">
        <v>110</v>
      </c>
      <c r="BC119" s="142">
        <f t="shared" si="6"/>
        <v>140</v>
      </c>
      <c r="BD119" s="134" t="str">
        <f t="shared" si="7"/>
        <v>INDENIZAÇÃO</v>
      </c>
      <c r="BE119" s="134" t="str">
        <f t="shared" si="8"/>
        <v>NÃO</v>
      </c>
      <c r="BF119" s="134" t="s">
        <v>24</v>
      </c>
      <c r="BG119" s="134" t="s">
        <v>24</v>
      </c>
      <c r="BH119" s="134" t="s">
        <v>24</v>
      </c>
      <c r="BI119" s="198" t="s">
        <v>110</v>
      </c>
      <c r="BJ119" s="198" t="s">
        <v>110</v>
      </c>
      <c r="BK119" s="194">
        <v>45559</v>
      </c>
      <c r="BL119" s="198" t="s">
        <v>110</v>
      </c>
      <c r="BM119" s="145" t="s">
        <v>33</v>
      </c>
      <c r="CI119" s="200"/>
    </row>
    <row r="120" spans="1:87" s="149" customFormat="1" ht="30" customHeight="1" x14ac:dyDescent="0.25">
      <c r="A120" s="134">
        <v>104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659</v>
      </c>
      <c r="G120" s="149" t="s">
        <v>102</v>
      </c>
      <c r="H120" s="149" t="s">
        <v>103</v>
      </c>
      <c r="I120" s="149" t="s">
        <v>108</v>
      </c>
      <c r="J120" s="152" t="s">
        <v>660</v>
      </c>
      <c r="K120" s="152" t="s">
        <v>661</v>
      </c>
      <c r="L120" s="152" t="s">
        <v>662</v>
      </c>
      <c r="M120" s="134" t="s">
        <v>4</v>
      </c>
      <c r="N120" s="134" t="s">
        <v>5</v>
      </c>
      <c r="O120" s="194">
        <v>45831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660</v>
      </c>
      <c r="AC120" s="152" t="s">
        <v>661</v>
      </c>
      <c r="AD120" s="152" t="s">
        <v>662</v>
      </c>
      <c r="AE120" s="149" t="s">
        <v>108</v>
      </c>
      <c r="AF120" s="149" t="s">
        <v>4</v>
      </c>
      <c r="AG120" s="208">
        <v>13227.54</v>
      </c>
      <c r="AH120" s="208">
        <v>43227.54</v>
      </c>
      <c r="AI120" s="134" t="s">
        <v>6</v>
      </c>
      <c r="AJ120" s="138" t="s">
        <v>109</v>
      </c>
      <c r="AK120" s="214">
        <v>99915548</v>
      </c>
      <c r="AL120" s="149" t="s">
        <v>110</v>
      </c>
      <c r="AM120" s="149" t="s">
        <v>110</v>
      </c>
      <c r="AN120" s="149" t="s">
        <v>111</v>
      </c>
      <c r="AO120" s="149" t="s">
        <v>663</v>
      </c>
      <c r="AP120" s="199" t="s">
        <v>664</v>
      </c>
      <c r="AQ120" s="149" t="s">
        <v>110</v>
      </c>
      <c r="AR120" s="149" t="s">
        <v>110</v>
      </c>
      <c r="AS120" s="149" t="s">
        <v>110</v>
      </c>
      <c r="AT120" s="149" t="s">
        <v>110</v>
      </c>
      <c r="AU120" s="144">
        <v>46090</v>
      </c>
      <c r="AV120" s="134" t="s">
        <v>110</v>
      </c>
      <c r="AW120" s="149" t="s">
        <v>110</v>
      </c>
      <c r="AX120" s="274">
        <v>46097</v>
      </c>
      <c r="AY120" s="197">
        <v>46097</v>
      </c>
      <c r="AZ120" s="145" t="s">
        <v>33</v>
      </c>
      <c r="BA120" s="145" t="s">
        <v>113</v>
      </c>
      <c r="BB120" s="198" t="s">
        <v>110</v>
      </c>
      <c r="BC120" s="142">
        <f t="shared" si="6"/>
        <v>266</v>
      </c>
      <c r="BD120" s="134" t="str">
        <f t="shared" si="7"/>
        <v>INDENIZAÇÃO</v>
      </c>
      <c r="BE120" s="134" t="str">
        <f t="shared" si="8"/>
        <v>NÃO</v>
      </c>
      <c r="BF120" s="198" t="s">
        <v>24</v>
      </c>
      <c r="BG120" s="198" t="s">
        <v>24</v>
      </c>
      <c r="BH120" s="198" t="s">
        <v>24</v>
      </c>
      <c r="BI120" s="198" t="s">
        <v>110</v>
      </c>
      <c r="BJ120" s="145" t="s">
        <v>33</v>
      </c>
      <c r="BK120" s="279"/>
      <c r="BL120" s="145"/>
      <c r="BM120" s="145"/>
      <c r="CI120" s="200"/>
    </row>
    <row r="121" spans="1:87" s="149" customFormat="1" ht="30" hidden="1" customHeight="1" x14ac:dyDescent="0.25">
      <c r="A121" s="134">
        <v>105</v>
      </c>
      <c r="B121" s="245" t="s">
        <v>99</v>
      </c>
      <c r="C121" s="245">
        <v>1</v>
      </c>
      <c r="D121" s="245" t="s">
        <v>100</v>
      </c>
      <c r="E121" s="245" t="s">
        <v>100</v>
      </c>
      <c r="F121" s="246" t="s">
        <v>665</v>
      </c>
      <c r="G121" s="149" t="s">
        <v>102</v>
      </c>
      <c r="H121" s="149" t="s">
        <v>103</v>
      </c>
      <c r="I121" s="149" t="s">
        <v>108</v>
      </c>
      <c r="J121" s="152" t="s">
        <v>666</v>
      </c>
      <c r="K121" s="152" t="s">
        <v>667</v>
      </c>
      <c r="L121" s="152" t="s">
        <v>668</v>
      </c>
      <c r="M121" s="245" t="s">
        <v>4</v>
      </c>
      <c r="N121" s="245" t="s">
        <v>5</v>
      </c>
      <c r="O121" s="256">
        <v>45546</v>
      </c>
      <c r="P121" s="249" t="s">
        <v>24</v>
      </c>
      <c r="Q121" s="249" t="s">
        <v>24</v>
      </c>
      <c r="R121" s="249" t="s">
        <v>24</v>
      </c>
      <c r="S121" s="249" t="s">
        <v>24</v>
      </c>
      <c r="T121" s="249" t="s">
        <v>24</v>
      </c>
      <c r="U121" s="249" t="s">
        <v>24</v>
      </c>
      <c r="V121" s="249" t="s">
        <v>24</v>
      </c>
      <c r="W121" s="249" t="s">
        <v>24</v>
      </c>
      <c r="X121" s="249" t="s">
        <v>24</v>
      </c>
      <c r="Y121" s="249" t="s">
        <v>24</v>
      </c>
      <c r="Z121" s="249" t="s">
        <v>24</v>
      </c>
      <c r="AA121" s="250"/>
      <c r="AB121" s="152" t="s">
        <v>666</v>
      </c>
      <c r="AC121" s="152" t="s">
        <v>667</v>
      </c>
      <c r="AD121" s="152" t="s">
        <v>668</v>
      </c>
      <c r="AE121" s="149" t="s">
        <v>108</v>
      </c>
      <c r="AF121" s="250" t="s">
        <v>4</v>
      </c>
      <c r="AG121" s="208">
        <v>10059.530000000001</v>
      </c>
      <c r="AH121" s="208">
        <f>AG121+30000</f>
        <v>40059.53</v>
      </c>
      <c r="AI121" s="245" t="s">
        <v>6</v>
      </c>
      <c r="AJ121" s="246" t="s">
        <v>109</v>
      </c>
      <c r="AK121" s="250"/>
      <c r="AL121" s="250" t="s">
        <v>110</v>
      </c>
      <c r="AM121" s="250" t="s">
        <v>110</v>
      </c>
      <c r="AN121" s="250" t="s">
        <v>111</v>
      </c>
      <c r="AO121" s="250"/>
      <c r="AP121" s="253" t="s">
        <v>669</v>
      </c>
      <c r="AQ121" s="250" t="s">
        <v>110</v>
      </c>
      <c r="AR121" s="250" t="s">
        <v>110</v>
      </c>
      <c r="AS121" s="250" t="s">
        <v>110</v>
      </c>
      <c r="AT121" s="250" t="s">
        <v>110</v>
      </c>
      <c r="AU121" s="256">
        <v>45587</v>
      </c>
      <c r="AV121" s="250" t="s">
        <v>110</v>
      </c>
      <c r="AW121" s="250" t="s">
        <v>110</v>
      </c>
      <c r="AX121" s="256">
        <v>45600</v>
      </c>
      <c r="AY121" s="197">
        <v>45600</v>
      </c>
      <c r="AZ121" s="245" t="s">
        <v>355</v>
      </c>
      <c r="BA121" s="245" t="s">
        <v>1</v>
      </c>
      <c r="BB121" s="250" t="s">
        <v>110</v>
      </c>
      <c r="BC121" s="142">
        <f t="shared" si="6"/>
        <v>54</v>
      </c>
      <c r="BD121" s="134" t="str">
        <f t="shared" si="7"/>
        <v>INDENIZAÇÃO</v>
      </c>
      <c r="BE121" s="134" t="str">
        <f t="shared" si="8"/>
        <v>NÃO</v>
      </c>
      <c r="BF121" s="245" t="s">
        <v>24</v>
      </c>
      <c r="BG121" s="245" t="s">
        <v>24</v>
      </c>
      <c r="BH121" s="245" t="s">
        <v>24</v>
      </c>
      <c r="BI121" s="250" t="s">
        <v>110</v>
      </c>
      <c r="BJ121" s="250" t="s">
        <v>110</v>
      </c>
      <c r="BK121" s="256">
        <v>45621</v>
      </c>
      <c r="BL121" s="250" t="s">
        <v>110</v>
      </c>
      <c r="BM121" s="250" t="s">
        <v>33</v>
      </c>
      <c r="CI121" s="200"/>
    </row>
    <row r="122" spans="1:87" s="149" customFormat="1" ht="30" customHeight="1" x14ac:dyDescent="0.25">
      <c r="A122" s="134">
        <v>106</v>
      </c>
      <c r="B122" s="134" t="s">
        <v>99</v>
      </c>
      <c r="C122" s="134">
        <v>1</v>
      </c>
      <c r="D122" s="134" t="s">
        <v>100</v>
      </c>
      <c r="E122" s="134" t="s">
        <v>100</v>
      </c>
      <c r="F122" s="138" t="s">
        <v>670</v>
      </c>
      <c r="G122" s="149" t="s">
        <v>102</v>
      </c>
      <c r="H122" s="149" t="s">
        <v>103</v>
      </c>
      <c r="I122" s="149" t="s">
        <v>108</v>
      </c>
      <c r="J122" s="152" t="s">
        <v>671</v>
      </c>
      <c r="K122" s="152" t="s">
        <v>672</v>
      </c>
      <c r="L122" s="152" t="s">
        <v>673</v>
      </c>
      <c r="M122" s="134" t="s">
        <v>4</v>
      </c>
      <c r="N122" s="134" t="s">
        <v>5</v>
      </c>
      <c r="O122" s="194">
        <v>45838</v>
      </c>
      <c r="P122" s="144" t="s">
        <v>24</v>
      </c>
      <c r="Q122" s="144" t="s">
        <v>24</v>
      </c>
      <c r="R122" s="144" t="s">
        <v>24</v>
      </c>
      <c r="S122" s="144" t="s">
        <v>24</v>
      </c>
      <c r="T122" s="144" t="s">
        <v>24</v>
      </c>
      <c r="U122" s="144" t="s">
        <v>24</v>
      </c>
      <c r="V122" s="144" t="s">
        <v>24</v>
      </c>
      <c r="W122" s="144" t="s">
        <v>24</v>
      </c>
      <c r="X122" s="144" t="s">
        <v>24</v>
      </c>
      <c r="Y122" s="144" t="s">
        <v>24</v>
      </c>
      <c r="Z122" s="144" t="s">
        <v>24</v>
      </c>
      <c r="AB122" s="152" t="s">
        <v>671</v>
      </c>
      <c r="AC122" s="152" t="s">
        <v>672</v>
      </c>
      <c r="AD122" s="152" t="s">
        <v>673</v>
      </c>
      <c r="AE122" s="149" t="s">
        <v>108</v>
      </c>
      <c r="AF122" s="149" t="s">
        <v>4</v>
      </c>
      <c r="AG122" s="208">
        <v>57759.59</v>
      </c>
      <c r="AH122" s="208">
        <v>60000</v>
      </c>
      <c r="AI122" s="134" t="s">
        <v>6</v>
      </c>
      <c r="AJ122" s="138" t="s">
        <v>109</v>
      </c>
      <c r="AK122" s="134">
        <v>94123209</v>
      </c>
      <c r="AL122" s="149" t="s">
        <v>110</v>
      </c>
      <c r="AM122" s="149" t="s">
        <v>110</v>
      </c>
      <c r="AN122" s="149" t="s">
        <v>111</v>
      </c>
      <c r="AP122" s="138" t="s">
        <v>674</v>
      </c>
      <c r="AQ122" s="198" t="s">
        <v>110</v>
      </c>
      <c r="AR122" s="198" t="s">
        <v>110</v>
      </c>
      <c r="AS122" s="198" t="s">
        <v>110</v>
      </c>
      <c r="AT122" s="198" t="s">
        <v>110</v>
      </c>
      <c r="AU122" s="161">
        <v>45890</v>
      </c>
      <c r="AV122" s="198" t="s">
        <v>110</v>
      </c>
      <c r="AW122" s="198" t="s">
        <v>110</v>
      </c>
      <c r="AX122" s="161">
        <v>45960</v>
      </c>
      <c r="AY122" s="249">
        <v>45960</v>
      </c>
      <c r="AZ122" s="145" t="s">
        <v>33</v>
      </c>
      <c r="BA122" s="141" t="s">
        <v>113</v>
      </c>
      <c r="BB122" s="149" t="s">
        <v>110</v>
      </c>
      <c r="BC122" s="142">
        <f t="shared" si="6"/>
        <v>122</v>
      </c>
      <c r="BD122" s="134" t="str">
        <f t="shared" si="7"/>
        <v>INDENIZAÇÃO</v>
      </c>
      <c r="BE122" s="134" t="str">
        <f t="shared" si="8"/>
        <v>NÃO</v>
      </c>
      <c r="BF122" s="134" t="s">
        <v>24</v>
      </c>
      <c r="BG122" s="134" t="s">
        <v>24</v>
      </c>
      <c r="BH122" s="134" t="s">
        <v>24</v>
      </c>
      <c r="BI122" s="198" t="s">
        <v>110</v>
      </c>
      <c r="BJ122" s="145" t="s">
        <v>33</v>
      </c>
      <c r="BK122" s="145"/>
      <c r="BL122" s="145"/>
      <c r="BM122" s="145"/>
      <c r="CI122" s="200"/>
    </row>
    <row r="123" spans="1:87" s="149" customFormat="1" ht="30" customHeight="1" x14ac:dyDescent="0.25">
      <c r="A123" s="134">
        <v>107</v>
      </c>
      <c r="B123" s="134" t="s">
        <v>99</v>
      </c>
      <c r="C123" s="134">
        <v>1</v>
      </c>
      <c r="D123" s="134" t="s">
        <v>100</v>
      </c>
      <c r="E123" s="134" t="s">
        <v>100</v>
      </c>
      <c r="F123" s="138" t="s">
        <v>675</v>
      </c>
      <c r="G123" s="149" t="s">
        <v>102</v>
      </c>
      <c r="H123" s="149" t="s">
        <v>103</v>
      </c>
      <c r="I123" s="149" t="s">
        <v>108</v>
      </c>
      <c r="J123" s="152" t="s">
        <v>676</v>
      </c>
      <c r="K123" s="152" t="s">
        <v>677</v>
      </c>
      <c r="L123" s="152" t="s">
        <v>678</v>
      </c>
      <c r="M123" s="134" t="s">
        <v>4</v>
      </c>
      <c r="N123" s="134" t="s">
        <v>5</v>
      </c>
      <c r="O123" s="194">
        <v>45894</v>
      </c>
      <c r="P123" s="144" t="s">
        <v>24</v>
      </c>
      <c r="Q123" s="144" t="s">
        <v>24</v>
      </c>
      <c r="R123" s="144" t="s">
        <v>24</v>
      </c>
      <c r="S123" s="144" t="s">
        <v>24</v>
      </c>
      <c r="T123" s="144" t="s">
        <v>24</v>
      </c>
      <c r="U123" s="144" t="s">
        <v>24</v>
      </c>
      <c r="V123" s="144" t="s">
        <v>24</v>
      </c>
      <c r="W123" s="144" t="s">
        <v>24</v>
      </c>
      <c r="X123" s="144" t="s">
        <v>24</v>
      </c>
      <c r="Y123" s="144" t="s">
        <v>24</v>
      </c>
      <c r="Z123" s="144" t="s">
        <v>24</v>
      </c>
      <c r="AB123" s="152" t="s">
        <v>676</v>
      </c>
      <c r="AC123" s="152" t="s">
        <v>677</v>
      </c>
      <c r="AD123" s="152" t="s">
        <v>678</v>
      </c>
      <c r="AE123" s="149" t="s">
        <v>108</v>
      </c>
      <c r="AF123" s="149" t="s">
        <v>4</v>
      </c>
      <c r="AG123" s="208">
        <v>33848.58</v>
      </c>
      <c r="AH123" s="208">
        <v>60000</v>
      </c>
      <c r="AI123" s="134" t="s">
        <v>6</v>
      </c>
      <c r="AJ123" s="311" t="s">
        <v>109</v>
      </c>
      <c r="AK123" s="134">
        <v>94124738</v>
      </c>
      <c r="AL123" s="134" t="s">
        <v>110</v>
      </c>
      <c r="AM123" s="134" t="s">
        <v>110</v>
      </c>
      <c r="AN123" s="273" t="s">
        <v>111</v>
      </c>
      <c r="AP123" s="199" t="s">
        <v>679</v>
      </c>
      <c r="AQ123" s="134" t="s">
        <v>110</v>
      </c>
      <c r="AR123" s="134" t="s">
        <v>110</v>
      </c>
      <c r="AS123" s="198" t="s">
        <v>110</v>
      </c>
      <c r="AT123" s="198" t="s">
        <v>110</v>
      </c>
      <c r="AU123" s="194">
        <v>45960</v>
      </c>
      <c r="AV123" s="198" t="s">
        <v>110</v>
      </c>
      <c r="AW123" s="198" t="s">
        <v>110</v>
      </c>
      <c r="AX123" s="194">
        <v>45968</v>
      </c>
      <c r="AY123" s="140">
        <v>45968</v>
      </c>
      <c r="AZ123" s="145" t="s">
        <v>33</v>
      </c>
      <c r="BA123" s="145" t="s">
        <v>113</v>
      </c>
      <c r="BB123" s="149" t="s">
        <v>110</v>
      </c>
      <c r="BC123" s="142">
        <f t="shared" si="6"/>
        <v>74</v>
      </c>
      <c r="BD123" s="134" t="str">
        <f t="shared" si="7"/>
        <v>INDENIZAÇÃO</v>
      </c>
      <c r="BE123" s="134" t="str">
        <f t="shared" si="8"/>
        <v>NÃO</v>
      </c>
      <c r="BF123" s="149" t="s">
        <v>24</v>
      </c>
      <c r="BG123" s="149" t="s">
        <v>24</v>
      </c>
      <c r="BH123" s="149" t="s">
        <v>24</v>
      </c>
      <c r="BI123" s="198" t="s">
        <v>110</v>
      </c>
      <c r="BJ123" s="145" t="s">
        <v>33</v>
      </c>
      <c r="BK123" s="145"/>
      <c r="BL123" s="145"/>
      <c r="BM123" s="145"/>
      <c r="CI123" s="200"/>
    </row>
    <row r="124" spans="1:87" s="149" customFormat="1" ht="30" hidden="1" customHeight="1" x14ac:dyDescent="0.25">
      <c r="A124" s="134">
        <v>108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680</v>
      </c>
      <c r="G124" s="149" t="s">
        <v>26</v>
      </c>
      <c r="H124" s="149" t="s">
        <v>103</v>
      </c>
      <c r="I124" s="149" t="s">
        <v>342</v>
      </c>
      <c r="J124" s="152" t="s">
        <v>681</v>
      </c>
      <c r="K124" s="152" t="s">
        <v>682</v>
      </c>
      <c r="L124" s="152" t="s">
        <v>683</v>
      </c>
      <c r="M124" s="245" t="s">
        <v>4</v>
      </c>
      <c r="N124" s="245" t="s">
        <v>5</v>
      </c>
      <c r="O124" s="256">
        <v>45558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681</v>
      </c>
      <c r="AC124" s="152" t="s">
        <v>682</v>
      </c>
      <c r="AD124" s="152" t="s">
        <v>683</v>
      </c>
      <c r="AE124" s="134" t="s">
        <v>342</v>
      </c>
      <c r="AF124" s="250" t="s">
        <v>4</v>
      </c>
      <c r="AG124" s="208">
        <v>1707.23</v>
      </c>
      <c r="AH124" s="208">
        <f>AG124+30000</f>
        <v>31707.23</v>
      </c>
      <c r="AI124" s="251" t="s">
        <v>6</v>
      </c>
      <c r="AJ124" s="246" t="s">
        <v>109</v>
      </c>
      <c r="AK124" s="252"/>
      <c r="AL124" s="250" t="s">
        <v>110</v>
      </c>
      <c r="AM124" s="250" t="s">
        <v>110</v>
      </c>
      <c r="AN124" s="250" t="s">
        <v>111</v>
      </c>
      <c r="AO124" s="250"/>
      <c r="AP124" s="253" t="s">
        <v>684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45614</v>
      </c>
      <c r="AV124" s="250" t="s">
        <v>110</v>
      </c>
      <c r="AW124" s="250" t="s">
        <v>110</v>
      </c>
      <c r="AX124" s="256">
        <v>45621</v>
      </c>
      <c r="AY124" s="249">
        <v>45621</v>
      </c>
      <c r="AZ124" s="245" t="s">
        <v>355</v>
      </c>
      <c r="BA124" s="245" t="s">
        <v>1</v>
      </c>
      <c r="BB124" s="250" t="s">
        <v>110</v>
      </c>
      <c r="BC124" s="142">
        <f t="shared" si="6"/>
        <v>63</v>
      </c>
      <c r="BD124" s="134" t="str">
        <f t="shared" si="7"/>
        <v>INDENIZAÇÃO</v>
      </c>
      <c r="BE124" s="134" t="str">
        <f t="shared" si="8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45677</v>
      </c>
      <c r="BL124" s="250" t="s">
        <v>110</v>
      </c>
      <c r="BM124" s="249" t="s">
        <v>33</v>
      </c>
      <c r="CI124" s="200"/>
    </row>
    <row r="125" spans="1:87" s="149" customFormat="1" ht="30" hidden="1" customHeight="1" x14ac:dyDescent="0.25">
      <c r="A125" s="134">
        <v>109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685</v>
      </c>
      <c r="G125" s="149" t="s">
        <v>26</v>
      </c>
      <c r="H125" s="149" t="s">
        <v>103</v>
      </c>
      <c r="I125" s="149" t="s">
        <v>342</v>
      </c>
      <c r="J125" s="152" t="s">
        <v>686</v>
      </c>
      <c r="K125" s="152" t="s">
        <v>687</v>
      </c>
      <c r="L125" s="152" t="s">
        <v>688</v>
      </c>
      <c r="M125" s="245" t="s">
        <v>4</v>
      </c>
      <c r="N125" s="245" t="s">
        <v>5</v>
      </c>
      <c r="O125" s="256">
        <v>45600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686</v>
      </c>
      <c r="AC125" s="152" t="s">
        <v>687</v>
      </c>
      <c r="AD125" s="152" t="s">
        <v>688</v>
      </c>
      <c r="AE125" s="134" t="s">
        <v>342</v>
      </c>
      <c r="AF125" s="250" t="s">
        <v>4</v>
      </c>
      <c r="AG125" s="208">
        <v>1751.53</v>
      </c>
      <c r="AH125" s="208">
        <v>31751.53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45" t="s">
        <v>111</v>
      </c>
      <c r="AO125" s="250"/>
      <c r="AP125" s="253" t="s">
        <v>689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48">
        <v>45755</v>
      </c>
      <c r="AV125" s="250" t="s">
        <v>110</v>
      </c>
      <c r="AW125" s="250" t="s">
        <v>110</v>
      </c>
      <c r="AX125" s="254">
        <v>45762</v>
      </c>
      <c r="AY125" s="254">
        <v>45762</v>
      </c>
      <c r="AZ125" s="245" t="s">
        <v>355</v>
      </c>
      <c r="BA125" s="245" t="s">
        <v>1</v>
      </c>
      <c r="BB125" s="250" t="s">
        <v>110</v>
      </c>
      <c r="BC125" s="142">
        <f t="shared" si="6"/>
        <v>162</v>
      </c>
      <c r="BD125" s="134" t="str">
        <f t="shared" si="7"/>
        <v>INDENIZAÇÃO</v>
      </c>
      <c r="BE125" s="134" t="str">
        <f t="shared" si="8"/>
        <v>NÃO</v>
      </c>
      <c r="BF125" s="250" t="s">
        <v>24</v>
      </c>
      <c r="BG125" s="250" t="s">
        <v>24</v>
      </c>
      <c r="BH125" s="250" t="s">
        <v>24</v>
      </c>
      <c r="BI125" s="250" t="s">
        <v>110</v>
      </c>
      <c r="BJ125" s="250" t="s">
        <v>110</v>
      </c>
      <c r="BK125" s="248">
        <v>45783</v>
      </c>
      <c r="BL125" s="250" t="s">
        <v>110</v>
      </c>
      <c r="BM125" s="250" t="s">
        <v>33</v>
      </c>
      <c r="CI125" s="200"/>
    </row>
    <row r="126" spans="1:87" s="149" customFormat="1" ht="30" hidden="1" customHeight="1" x14ac:dyDescent="0.25">
      <c r="A126" s="134">
        <v>110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690</v>
      </c>
      <c r="G126" s="149" t="s">
        <v>102</v>
      </c>
      <c r="H126" s="149" t="s">
        <v>103</v>
      </c>
      <c r="I126" s="149" t="s">
        <v>108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45376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49" t="s">
        <v>108</v>
      </c>
      <c r="AF126" s="250" t="s">
        <v>4</v>
      </c>
      <c r="AG126" s="208">
        <v>13822.41</v>
      </c>
      <c r="AH126" s="208">
        <v>43822.41</v>
      </c>
      <c r="AI126" s="251" t="s">
        <v>6</v>
      </c>
      <c r="AJ126" s="246" t="s">
        <v>109</v>
      </c>
      <c r="AK126" s="257"/>
      <c r="AL126" s="250" t="s">
        <v>110</v>
      </c>
      <c r="AM126" s="250" t="s">
        <v>110</v>
      </c>
      <c r="AN126" s="250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56">
        <v>45498</v>
      </c>
      <c r="AV126" s="250" t="s">
        <v>110</v>
      </c>
      <c r="AW126" s="250" t="s">
        <v>110</v>
      </c>
      <c r="AX126" s="256">
        <v>45506</v>
      </c>
      <c r="AY126" s="249">
        <v>45506</v>
      </c>
      <c r="AZ126" s="245" t="s">
        <v>355</v>
      </c>
      <c r="BA126" s="245" t="s">
        <v>1</v>
      </c>
      <c r="BB126" s="250" t="s">
        <v>110</v>
      </c>
      <c r="BC126" s="142">
        <f t="shared" si="6"/>
        <v>130</v>
      </c>
      <c r="BD126" s="134" t="str">
        <f t="shared" si="7"/>
        <v>INDENIZAÇÃO</v>
      </c>
      <c r="BE126" s="134" t="str">
        <f t="shared" si="8"/>
        <v>NÃO</v>
      </c>
      <c r="BF126" s="245" t="s">
        <v>24</v>
      </c>
      <c r="BG126" s="245" t="s">
        <v>24</v>
      </c>
      <c r="BH126" s="245" t="s">
        <v>24</v>
      </c>
      <c r="BI126" s="250" t="s">
        <v>110</v>
      </c>
      <c r="BJ126" s="250" t="s">
        <v>110</v>
      </c>
      <c r="BK126" s="256">
        <v>45559</v>
      </c>
      <c r="BL126" s="250" t="s">
        <v>110</v>
      </c>
      <c r="BM126" s="250" t="s">
        <v>33</v>
      </c>
      <c r="CI126" s="200"/>
    </row>
    <row r="127" spans="1:87" s="149" customFormat="1" ht="30" hidden="1" customHeight="1" x14ac:dyDescent="0.25">
      <c r="A127" s="134">
        <v>111</v>
      </c>
      <c r="B127" s="245" t="s">
        <v>99</v>
      </c>
      <c r="C127" s="245">
        <v>1</v>
      </c>
      <c r="D127" s="245" t="s">
        <v>100</v>
      </c>
      <c r="E127" s="245" t="s">
        <v>100</v>
      </c>
      <c r="F127" s="246" t="s">
        <v>695</v>
      </c>
      <c r="G127" s="149" t="s">
        <v>696</v>
      </c>
      <c r="H127" s="149" t="s">
        <v>697</v>
      </c>
      <c r="I127" s="149" t="s">
        <v>342</v>
      </c>
      <c r="J127" s="152" t="s">
        <v>698</v>
      </c>
      <c r="K127" s="152" t="s">
        <v>699</v>
      </c>
      <c r="L127" s="152" t="s">
        <v>700</v>
      </c>
      <c r="M127" s="245" t="s">
        <v>4</v>
      </c>
      <c r="N127" s="245" t="s">
        <v>5</v>
      </c>
      <c r="O127" s="256">
        <v>45546</v>
      </c>
      <c r="P127" s="249" t="s">
        <v>24</v>
      </c>
      <c r="Q127" s="249" t="s">
        <v>24</v>
      </c>
      <c r="R127" s="249" t="s">
        <v>24</v>
      </c>
      <c r="S127" s="249" t="s">
        <v>24</v>
      </c>
      <c r="T127" s="249" t="s">
        <v>24</v>
      </c>
      <c r="U127" s="249" t="s">
        <v>24</v>
      </c>
      <c r="V127" s="249" t="s">
        <v>24</v>
      </c>
      <c r="W127" s="249" t="s">
        <v>24</v>
      </c>
      <c r="X127" s="249" t="s">
        <v>24</v>
      </c>
      <c r="Y127" s="249" t="s">
        <v>24</v>
      </c>
      <c r="Z127" s="249" t="s">
        <v>24</v>
      </c>
      <c r="AA127" s="250"/>
      <c r="AB127" s="152" t="s">
        <v>698</v>
      </c>
      <c r="AC127" s="152" t="s">
        <v>699</v>
      </c>
      <c r="AD127" s="152" t="s">
        <v>700</v>
      </c>
      <c r="AE127" s="134" t="s">
        <v>342</v>
      </c>
      <c r="AF127" s="250" t="s">
        <v>4</v>
      </c>
      <c r="AG127" s="208">
        <v>39230.379999999997</v>
      </c>
      <c r="AH127" s="208">
        <v>60000</v>
      </c>
      <c r="AI127" s="251" t="s">
        <v>6</v>
      </c>
      <c r="AJ127" s="246" t="s">
        <v>109</v>
      </c>
      <c r="AK127" s="252"/>
      <c r="AL127" s="250" t="s">
        <v>110</v>
      </c>
      <c r="AM127" s="250" t="s">
        <v>110</v>
      </c>
      <c r="AN127" s="250" t="s">
        <v>111</v>
      </c>
      <c r="AO127" s="250"/>
      <c r="AP127" s="253" t="s">
        <v>701</v>
      </c>
      <c r="AQ127" s="250" t="s">
        <v>110</v>
      </c>
      <c r="AR127" s="250" t="s">
        <v>110</v>
      </c>
      <c r="AS127" s="250" t="s">
        <v>110</v>
      </c>
      <c r="AT127" s="250" t="s">
        <v>110</v>
      </c>
      <c r="AU127" s="256">
        <v>45614</v>
      </c>
      <c r="AV127" s="250" t="s">
        <v>110</v>
      </c>
      <c r="AW127" s="250" t="s">
        <v>110</v>
      </c>
      <c r="AX127" s="256">
        <v>45621</v>
      </c>
      <c r="AY127" s="249">
        <v>45621</v>
      </c>
      <c r="AZ127" s="245" t="s">
        <v>355</v>
      </c>
      <c r="BA127" s="245" t="s">
        <v>1</v>
      </c>
      <c r="BB127" s="250" t="s">
        <v>110</v>
      </c>
      <c r="BC127" s="142">
        <f t="shared" si="6"/>
        <v>75</v>
      </c>
      <c r="BD127" s="134" t="str">
        <f t="shared" si="7"/>
        <v>INDENIZAÇÃO</v>
      </c>
      <c r="BE127" s="134" t="str">
        <f t="shared" si="8"/>
        <v>NÃO</v>
      </c>
      <c r="BF127" s="245" t="s">
        <v>24</v>
      </c>
      <c r="BG127" s="245" t="s">
        <v>24</v>
      </c>
      <c r="BH127" s="245" t="s">
        <v>24</v>
      </c>
      <c r="BI127" s="250" t="s">
        <v>110</v>
      </c>
      <c r="BJ127" s="250" t="s">
        <v>110</v>
      </c>
      <c r="BK127" s="256">
        <v>45677</v>
      </c>
      <c r="BL127" s="250" t="s">
        <v>110</v>
      </c>
      <c r="BM127" s="249" t="s">
        <v>33</v>
      </c>
      <c r="CI127" s="200"/>
    </row>
    <row r="128" spans="1:87" s="149" customFormat="1" ht="30" hidden="1" customHeight="1" x14ac:dyDescent="0.25">
      <c r="A128" s="134">
        <v>112</v>
      </c>
      <c r="B128" s="245" t="s">
        <v>99</v>
      </c>
      <c r="C128" s="245">
        <v>1</v>
      </c>
      <c r="D128" s="245" t="s">
        <v>100</v>
      </c>
      <c r="E128" s="245" t="s">
        <v>100</v>
      </c>
      <c r="F128" s="246" t="s">
        <v>702</v>
      </c>
      <c r="G128" s="149" t="s">
        <v>337</v>
      </c>
      <c r="H128" s="149" t="s">
        <v>703</v>
      </c>
      <c r="I128" s="149" t="s">
        <v>342</v>
      </c>
      <c r="J128" s="152" t="s">
        <v>704</v>
      </c>
      <c r="K128" s="152" t="s">
        <v>705</v>
      </c>
      <c r="L128" s="152" t="s">
        <v>706</v>
      </c>
      <c r="M128" s="245" t="s">
        <v>4</v>
      </c>
      <c r="N128" s="245" t="s">
        <v>5</v>
      </c>
      <c r="O128" s="256">
        <v>45614</v>
      </c>
      <c r="P128" s="249" t="s">
        <v>24</v>
      </c>
      <c r="Q128" s="249" t="s">
        <v>24</v>
      </c>
      <c r="R128" s="249" t="s">
        <v>24</v>
      </c>
      <c r="S128" s="249" t="s">
        <v>24</v>
      </c>
      <c r="T128" s="249" t="s">
        <v>24</v>
      </c>
      <c r="U128" s="249" t="s">
        <v>24</v>
      </c>
      <c r="V128" s="249" t="s">
        <v>24</v>
      </c>
      <c r="W128" s="249" t="s">
        <v>24</v>
      </c>
      <c r="X128" s="249" t="s">
        <v>24</v>
      </c>
      <c r="Y128" s="249" t="s">
        <v>24</v>
      </c>
      <c r="Z128" s="249" t="s">
        <v>24</v>
      </c>
      <c r="AA128" s="250"/>
      <c r="AB128" s="152" t="s">
        <v>704</v>
      </c>
      <c r="AC128" s="152" t="s">
        <v>705</v>
      </c>
      <c r="AD128" s="152" t="s">
        <v>706</v>
      </c>
      <c r="AE128" s="134" t="s">
        <v>342</v>
      </c>
      <c r="AF128" s="250" t="s">
        <v>4</v>
      </c>
      <c r="AG128" s="208">
        <v>164294.87</v>
      </c>
      <c r="AH128" s="208">
        <v>164294.87</v>
      </c>
      <c r="AI128" s="251" t="s">
        <v>6</v>
      </c>
      <c r="AJ128" s="246" t="s">
        <v>109</v>
      </c>
      <c r="AK128" s="257"/>
      <c r="AL128" s="245" t="s">
        <v>110</v>
      </c>
      <c r="AM128" s="250" t="s">
        <v>110</v>
      </c>
      <c r="AN128" s="245" t="s">
        <v>111</v>
      </c>
      <c r="AO128" s="250"/>
      <c r="AP128" s="253" t="s">
        <v>707</v>
      </c>
      <c r="AQ128" s="250" t="s">
        <v>110</v>
      </c>
      <c r="AR128" s="250" t="s">
        <v>110</v>
      </c>
      <c r="AS128" s="250" t="s">
        <v>110</v>
      </c>
      <c r="AT128" s="250" t="s">
        <v>110</v>
      </c>
      <c r="AU128" s="248">
        <v>45755</v>
      </c>
      <c r="AV128" s="250" t="s">
        <v>110</v>
      </c>
      <c r="AW128" s="250" t="s">
        <v>110</v>
      </c>
      <c r="AX128" s="254">
        <v>45762</v>
      </c>
      <c r="AY128" s="249">
        <v>45762</v>
      </c>
      <c r="AZ128" s="245" t="s">
        <v>355</v>
      </c>
      <c r="BA128" s="245" t="s">
        <v>1</v>
      </c>
      <c r="BB128" s="250" t="s">
        <v>110</v>
      </c>
      <c r="BC128" s="142">
        <f t="shared" si="6"/>
        <v>148</v>
      </c>
      <c r="BD128" s="134" t="str">
        <f t="shared" si="7"/>
        <v>INDENIZAÇÃO</v>
      </c>
      <c r="BE128" s="134" t="str">
        <f t="shared" si="8"/>
        <v>NÃO</v>
      </c>
      <c r="BF128" s="250" t="s">
        <v>24</v>
      </c>
      <c r="BG128" s="250" t="s">
        <v>24</v>
      </c>
      <c r="BH128" s="250" t="s">
        <v>24</v>
      </c>
      <c r="BI128" s="250" t="s">
        <v>110</v>
      </c>
      <c r="BJ128" s="250" t="s">
        <v>110</v>
      </c>
      <c r="BK128" s="248">
        <v>45783</v>
      </c>
      <c r="BL128" s="250" t="s">
        <v>110</v>
      </c>
      <c r="BM128" s="250" t="s">
        <v>33</v>
      </c>
      <c r="CI128" s="200"/>
    </row>
    <row r="129" spans="1:87" s="149" customFormat="1" ht="30" hidden="1" customHeight="1" x14ac:dyDescent="0.25">
      <c r="A129" s="134">
        <v>113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708</v>
      </c>
      <c r="G129" s="149" t="s">
        <v>102</v>
      </c>
      <c r="H129" s="149" t="s">
        <v>103</v>
      </c>
      <c r="I129" s="149" t="s">
        <v>108</v>
      </c>
      <c r="J129" s="152" t="s">
        <v>709</v>
      </c>
      <c r="K129" s="152" t="s">
        <v>710</v>
      </c>
      <c r="L129" s="152" t="s">
        <v>711</v>
      </c>
      <c r="M129" s="134" t="s">
        <v>4</v>
      </c>
      <c r="N129" s="134" t="s">
        <v>366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709</v>
      </c>
      <c r="AC129" s="152" t="s">
        <v>710</v>
      </c>
      <c r="AD129" s="152" t="s">
        <v>711</v>
      </c>
      <c r="AE129" s="149" t="s">
        <v>108</v>
      </c>
      <c r="AG129" s="208" t="s">
        <v>366</v>
      </c>
      <c r="AH129" s="208" t="s">
        <v>366</v>
      </c>
      <c r="AI129" s="230" t="s">
        <v>366</v>
      </c>
      <c r="AJ129" s="134" t="s">
        <v>366</v>
      </c>
      <c r="AK129" s="211"/>
      <c r="AP129" s="152"/>
      <c r="BC129" s="142" t="str">
        <f t="shared" si="6"/>
        <v/>
      </c>
      <c r="BD129" s="134" t="str">
        <f t="shared" si="7"/>
        <v>INDENIZAÇÃO</v>
      </c>
      <c r="BE129" s="134" t="str">
        <f t="shared" si="8"/>
        <v>NÃO</v>
      </c>
      <c r="BF129" s="134"/>
      <c r="BG129" s="194"/>
      <c r="BH129" s="194"/>
      <c r="CI129" s="200"/>
    </row>
    <row r="130" spans="1:87" s="149" customFormat="1" ht="30" customHeight="1" x14ac:dyDescent="0.25">
      <c r="A130" s="134">
        <v>114</v>
      </c>
      <c r="B130" s="134" t="s">
        <v>99</v>
      </c>
      <c r="C130" s="134">
        <v>2</v>
      </c>
      <c r="D130" s="134" t="s">
        <v>100</v>
      </c>
      <c r="E130" s="134" t="s">
        <v>100</v>
      </c>
      <c r="F130" s="216" t="s">
        <v>712</v>
      </c>
      <c r="G130" s="149" t="s">
        <v>102</v>
      </c>
      <c r="H130" s="149" t="s">
        <v>103</v>
      </c>
      <c r="I130" s="149" t="s">
        <v>108</v>
      </c>
      <c r="J130" s="152" t="s">
        <v>713</v>
      </c>
      <c r="K130" s="152" t="s">
        <v>714</v>
      </c>
      <c r="L130" s="152" t="s">
        <v>715</v>
      </c>
      <c r="M130" s="134" t="s">
        <v>4</v>
      </c>
      <c r="N130" s="273" t="s">
        <v>5</v>
      </c>
      <c r="O130" s="194">
        <v>46167</v>
      </c>
      <c r="P130" s="139" t="s">
        <v>24</v>
      </c>
      <c r="Q130" s="139" t="s">
        <v>24</v>
      </c>
      <c r="R130" s="139" t="s">
        <v>24</v>
      </c>
      <c r="S130" s="139" t="s">
        <v>24</v>
      </c>
      <c r="T130" s="139" t="s">
        <v>24</v>
      </c>
      <c r="U130" s="139" t="s">
        <v>24</v>
      </c>
      <c r="V130" s="139" t="s">
        <v>24</v>
      </c>
      <c r="W130" s="139" t="s">
        <v>24</v>
      </c>
      <c r="X130" s="139" t="s">
        <v>24</v>
      </c>
      <c r="Y130" s="139" t="s">
        <v>24</v>
      </c>
      <c r="Z130" s="139" t="s">
        <v>24</v>
      </c>
      <c r="AB130" s="152" t="s">
        <v>713</v>
      </c>
      <c r="AC130" s="152" t="s">
        <v>714</v>
      </c>
      <c r="AD130" s="152" t="s">
        <v>715</v>
      </c>
      <c r="AE130" s="149" t="s">
        <v>108</v>
      </c>
      <c r="AF130" s="134" t="s">
        <v>4</v>
      </c>
      <c r="AG130" s="208">
        <v>34166.85</v>
      </c>
      <c r="AH130" s="208">
        <v>60000</v>
      </c>
      <c r="AI130" s="230" t="s">
        <v>6</v>
      </c>
      <c r="AJ130" s="216" t="s">
        <v>109</v>
      </c>
      <c r="AK130" s="211">
        <v>153151920</v>
      </c>
      <c r="AL130" s="134" t="s">
        <v>110</v>
      </c>
      <c r="AM130" s="134" t="s">
        <v>110</v>
      </c>
      <c r="AN130" s="149" t="s">
        <v>111</v>
      </c>
      <c r="AO130" s="273"/>
      <c r="AP130" s="199" t="s">
        <v>716</v>
      </c>
      <c r="AQ130" s="198" t="s">
        <v>110</v>
      </c>
      <c r="AR130" s="198" t="s">
        <v>110</v>
      </c>
      <c r="AS130" s="198" t="s">
        <v>110</v>
      </c>
      <c r="AT130" s="198" t="s">
        <v>110</v>
      </c>
      <c r="AU130" s="194">
        <v>46254</v>
      </c>
      <c r="AV130" s="198" t="s">
        <v>110</v>
      </c>
      <c r="AW130" s="198" t="s">
        <v>110</v>
      </c>
      <c r="AX130" s="194">
        <v>46260</v>
      </c>
      <c r="AY130" s="140">
        <v>46260</v>
      </c>
      <c r="AZ130" s="145" t="s">
        <v>33</v>
      </c>
      <c r="BA130" s="145" t="s">
        <v>1</v>
      </c>
      <c r="BB130" s="149" t="s">
        <v>110</v>
      </c>
      <c r="BC130" s="142">
        <f t="shared" si="6"/>
        <v>93</v>
      </c>
      <c r="BD130" s="134" t="str">
        <f t="shared" si="7"/>
        <v>INDENIZAÇÃO</v>
      </c>
      <c r="BE130" s="134" t="str">
        <f t="shared" si="8"/>
        <v>NÃO</v>
      </c>
      <c r="BF130" s="134" t="s">
        <v>24</v>
      </c>
      <c r="BG130" s="134" t="s">
        <v>24</v>
      </c>
      <c r="BH130" s="134" t="s">
        <v>24</v>
      </c>
      <c r="BI130" s="198" t="s">
        <v>110</v>
      </c>
      <c r="BJ130" s="145" t="s">
        <v>33</v>
      </c>
      <c r="BK130" s="145"/>
      <c r="BL130" s="145"/>
      <c r="BM130" s="145"/>
      <c r="CI130" s="200"/>
    </row>
    <row r="131" spans="1:87" s="149" customFormat="1" ht="30" hidden="1" customHeight="1" x14ac:dyDescent="0.25">
      <c r="A131" s="134">
        <v>115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717</v>
      </c>
      <c r="G131" s="149" t="s">
        <v>102</v>
      </c>
      <c r="H131" s="149" t="s">
        <v>103</v>
      </c>
      <c r="I131" s="149" t="s">
        <v>108</v>
      </c>
      <c r="J131" s="152" t="s">
        <v>718</v>
      </c>
      <c r="K131" s="152" t="s">
        <v>719</v>
      </c>
      <c r="L131" s="152" t="s">
        <v>720</v>
      </c>
      <c r="M131" s="134" t="s">
        <v>4</v>
      </c>
      <c r="N131" s="134" t="s">
        <v>366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718</v>
      </c>
      <c r="AC131" s="152" t="s">
        <v>719</v>
      </c>
      <c r="AD131" s="152" t="s">
        <v>720</v>
      </c>
      <c r="AE131" s="149" t="s">
        <v>108</v>
      </c>
      <c r="AG131" s="208" t="s">
        <v>366</v>
      </c>
      <c r="AH131" s="208" t="s">
        <v>366</v>
      </c>
      <c r="AI131" s="134" t="s">
        <v>366</v>
      </c>
      <c r="AJ131" s="170" t="s">
        <v>366</v>
      </c>
      <c r="AK131" s="134"/>
      <c r="AP131" s="152"/>
      <c r="BC131" s="142" t="str">
        <f t="shared" si="6"/>
        <v/>
      </c>
      <c r="BD131" s="134" t="str">
        <f t="shared" si="7"/>
        <v>INDENIZAÇÃO</v>
      </c>
      <c r="BE131" s="134" t="str">
        <f t="shared" si="8"/>
        <v>NÃO</v>
      </c>
      <c r="BF131" s="134"/>
      <c r="BG131" s="194"/>
      <c r="BH131" s="194"/>
      <c r="CI131" s="200"/>
    </row>
    <row r="132" spans="1:87" s="149" customFormat="1" ht="30" hidden="1" customHeight="1" x14ac:dyDescent="0.25">
      <c r="A132" s="134">
        <v>116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721</v>
      </c>
      <c r="G132" s="149" t="s">
        <v>102</v>
      </c>
      <c r="H132" s="149" t="s">
        <v>103</v>
      </c>
      <c r="I132" s="149" t="s">
        <v>108</v>
      </c>
      <c r="J132" s="152" t="s">
        <v>722</v>
      </c>
      <c r="K132" s="152" t="s">
        <v>723</v>
      </c>
      <c r="L132" s="152" t="s">
        <v>724</v>
      </c>
      <c r="M132" s="134" t="s">
        <v>4</v>
      </c>
      <c r="N132" s="134" t="s">
        <v>366</v>
      </c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725</v>
      </c>
      <c r="AC132" s="152" t="s">
        <v>723</v>
      </c>
      <c r="AD132" s="152" t="s">
        <v>724</v>
      </c>
      <c r="AE132" s="149" t="s">
        <v>108</v>
      </c>
      <c r="AG132" s="208" t="s">
        <v>366</v>
      </c>
      <c r="AH132" s="208" t="s">
        <v>366</v>
      </c>
      <c r="AI132" s="134" t="s">
        <v>366</v>
      </c>
      <c r="AJ132" s="237" t="s">
        <v>366</v>
      </c>
      <c r="AK132" s="134"/>
      <c r="AP132" s="152"/>
      <c r="BC132" s="142" t="str">
        <f t="shared" si="6"/>
        <v/>
      </c>
      <c r="BD132" s="134" t="str">
        <f t="shared" si="7"/>
        <v>INDENIZAÇÃO</v>
      </c>
      <c r="BE132" s="134" t="str">
        <f t="shared" si="8"/>
        <v>NÃO</v>
      </c>
      <c r="BF132" s="134"/>
      <c r="BG132" s="194"/>
      <c r="BH132" s="194"/>
      <c r="CI132" s="200"/>
    </row>
    <row r="133" spans="1:87" s="149" customFormat="1" ht="30" hidden="1" customHeight="1" x14ac:dyDescent="0.25">
      <c r="A133" s="134">
        <v>117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726</v>
      </c>
      <c r="G133" s="149" t="s">
        <v>102</v>
      </c>
      <c r="H133" s="149" t="s">
        <v>103</v>
      </c>
      <c r="I133" s="149" t="s">
        <v>108</v>
      </c>
      <c r="J133" s="152" t="s">
        <v>727</v>
      </c>
      <c r="K133" s="152" t="s">
        <v>728</v>
      </c>
      <c r="L133" s="152" t="s">
        <v>729</v>
      </c>
      <c r="M133" s="134" t="s">
        <v>4</v>
      </c>
      <c r="N133" s="134" t="s">
        <v>366</v>
      </c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730</v>
      </c>
      <c r="AC133" s="152" t="s">
        <v>728</v>
      </c>
      <c r="AD133" s="152" t="s">
        <v>729</v>
      </c>
      <c r="AE133" s="149" t="s">
        <v>108</v>
      </c>
      <c r="AG133" s="208" t="s">
        <v>366</v>
      </c>
      <c r="AH133" s="208" t="s">
        <v>366</v>
      </c>
      <c r="AI133" s="230" t="s">
        <v>366</v>
      </c>
      <c r="AJ133" s="134" t="s">
        <v>366</v>
      </c>
      <c r="AK133" s="211"/>
      <c r="AP133" s="152"/>
      <c r="BC133" s="142" t="str">
        <f t="shared" si="6"/>
        <v/>
      </c>
      <c r="BD133" s="134" t="str">
        <f t="shared" si="7"/>
        <v>INDENIZAÇÃO</v>
      </c>
      <c r="BE133" s="134" t="str">
        <f t="shared" si="8"/>
        <v>NÃO</v>
      </c>
      <c r="BF133" s="134"/>
      <c r="BG133" s="194"/>
      <c r="BH133" s="194"/>
      <c r="CI133" s="200"/>
    </row>
    <row r="134" spans="1:87" s="149" customFormat="1" ht="30" hidden="1" customHeight="1" x14ac:dyDescent="0.25">
      <c r="A134" s="134">
        <v>118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731</v>
      </c>
      <c r="G134" s="149" t="s">
        <v>102</v>
      </c>
      <c r="H134" s="149" t="s">
        <v>103</v>
      </c>
      <c r="I134" s="149" t="s">
        <v>108</v>
      </c>
      <c r="J134" s="152" t="s">
        <v>732</v>
      </c>
      <c r="K134" s="152" t="s">
        <v>733</v>
      </c>
      <c r="L134" s="152" t="s">
        <v>734</v>
      </c>
      <c r="M134" s="134" t="s">
        <v>4</v>
      </c>
      <c r="N134" s="134"/>
      <c r="O134" s="194"/>
      <c r="P134" s="144"/>
      <c r="Q134" s="263"/>
      <c r="R134" s="144"/>
      <c r="S134" s="144"/>
      <c r="T134" s="144"/>
      <c r="U134" s="144"/>
      <c r="V134" s="144"/>
      <c r="W134" s="144"/>
      <c r="X134" s="144"/>
      <c r="Y134" s="144"/>
      <c r="Z134" s="144"/>
      <c r="AB134" s="152" t="s">
        <v>732</v>
      </c>
      <c r="AC134" s="152" t="s">
        <v>733</v>
      </c>
      <c r="AD134" s="152" t="s">
        <v>734</v>
      </c>
      <c r="AE134" s="149" t="s">
        <v>108</v>
      </c>
      <c r="AG134" s="208"/>
      <c r="AH134" s="208"/>
      <c r="AI134" s="134"/>
      <c r="AJ134" s="170"/>
      <c r="AK134" s="134"/>
      <c r="AP134" s="152"/>
      <c r="BC134" s="142" t="str">
        <f t="shared" si="6"/>
        <v/>
      </c>
      <c r="BD134" s="134" t="str">
        <f t="shared" si="7"/>
        <v>INDENIZAÇÃO</v>
      </c>
      <c r="BE134" s="134" t="str">
        <f t="shared" si="8"/>
        <v>NÃO</v>
      </c>
      <c r="BF134" s="134"/>
      <c r="BG134" s="194"/>
      <c r="BH134" s="194"/>
      <c r="CI134" s="200"/>
    </row>
    <row r="135" spans="1:87" s="149" customFormat="1" ht="30" hidden="1" customHeight="1" x14ac:dyDescent="0.25">
      <c r="A135" s="134">
        <v>119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735</v>
      </c>
      <c r="G135" s="149" t="s">
        <v>102</v>
      </c>
      <c r="H135" s="149" t="s">
        <v>103</v>
      </c>
      <c r="I135" s="149" t="s">
        <v>108</v>
      </c>
      <c r="J135" s="152" t="s">
        <v>736</v>
      </c>
      <c r="K135" s="152" t="s">
        <v>737</v>
      </c>
      <c r="L135" s="152" t="s">
        <v>738</v>
      </c>
      <c r="M135" s="134" t="s">
        <v>4</v>
      </c>
      <c r="N135" s="134"/>
      <c r="O135" s="194"/>
      <c r="P135" s="144"/>
      <c r="Q135" s="263"/>
      <c r="R135" s="144"/>
      <c r="S135" s="144"/>
      <c r="T135" s="144"/>
      <c r="U135" s="144"/>
      <c r="V135" s="144"/>
      <c r="W135" s="144"/>
      <c r="X135" s="144"/>
      <c r="Y135" s="144"/>
      <c r="Z135" s="144"/>
      <c r="AB135" s="152" t="s">
        <v>736</v>
      </c>
      <c r="AC135" s="152" t="s">
        <v>737</v>
      </c>
      <c r="AD135" s="152" t="s">
        <v>738</v>
      </c>
      <c r="AE135" s="149" t="s">
        <v>108</v>
      </c>
      <c r="AG135" s="208"/>
      <c r="AH135" s="208"/>
      <c r="AI135" s="134"/>
      <c r="AJ135" s="134"/>
      <c r="AK135" s="134"/>
      <c r="AP135" s="152"/>
      <c r="BC135" s="142" t="str">
        <f t="shared" si="6"/>
        <v/>
      </c>
      <c r="BD135" s="134" t="str">
        <f t="shared" si="7"/>
        <v>INDENIZAÇÃO</v>
      </c>
      <c r="BE135" s="134" t="str">
        <f t="shared" si="8"/>
        <v>NÃO</v>
      </c>
      <c r="BF135" s="134"/>
      <c r="BG135" s="194"/>
      <c r="BH135" s="194"/>
      <c r="CI135" s="200"/>
    </row>
    <row r="136" spans="1:87" s="149" customFormat="1" ht="30" hidden="1" customHeight="1" x14ac:dyDescent="0.25">
      <c r="A136" s="134">
        <v>120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102</v>
      </c>
      <c r="H136" s="149" t="s">
        <v>103</v>
      </c>
      <c r="I136" s="149" t="s">
        <v>108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45546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49" t="s">
        <v>108</v>
      </c>
      <c r="AF136" s="149" t="s">
        <v>4</v>
      </c>
      <c r="AG136" s="208">
        <v>19920.97</v>
      </c>
      <c r="AH136" s="208">
        <f>AG136+30000</f>
        <v>49920.97</v>
      </c>
      <c r="AI136" s="134" t="s">
        <v>6</v>
      </c>
      <c r="AJ136" s="138" t="s">
        <v>109</v>
      </c>
      <c r="AK136" s="134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6"/>
        <v>75</v>
      </c>
      <c r="BD136" s="134" t="str">
        <f t="shared" si="7"/>
        <v>INDENIZAÇÃO</v>
      </c>
      <c r="BE136" s="134" t="str">
        <f t="shared" si="8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hidden="1" customHeight="1" x14ac:dyDescent="0.25">
      <c r="A137" s="134">
        <v>121</v>
      </c>
      <c r="B137" s="134" t="s">
        <v>99</v>
      </c>
      <c r="C137" s="134">
        <v>1</v>
      </c>
      <c r="D137" s="134" t="s">
        <v>100</v>
      </c>
      <c r="E137" s="134" t="s">
        <v>100</v>
      </c>
      <c r="F137" s="138" t="s">
        <v>744</v>
      </c>
      <c r="G137" s="149" t="s">
        <v>102</v>
      </c>
      <c r="H137" s="149" t="s">
        <v>103</v>
      </c>
      <c r="I137" s="149" t="s">
        <v>382</v>
      </c>
      <c r="J137" s="152" t="s">
        <v>745</v>
      </c>
      <c r="K137" s="152" t="s">
        <v>746</v>
      </c>
      <c r="L137" s="152" t="s">
        <v>747</v>
      </c>
      <c r="M137" s="134" t="s">
        <v>4</v>
      </c>
      <c r="N137" s="134" t="s">
        <v>14</v>
      </c>
      <c r="O137" s="194">
        <v>45539</v>
      </c>
      <c r="P137" s="197" t="s">
        <v>17</v>
      </c>
      <c r="Q137" s="264" t="s">
        <v>386</v>
      </c>
      <c r="R137" s="197"/>
      <c r="S137" s="197"/>
      <c r="T137" s="197"/>
      <c r="U137" s="197"/>
      <c r="V137" s="197"/>
      <c r="W137" s="197"/>
      <c r="X137" s="197"/>
      <c r="Y137" s="197"/>
      <c r="Z137" s="197"/>
      <c r="AB137" s="152" t="s">
        <v>748</v>
      </c>
      <c r="AC137" s="152" t="s">
        <v>749</v>
      </c>
      <c r="AD137" s="152" t="s">
        <v>750</v>
      </c>
      <c r="AE137" s="134" t="s">
        <v>342</v>
      </c>
      <c r="AF137" s="149" t="s">
        <v>4</v>
      </c>
      <c r="AG137" s="208">
        <v>24030.94</v>
      </c>
      <c r="AH137" s="208">
        <v>24030.94</v>
      </c>
      <c r="AI137" s="134" t="s">
        <v>6</v>
      </c>
      <c r="AJ137" s="138" t="s">
        <v>109</v>
      </c>
      <c r="AK137" s="134"/>
      <c r="AL137" s="149" t="s">
        <v>110</v>
      </c>
      <c r="AM137" s="149" t="s">
        <v>110</v>
      </c>
      <c r="AN137" s="149" t="s">
        <v>111</v>
      </c>
      <c r="AP137" s="199" t="s">
        <v>751</v>
      </c>
      <c r="AQ137" s="198" t="s">
        <v>110</v>
      </c>
      <c r="AR137" s="198" t="s">
        <v>110</v>
      </c>
      <c r="AS137" s="198" t="s">
        <v>110</v>
      </c>
      <c r="AT137" s="198" t="s">
        <v>110</v>
      </c>
      <c r="AU137" s="194">
        <v>45601</v>
      </c>
      <c r="AV137" s="198" t="s">
        <v>110</v>
      </c>
      <c r="AW137" s="198" t="s">
        <v>110</v>
      </c>
      <c r="AX137" s="194">
        <v>45617</v>
      </c>
      <c r="AY137" s="197">
        <v>45617</v>
      </c>
      <c r="AZ137" s="197" t="s">
        <v>33</v>
      </c>
      <c r="BA137" s="145" t="s">
        <v>113</v>
      </c>
      <c r="BB137" s="149" t="s">
        <v>110</v>
      </c>
      <c r="BC137" s="142">
        <f t="shared" si="6"/>
        <v>78</v>
      </c>
      <c r="BD137" s="134" t="str">
        <f t="shared" si="7"/>
        <v>INDENIZAÇÃO</v>
      </c>
      <c r="BE137" s="134" t="str">
        <f t="shared" si="8"/>
        <v>NÃO</v>
      </c>
      <c r="BF137" s="134" t="s">
        <v>24</v>
      </c>
      <c r="BG137" s="134" t="s">
        <v>24</v>
      </c>
      <c r="BH137" s="134" t="s">
        <v>24</v>
      </c>
      <c r="BI137" s="198" t="s">
        <v>110</v>
      </c>
      <c r="BJ137" s="198" t="s">
        <v>110</v>
      </c>
      <c r="BK137" s="194">
        <v>45677</v>
      </c>
      <c r="BL137" s="198" t="s">
        <v>110</v>
      </c>
      <c r="BM137" s="197" t="s">
        <v>33</v>
      </c>
      <c r="CI137" s="200"/>
    </row>
    <row r="138" spans="1:87" s="149" customFormat="1" ht="30" hidden="1" customHeight="1" x14ac:dyDescent="0.25">
      <c r="A138" s="134">
        <v>122</v>
      </c>
      <c r="B138" s="134" t="s">
        <v>99</v>
      </c>
      <c r="C138" s="134">
        <v>1</v>
      </c>
      <c r="D138" s="134" t="s">
        <v>100</v>
      </c>
      <c r="E138" s="134" t="s">
        <v>100</v>
      </c>
      <c r="F138" s="138" t="s">
        <v>752</v>
      </c>
      <c r="G138" s="149" t="s">
        <v>337</v>
      </c>
      <c r="H138" s="149" t="s">
        <v>103</v>
      </c>
      <c r="I138" s="149" t="s">
        <v>342</v>
      </c>
      <c r="J138" s="152" t="s">
        <v>753</v>
      </c>
      <c r="K138" s="152" t="s">
        <v>754</v>
      </c>
      <c r="L138" s="152" t="s">
        <v>755</v>
      </c>
      <c r="M138" s="134" t="s">
        <v>4</v>
      </c>
      <c r="N138" s="134" t="s">
        <v>5</v>
      </c>
      <c r="O138" s="194">
        <v>45572</v>
      </c>
      <c r="P138" s="144" t="s">
        <v>24</v>
      </c>
      <c r="Q138" s="144" t="s">
        <v>24</v>
      </c>
      <c r="R138" s="144" t="s">
        <v>24</v>
      </c>
      <c r="S138" s="144" t="s">
        <v>24</v>
      </c>
      <c r="T138" s="144" t="s">
        <v>24</v>
      </c>
      <c r="U138" s="144" t="s">
        <v>24</v>
      </c>
      <c r="V138" s="144" t="s">
        <v>24</v>
      </c>
      <c r="W138" s="144" t="s">
        <v>24</v>
      </c>
      <c r="X138" s="144" t="s">
        <v>24</v>
      </c>
      <c r="Y138" s="144" t="s">
        <v>24</v>
      </c>
      <c r="Z138" s="144" t="s">
        <v>24</v>
      </c>
      <c r="AB138" s="152" t="s">
        <v>753</v>
      </c>
      <c r="AC138" s="152" t="s">
        <v>754</v>
      </c>
      <c r="AD138" s="152" t="s">
        <v>755</v>
      </c>
      <c r="AE138" s="134" t="s">
        <v>342</v>
      </c>
      <c r="AF138" s="149" t="s">
        <v>4</v>
      </c>
      <c r="AG138" s="208">
        <v>32422.73</v>
      </c>
      <c r="AH138" s="208">
        <v>60000</v>
      </c>
      <c r="AI138" s="230" t="s">
        <v>6</v>
      </c>
      <c r="AJ138" s="138" t="s">
        <v>109</v>
      </c>
      <c r="AK138" s="211"/>
      <c r="AL138" s="149" t="s">
        <v>110</v>
      </c>
      <c r="AM138" s="149" t="s">
        <v>110</v>
      </c>
      <c r="AN138" s="149" t="s">
        <v>111</v>
      </c>
      <c r="AP138" s="199" t="s">
        <v>756</v>
      </c>
      <c r="AQ138" s="198" t="s">
        <v>110</v>
      </c>
      <c r="AR138" s="198" t="s">
        <v>110</v>
      </c>
      <c r="AS138" s="198" t="s">
        <v>110</v>
      </c>
      <c r="AT138" s="198" t="s">
        <v>110</v>
      </c>
      <c r="AU138" s="194">
        <v>45614</v>
      </c>
      <c r="AV138" s="198" t="s">
        <v>110</v>
      </c>
      <c r="AW138" s="198" t="s">
        <v>110</v>
      </c>
      <c r="AX138" s="194">
        <v>45621</v>
      </c>
      <c r="AY138" s="197">
        <v>45621</v>
      </c>
      <c r="AZ138" s="197" t="s">
        <v>33</v>
      </c>
      <c r="BA138" s="145" t="s">
        <v>113</v>
      </c>
      <c r="BB138" s="149" t="s">
        <v>110</v>
      </c>
      <c r="BC138" s="142">
        <f t="shared" si="6"/>
        <v>49</v>
      </c>
      <c r="BD138" s="134" t="str">
        <f t="shared" si="7"/>
        <v>INDENIZAÇÃO</v>
      </c>
      <c r="BE138" s="134" t="str">
        <f t="shared" si="8"/>
        <v>NÃO</v>
      </c>
      <c r="BF138" s="134" t="s">
        <v>24</v>
      </c>
      <c r="BG138" s="134" t="s">
        <v>24</v>
      </c>
      <c r="BH138" s="134" t="s">
        <v>24</v>
      </c>
      <c r="BI138" s="198" t="s">
        <v>110</v>
      </c>
      <c r="BJ138" s="198" t="s">
        <v>110</v>
      </c>
      <c r="BK138" s="194">
        <v>45677</v>
      </c>
      <c r="BL138" s="198" t="s">
        <v>110</v>
      </c>
      <c r="BM138" s="197" t="s">
        <v>33</v>
      </c>
      <c r="CI138" s="200"/>
    </row>
    <row r="139" spans="1:87" s="149" customFormat="1" ht="30" hidden="1" customHeight="1" x14ac:dyDescent="0.25">
      <c r="A139" s="134">
        <v>123</v>
      </c>
      <c r="B139" s="245" t="s">
        <v>99</v>
      </c>
      <c r="C139" s="245">
        <v>1</v>
      </c>
      <c r="D139" s="245" t="s">
        <v>100</v>
      </c>
      <c r="E139" s="245" t="s">
        <v>100</v>
      </c>
      <c r="F139" s="246" t="s">
        <v>757</v>
      </c>
      <c r="G139" s="149" t="s">
        <v>102</v>
      </c>
      <c r="H139" s="149" t="s">
        <v>103</v>
      </c>
      <c r="I139" s="149" t="s">
        <v>108</v>
      </c>
      <c r="J139" s="152" t="s">
        <v>758</v>
      </c>
      <c r="K139" s="152" t="s">
        <v>759</v>
      </c>
      <c r="L139" s="152" t="s">
        <v>760</v>
      </c>
      <c r="M139" s="245" t="s">
        <v>4</v>
      </c>
      <c r="N139" s="245" t="s">
        <v>5</v>
      </c>
      <c r="O139" s="256">
        <v>45594</v>
      </c>
      <c r="P139" s="249" t="s">
        <v>24</v>
      </c>
      <c r="Q139" s="249" t="s">
        <v>24</v>
      </c>
      <c r="R139" s="249" t="s">
        <v>24</v>
      </c>
      <c r="S139" s="249" t="s">
        <v>24</v>
      </c>
      <c r="T139" s="249" t="s">
        <v>24</v>
      </c>
      <c r="U139" s="249" t="s">
        <v>24</v>
      </c>
      <c r="V139" s="249" t="s">
        <v>24</v>
      </c>
      <c r="W139" s="249" t="s">
        <v>24</v>
      </c>
      <c r="X139" s="249" t="s">
        <v>24</v>
      </c>
      <c r="Y139" s="249" t="s">
        <v>24</v>
      </c>
      <c r="Z139" s="249" t="s">
        <v>24</v>
      </c>
      <c r="AA139" s="250"/>
      <c r="AB139" s="152" t="s">
        <v>758</v>
      </c>
      <c r="AC139" s="152" t="s">
        <v>759</v>
      </c>
      <c r="AD139" s="152" t="s">
        <v>760</v>
      </c>
      <c r="AE139" s="149" t="s">
        <v>108</v>
      </c>
      <c r="AF139" s="250" t="s">
        <v>4</v>
      </c>
      <c r="AG139" s="208">
        <v>12006.82</v>
      </c>
      <c r="AH139" s="208">
        <v>42006.82</v>
      </c>
      <c r="AI139" s="251" t="s">
        <v>6</v>
      </c>
      <c r="AJ139" s="246" t="s">
        <v>109</v>
      </c>
      <c r="AK139" s="257"/>
      <c r="AL139" s="250" t="s">
        <v>110</v>
      </c>
      <c r="AM139" s="250" t="s">
        <v>110</v>
      </c>
      <c r="AN139" s="245" t="s">
        <v>111</v>
      </c>
      <c r="AO139" s="250"/>
      <c r="AP139" s="253" t="s">
        <v>761</v>
      </c>
      <c r="AQ139" s="250" t="s">
        <v>110</v>
      </c>
      <c r="AR139" s="250" t="s">
        <v>110</v>
      </c>
      <c r="AS139" s="250" t="s">
        <v>110</v>
      </c>
      <c r="AT139" s="250" t="s">
        <v>110</v>
      </c>
      <c r="AU139" s="248">
        <v>45755</v>
      </c>
      <c r="AV139" s="250" t="s">
        <v>110</v>
      </c>
      <c r="AW139" s="250" t="s">
        <v>110</v>
      </c>
      <c r="AX139" s="254">
        <v>45762</v>
      </c>
      <c r="AY139" s="254">
        <v>45762</v>
      </c>
      <c r="AZ139" s="245" t="s">
        <v>355</v>
      </c>
      <c r="BA139" s="245" t="s">
        <v>1</v>
      </c>
      <c r="BB139" s="250" t="s">
        <v>110</v>
      </c>
      <c r="BC139" s="142">
        <f t="shared" si="6"/>
        <v>168</v>
      </c>
      <c r="BD139" s="134" t="str">
        <f t="shared" si="7"/>
        <v>INDENIZAÇÃO</v>
      </c>
      <c r="BE139" s="134" t="str">
        <f t="shared" si="8"/>
        <v>NÃO</v>
      </c>
      <c r="BF139" s="250" t="s">
        <v>24</v>
      </c>
      <c r="BG139" s="250" t="s">
        <v>24</v>
      </c>
      <c r="BH139" s="250" t="s">
        <v>24</v>
      </c>
      <c r="BI139" s="250" t="s">
        <v>110</v>
      </c>
      <c r="BJ139" s="250" t="s">
        <v>110</v>
      </c>
      <c r="BK139" s="248">
        <v>45783</v>
      </c>
      <c r="BL139" s="250" t="s">
        <v>110</v>
      </c>
      <c r="BM139" s="250" t="s">
        <v>33</v>
      </c>
      <c r="CI139" s="200"/>
    </row>
    <row r="140" spans="1:87" s="149" customFormat="1" ht="30" hidden="1" customHeight="1" x14ac:dyDescent="0.25">
      <c r="A140" s="134">
        <v>124</v>
      </c>
      <c r="B140" s="245" t="s">
        <v>99</v>
      </c>
      <c r="C140" s="245">
        <v>1</v>
      </c>
      <c r="D140" s="245" t="s">
        <v>100</v>
      </c>
      <c r="E140" s="245" t="s">
        <v>100</v>
      </c>
      <c r="F140" s="246" t="s">
        <v>762</v>
      </c>
      <c r="G140" s="149" t="s">
        <v>102</v>
      </c>
      <c r="H140" s="149" t="s">
        <v>103</v>
      </c>
      <c r="I140" s="149" t="s">
        <v>108</v>
      </c>
      <c r="J140" s="152" t="s">
        <v>763</v>
      </c>
      <c r="K140" s="152" t="s">
        <v>764</v>
      </c>
      <c r="L140" s="152" t="s">
        <v>765</v>
      </c>
      <c r="M140" s="245" t="s">
        <v>4</v>
      </c>
      <c r="N140" s="245" t="s">
        <v>5</v>
      </c>
      <c r="O140" s="256">
        <v>45600</v>
      </c>
      <c r="P140" s="249" t="s">
        <v>24</v>
      </c>
      <c r="Q140" s="249" t="s">
        <v>24</v>
      </c>
      <c r="R140" s="249" t="s">
        <v>24</v>
      </c>
      <c r="S140" s="249" t="s">
        <v>24</v>
      </c>
      <c r="T140" s="249" t="s">
        <v>24</v>
      </c>
      <c r="U140" s="249" t="s">
        <v>24</v>
      </c>
      <c r="V140" s="249" t="s">
        <v>24</v>
      </c>
      <c r="W140" s="249" t="s">
        <v>24</v>
      </c>
      <c r="X140" s="249" t="s">
        <v>24</v>
      </c>
      <c r="Y140" s="249" t="s">
        <v>24</v>
      </c>
      <c r="Z140" s="249" t="s">
        <v>24</v>
      </c>
      <c r="AA140" s="250"/>
      <c r="AB140" s="152" t="s">
        <v>763</v>
      </c>
      <c r="AC140" s="152" t="s">
        <v>764</v>
      </c>
      <c r="AD140" s="152" t="s">
        <v>765</v>
      </c>
      <c r="AE140" s="149" t="s">
        <v>108</v>
      </c>
      <c r="AF140" s="250" t="s">
        <v>4</v>
      </c>
      <c r="AG140" s="208">
        <v>11856.84</v>
      </c>
      <c r="AH140" s="208">
        <v>41856.839999999997</v>
      </c>
      <c r="AI140" s="245" t="s">
        <v>6</v>
      </c>
      <c r="AJ140" s="312" t="s">
        <v>109</v>
      </c>
      <c r="AK140" s="245"/>
      <c r="AL140" s="250" t="s">
        <v>110</v>
      </c>
      <c r="AM140" s="250" t="s">
        <v>110</v>
      </c>
      <c r="AN140" s="245" t="s">
        <v>111</v>
      </c>
      <c r="AO140" s="250"/>
      <c r="AP140" s="253" t="s">
        <v>766</v>
      </c>
      <c r="AQ140" s="250" t="s">
        <v>110</v>
      </c>
      <c r="AR140" s="250" t="s">
        <v>110</v>
      </c>
      <c r="AS140" s="250" t="s">
        <v>110</v>
      </c>
      <c r="AT140" s="250" t="s">
        <v>110</v>
      </c>
      <c r="AU140" s="248">
        <v>45755</v>
      </c>
      <c r="AV140" s="250" t="s">
        <v>110</v>
      </c>
      <c r="AW140" s="250" t="s">
        <v>110</v>
      </c>
      <c r="AX140" s="254">
        <v>45762</v>
      </c>
      <c r="AY140" s="254">
        <v>45762</v>
      </c>
      <c r="AZ140" s="245" t="s">
        <v>355</v>
      </c>
      <c r="BA140" s="245" t="s">
        <v>1</v>
      </c>
      <c r="BB140" s="250" t="s">
        <v>110</v>
      </c>
      <c r="BC140" s="142">
        <f t="shared" si="6"/>
        <v>162</v>
      </c>
      <c r="BD140" s="134" t="str">
        <f t="shared" si="7"/>
        <v>INDENIZAÇÃO</v>
      </c>
      <c r="BE140" s="134" t="str">
        <f t="shared" si="8"/>
        <v>NÃO</v>
      </c>
      <c r="BF140" s="250" t="s">
        <v>24</v>
      </c>
      <c r="BG140" s="250" t="s">
        <v>24</v>
      </c>
      <c r="BH140" s="250" t="s">
        <v>24</v>
      </c>
      <c r="BI140" s="250" t="s">
        <v>110</v>
      </c>
      <c r="BJ140" s="250" t="s">
        <v>110</v>
      </c>
      <c r="BK140" s="248">
        <v>45783</v>
      </c>
      <c r="BL140" s="250" t="s">
        <v>110</v>
      </c>
      <c r="BM140" s="250" t="s">
        <v>33</v>
      </c>
      <c r="CI140" s="200"/>
    </row>
    <row r="141" spans="1:87" s="149" customFormat="1" ht="30" hidden="1" customHeight="1" x14ac:dyDescent="0.25">
      <c r="A141" s="134">
        <v>125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767</v>
      </c>
      <c r="G141" s="149" t="s">
        <v>102</v>
      </c>
      <c r="H141" s="149" t="s">
        <v>103</v>
      </c>
      <c r="I141" s="149" t="s">
        <v>342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763</v>
      </c>
      <c r="AC141" s="152" t="s">
        <v>764</v>
      </c>
      <c r="AD141" s="152" t="s">
        <v>765</v>
      </c>
      <c r="AE141" s="134" t="s">
        <v>342</v>
      </c>
      <c r="AF141" s="149" t="s">
        <v>4</v>
      </c>
      <c r="AG141" s="208">
        <v>0</v>
      </c>
      <c r="AH141" s="208">
        <v>0</v>
      </c>
      <c r="AI141" s="230" t="s">
        <v>24</v>
      </c>
      <c r="AJ141" s="138" t="s">
        <v>109</v>
      </c>
      <c r="AK141" s="211"/>
      <c r="AL141" s="134" t="s">
        <v>24</v>
      </c>
      <c r="AM141" s="134" t="s">
        <v>24</v>
      </c>
      <c r="AN141" s="134" t="s">
        <v>24</v>
      </c>
      <c r="AO141" s="149" t="s">
        <v>768</v>
      </c>
      <c r="AP141" s="152" t="s">
        <v>24</v>
      </c>
      <c r="AQ141" s="134" t="s">
        <v>24</v>
      </c>
      <c r="AR141" s="134" t="s">
        <v>24</v>
      </c>
      <c r="AS141" s="134" t="s">
        <v>24</v>
      </c>
      <c r="AT141" s="134" t="s">
        <v>24</v>
      </c>
      <c r="AU141" s="134" t="s">
        <v>24</v>
      </c>
      <c r="AV141" s="134" t="s">
        <v>24</v>
      </c>
      <c r="AW141" s="134" t="s">
        <v>24</v>
      </c>
      <c r="AX141" s="134" t="s">
        <v>24</v>
      </c>
      <c r="AY141" s="134" t="s">
        <v>24</v>
      </c>
      <c r="AZ141" s="145" t="s">
        <v>33</v>
      </c>
      <c r="BA141" s="145" t="s">
        <v>113</v>
      </c>
      <c r="BB141" s="149" t="s">
        <v>110</v>
      </c>
      <c r="BC141" s="142" t="e">
        <f t="shared" si="6"/>
        <v>#VALUE!</v>
      </c>
      <c r="BD141" s="134" t="str">
        <f t="shared" si="7"/>
        <v>INDENIZAÇÃO</v>
      </c>
      <c r="BE141" s="134" t="str">
        <f t="shared" si="8"/>
        <v>NÃO</v>
      </c>
      <c r="BF141" s="149" t="s">
        <v>24</v>
      </c>
      <c r="BG141" s="149" t="s">
        <v>24</v>
      </c>
      <c r="BH141" s="149" t="s">
        <v>24</v>
      </c>
      <c r="BI141" s="149" t="s">
        <v>24</v>
      </c>
      <c r="BJ141" s="149" t="s">
        <v>24</v>
      </c>
      <c r="BK141" s="149" t="s">
        <v>24</v>
      </c>
      <c r="BL141" s="149" t="s">
        <v>24</v>
      </c>
      <c r="BM141" s="149" t="s">
        <v>110</v>
      </c>
      <c r="CI141" s="200"/>
    </row>
    <row r="142" spans="1:87" s="149" customFormat="1" ht="30" hidden="1" customHeight="1" x14ac:dyDescent="0.25">
      <c r="A142" s="134">
        <v>126</v>
      </c>
      <c r="B142" s="134" t="s">
        <v>99</v>
      </c>
      <c r="C142" s="134">
        <v>1</v>
      </c>
      <c r="D142" s="134" t="s">
        <v>100</v>
      </c>
      <c r="E142" s="134" t="s">
        <v>100</v>
      </c>
      <c r="F142" s="138" t="s">
        <v>769</v>
      </c>
      <c r="G142" s="149" t="s">
        <v>102</v>
      </c>
      <c r="H142" s="149" t="s">
        <v>103</v>
      </c>
      <c r="I142" s="149" t="s">
        <v>382</v>
      </c>
      <c r="J142" s="152" t="s">
        <v>770</v>
      </c>
      <c r="K142" s="152" t="s">
        <v>771</v>
      </c>
      <c r="L142" s="152" t="s">
        <v>772</v>
      </c>
      <c r="M142" s="134" t="s">
        <v>4</v>
      </c>
      <c r="N142" s="134"/>
      <c r="O142" s="194"/>
      <c r="P142" s="144"/>
      <c r="Q142" s="263"/>
      <c r="R142" s="144"/>
      <c r="S142" s="144"/>
      <c r="T142" s="144"/>
      <c r="U142" s="144"/>
      <c r="V142" s="144"/>
      <c r="W142" s="144"/>
      <c r="X142" s="144"/>
      <c r="Y142" s="144"/>
      <c r="Z142" s="144"/>
      <c r="AB142" s="152" t="s">
        <v>773</v>
      </c>
      <c r="AC142" s="152" t="s">
        <v>771</v>
      </c>
      <c r="AD142" s="152" t="s">
        <v>774</v>
      </c>
      <c r="AE142" s="134" t="s">
        <v>342</v>
      </c>
      <c r="AG142" s="208"/>
      <c r="AH142" s="208"/>
      <c r="AI142" s="230"/>
      <c r="AJ142" s="134"/>
      <c r="AK142" s="211"/>
      <c r="AP142" s="152"/>
      <c r="BC142" s="142" t="str">
        <f t="shared" si="6"/>
        <v/>
      </c>
      <c r="BD142" s="134" t="str">
        <f t="shared" si="7"/>
        <v>INDENIZAÇÃO</v>
      </c>
      <c r="BE142" s="134" t="str">
        <f t="shared" si="8"/>
        <v>NÃO</v>
      </c>
      <c r="BF142" s="134"/>
      <c r="BG142" s="194"/>
      <c r="BH142" s="194"/>
      <c r="CI142" s="200"/>
    </row>
    <row r="143" spans="1:87" s="149" customFormat="1" ht="30" hidden="1" customHeight="1" x14ac:dyDescent="0.25">
      <c r="A143" s="134">
        <v>127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138" t="s">
        <v>775</v>
      </c>
      <c r="G143" s="149" t="s">
        <v>102</v>
      </c>
      <c r="H143" s="149" t="s">
        <v>103</v>
      </c>
      <c r="I143" s="149" t="s">
        <v>382</v>
      </c>
      <c r="J143" s="152" t="s">
        <v>776</v>
      </c>
      <c r="K143" s="152" t="s">
        <v>777</v>
      </c>
      <c r="L143" s="152" t="s">
        <v>778</v>
      </c>
      <c r="M143" s="134" t="s">
        <v>4</v>
      </c>
      <c r="N143" s="134"/>
      <c r="O143" s="194"/>
      <c r="P143" s="144"/>
      <c r="Q143" s="263"/>
      <c r="R143" s="144"/>
      <c r="S143" s="144"/>
      <c r="T143" s="144"/>
      <c r="U143" s="144"/>
      <c r="V143" s="144"/>
      <c r="W143" s="144"/>
      <c r="X143" s="144"/>
      <c r="Y143" s="144"/>
      <c r="Z143" s="144"/>
      <c r="AB143" s="152" t="s">
        <v>779</v>
      </c>
      <c r="AC143" s="152" t="s">
        <v>777</v>
      </c>
      <c r="AD143" s="152" t="s">
        <v>780</v>
      </c>
      <c r="AE143" s="134" t="s">
        <v>342</v>
      </c>
      <c r="AG143" s="208"/>
      <c r="AH143" s="208"/>
      <c r="AI143" s="230"/>
      <c r="AJ143" s="134"/>
      <c r="AK143" s="211"/>
      <c r="AP143" s="152"/>
      <c r="BC143" s="142" t="str">
        <f t="shared" ref="BC143:BC206" si="9">IF(AY143-KD143=0,"",AY143-O143)</f>
        <v/>
      </c>
      <c r="BD143" s="134" t="str">
        <f t="shared" ref="BD143:BD206" si="10">IF(AND(AI143&lt;&gt;"SIM",AI143="UH"),"AA","INDENIZAÇÃO")</f>
        <v>INDENIZAÇÃO</v>
      </c>
      <c r="BE143" s="134" t="str">
        <f t="shared" ref="BE143:BE206" si="11"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hidden="1" customHeight="1" x14ac:dyDescent="0.25">
      <c r="A144" s="134">
        <v>128</v>
      </c>
      <c r="B144" s="245" t="s">
        <v>99</v>
      </c>
      <c r="C144" s="245">
        <v>1</v>
      </c>
      <c r="D144" s="245" t="s">
        <v>100</v>
      </c>
      <c r="E144" s="245" t="s">
        <v>100</v>
      </c>
      <c r="F144" s="246" t="s">
        <v>781</v>
      </c>
      <c r="G144" s="149" t="s">
        <v>102</v>
      </c>
      <c r="H144" s="149" t="s">
        <v>103</v>
      </c>
      <c r="I144" s="149" t="s">
        <v>108</v>
      </c>
      <c r="J144" s="152" t="s">
        <v>782</v>
      </c>
      <c r="K144" s="152" t="s">
        <v>783</v>
      </c>
      <c r="L144" s="152" t="s">
        <v>784</v>
      </c>
      <c r="M144" s="245" t="s">
        <v>4</v>
      </c>
      <c r="N144" s="245" t="s">
        <v>5</v>
      </c>
      <c r="O144" s="256">
        <v>45546</v>
      </c>
      <c r="P144" s="249" t="s">
        <v>24</v>
      </c>
      <c r="Q144" s="249" t="s">
        <v>24</v>
      </c>
      <c r="R144" s="249" t="s">
        <v>24</v>
      </c>
      <c r="S144" s="249" t="s">
        <v>24</v>
      </c>
      <c r="T144" s="249" t="s">
        <v>24</v>
      </c>
      <c r="U144" s="249" t="s">
        <v>24</v>
      </c>
      <c r="V144" s="249" t="s">
        <v>24</v>
      </c>
      <c r="W144" s="249" t="s">
        <v>24</v>
      </c>
      <c r="X144" s="249" t="s">
        <v>24</v>
      </c>
      <c r="Y144" s="249" t="s">
        <v>24</v>
      </c>
      <c r="Z144" s="249" t="s">
        <v>24</v>
      </c>
      <c r="AA144" s="250"/>
      <c r="AB144" s="152" t="s">
        <v>782</v>
      </c>
      <c r="AC144" s="152" t="s">
        <v>783</v>
      </c>
      <c r="AD144" s="152" t="s">
        <v>784</v>
      </c>
      <c r="AE144" s="149" t="s">
        <v>108</v>
      </c>
      <c r="AF144" s="250" t="s">
        <v>4</v>
      </c>
      <c r="AG144" s="208">
        <v>13390.66</v>
      </c>
      <c r="AH144" s="208">
        <f>AG144+30000</f>
        <v>43390.66</v>
      </c>
      <c r="AI144" s="251" t="s">
        <v>6</v>
      </c>
      <c r="AJ144" s="246" t="s">
        <v>109</v>
      </c>
      <c r="AK144" s="257"/>
      <c r="AL144" s="250" t="s">
        <v>110</v>
      </c>
      <c r="AM144" s="250" t="s">
        <v>110</v>
      </c>
      <c r="AN144" s="250" t="s">
        <v>111</v>
      </c>
      <c r="AO144" s="250"/>
      <c r="AP144" s="253" t="s">
        <v>785</v>
      </c>
      <c r="AQ144" s="250" t="s">
        <v>110</v>
      </c>
      <c r="AR144" s="250" t="s">
        <v>110</v>
      </c>
      <c r="AS144" s="250" t="s">
        <v>110</v>
      </c>
      <c r="AT144" s="250" t="s">
        <v>110</v>
      </c>
      <c r="AU144" s="256">
        <v>45587</v>
      </c>
      <c r="AV144" s="250" t="s">
        <v>110</v>
      </c>
      <c r="AW144" s="250" t="s">
        <v>110</v>
      </c>
      <c r="AX144" s="256">
        <v>45600</v>
      </c>
      <c r="AY144" s="249">
        <v>45600</v>
      </c>
      <c r="AZ144" s="245" t="s">
        <v>355</v>
      </c>
      <c r="BA144" s="245" t="s">
        <v>1</v>
      </c>
      <c r="BB144" s="250" t="s">
        <v>110</v>
      </c>
      <c r="BC144" s="142">
        <f t="shared" si="9"/>
        <v>54</v>
      </c>
      <c r="BD144" s="134" t="str">
        <f t="shared" si="10"/>
        <v>INDENIZAÇÃO</v>
      </c>
      <c r="BE144" s="134" t="str">
        <f t="shared" si="11"/>
        <v>NÃO</v>
      </c>
      <c r="BF144" s="245" t="s">
        <v>24</v>
      </c>
      <c r="BG144" s="245" t="s">
        <v>24</v>
      </c>
      <c r="BH144" s="245" t="s">
        <v>24</v>
      </c>
      <c r="BI144" s="250" t="s">
        <v>110</v>
      </c>
      <c r="BJ144" s="250" t="s">
        <v>110</v>
      </c>
      <c r="BK144" s="256">
        <v>45621</v>
      </c>
      <c r="BL144" s="250" t="s">
        <v>110</v>
      </c>
      <c r="BM144" s="250" t="s">
        <v>33</v>
      </c>
      <c r="CI144" s="200"/>
    </row>
    <row r="145" spans="1:87" s="149" customFormat="1" ht="30" customHeight="1" x14ac:dyDescent="0.25">
      <c r="A145" s="134">
        <v>129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216" t="s">
        <v>786</v>
      </c>
      <c r="G145" s="149" t="s">
        <v>102</v>
      </c>
      <c r="H145" s="149" t="s">
        <v>103</v>
      </c>
      <c r="I145" s="149" t="s">
        <v>108</v>
      </c>
      <c r="J145" s="152" t="s">
        <v>779</v>
      </c>
      <c r="K145" s="152" t="s">
        <v>777</v>
      </c>
      <c r="L145" s="152" t="s">
        <v>780</v>
      </c>
      <c r="M145" s="134" t="s">
        <v>4</v>
      </c>
      <c r="N145" s="134" t="s">
        <v>5</v>
      </c>
      <c r="O145" s="194">
        <v>46191</v>
      </c>
      <c r="P145" s="249" t="s">
        <v>24</v>
      </c>
      <c r="Q145" s="249" t="s">
        <v>24</v>
      </c>
      <c r="R145" s="249" t="s">
        <v>24</v>
      </c>
      <c r="S145" s="249" t="s">
        <v>24</v>
      </c>
      <c r="T145" s="249" t="s">
        <v>24</v>
      </c>
      <c r="U145" s="249" t="s">
        <v>24</v>
      </c>
      <c r="V145" s="249" t="s">
        <v>24</v>
      </c>
      <c r="W145" s="249" t="s">
        <v>24</v>
      </c>
      <c r="X145" s="249" t="s">
        <v>24</v>
      </c>
      <c r="Y145" s="249" t="s">
        <v>24</v>
      </c>
      <c r="Z145" s="249" t="s">
        <v>24</v>
      </c>
      <c r="AB145" s="152" t="s">
        <v>779</v>
      </c>
      <c r="AC145" s="152" t="s">
        <v>777</v>
      </c>
      <c r="AD145" s="152" t="s">
        <v>780</v>
      </c>
      <c r="AE145" s="149" t="s">
        <v>108</v>
      </c>
      <c r="AF145" s="134" t="s">
        <v>4</v>
      </c>
      <c r="AG145" s="208">
        <v>11579.41</v>
      </c>
      <c r="AH145" s="208">
        <v>41579.410000000003</v>
      </c>
      <c r="AI145" s="230" t="s">
        <v>6</v>
      </c>
      <c r="AJ145" s="138" t="s">
        <v>109</v>
      </c>
      <c r="AK145" s="211">
        <v>153152437</v>
      </c>
      <c r="AL145" s="134" t="s">
        <v>110</v>
      </c>
      <c r="AM145" s="134" t="s">
        <v>110</v>
      </c>
      <c r="AN145" s="149" t="s">
        <v>111</v>
      </c>
      <c r="AO145" s="273"/>
      <c r="AP145" s="199" t="s">
        <v>787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194">
        <v>46254</v>
      </c>
      <c r="AV145" s="198" t="s">
        <v>110</v>
      </c>
      <c r="AW145" s="198" t="s">
        <v>110</v>
      </c>
      <c r="AX145" s="194">
        <v>46260</v>
      </c>
      <c r="AY145" s="140">
        <v>46260</v>
      </c>
      <c r="AZ145" s="145" t="s">
        <v>33</v>
      </c>
      <c r="BA145" s="145" t="s">
        <v>1</v>
      </c>
      <c r="BB145" s="149" t="s">
        <v>110</v>
      </c>
      <c r="BC145" s="142">
        <f t="shared" si="9"/>
        <v>69</v>
      </c>
      <c r="BD145" s="134" t="str">
        <f t="shared" si="10"/>
        <v>INDENIZAÇÃO</v>
      </c>
      <c r="BE145" s="134" t="str">
        <f t="shared" si="11"/>
        <v>NÃO</v>
      </c>
      <c r="BF145" s="134" t="s">
        <v>24</v>
      </c>
      <c r="BG145" s="134" t="s">
        <v>24</v>
      </c>
      <c r="BH145" s="134" t="s">
        <v>24</v>
      </c>
      <c r="BI145" s="198" t="s">
        <v>110</v>
      </c>
      <c r="BJ145" s="145" t="s">
        <v>33</v>
      </c>
      <c r="BK145" s="145"/>
      <c r="BL145" s="145"/>
      <c r="BM145" s="145"/>
      <c r="CI145" s="200"/>
    </row>
    <row r="146" spans="1:87" s="149" customFormat="1" ht="30" hidden="1" customHeight="1" x14ac:dyDescent="0.25">
      <c r="A146" s="134">
        <v>130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788</v>
      </c>
      <c r="G146" s="149" t="s">
        <v>102</v>
      </c>
      <c r="H146" s="149" t="s">
        <v>103</v>
      </c>
      <c r="I146" s="149" t="s">
        <v>382</v>
      </c>
      <c r="J146" s="152" t="s">
        <v>789</v>
      </c>
      <c r="K146" s="152" t="s">
        <v>783</v>
      </c>
      <c r="L146" s="152" t="s">
        <v>790</v>
      </c>
      <c r="M146" s="134" t="s">
        <v>4</v>
      </c>
      <c r="N146" s="134" t="s">
        <v>14</v>
      </c>
      <c r="O146" s="194">
        <v>45546</v>
      </c>
      <c r="P146" s="197" t="s">
        <v>17</v>
      </c>
      <c r="Q146" s="264" t="s">
        <v>386</v>
      </c>
      <c r="R146" s="197"/>
      <c r="S146" s="197"/>
      <c r="T146" s="197"/>
      <c r="U146" s="197"/>
      <c r="V146" s="197"/>
      <c r="W146" s="197"/>
      <c r="X146" s="197"/>
      <c r="Y146" s="197"/>
      <c r="Z146" s="197"/>
      <c r="AB146" s="152" t="s">
        <v>782</v>
      </c>
      <c r="AC146" s="152" t="s">
        <v>783</v>
      </c>
      <c r="AD146" s="152" t="s">
        <v>784</v>
      </c>
      <c r="AE146" s="134" t="s">
        <v>342</v>
      </c>
      <c r="AF146" s="134" t="s">
        <v>24</v>
      </c>
      <c r="AG146" s="208" t="s">
        <v>24</v>
      </c>
      <c r="AH146" s="208" t="s">
        <v>24</v>
      </c>
      <c r="AI146" s="230" t="s">
        <v>791</v>
      </c>
      <c r="AJ146" s="134" t="s">
        <v>24</v>
      </c>
      <c r="AK146" s="211"/>
      <c r="AL146" s="134" t="s">
        <v>24</v>
      </c>
      <c r="AM146" s="134" t="s">
        <v>24</v>
      </c>
      <c r="AN146" s="134" t="s">
        <v>24</v>
      </c>
      <c r="AO146" s="134" t="s">
        <v>791</v>
      </c>
      <c r="AP146" s="138" t="s">
        <v>24</v>
      </c>
      <c r="AQ146" s="134" t="s">
        <v>24</v>
      </c>
      <c r="AR146" s="134" t="s">
        <v>24</v>
      </c>
      <c r="AS146" s="134" t="s">
        <v>24</v>
      </c>
      <c r="AT146" s="134" t="s">
        <v>24</v>
      </c>
      <c r="AU146" s="134" t="s">
        <v>24</v>
      </c>
      <c r="AV146" s="134" t="s">
        <v>24</v>
      </c>
      <c r="AW146" s="134" t="s">
        <v>24</v>
      </c>
      <c r="AX146" s="134" t="s">
        <v>24</v>
      </c>
      <c r="AY146" s="134" t="s">
        <v>24</v>
      </c>
      <c r="AZ146" s="145" t="s">
        <v>33</v>
      </c>
      <c r="BA146" s="145" t="s">
        <v>113</v>
      </c>
      <c r="BB146" s="149" t="s">
        <v>110</v>
      </c>
      <c r="BC146" s="142" t="e">
        <f t="shared" si="9"/>
        <v>#VALUE!</v>
      </c>
      <c r="BD146" s="134" t="str">
        <f t="shared" si="10"/>
        <v>INDENIZAÇÃO</v>
      </c>
      <c r="BE146" s="134" t="str">
        <f t="shared" si="11"/>
        <v>NÃO</v>
      </c>
      <c r="BF146" s="142" t="s">
        <v>24</v>
      </c>
      <c r="BG146" s="142" t="s">
        <v>24</v>
      </c>
      <c r="BH146" s="142" t="s">
        <v>24</v>
      </c>
      <c r="BI146" s="142" t="s">
        <v>24</v>
      </c>
      <c r="BJ146" s="142" t="s">
        <v>24</v>
      </c>
      <c r="BK146" s="142" t="s">
        <v>24</v>
      </c>
      <c r="BL146" s="142" t="s">
        <v>24</v>
      </c>
      <c r="BM146" s="142" t="s">
        <v>24</v>
      </c>
      <c r="CI146" s="200"/>
    </row>
    <row r="147" spans="1:87" s="149" customFormat="1" ht="30" customHeight="1" x14ac:dyDescent="0.25">
      <c r="A147" s="134">
        <v>131</v>
      </c>
      <c r="B147" s="134" t="s">
        <v>99</v>
      </c>
      <c r="C147" s="134">
        <v>1</v>
      </c>
      <c r="D147" s="134" t="s">
        <v>100</v>
      </c>
      <c r="E147" s="134" t="s">
        <v>100</v>
      </c>
      <c r="F147" s="138" t="s">
        <v>792</v>
      </c>
      <c r="G147" s="149" t="s">
        <v>102</v>
      </c>
      <c r="H147" s="149" t="s">
        <v>103</v>
      </c>
      <c r="I147" s="149" t="s">
        <v>108</v>
      </c>
      <c r="J147" s="152" t="s">
        <v>793</v>
      </c>
      <c r="K147" s="152" t="s">
        <v>794</v>
      </c>
      <c r="L147" s="152" t="s">
        <v>795</v>
      </c>
      <c r="M147" s="134" t="s">
        <v>4</v>
      </c>
      <c r="N147" s="134" t="s">
        <v>5</v>
      </c>
      <c r="O147" s="194">
        <v>45905</v>
      </c>
      <c r="P147" s="144" t="s">
        <v>24</v>
      </c>
      <c r="Q147" s="144" t="s">
        <v>24</v>
      </c>
      <c r="R147" s="144" t="s">
        <v>24</v>
      </c>
      <c r="S147" s="144" t="s">
        <v>24</v>
      </c>
      <c r="T147" s="144" t="s">
        <v>24</v>
      </c>
      <c r="U147" s="144" t="s">
        <v>24</v>
      </c>
      <c r="V147" s="144" t="s">
        <v>24</v>
      </c>
      <c r="W147" s="144" t="s">
        <v>24</v>
      </c>
      <c r="X147" s="144" t="s">
        <v>24</v>
      </c>
      <c r="Y147" s="144" t="s">
        <v>24</v>
      </c>
      <c r="Z147" s="144" t="s">
        <v>24</v>
      </c>
      <c r="AB147" s="152" t="s">
        <v>793</v>
      </c>
      <c r="AC147" s="152" t="s">
        <v>794</v>
      </c>
      <c r="AD147" s="152" t="s">
        <v>795</v>
      </c>
      <c r="AE147" s="149" t="s">
        <v>108</v>
      </c>
      <c r="AF147" s="149" t="s">
        <v>4</v>
      </c>
      <c r="AG147" s="208">
        <v>20633.71</v>
      </c>
      <c r="AH147" s="208">
        <v>50633.71</v>
      </c>
      <c r="AI147" s="230" t="s">
        <v>6</v>
      </c>
      <c r="AJ147" s="138" t="s">
        <v>109</v>
      </c>
      <c r="AK147" s="211">
        <v>125886755</v>
      </c>
      <c r="AL147" s="134" t="s">
        <v>110</v>
      </c>
      <c r="AM147" s="134" t="s">
        <v>110</v>
      </c>
      <c r="AN147" s="273" t="s">
        <v>111</v>
      </c>
      <c r="AP147" s="199" t="s">
        <v>796</v>
      </c>
      <c r="AQ147" s="198" t="s">
        <v>110</v>
      </c>
      <c r="AR147" s="198" t="s">
        <v>110</v>
      </c>
      <c r="AS147" s="198" t="s">
        <v>110</v>
      </c>
      <c r="AT147" s="198" t="s">
        <v>110</v>
      </c>
      <c r="AU147" s="274">
        <v>45937</v>
      </c>
      <c r="AV147" s="198" t="s">
        <v>110</v>
      </c>
      <c r="AW147" s="198" t="s">
        <v>110</v>
      </c>
      <c r="AX147" s="274">
        <v>45959</v>
      </c>
      <c r="AY147" s="140">
        <v>45959</v>
      </c>
      <c r="AZ147" s="141" t="s">
        <v>33</v>
      </c>
      <c r="BA147" s="145" t="s">
        <v>113</v>
      </c>
      <c r="BB147" s="149" t="s">
        <v>110</v>
      </c>
      <c r="BC147" s="142">
        <f t="shared" si="9"/>
        <v>54</v>
      </c>
      <c r="BD147" s="134" t="str">
        <f t="shared" si="10"/>
        <v>INDENIZAÇÃO</v>
      </c>
      <c r="BE147" s="134" t="str">
        <f t="shared" si="11"/>
        <v>NÃO</v>
      </c>
      <c r="BF147" s="134" t="s">
        <v>24</v>
      </c>
      <c r="BG147" s="134" t="s">
        <v>24</v>
      </c>
      <c r="BH147" s="134" t="s">
        <v>24</v>
      </c>
      <c r="BI147" s="198" t="s">
        <v>110</v>
      </c>
      <c r="BJ147" s="145" t="s">
        <v>33</v>
      </c>
      <c r="BK147" s="145"/>
      <c r="BL147" s="145"/>
      <c r="BM147" s="145"/>
      <c r="CI147" s="200"/>
    </row>
    <row r="148" spans="1:87" s="149" customFormat="1" ht="30" hidden="1" customHeight="1" x14ac:dyDescent="0.25">
      <c r="A148" s="134">
        <v>132</v>
      </c>
      <c r="B148" s="134" t="s">
        <v>99</v>
      </c>
      <c r="C148" s="134">
        <v>1</v>
      </c>
      <c r="D148" s="134" t="s">
        <v>100</v>
      </c>
      <c r="E148" s="134" t="s">
        <v>100</v>
      </c>
      <c r="F148" s="138" t="s">
        <v>797</v>
      </c>
      <c r="G148" s="149" t="s">
        <v>10</v>
      </c>
      <c r="H148" s="149" t="s">
        <v>103</v>
      </c>
      <c r="I148" s="149" t="s">
        <v>342</v>
      </c>
      <c r="J148" s="152" t="s">
        <v>798</v>
      </c>
      <c r="K148" s="152" t="s">
        <v>799</v>
      </c>
      <c r="L148" s="152" t="s">
        <v>800</v>
      </c>
      <c r="M148" s="134" t="s">
        <v>4</v>
      </c>
      <c r="N148" s="134" t="s">
        <v>5</v>
      </c>
      <c r="O148" s="194">
        <v>45792</v>
      </c>
      <c r="P148" s="144" t="s">
        <v>24</v>
      </c>
      <c r="Q148" s="144" t="s">
        <v>24</v>
      </c>
      <c r="R148" s="144" t="s">
        <v>24</v>
      </c>
      <c r="S148" s="144" t="s">
        <v>24</v>
      </c>
      <c r="T148" s="144" t="s">
        <v>24</v>
      </c>
      <c r="U148" s="144" t="s">
        <v>24</v>
      </c>
      <c r="V148" s="144" t="s">
        <v>24</v>
      </c>
      <c r="W148" s="144" t="s">
        <v>24</v>
      </c>
      <c r="X148" s="144" t="s">
        <v>24</v>
      </c>
      <c r="Y148" s="144" t="s">
        <v>24</v>
      </c>
      <c r="Z148" s="144" t="s">
        <v>24</v>
      </c>
      <c r="AB148" s="152" t="s">
        <v>798</v>
      </c>
      <c r="AC148" s="152" t="s">
        <v>799</v>
      </c>
      <c r="AD148" s="152" t="s">
        <v>800</v>
      </c>
      <c r="AE148" s="134" t="s">
        <v>342</v>
      </c>
      <c r="AF148" s="149" t="s">
        <v>4</v>
      </c>
      <c r="AG148" s="208">
        <v>82317.919999999998</v>
      </c>
      <c r="AH148" s="208">
        <v>82317.919999999998</v>
      </c>
      <c r="AI148" s="134" t="s">
        <v>6</v>
      </c>
      <c r="AJ148" s="138" t="s">
        <v>109</v>
      </c>
      <c r="AK148" s="134">
        <v>94282451</v>
      </c>
      <c r="AL148" s="149" t="s">
        <v>110</v>
      </c>
      <c r="AM148" s="149" t="s">
        <v>110</v>
      </c>
      <c r="AN148" s="149" t="s">
        <v>111</v>
      </c>
      <c r="AP148" s="152" t="s">
        <v>801</v>
      </c>
      <c r="AQ148" s="149" t="s">
        <v>110</v>
      </c>
      <c r="AR148" s="198" t="s">
        <v>110</v>
      </c>
      <c r="AS148" s="198" t="s">
        <v>110</v>
      </c>
      <c r="AT148" s="198" t="s">
        <v>110</v>
      </c>
      <c r="AU148" s="194">
        <v>45834</v>
      </c>
      <c r="AV148" s="198" t="s">
        <v>110</v>
      </c>
      <c r="AW148" s="198" t="s">
        <v>110</v>
      </c>
      <c r="AX148" s="194">
        <v>45840</v>
      </c>
      <c r="AY148" s="140">
        <v>45840</v>
      </c>
      <c r="AZ148" s="145" t="s">
        <v>33</v>
      </c>
      <c r="BA148" s="145" t="s">
        <v>113</v>
      </c>
      <c r="BB148" s="149" t="s">
        <v>110</v>
      </c>
      <c r="BC148" s="142">
        <f t="shared" si="9"/>
        <v>48</v>
      </c>
      <c r="BD148" s="134" t="str">
        <f t="shared" si="10"/>
        <v>INDENIZAÇÃO</v>
      </c>
      <c r="BE148" s="134" t="str">
        <f t="shared" si="11"/>
        <v>NÃO</v>
      </c>
      <c r="BF148" s="134" t="s">
        <v>24</v>
      </c>
      <c r="BG148" s="134" t="s">
        <v>24</v>
      </c>
      <c r="BH148" s="134" t="s">
        <v>24</v>
      </c>
      <c r="BI148" s="198" t="s">
        <v>110</v>
      </c>
      <c r="BJ148" s="198" t="s">
        <v>110</v>
      </c>
      <c r="BK148" s="194">
        <v>45859</v>
      </c>
      <c r="BL148" s="149" t="s">
        <v>110</v>
      </c>
      <c r="BM148" s="141" t="s">
        <v>33</v>
      </c>
      <c r="CI148" s="200"/>
    </row>
    <row r="149" spans="1:87" s="149" customFormat="1" ht="30" hidden="1" customHeight="1" x14ac:dyDescent="0.25">
      <c r="A149" s="134">
        <v>133</v>
      </c>
      <c r="B149" s="245" t="s">
        <v>99</v>
      </c>
      <c r="C149" s="245">
        <v>1</v>
      </c>
      <c r="D149" s="245" t="s">
        <v>100</v>
      </c>
      <c r="E149" s="245" t="s">
        <v>100</v>
      </c>
      <c r="F149" s="246" t="s">
        <v>802</v>
      </c>
      <c r="G149" s="149" t="s">
        <v>102</v>
      </c>
      <c r="H149" s="149" t="s">
        <v>103</v>
      </c>
      <c r="I149" s="149" t="s">
        <v>108</v>
      </c>
      <c r="J149" s="152" t="s">
        <v>803</v>
      </c>
      <c r="K149" s="152" t="s">
        <v>804</v>
      </c>
      <c r="L149" s="152" t="s">
        <v>805</v>
      </c>
      <c r="M149" s="245" t="s">
        <v>4</v>
      </c>
      <c r="N149" s="245" t="s">
        <v>5</v>
      </c>
      <c r="O149" s="256">
        <v>45594</v>
      </c>
      <c r="P149" s="249" t="s">
        <v>24</v>
      </c>
      <c r="Q149" s="249" t="s">
        <v>24</v>
      </c>
      <c r="R149" s="249" t="s">
        <v>24</v>
      </c>
      <c r="S149" s="249" t="s">
        <v>24</v>
      </c>
      <c r="T149" s="249" t="s">
        <v>24</v>
      </c>
      <c r="U149" s="249" t="s">
        <v>24</v>
      </c>
      <c r="V149" s="249" t="s">
        <v>24</v>
      </c>
      <c r="W149" s="249" t="s">
        <v>24</v>
      </c>
      <c r="X149" s="249" t="s">
        <v>24</v>
      </c>
      <c r="Y149" s="249" t="s">
        <v>24</v>
      </c>
      <c r="Z149" s="249" t="s">
        <v>24</v>
      </c>
      <c r="AA149" s="250"/>
      <c r="AB149" s="152" t="s">
        <v>803</v>
      </c>
      <c r="AC149" s="152" t="s">
        <v>804</v>
      </c>
      <c r="AD149" s="152" t="s">
        <v>805</v>
      </c>
      <c r="AE149" s="149" t="s">
        <v>108</v>
      </c>
      <c r="AF149" s="250" t="s">
        <v>4</v>
      </c>
      <c r="AG149" s="208">
        <v>30459.16</v>
      </c>
      <c r="AH149" s="208">
        <v>60000</v>
      </c>
      <c r="AI149" s="251" t="s">
        <v>6</v>
      </c>
      <c r="AJ149" s="246" t="s">
        <v>109</v>
      </c>
      <c r="AK149" s="252"/>
      <c r="AL149" s="250" t="s">
        <v>110</v>
      </c>
      <c r="AM149" s="250" t="s">
        <v>110</v>
      </c>
      <c r="AN149" s="245" t="s">
        <v>111</v>
      </c>
      <c r="AO149" s="259"/>
      <c r="AP149" s="253" t="s">
        <v>806</v>
      </c>
      <c r="AQ149" s="250" t="s">
        <v>110</v>
      </c>
      <c r="AR149" s="250" t="s">
        <v>110</v>
      </c>
      <c r="AS149" s="250" t="s">
        <v>110</v>
      </c>
      <c r="AT149" s="250" t="s">
        <v>110</v>
      </c>
      <c r="AU149" s="248">
        <v>45755</v>
      </c>
      <c r="AV149" s="250" t="s">
        <v>110</v>
      </c>
      <c r="AW149" s="250" t="s">
        <v>110</v>
      </c>
      <c r="AX149" s="254">
        <v>45762</v>
      </c>
      <c r="AY149" s="254">
        <v>45762</v>
      </c>
      <c r="AZ149" s="245" t="s">
        <v>355</v>
      </c>
      <c r="BA149" s="245" t="s">
        <v>1</v>
      </c>
      <c r="BB149" s="250" t="s">
        <v>110</v>
      </c>
      <c r="BC149" s="142">
        <f t="shared" si="9"/>
        <v>168</v>
      </c>
      <c r="BD149" s="134" t="str">
        <f t="shared" si="10"/>
        <v>INDENIZAÇÃO</v>
      </c>
      <c r="BE149" s="134" t="str">
        <f t="shared" si="11"/>
        <v>NÃO</v>
      </c>
      <c r="BF149" s="250" t="s">
        <v>24</v>
      </c>
      <c r="BG149" s="250" t="s">
        <v>24</v>
      </c>
      <c r="BH149" s="250" t="s">
        <v>24</v>
      </c>
      <c r="BI149" s="250" t="s">
        <v>110</v>
      </c>
      <c r="BJ149" s="250" t="s">
        <v>110</v>
      </c>
      <c r="BK149" s="248">
        <v>45783</v>
      </c>
      <c r="BL149" s="250" t="s">
        <v>110</v>
      </c>
      <c r="BM149" s="250" t="s">
        <v>33</v>
      </c>
      <c r="CI149" s="200"/>
    </row>
    <row r="150" spans="1:87" s="149" customFormat="1" ht="30" hidden="1" customHeight="1" x14ac:dyDescent="0.25">
      <c r="A150" s="134">
        <v>134</v>
      </c>
      <c r="B150" s="245" t="s">
        <v>99</v>
      </c>
      <c r="C150" s="245">
        <v>1</v>
      </c>
      <c r="D150" s="245" t="s">
        <v>100</v>
      </c>
      <c r="E150" s="245" t="s">
        <v>100</v>
      </c>
      <c r="F150" s="246" t="s">
        <v>807</v>
      </c>
      <c r="G150" s="149" t="s">
        <v>102</v>
      </c>
      <c r="H150" s="149" t="s">
        <v>103</v>
      </c>
      <c r="I150" s="149" t="s">
        <v>108</v>
      </c>
      <c r="J150" s="152" t="s">
        <v>808</v>
      </c>
      <c r="K150" s="152" t="s">
        <v>809</v>
      </c>
      <c r="L150" s="152" t="s">
        <v>810</v>
      </c>
      <c r="M150" s="245" t="s">
        <v>4</v>
      </c>
      <c r="N150" s="245" t="s">
        <v>5</v>
      </c>
      <c r="O150" s="256">
        <v>45414</v>
      </c>
      <c r="P150" s="249" t="s">
        <v>24</v>
      </c>
      <c r="Q150" s="249" t="s">
        <v>24</v>
      </c>
      <c r="R150" s="249" t="s">
        <v>24</v>
      </c>
      <c r="S150" s="249" t="s">
        <v>24</v>
      </c>
      <c r="T150" s="249" t="s">
        <v>24</v>
      </c>
      <c r="U150" s="249" t="s">
        <v>24</v>
      </c>
      <c r="V150" s="249" t="s">
        <v>24</v>
      </c>
      <c r="W150" s="249" t="s">
        <v>24</v>
      </c>
      <c r="X150" s="249" t="s">
        <v>24</v>
      </c>
      <c r="Y150" s="249" t="s">
        <v>24</v>
      </c>
      <c r="Z150" s="249" t="s">
        <v>24</v>
      </c>
      <c r="AA150" s="250"/>
      <c r="AB150" s="152" t="s">
        <v>811</v>
      </c>
      <c r="AC150" s="152" t="s">
        <v>809</v>
      </c>
      <c r="AD150" s="152" t="s">
        <v>810</v>
      </c>
      <c r="AE150" s="149" t="s">
        <v>108</v>
      </c>
      <c r="AF150" s="250" t="s">
        <v>4</v>
      </c>
      <c r="AG150" s="208">
        <v>32350.44</v>
      </c>
      <c r="AH150" s="208">
        <v>60000</v>
      </c>
      <c r="AI150" s="245" t="s">
        <v>6</v>
      </c>
      <c r="AJ150" s="246" t="s">
        <v>109</v>
      </c>
      <c r="AK150" s="250"/>
      <c r="AL150" s="250" t="s">
        <v>110</v>
      </c>
      <c r="AM150" s="250" t="s">
        <v>110</v>
      </c>
      <c r="AN150" s="250" t="s">
        <v>111</v>
      </c>
      <c r="AO150" s="250"/>
      <c r="AP150" s="253" t="s">
        <v>812</v>
      </c>
      <c r="AQ150" s="250" t="s">
        <v>110</v>
      </c>
      <c r="AR150" s="250" t="s">
        <v>110</v>
      </c>
      <c r="AS150" s="250" t="s">
        <v>110</v>
      </c>
      <c r="AT150" s="250" t="s">
        <v>110</v>
      </c>
      <c r="AU150" s="256">
        <v>45498</v>
      </c>
      <c r="AV150" s="250" t="s">
        <v>110</v>
      </c>
      <c r="AW150" s="250" t="s">
        <v>110</v>
      </c>
      <c r="AX150" s="256">
        <v>45506</v>
      </c>
      <c r="AY150" s="249">
        <v>45506</v>
      </c>
      <c r="AZ150" s="245" t="s">
        <v>355</v>
      </c>
      <c r="BA150" s="245" t="s">
        <v>1</v>
      </c>
      <c r="BB150" s="250" t="s">
        <v>110</v>
      </c>
      <c r="BC150" s="142">
        <f t="shared" si="9"/>
        <v>92</v>
      </c>
      <c r="BD150" s="134" t="str">
        <f t="shared" si="10"/>
        <v>INDENIZAÇÃO</v>
      </c>
      <c r="BE150" s="134" t="str">
        <f t="shared" si="11"/>
        <v>NÃO</v>
      </c>
      <c r="BF150" s="245" t="s">
        <v>24</v>
      </c>
      <c r="BG150" s="245" t="s">
        <v>24</v>
      </c>
      <c r="BH150" s="245" t="s">
        <v>24</v>
      </c>
      <c r="BI150" s="250" t="s">
        <v>110</v>
      </c>
      <c r="BJ150" s="250" t="s">
        <v>110</v>
      </c>
      <c r="BK150" s="256">
        <v>45559</v>
      </c>
      <c r="BL150" s="250" t="s">
        <v>110</v>
      </c>
      <c r="BM150" s="250" t="s">
        <v>33</v>
      </c>
      <c r="CI150" s="200"/>
    </row>
    <row r="151" spans="1:87" s="149" customFormat="1" ht="30" customHeight="1" x14ac:dyDescent="0.25">
      <c r="A151" s="134">
        <v>135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138" t="s">
        <v>813</v>
      </c>
      <c r="G151" s="149" t="s">
        <v>102</v>
      </c>
      <c r="H151" s="149" t="s">
        <v>103</v>
      </c>
      <c r="I151" s="149" t="s">
        <v>108</v>
      </c>
      <c r="J151" s="152" t="s">
        <v>814</v>
      </c>
      <c r="K151" s="152" t="s">
        <v>815</v>
      </c>
      <c r="L151" s="152" t="s">
        <v>816</v>
      </c>
      <c r="M151" s="134" t="s">
        <v>4</v>
      </c>
      <c r="N151" s="134" t="s">
        <v>5</v>
      </c>
      <c r="O151" s="194">
        <v>45959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814</v>
      </c>
      <c r="AC151" s="152" t="s">
        <v>815</v>
      </c>
      <c r="AD151" s="152" t="s">
        <v>816</v>
      </c>
      <c r="AE151" s="149" t="s">
        <v>108</v>
      </c>
      <c r="AF151" s="149" t="s">
        <v>4</v>
      </c>
      <c r="AG151" s="208">
        <v>17912.43</v>
      </c>
      <c r="AH151" s="208">
        <v>47912.43</v>
      </c>
      <c r="AI151" s="230" t="s">
        <v>6</v>
      </c>
      <c r="AJ151" s="138" t="s">
        <v>109</v>
      </c>
      <c r="AK151" s="200">
        <v>147255028</v>
      </c>
      <c r="AL151" s="198" t="s">
        <v>110</v>
      </c>
      <c r="AM151" s="198" t="s">
        <v>110</v>
      </c>
      <c r="AN151" s="273" t="s">
        <v>111</v>
      </c>
      <c r="AP151" s="152" t="s">
        <v>817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46021</v>
      </c>
      <c r="AV151" s="198" t="s">
        <v>110</v>
      </c>
      <c r="AW151" s="198" t="s">
        <v>110</v>
      </c>
      <c r="AX151" s="194">
        <v>46041</v>
      </c>
      <c r="AY151" s="197">
        <v>46041</v>
      </c>
      <c r="AZ151" s="197" t="s">
        <v>33</v>
      </c>
      <c r="BA151" s="145" t="s">
        <v>113</v>
      </c>
      <c r="BB151" s="149" t="s">
        <v>110</v>
      </c>
      <c r="BC151" s="142">
        <f t="shared" si="9"/>
        <v>82</v>
      </c>
      <c r="BD151" s="134" t="str">
        <f t="shared" si="10"/>
        <v>INDENIZAÇÃO</v>
      </c>
      <c r="BE151" s="134" t="str">
        <f t="shared" si="11"/>
        <v>NÃO</v>
      </c>
      <c r="BF151" s="149" t="s">
        <v>24</v>
      </c>
      <c r="BG151" s="149" t="s">
        <v>24</v>
      </c>
      <c r="BH151" s="149" t="s">
        <v>24</v>
      </c>
      <c r="BI151" s="198" t="s">
        <v>110</v>
      </c>
      <c r="BJ151" s="145" t="s">
        <v>33</v>
      </c>
      <c r="BK151" s="145"/>
      <c r="BL151" s="145"/>
      <c r="BM151" s="145"/>
      <c r="BN151" s="120"/>
      <c r="BO151" s="120"/>
      <c r="BP151" s="120"/>
      <c r="CI151" s="200"/>
    </row>
    <row r="152" spans="1:87" s="149" customFormat="1" ht="30" hidden="1" customHeight="1" x14ac:dyDescent="0.25">
      <c r="A152" s="134">
        <v>136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138" t="s">
        <v>818</v>
      </c>
      <c r="G152" s="149" t="s">
        <v>1</v>
      </c>
      <c r="H152" s="149" t="s">
        <v>20</v>
      </c>
      <c r="I152" s="149" t="s">
        <v>108</v>
      </c>
      <c r="J152" s="152" t="s">
        <v>819</v>
      </c>
      <c r="K152" s="152" t="s">
        <v>820</v>
      </c>
      <c r="L152" s="152" t="s">
        <v>821</v>
      </c>
      <c r="M152" s="134" t="s">
        <v>4</v>
      </c>
      <c r="N152" s="134" t="s">
        <v>5</v>
      </c>
      <c r="O152" s="194">
        <v>45218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822</v>
      </c>
      <c r="AC152" s="152" t="s">
        <v>820</v>
      </c>
      <c r="AD152" s="152" t="s">
        <v>821</v>
      </c>
      <c r="AE152" s="149" t="s">
        <v>108</v>
      </c>
      <c r="AF152" s="149" t="s">
        <v>4</v>
      </c>
      <c r="AG152" s="208">
        <f>AH152-30000</f>
        <v>19358.980000000003</v>
      </c>
      <c r="AH152" s="208">
        <v>49358.98</v>
      </c>
      <c r="AI152" s="134" t="s">
        <v>6</v>
      </c>
      <c r="AJ152" s="138" t="s">
        <v>109</v>
      </c>
      <c r="AK152" s="134"/>
      <c r="AL152" s="149" t="s">
        <v>110</v>
      </c>
      <c r="AM152" s="149" t="s">
        <v>110</v>
      </c>
      <c r="AN152" s="149" t="s">
        <v>111</v>
      </c>
      <c r="AP152" s="199" t="s">
        <v>823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45498</v>
      </c>
      <c r="AV152" s="198" t="s">
        <v>110</v>
      </c>
      <c r="AW152" s="198" t="s">
        <v>110</v>
      </c>
      <c r="AX152" s="194">
        <v>45506</v>
      </c>
      <c r="AY152" s="197">
        <v>45506</v>
      </c>
      <c r="AZ152" s="145" t="s">
        <v>33</v>
      </c>
      <c r="BA152" s="145" t="s">
        <v>113</v>
      </c>
      <c r="BB152" s="149" t="s">
        <v>110</v>
      </c>
      <c r="BC152" s="142">
        <f t="shared" si="9"/>
        <v>288</v>
      </c>
      <c r="BD152" s="134" t="str">
        <f t="shared" si="10"/>
        <v>INDENIZAÇÃO</v>
      </c>
      <c r="BE152" s="134" t="str">
        <f t="shared" si="11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45621</v>
      </c>
      <c r="BL152" s="198" t="s">
        <v>110</v>
      </c>
      <c r="BM152" s="145" t="s">
        <v>33</v>
      </c>
      <c r="CI152" s="200"/>
    </row>
    <row r="153" spans="1:87" s="149" customFormat="1" ht="30" hidden="1" customHeight="1" x14ac:dyDescent="0.25">
      <c r="A153" s="134">
        <v>137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824</v>
      </c>
      <c r="G153" s="149" t="s">
        <v>1</v>
      </c>
      <c r="H153" s="149" t="s">
        <v>2</v>
      </c>
      <c r="I153" s="149" t="s">
        <v>108</v>
      </c>
      <c r="J153" s="152" t="s">
        <v>825</v>
      </c>
      <c r="K153" s="152" t="s">
        <v>826</v>
      </c>
      <c r="L153" s="152" t="s">
        <v>827</v>
      </c>
      <c r="M153" s="134" t="s">
        <v>4</v>
      </c>
      <c r="N153" s="134" t="s">
        <v>5</v>
      </c>
      <c r="O153" s="194">
        <v>45505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828</v>
      </c>
      <c r="AC153" s="152" t="s">
        <v>826</v>
      </c>
      <c r="AD153" s="152" t="s">
        <v>827</v>
      </c>
      <c r="AE153" s="149" t="s">
        <v>108</v>
      </c>
      <c r="AF153" s="149" t="s">
        <v>4</v>
      </c>
      <c r="AG153" s="208">
        <v>15017.56</v>
      </c>
      <c r="AH153" s="208">
        <f>AG153+30000</f>
        <v>45017.56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829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45573</v>
      </c>
      <c r="AV153" s="198" t="s">
        <v>110</v>
      </c>
      <c r="AW153" s="198" t="s">
        <v>110</v>
      </c>
      <c r="AX153" s="194">
        <v>45580</v>
      </c>
      <c r="AY153" s="197">
        <v>45580</v>
      </c>
      <c r="AZ153" s="145" t="s">
        <v>33</v>
      </c>
      <c r="BA153" s="145" t="s">
        <v>113</v>
      </c>
      <c r="BB153" s="149" t="s">
        <v>110</v>
      </c>
      <c r="BC153" s="142">
        <f t="shared" si="9"/>
        <v>75</v>
      </c>
      <c r="BD153" s="134" t="str">
        <f t="shared" si="10"/>
        <v>INDENIZAÇÃO</v>
      </c>
      <c r="BE153" s="134" t="str">
        <f t="shared" si="11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45621</v>
      </c>
      <c r="BL153" s="198" t="s">
        <v>110</v>
      </c>
      <c r="BM153" s="145" t="s">
        <v>33</v>
      </c>
      <c r="CI153" s="200"/>
    </row>
    <row r="154" spans="1:87" s="149" customFormat="1" ht="30" hidden="1" customHeight="1" x14ac:dyDescent="0.25">
      <c r="A154" s="134">
        <v>138</v>
      </c>
      <c r="B154" s="134" t="s">
        <v>99</v>
      </c>
      <c r="C154" s="134">
        <v>1</v>
      </c>
      <c r="D154" s="134" t="s">
        <v>100</v>
      </c>
      <c r="E154" s="134" t="s">
        <v>100</v>
      </c>
      <c r="F154" s="215" t="s">
        <v>830</v>
      </c>
      <c r="G154" s="149" t="s">
        <v>1</v>
      </c>
      <c r="H154" s="149" t="s">
        <v>2</v>
      </c>
      <c r="I154" s="149" t="s">
        <v>108</v>
      </c>
      <c r="J154" s="152" t="s">
        <v>831</v>
      </c>
      <c r="K154" s="152" t="s">
        <v>832</v>
      </c>
      <c r="L154" s="152" t="s">
        <v>833</v>
      </c>
      <c r="M154" s="134" t="s">
        <v>4</v>
      </c>
      <c r="N154" s="134" t="s">
        <v>5</v>
      </c>
      <c r="O154" s="194">
        <v>45546</v>
      </c>
      <c r="P154" s="144" t="s">
        <v>24</v>
      </c>
      <c r="Q154" s="144" t="s">
        <v>24</v>
      </c>
      <c r="R154" s="144" t="s">
        <v>24</v>
      </c>
      <c r="S154" s="144" t="s">
        <v>24</v>
      </c>
      <c r="T154" s="144" t="s">
        <v>24</v>
      </c>
      <c r="U154" s="144" t="s">
        <v>24</v>
      </c>
      <c r="V154" s="144" t="s">
        <v>24</v>
      </c>
      <c r="W154" s="144" t="s">
        <v>24</v>
      </c>
      <c r="X154" s="144" t="s">
        <v>24</v>
      </c>
      <c r="Y154" s="144" t="s">
        <v>24</v>
      </c>
      <c r="Z154" s="144" t="s">
        <v>24</v>
      </c>
      <c r="AB154" s="152" t="s">
        <v>831</v>
      </c>
      <c r="AC154" s="152" t="s">
        <v>832</v>
      </c>
      <c r="AD154" s="152" t="s">
        <v>833</v>
      </c>
      <c r="AE154" s="149" t="s">
        <v>108</v>
      </c>
      <c r="AF154" s="149" t="s">
        <v>4</v>
      </c>
      <c r="AG154" s="208">
        <v>30599.35</v>
      </c>
      <c r="AH154" s="208">
        <v>60000</v>
      </c>
      <c r="AI154" s="230" t="s">
        <v>6</v>
      </c>
      <c r="AJ154" s="138" t="s">
        <v>109</v>
      </c>
      <c r="AK154" s="211"/>
      <c r="AL154" s="149" t="s">
        <v>110</v>
      </c>
      <c r="AM154" s="149" t="s">
        <v>110</v>
      </c>
      <c r="AN154" s="149" t="s">
        <v>111</v>
      </c>
      <c r="AP154" s="199" t="s">
        <v>834</v>
      </c>
      <c r="AQ154" s="198" t="s">
        <v>110</v>
      </c>
      <c r="AR154" s="198" t="s">
        <v>110</v>
      </c>
      <c r="AS154" s="198" t="s">
        <v>110</v>
      </c>
      <c r="AT154" s="198" t="s">
        <v>110</v>
      </c>
      <c r="AU154" s="194">
        <v>45601</v>
      </c>
      <c r="AV154" s="198" t="s">
        <v>110</v>
      </c>
      <c r="AW154" s="198" t="s">
        <v>110</v>
      </c>
      <c r="AX154" s="194">
        <v>45615</v>
      </c>
      <c r="AY154" s="197">
        <v>45615</v>
      </c>
      <c r="AZ154" s="197" t="s">
        <v>33</v>
      </c>
      <c r="BA154" s="145" t="s">
        <v>113</v>
      </c>
      <c r="BB154" s="149" t="s">
        <v>110</v>
      </c>
      <c r="BC154" s="142">
        <f t="shared" si="9"/>
        <v>69</v>
      </c>
      <c r="BD154" s="134" t="str">
        <f t="shared" si="10"/>
        <v>INDENIZAÇÃO</v>
      </c>
      <c r="BE154" s="134" t="str">
        <f t="shared" si="11"/>
        <v>NÃO</v>
      </c>
      <c r="BF154" s="134" t="s">
        <v>24</v>
      </c>
      <c r="BG154" s="134" t="s">
        <v>24</v>
      </c>
      <c r="BH154" s="134" t="s">
        <v>24</v>
      </c>
      <c r="BI154" s="198" t="s">
        <v>110</v>
      </c>
      <c r="BJ154" s="198" t="s">
        <v>110</v>
      </c>
      <c r="BK154" s="194">
        <v>45677</v>
      </c>
      <c r="BL154" s="198" t="s">
        <v>110</v>
      </c>
      <c r="BM154" s="197" t="s">
        <v>33</v>
      </c>
      <c r="CI154" s="200"/>
    </row>
    <row r="155" spans="1:87" s="149" customFormat="1" ht="30" hidden="1" customHeight="1" x14ac:dyDescent="0.25">
      <c r="A155" s="134">
        <v>139</v>
      </c>
      <c r="B155" s="134" t="s">
        <v>99</v>
      </c>
      <c r="C155" s="134">
        <v>1</v>
      </c>
      <c r="D155" s="134" t="s">
        <v>100</v>
      </c>
      <c r="E155" s="134" t="s">
        <v>100</v>
      </c>
      <c r="F155" s="215" t="s">
        <v>835</v>
      </c>
      <c r="G155" s="149" t="s">
        <v>1</v>
      </c>
      <c r="H155" s="149" t="s">
        <v>2</v>
      </c>
      <c r="I155" s="149" t="s">
        <v>108</v>
      </c>
      <c r="J155" s="152" t="s">
        <v>836</v>
      </c>
      <c r="K155" s="152" t="s">
        <v>837</v>
      </c>
      <c r="L155" s="152" t="s">
        <v>838</v>
      </c>
      <c r="M155" s="134" t="s">
        <v>4</v>
      </c>
      <c r="N155" s="134" t="s">
        <v>5</v>
      </c>
      <c r="O155" s="194">
        <v>45414</v>
      </c>
      <c r="P155" s="144" t="s">
        <v>24</v>
      </c>
      <c r="Q155" s="144" t="s">
        <v>24</v>
      </c>
      <c r="R155" s="144" t="s">
        <v>24</v>
      </c>
      <c r="S155" s="144" t="s">
        <v>24</v>
      </c>
      <c r="T155" s="144" t="s">
        <v>24</v>
      </c>
      <c r="U155" s="144" t="s">
        <v>24</v>
      </c>
      <c r="V155" s="144" t="s">
        <v>24</v>
      </c>
      <c r="W155" s="144" t="s">
        <v>24</v>
      </c>
      <c r="X155" s="144" t="s">
        <v>24</v>
      </c>
      <c r="Y155" s="144" t="s">
        <v>24</v>
      </c>
      <c r="Z155" s="144" t="s">
        <v>24</v>
      </c>
      <c r="AB155" s="152" t="s">
        <v>836</v>
      </c>
      <c r="AC155" s="152" t="s">
        <v>837</v>
      </c>
      <c r="AD155" s="152" t="s">
        <v>838</v>
      </c>
      <c r="AE155" s="149" t="s">
        <v>108</v>
      </c>
      <c r="AF155" s="149" t="s">
        <v>4</v>
      </c>
      <c r="AG155" s="208">
        <v>87841.24</v>
      </c>
      <c r="AH155" s="208">
        <v>87841.24</v>
      </c>
      <c r="AI155" s="230" t="s">
        <v>6</v>
      </c>
      <c r="AJ155" s="138" t="s">
        <v>109</v>
      </c>
      <c r="AK155" s="200"/>
      <c r="AL155" s="149" t="s">
        <v>110</v>
      </c>
      <c r="AM155" s="149" t="s">
        <v>110</v>
      </c>
      <c r="AN155" s="149" t="s">
        <v>111</v>
      </c>
      <c r="AP155" s="199" t="s">
        <v>839</v>
      </c>
      <c r="AQ155" s="198" t="s">
        <v>110</v>
      </c>
      <c r="AR155" s="198" t="s">
        <v>110</v>
      </c>
      <c r="AS155" s="198" t="s">
        <v>110</v>
      </c>
      <c r="AT155" s="198" t="s">
        <v>110</v>
      </c>
      <c r="AU155" s="194">
        <v>45495</v>
      </c>
      <c r="AV155" s="198" t="s">
        <v>110</v>
      </c>
      <c r="AW155" s="198" t="s">
        <v>110</v>
      </c>
      <c r="AX155" s="194">
        <v>45499</v>
      </c>
      <c r="AY155" s="197">
        <v>45499</v>
      </c>
      <c r="AZ155" s="145" t="s">
        <v>33</v>
      </c>
      <c r="BA155" s="145" t="s">
        <v>113</v>
      </c>
      <c r="BB155" s="149" t="s">
        <v>110</v>
      </c>
      <c r="BC155" s="142">
        <f t="shared" si="9"/>
        <v>85</v>
      </c>
      <c r="BD155" s="134" t="str">
        <f t="shared" si="10"/>
        <v>INDENIZAÇÃO</v>
      </c>
      <c r="BE155" s="134" t="str">
        <f t="shared" si="11"/>
        <v>NÃO</v>
      </c>
      <c r="BF155" s="134" t="s">
        <v>24</v>
      </c>
      <c r="BG155" s="134" t="s">
        <v>24</v>
      </c>
      <c r="BH155" s="134" t="s">
        <v>24</v>
      </c>
      <c r="BI155" s="198" t="s">
        <v>110</v>
      </c>
      <c r="BJ155" s="198" t="s">
        <v>110</v>
      </c>
      <c r="BK155" s="194">
        <v>45559</v>
      </c>
      <c r="BL155" s="198" t="s">
        <v>110</v>
      </c>
      <c r="BM155" s="145" t="s">
        <v>33</v>
      </c>
      <c r="CI155" s="200"/>
    </row>
    <row r="156" spans="1:87" s="149" customFormat="1" ht="30" hidden="1" customHeight="1" x14ac:dyDescent="0.25">
      <c r="A156" s="134">
        <v>140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840</v>
      </c>
      <c r="G156" s="149" t="s">
        <v>102</v>
      </c>
      <c r="H156" s="149" t="s">
        <v>103</v>
      </c>
      <c r="I156" s="149" t="s">
        <v>382</v>
      </c>
      <c r="J156" s="152" t="s">
        <v>841</v>
      </c>
      <c r="K156" s="152" t="s">
        <v>842</v>
      </c>
      <c r="L156" s="152" t="s">
        <v>843</v>
      </c>
      <c r="M156" s="245" t="s">
        <v>4</v>
      </c>
      <c r="N156" s="245" t="s">
        <v>14</v>
      </c>
      <c r="O156" s="256">
        <v>45594</v>
      </c>
      <c r="P156" s="249" t="s">
        <v>17</v>
      </c>
      <c r="Q156" s="246" t="s">
        <v>386</v>
      </c>
      <c r="R156" s="249"/>
      <c r="S156" s="249"/>
      <c r="T156" s="249"/>
      <c r="U156" s="249"/>
      <c r="V156" s="249"/>
      <c r="W156" s="249"/>
      <c r="X156" s="249"/>
      <c r="Y156" s="249"/>
      <c r="Z156" s="249"/>
      <c r="AA156" s="250"/>
      <c r="AB156" s="152" t="s">
        <v>844</v>
      </c>
      <c r="AC156" s="152" t="s">
        <v>845</v>
      </c>
      <c r="AD156" s="152" t="s">
        <v>846</v>
      </c>
      <c r="AE156" s="134" t="s">
        <v>342</v>
      </c>
      <c r="AF156" s="250" t="s">
        <v>4</v>
      </c>
      <c r="AG156" s="208">
        <v>21486.11</v>
      </c>
      <c r="AH156" s="208">
        <v>21486.11</v>
      </c>
      <c r="AI156" s="251" t="s">
        <v>6</v>
      </c>
      <c r="AJ156" s="246" t="s">
        <v>109</v>
      </c>
      <c r="AK156" s="252"/>
      <c r="AL156" s="250" t="s">
        <v>110</v>
      </c>
      <c r="AM156" s="250" t="s">
        <v>110</v>
      </c>
      <c r="AN156" s="245" t="s">
        <v>111</v>
      </c>
      <c r="AO156" s="26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48">
        <v>45755</v>
      </c>
      <c r="AV156" s="250" t="s">
        <v>110</v>
      </c>
      <c r="AW156" s="250" t="s">
        <v>110</v>
      </c>
      <c r="AX156" s="248">
        <v>45763</v>
      </c>
      <c r="AY156" s="254">
        <v>45763</v>
      </c>
      <c r="AZ156" s="245" t="s">
        <v>355</v>
      </c>
      <c r="BA156" s="245" t="s">
        <v>1</v>
      </c>
      <c r="BB156" s="250" t="s">
        <v>110</v>
      </c>
      <c r="BC156" s="142">
        <f t="shared" si="9"/>
        <v>169</v>
      </c>
      <c r="BD156" s="134" t="str">
        <f t="shared" si="10"/>
        <v>INDENIZAÇÃO</v>
      </c>
      <c r="BE156" s="134" t="str">
        <f t="shared" si="11"/>
        <v>NÃO</v>
      </c>
      <c r="BF156" s="250" t="s">
        <v>24</v>
      </c>
      <c r="BG156" s="250" t="s">
        <v>24</v>
      </c>
      <c r="BH156" s="250" t="s">
        <v>24</v>
      </c>
      <c r="BI156" s="250" t="s">
        <v>110</v>
      </c>
      <c r="BJ156" s="250" t="s">
        <v>110</v>
      </c>
      <c r="BK156" s="248">
        <v>45783</v>
      </c>
      <c r="BL156" s="250" t="s">
        <v>110</v>
      </c>
      <c r="BM156" s="250" t="s">
        <v>33</v>
      </c>
      <c r="CI156" s="200"/>
    </row>
    <row r="157" spans="1:87" s="149" customFormat="1" ht="30" hidden="1" customHeight="1" x14ac:dyDescent="0.25">
      <c r="A157" s="134">
        <v>141</v>
      </c>
      <c r="B157" s="245" t="s">
        <v>99</v>
      </c>
      <c r="C157" s="245">
        <v>1</v>
      </c>
      <c r="D157" s="245" t="s">
        <v>100</v>
      </c>
      <c r="E157" s="245" t="s">
        <v>100</v>
      </c>
      <c r="F157" s="246" t="s">
        <v>848</v>
      </c>
      <c r="G157" s="149" t="s">
        <v>102</v>
      </c>
      <c r="H157" s="149" t="s">
        <v>103</v>
      </c>
      <c r="I157" s="149" t="s">
        <v>382</v>
      </c>
      <c r="J157" s="152" t="s">
        <v>849</v>
      </c>
      <c r="K157" s="152" t="s">
        <v>850</v>
      </c>
      <c r="L157" s="152" t="s">
        <v>851</v>
      </c>
      <c r="M157" s="245" t="s">
        <v>4</v>
      </c>
      <c r="N157" s="245" t="s">
        <v>14</v>
      </c>
      <c r="O157" s="256">
        <v>45594</v>
      </c>
      <c r="P157" s="249" t="s">
        <v>17</v>
      </c>
      <c r="Q157" s="246" t="s">
        <v>386</v>
      </c>
      <c r="R157" s="249"/>
      <c r="S157" s="249"/>
      <c r="T157" s="249"/>
      <c r="U157" s="249"/>
      <c r="V157" s="249"/>
      <c r="W157" s="249"/>
      <c r="X157" s="249"/>
      <c r="Y157" s="249"/>
      <c r="Z157" s="249"/>
      <c r="AA157" s="250"/>
      <c r="AB157" s="152" t="s">
        <v>852</v>
      </c>
      <c r="AC157" s="152" t="s">
        <v>853</v>
      </c>
      <c r="AD157" s="152" t="s">
        <v>854</v>
      </c>
      <c r="AE157" s="134" t="s">
        <v>342</v>
      </c>
      <c r="AF157" s="250" t="s">
        <v>4</v>
      </c>
      <c r="AG157" s="208">
        <v>14392.63</v>
      </c>
      <c r="AH157" s="208">
        <v>14392.63</v>
      </c>
      <c r="AI157" s="251" t="s">
        <v>6</v>
      </c>
      <c r="AJ157" s="246" t="s">
        <v>109</v>
      </c>
      <c r="AK157" s="252"/>
      <c r="AL157" s="250" t="s">
        <v>110</v>
      </c>
      <c r="AM157" s="250" t="s">
        <v>110</v>
      </c>
      <c r="AN157" s="245" t="s">
        <v>111</v>
      </c>
      <c r="AO157" s="260"/>
      <c r="AP157" s="253" t="s">
        <v>855</v>
      </c>
      <c r="AQ157" s="250" t="s">
        <v>110</v>
      </c>
      <c r="AR157" s="250" t="s">
        <v>110</v>
      </c>
      <c r="AS157" s="250" t="s">
        <v>110</v>
      </c>
      <c r="AT157" s="250" t="s">
        <v>110</v>
      </c>
      <c r="AU157" s="248">
        <v>45755</v>
      </c>
      <c r="AV157" s="250" t="s">
        <v>110</v>
      </c>
      <c r="AW157" s="250" t="s">
        <v>110</v>
      </c>
      <c r="AX157" s="248">
        <v>45763</v>
      </c>
      <c r="AY157" s="254">
        <v>45763</v>
      </c>
      <c r="AZ157" s="245" t="s">
        <v>355</v>
      </c>
      <c r="BA157" s="245" t="s">
        <v>1</v>
      </c>
      <c r="BB157" s="250" t="s">
        <v>110</v>
      </c>
      <c r="BC157" s="142">
        <f t="shared" si="9"/>
        <v>169</v>
      </c>
      <c r="BD157" s="134" t="str">
        <f t="shared" si="10"/>
        <v>INDENIZAÇÃO</v>
      </c>
      <c r="BE157" s="134" t="str">
        <f t="shared" si="11"/>
        <v>NÃO</v>
      </c>
      <c r="BF157" s="250" t="s">
        <v>24</v>
      </c>
      <c r="BG157" s="250" t="s">
        <v>24</v>
      </c>
      <c r="BH157" s="250" t="s">
        <v>24</v>
      </c>
      <c r="BI157" s="250" t="s">
        <v>110</v>
      </c>
      <c r="BJ157" s="250" t="s">
        <v>110</v>
      </c>
      <c r="BK157" s="248">
        <v>45783</v>
      </c>
      <c r="BL157" s="250" t="s">
        <v>110</v>
      </c>
      <c r="BM157" s="250" t="s">
        <v>33</v>
      </c>
      <c r="CI157" s="200"/>
    </row>
    <row r="158" spans="1:87" s="149" customFormat="1" ht="30" hidden="1" customHeight="1" x14ac:dyDescent="0.25">
      <c r="A158" s="134">
        <v>142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856</v>
      </c>
      <c r="G158" s="149" t="s">
        <v>1</v>
      </c>
      <c r="H158" s="149" t="s">
        <v>2</v>
      </c>
      <c r="I158" s="149" t="s">
        <v>108</v>
      </c>
      <c r="J158" s="152" t="s">
        <v>857</v>
      </c>
      <c r="K158" s="152" t="s">
        <v>858</v>
      </c>
      <c r="L158" s="152" t="s">
        <v>859</v>
      </c>
      <c r="M158" s="245" t="s">
        <v>4</v>
      </c>
      <c r="N158" s="245" t="s">
        <v>5</v>
      </c>
      <c r="O158" s="256">
        <v>45268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857</v>
      </c>
      <c r="AC158" s="152" t="s">
        <v>858</v>
      </c>
      <c r="AD158" s="152" t="s">
        <v>859</v>
      </c>
      <c r="AE158" s="149" t="s">
        <v>108</v>
      </c>
      <c r="AF158" s="250" t="s">
        <v>4</v>
      </c>
      <c r="AG158" s="208">
        <v>70625.73</v>
      </c>
      <c r="AH158" s="208">
        <v>70625.73</v>
      </c>
      <c r="AI158" s="251" t="s">
        <v>6</v>
      </c>
      <c r="AJ158" s="312" t="s">
        <v>109</v>
      </c>
      <c r="AK158" s="252"/>
      <c r="AL158" s="250" t="s">
        <v>110</v>
      </c>
      <c r="AM158" s="250" t="s">
        <v>110</v>
      </c>
      <c r="AN158" s="250" t="s">
        <v>111</v>
      </c>
      <c r="AO158" s="250"/>
      <c r="AP158" s="253" t="s">
        <v>860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56">
        <v>45498</v>
      </c>
      <c r="AV158" s="250" t="s">
        <v>110</v>
      </c>
      <c r="AW158" s="250" t="s">
        <v>110</v>
      </c>
      <c r="AX158" s="256">
        <v>45506</v>
      </c>
      <c r="AY158" s="249">
        <v>45506</v>
      </c>
      <c r="AZ158" s="245" t="s">
        <v>355</v>
      </c>
      <c r="BA158" s="245" t="s">
        <v>1</v>
      </c>
      <c r="BB158" s="250" t="s">
        <v>110</v>
      </c>
      <c r="BC158" s="142">
        <f t="shared" si="9"/>
        <v>238</v>
      </c>
      <c r="BD158" s="134" t="str">
        <f t="shared" si="10"/>
        <v>INDENIZAÇÃO</v>
      </c>
      <c r="BE158" s="134" t="str">
        <f t="shared" si="11"/>
        <v>NÃO</v>
      </c>
      <c r="BF158" s="245" t="s">
        <v>24</v>
      </c>
      <c r="BG158" s="245" t="s">
        <v>24</v>
      </c>
      <c r="BH158" s="245" t="s">
        <v>24</v>
      </c>
      <c r="BI158" s="250" t="s">
        <v>110</v>
      </c>
      <c r="BJ158" s="250" t="s">
        <v>110</v>
      </c>
      <c r="BK158" s="256">
        <v>45559</v>
      </c>
      <c r="BL158" s="250" t="s">
        <v>110</v>
      </c>
      <c r="BM158" s="250" t="s">
        <v>33</v>
      </c>
      <c r="CI158" s="200"/>
    </row>
    <row r="159" spans="1:87" s="149" customFormat="1" ht="30" hidden="1" customHeight="1" x14ac:dyDescent="0.25">
      <c r="A159" s="134">
        <v>143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46" t="s">
        <v>861</v>
      </c>
      <c r="G159" s="149" t="s">
        <v>1</v>
      </c>
      <c r="H159" s="149" t="s">
        <v>2</v>
      </c>
      <c r="I159" s="149" t="s">
        <v>108</v>
      </c>
      <c r="J159" s="152" t="s">
        <v>862</v>
      </c>
      <c r="K159" s="152" t="s">
        <v>863</v>
      </c>
      <c r="L159" s="152" t="s">
        <v>864</v>
      </c>
      <c r="M159" s="134" t="s">
        <v>4</v>
      </c>
      <c r="N159" s="134" t="s">
        <v>5</v>
      </c>
      <c r="O159" s="194">
        <v>45756</v>
      </c>
      <c r="P159" s="144" t="s">
        <v>24</v>
      </c>
      <c r="Q159" s="144" t="s">
        <v>24</v>
      </c>
      <c r="R159" s="144" t="s">
        <v>24</v>
      </c>
      <c r="S159" s="144" t="s">
        <v>24</v>
      </c>
      <c r="T159" s="144" t="s">
        <v>24</v>
      </c>
      <c r="U159" s="144" t="s">
        <v>24</v>
      </c>
      <c r="V159" s="144" t="s">
        <v>24</v>
      </c>
      <c r="W159" s="144" t="s">
        <v>24</v>
      </c>
      <c r="X159" s="144" t="s">
        <v>24</v>
      </c>
      <c r="Y159" s="144" t="s">
        <v>24</v>
      </c>
      <c r="Z159" s="144" t="s">
        <v>24</v>
      </c>
      <c r="AB159" s="152" t="s">
        <v>862</v>
      </c>
      <c r="AC159" s="152" t="s">
        <v>863</v>
      </c>
      <c r="AD159" s="152" t="s">
        <v>864</v>
      </c>
      <c r="AE159" s="149" t="s">
        <v>108</v>
      </c>
      <c r="AF159" s="149" t="s">
        <v>4</v>
      </c>
      <c r="AG159" s="208">
        <v>77915.289999999994</v>
      </c>
      <c r="AH159" s="208">
        <v>77915.289999999994</v>
      </c>
      <c r="AI159" s="134" t="s">
        <v>6</v>
      </c>
      <c r="AJ159" s="138" t="s">
        <v>109</v>
      </c>
      <c r="AK159" s="134">
        <v>101356991</v>
      </c>
      <c r="AL159" s="134" t="s">
        <v>110</v>
      </c>
      <c r="AM159" s="134" t="s">
        <v>110</v>
      </c>
      <c r="AN159" s="134" t="s">
        <v>111</v>
      </c>
      <c r="AP159" s="152" t="s">
        <v>865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45819</v>
      </c>
      <c r="AV159" s="198" t="s">
        <v>110</v>
      </c>
      <c r="AW159" s="198" t="s">
        <v>110</v>
      </c>
      <c r="AX159" s="194">
        <v>45838</v>
      </c>
      <c r="AY159" s="140">
        <v>45838</v>
      </c>
      <c r="AZ159" s="145" t="s">
        <v>33</v>
      </c>
      <c r="BA159" s="145" t="s">
        <v>113</v>
      </c>
      <c r="BB159" s="149" t="s">
        <v>110</v>
      </c>
      <c r="BC159" s="142">
        <f t="shared" si="9"/>
        <v>82</v>
      </c>
      <c r="BD159" s="134" t="str">
        <f t="shared" si="10"/>
        <v>INDENIZAÇÃO</v>
      </c>
      <c r="BE159" s="134" t="str">
        <f t="shared" si="11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hidden="1" customHeight="1" x14ac:dyDescent="0.25">
      <c r="A160" s="134">
        <v>144</v>
      </c>
      <c r="B160" s="245" t="s">
        <v>99</v>
      </c>
      <c r="C160" s="245">
        <v>1</v>
      </c>
      <c r="D160" s="245" t="s">
        <v>100</v>
      </c>
      <c r="E160" s="245" t="s">
        <v>100</v>
      </c>
      <c r="F160" s="246" t="s">
        <v>866</v>
      </c>
      <c r="G160" s="149" t="s">
        <v>1</v>
      </c>
      <c r="H160" s="149" t="s">
        <v>2</v>
      </c>
      <c r="I160" s="149" t="s">
        <v>108</v>
      </c>
      <c r="J160" s="152" t="s">
        <v>867</v>
      </c>
      <c r="K160" s="152" t="s">
        <v>868</v>
      </c>
      <c r="L160" s="152" t="s">
        <v>869</v>
      </c>
      <c r="M160" s="245" t="s">
        <v>4</v>
      </c>
      <c r="N160" s="245" t="s">
        <v>5</v>
      </c>
      <c r="O160" s="256">
        <v>45628</v>
      </c>
      <c r="P160" s="249" t="s">
        <v>24</v>
      </c>
      <c r="Q160" s="249" t="s">
        <v>24</v>
      </c>
      <c r="R160" s="249" t="s">
        <v>24</v>
      </c>
      <c r="S160" s="249" t="s">
        <v>24</v>
      </c>
      <c r="T160" s="249" t="s">
        <v>24</v>
      </c>
      <c r="U160" s="249" t="s">
        <v>24</v>
      </c>
      <c r="V160" s="249" t="s">
        <v>24</v>
      </c>
      <c r="W160" s="249" t="s">
        <v>24</v>
      </c>
      <c r="X160" s="249" t="s">
        <v>24</v>
      </c>
      <c r="Y160" s="249" t="s">
        <v>24</v>
      </c>
      <c r="Z160" s="249" t="s">
        <v>24</v>
      </c>
      <c r="AA160" s="250"/>
      <c r="AB160" s="152" t="s">
        <v>867</v>
      </c>
      <c r="AC160" s="152" t="s">
        <v>868</v>
      </c>
      <c r="AD160" s="152" t="s">
        <v>869</v>
      </c>
      <c r="AE160" s="149" t="s">
        <v>108</v>
      </c>
      <c r="AF160" s="250" t="s">
        <v>4</v>
      </c>
      <c r="AG160" s="208">
        <v>34190.04</v>
      </c>
      <c r="AH160" s="208">
        <v>60000</v>
      </c>
      <c r="AI160" s="251" t="s">
        <v>6</v>
      </c>
      <c r="AJ160" s="246" t="s">
        <v>109</v>
      </c>
      <c r="AK160" s="252"/>
      <c r="AL160" s="245" t="s">
        <v>110</v>
      </c>
      <c r="AM160" s="250" t="s">
        <v>110</v>
      </c>
      <c r="AN160" s="245" t="s">
        <v>111</v>
      </c>
      <c r="AO160" s="250"/>
      <c r="AP160" s="253" t="s">
        <v>870</v>
      </c>
      <c r="AQ160" s="250" t="s">
        <v>110</v>
      </c>
      <c r="AR160" s="250" t="s">
        <v>110</v>
      </c>
      <c r="AS160" s="250" t="s">
        <v>110</v>
      </c>
      <c r="AT160" s="250" t="s">
        <v>110</v>
      </c>
      <c r="AU160" s="248">
        <v>45755</v>
      </c>
      <c r="AV160" s="250" t="s">
        <v>110</v>
      </c>
      <c r="AW160" s="250" t="s">
        <v>110</v>
      </c>
      <c r="AX160" s="248">
        <v>45763</v>
      </c>
      <c r="AY160" s="254">
        <v>45763</v>
      </c>
      <c r="AZ160" s="245" t="s">
        <v>355</v>
      </c>
      <c r="BA160" s="245" t="s">
        <v>1</v>
      </c>
      <c r="BB160" s="250" t="s">
        <v>110</v>
      </c>
      <c r="BC160" s="142">
        <f t="shared" si="9"/>
        <v>135</v>
      </c>
      <c r="BD160" s="134" t="str">
        <f t="shared" si="10"/>
        <v>INDENIZAÇÃO</v>
      </c>
      <c r="BE160" s="134" t="str">
        <f t="shared" si="11"/>
        <v>NÃO</v>
      </c>
      <c r="BF160" s="250" t="s">
        <v>24</v>
      </c>
      <c r="BG160" s="250" t="s">
        <v>24</v>
      </c>
      <c r="BH160" s="250" t="s">
        <v>24</v>
      </c>
      <c r="BI160" s="250" t="s">
        <v>110</v>
      </c>
      <c r="BJ160" s="250" t="s">
        <v>110</v>
      </c>
      <c r="BK160" s="248">
        <v>45783</v>
      </c>
      <c r="BL160" s="250" t="s">
        <v>110</v>
      </c>
      <c r="BM160" s="250" t="s">
        <v>33</v>
      </c>
      <c r="CI160" s="200"/>
    </row>
    <row r="161" spans="1:87" s="149" customFormat="1" ht="30" hidden="1" customHeight="1" x14ac:dyDescent="0.25">
      <c r="A161" s="134">
        <v>145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871</v>
      </c>
      <c r="G161" s="149" t="s">
        <v>1</v>
      </c>
      <c r="H161" s="149" t="s">
        <v>2</v>
      </c>
      <c r="I161" s="149" t="s">
        <v>108</v>
      </c>
      <c r="J161" s="152" t="s">
        <v>872</v>
      </c>
      <c r="K161" s="152" t="s">
        <v>873</v>
      </c>
      <c r="L161" s="152" t="s">
        <v>874</v>
      </c>
      <c r="M161" s="134" t="s">
        <v>4</v>
      </c>
      <c r="N161" s="134" t="s">
        <v>5</v>
      </c>
      <c r="O161" s="194">
        <v>45756</v>
      </c>
      <c r="P161" s="144"/>
      <c r="Q161" s="263"/>
      <c r="R161" s="144"/>
      <c r="S161" s="144"/>
      <c r="T161" s="144"/>
      <c r="U161" s="144"/>
      <c r="V161" s="144"/>
      <c r="W161" s="144"/>
      <c r="X161" s="144"/>
      <c r="Y161" s="144"/>
      <c r="Z161" s="144"/>
      <c r="AB161" s="152" t="s">
        <v>872</v>
      </c>
      <c r="AC161" s="152" t="s">
        <v>873</v>
      </c>
      <c r="AD161" s="152" t="s">
        <v>874</v>
      </c>
      <c r="AE161" s="149" t="s">
        <v>108</v>
      </c>
      <c r="AF161" s="149" t="s">
        <v>4</v>
      </c>
      <c r="AG161" s="208">
        <v>41424.879999999997</v>
      </c>
      <c r="AH161" s="208">
        <v>60000</v>
      </c>
      <c r="AI161" s="134" t="s">
        <v>6</v>
      </c>
      <c r="AJ161" s="160" t="s">
        <v>109</v>
      </c>
      <c r="AK161" s="134">
        <v>111785728</v>
      </c>
      <c r="AL161" s="134" t="s">
        <v>110</v>
      </c>
      <c r="AM161" s="134" t="s">
        <v>110</v>
      </c>
      <c r="AN161" s="134" t="s">
        <v>111</v>
      </c>
      <c r="AP161" s="152" t="s">
        <v>875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94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9"/>
        <v>56</v>
      </c>
      <c r="BD161" s="134" t="str">
        <f t="shared" si="10"/>
        <v>INDENIZAÇÃO</v>
      </c>
      <c r="BE161" s="134" t="str">
        <f t="shared" si="11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hidden="1" customHeight="1" x14ac:dyDescent="0.25">
      <c r="A162" s="134">
        <v>146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876</v>
      </c>
      <c r="G162" s="149" t="s">
        <v>1</v>
      </c>
      <c r="H162" s="149" t="s">
        <v>2</v>
      </c>
      <c r="I162" s="149" t="s">
        <v>108</v>
      </c>
      <c r="J162" s="152" t="s">
        <v>877</v>
      </c>
      <c r="K162" s="152" t="s">
        <v>878</v>
      </c>
      <c r="L162" s="152" t="s">
        <v>879</v>
      </c>
      <c r="M162" s="134" t="s">
        <v>4</v>
      </c>
      <c r="N162" s="134" t="s">
        <v>5</v>
      </c>
      <c r="O162" s="194">
        <v>45594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877</v>
      </c>
      <c r="AC162" s="152" t="s">
        <v>878</v>
      </c>
      <c r="AD162" s="152" t="s">
        <v>879</v>
      </c>
      <c r="AE162" s="149" t="s">
        <v>108</v>
      </c>
      <c r="AF162" s="149" t="s">
        <v>4</v>
      </c>
      <c r="AG162" s="208">
        <v>47869.04</v>
      </c>
      <c r="AH162" s="208">
        <v>60000</v>
      </c>
      <c r="AI162" s="134" t="s">
        <v>6</v>
      </c>
      <c r="AJ162" s="138" t="s">
        <v>109</v>
      </c>
      <c r="AL162" s="149" t="s">
        <v>110</v>
      </c>
      <c r="AM162" s="149" t="s">
        <v>110</v>
      </c>
      <c r="AN162" s="134" t="s">
        <v>111</v>
      </c>
      <c r="AP162" s="199" t="s">
        <v>880</v>
      </c>
      <c r="AQ162" s="198" t="s">
        <v>110</v>
      </c>
      <c r="AR162" s="198" t="s">
        <v>110</v>
      </c>
      <c r="AS162" s="149" t="s">
        <v>110</v>
      </c>
      <c r="AT162" s="149" t="s">
        <v>110</v>
      </c>
      <c r="AU162" s="161">
        <v>45757</v>
      </c>
      <c r="AV162" s="149" t="s">
        <v>110</v>
      </c>
      <c r="AW162" s="149" t="s">
        <v>110</v>
      </c>
      <c r="AX162" s="161">
        <v>45762</v>
      </c>
      <c r="AY162" s="140">
        <v>45762</v>
      </c>
      <c r="AZ162" s="141" t="s">
        <v>33</v>
      </c>
      <c r="BA162" s="141" t="s">
        <v>1</v>
      </c>
      <c r="BB162" s="149" t="s">
        <v>110</v>
      </c>
      <c r="BC162" s="142">
        <f t="shared" si="9"/>
        <v>168</v>
      </c>
      <c r="BD162" s="134" t="str">
        <f t="shared" si="10"/>
        <v>INDENIZAÇÃO</v>
      </c>
      <c r="BE162" s="134" t="str">
        <f t="shared" si="11"/>
        <v>NÃO</v>
      </c>
      <c r="BF162" s="149" t="s">
        <v>24</v>
      </c>
      <c r="BG162" s="149" t="s">
        <v>24</v>
      </c>
      <c r="BH162" s="149" t="s">
        <v>24</v>
      </c>
      <c r="BI162" s="198" t="s">
        <v>110</v>
      </c>
      <c r="BJ162" s="198" t="s">
        <v>110</v>
      </c>
      <c r="BK162" s="161">
        <v>45783</v>
      </c>
      <c r="BL162" s="198" t="s">
        <v>110</v>
      </c>
      <c r="BM162" s="145" t="s">
        <v>33</v>
      </c>
      <c r="CI162" s="200"/>
    </row>
    <row r="163" spans="1:87" s="149" customFormat="1" ht="30" hidden="1" customHeight="1" x14ac:dyDescent="0.25">
      <c r="A163" s="134">
        <v>147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881</v>
      </c>
      <c r="G163" s="149" t="s">
        <v>1</v>
      </c>
      <c r="H163" s="149" t="s">
        <v>2</v>
      </c>
      <c r="I163" s="149" t="s">
        <v>108</v>
      </c>
      <c r="J163" s="152" t="s">
        <v>882</v>
      </c>
      <c r="K163" s="152" t="s">
        <v>883</v>
      </c>
      <c r="L163" s="152" t="s">
        <v>884</v>
      </c>
      <c r="M163" s="134" t="s">
        <v>4</v>
      </c>
      <c r="N163" s="134" t="s">
        <v>5</v>
      </c>
      <c r="O163" s="194">
        <v>45756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882</v>
      </c>
      <c r="AC163" s="152" t="s">
        <v>883</v>
      </c>
      <c r="AD163" s="152" t="s">
        <v>884</v>
      </c>
      <c r="AE163" s="149" t="s">
        <v>108</v>
      </c>
      <c r="AF163" s="149" t="s">
        <v>4</v>
      </c>
      <c r="AG163" s="208">
        <v>99127.51</v>
      </c>
      <c r="AH163" s="208">
        <v>99127.51</v>
      </c>
      <c r="AI163" s="230" t="s">
        <v>6</v>
      </c>
      <c r="AJ163" s="138" t="s">
        <v>109</v>
      </c>
      <c r="AK163" s="211">
        <v>111785758</v>
      </c>
      <c r="AL163" s="134" t="s">
        <v>110</v>
      </c>
      <c r="AM163" s="134" t="s">
        <v>110</v>
      </c>
      <c r="AN163" s="134" t="s">
        <v>111</v>
      </c>
      <c r="AO163" s="226"/>
      <c r="AP163" s="152" t="s">
        <v>885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45806</v>
      </c>
      <c r="AV163" s="198" t="s">
        <v>110</v>
      </c>
      <c r="AW163" s="198" t="s">
        <v>110</v>
      </c>
      <c r="AX163" s="161">
        <v>45812</v>
      </c>
      <c r="AY163" s="197">
        <v>45812</v>
      </c>
      <c r="AZ163" s="145" t="s">
        <v>33</v>
      </c>
      <c r="BA163" s="145" t="s">
        <v>113</v>
      </c>
      <c r="BB163" s="149" t="s">
        <v>110</v>
      </c>
      <c r="BC163" s="142">
        <f t="shared" si="9"/>
        <v>56</v>
      </c>
      <c r="BD163" s="134" t="str">
        <f t="shared" si="10"/>
        <v>INDENIZAÇÃO</v>
      </c>
      <c r="BE163" s="134" t="str">
        <f t="shared" si="11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45859</v>
      </c>
      <c r="BL163" s="149" t="s">
        <v>110</v>
      </c>
      <c r="BM163" s="141" t="s">
        <v>33</v>
      </c>
      <c r="CI163" s="200"/>
    </row>
    <row r="164" spans="1:87" s="149" customFormat="1" ht="30" hidden="1" customHeight="1" x14ac:dyDescent="0.25">
      <c r="A164" s="134">
        <v>148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886</v>
      </c>
      <c r="G164" s="149" t="s">
        <v>1</v>
      </c>
      <c r="H164" s="149" t="s">
        <v>2</v>
      </c>
      <c r="I164" s="149" t="s">
        <v>108</v>
      </c>
      <c r="J164" s="152" t="s">
        <v>887</v>
      </c>
      <c r="K164" s="152" t="s">
        <v>888</v>
      </c>
      <c r="L164" s="152" t="s">
        <v>889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887</v>
      </c>
      <c r="AC164" s="152" t="s">
        <v>888</v>
      </c>
      <c r="AD164" s="152" t="s">
        <v>889</v>
      </c>
      <c r="AE164" s="149" t="s">
        <v>108</v>
      </c>
      <c r="AF164" s="149" t="s">
        <v>4</v>
      </c>
      <c r="AG164" s="208">
        <v>37738.07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890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45495</v>
      </c>
      <c r="AV164" s="198" t="s">
        <v>110</v>
      </c>
      <c r="AW164" s="198" t="s">
        <v>110</v>
      </c>
      <c r="AX164" s="194">
        <v>45499</v>
      </c>
      <c r="AY164" s="197">
        <v>45499</v>
      </c>
      <c r="AZ164" s="145" t="s">
        <v>33</v>
      </c>
      <c r="BA164" s="145" t="s">
        <v>113</v>
      </c>
      <c r="BB164" s="149" t="s">
        <v>110</v>
      </c>
      <c r="BC164" s="142">
        <f t="shared" si="9"/>
        <v>85</v>
      </c>
      <c r="BD164" s="134" t="str">
        <f t="shared" si="10"/>
        <v>INDENIZAÇÃO</v>
      </c>
      <c r="BE164" s="134" t="str">
        <f t="shared" si="11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hidden="1" customHeight="1" x14ac:dyDescent="0.25">
      <c r="A165" s="134">
        <v>149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891</v>
      </c>
      <c r="G165" s="149" t="s">
        <v>1</v>
      </c>
      <c r="H165" s="149" t="s">
        <v>2</v>
      </c>
      <c r="I165" s="149" t="s">
        <v>108</v>
      </c>
      <c r="J165" s="152" t="s">
        <v>892</v>
      </c>
      <c r="K165" s="152" t="s">
        <v>893</v>
      </c>
      <c r="L165" s="152" t="s">
        <v>894</v>
      </c>
      <c r="M165" s="134" t="s">
        <v>4</v>
      </c>
      <c r="N165" s="134" t="s">
        <v>5</v>
      </c>
      <c r="O165" s="194">
        <v>45268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892</v>
      </c>
      <c r="AC165" s="152" t="s">
        <v>893</v>
      </c>
      <c r="AD165" s="152" t="s">
        <v>894</v>
      </c>
      <c r="AE165" s="149" t="s">
        <v>108</v>
      </c>
      <c r="AF165" s="149" t="s">
        <v>4</v>
      </c>
      <c r="AG165" s="208">
        <v>52289.48</v>
      </c>
      <c r="AH165" s="208">
        <v>60000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895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45614</v>
      </c>
      <c r="AV165" s="198" t="s">
        <v>110</v>
      </c>
      <c r="AW165" s="198" t="s">
        <v>110</v>
      </c>
      <c r="AX165" s="194">
        <v>45621</v>
      </c>
      <c r="AY165" s="197">
        <v>45621</v>
      </c>
      <c r="AZ165" s="197" t="s">
        <v>33</v>
      </c>
      <c r="BA165" s="145" t="s">
        <v>113</v>
      </c>
      <c r="BB165" s="149" t="s">
        <v>110</v>
      </c>
      <c r="BC165" s="142">
        <f t="shared" si="9"/>
        <v>353</v>
      </c>
      <c r="BD165" s="134" t="str">
        <f t="shared" si="10"/>
        <v>INDENIZAÇÃO</v>
      </c>
      <c r="BE165" s="134" t="str">
        <f t="shared" si="11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45677</v>
      </c>
      <c r="BL165" s="198" t="s">
        <v>110</v>
      </c>
      <c r="BM165" s="197" t="s">
        <v>33</v>
      </c>
      <c r="CI165" s="200"/>
    </row>
    <row r="166" spans="1:87" s="149" customFormat="1" ht="30" hidden="1" customHeight="1" x14ac:dyDescent="0.25">
      <c r="A166" s="134">
        <v>150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896</v>
      </c>
      <c r="G166" s="149" t="s">
        <v>1</v>
      </c>
      <c r="H166" s="149" t="s">
        <v>2</v>
      </c>
      <c r="I166" s="149" t="s">
        <v>108</v>
      </c>
      <c r="J166" s="152" t="s">
        <v>897</v>
      </c>
      <c r="K166" s="152" t="s">
        <v>898</v>
      </c>
      <c r="L166" s="152" t="s">
        <v>899</v>
      </c>
      <c r="M166" s="134" t="s">
        <v>4</v>
      </c>
      <c r="N166" s="134" t="s">
        <v>5</v>
      </c>
      <c r="O166" s="194">
        <v>45414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897</v>
      </c>
      <c r="AC166" s="152" t="s">
        <v>898</v>
      </c>
      <c r="AD166" s="152" t="s">
        <v>899</v>
      </c>
      <c r="AE166" s="149" t="s">
        <v>108</v>
      </c>
      <c r="AF166" s="149" t="s">
        <v>4</v>
      </c>
      <c r="AG166" s="208">
        <v>59161.77</v>
      </c>
      <c r="AH166" s="208">
        <v>60000</v>
      </c>
      <c r="AI166" s="230" t="s">
        <v>6</v>
      </c>
      <c r="AJ166" s="138" t="s">
        <v>109</v>
      </c>
      <c r="AK166" s="200"/>
      <c r="AL166" s="149" t="s">
        <v>110</v>
      </c>
      <c r="AM166" s="149" t="s">
        <v>110</v>
      </c>
      <c r="AN166" s="149" t="s">
        <v>111</v>
      </c>
      <c r="AP166" s="199" t="s">
        <v>900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45498</v>
      </c>
      <c r="AV166" s="198" t="s">
        <v>110</v>
      </c>
      <c r="AW166" s="198" t="s">
        <v>110</v>
      </c>
      <c r="AX166" s="219">
        <v>45526</v>
      </c>
      <c r="AY166" s="197">
        <v>45526</v>
      </c>
      <c r="AZ166" s="145" t="s">
        <v>33</v>
      </c>
      <c r="BA166" s="145" t="s">
        <v>113</v>
      </c>
      <c r="BB166" s="149" t="s">
        <v>110</v>
      </c>
      <c r="BC166" s="142">
        <f t="shared" si="9"/>
        <v>112</v>
      </c>
      <c r="BD166" s="134" t="str">
        <f t="shared" si="10"/>
        <v>INDENIZAÇÃO</v>
      </c>
      <c r="BE166" s="134" t="str">
        <f t="shared" si="11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45559</v>
      </c>
      <c r="BL166" s="198" t="s">
        <v>110</v>
      </c>
      <c r="BM166" s="145" t="s">
        <v>33</v>
      </c>
      <c r="CI166" s="200"/>
    </row>
    <row r="167" spans="1:87" s="149" customFormat="1" ht="30" hidden="1" customHeight="1" x14ac:dyDescent="0.25">
      <c r="A167" s="134">
        <v>151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901</v>
      </c>
      <c r="G167" s="149" t="s">
        <v>1</v>
      </c>
      <c r="H167" s="149" t="s">
        <v>2</v>
      </c>
      <c r="I167" s="149" t="s">
        <v>108</v>
      </c>
      <c r="J167" s="152" t="s">
        <v>902</v>
      </c>
      <c r="K167" s="152" t="s">
        <v>903</v>
      </c>
      <c r="L167" s="152" t="s">
        <v>904</v>
      </c>
      <c r="M167" s="134" t="s">
        <v>4</v>
      </c>
      <c r="N167" s="134" t="s">
        <v>5</v>
      </c>
      <c r="O167" s="194">
        <v>45505</v>
      </c>
      <c r="P167" s="144" t="s">
        <v>24</v>
      </c>
      <c r="Q167" s="144" t="s">
        <v>24</v>
      </c>
      <c r="R167" s="144" t="s">
        <v>24</v>
      </c>
      <c r="S167" s="144" t="s">
        <v>24</v>
      </c>
      <c r="T167" s="144" t="s">
        <v>24</v>
      </c>
      <c r="U167" s="144" t="s">
        <v>24</v>
      </c>
      <c r="V167" s="144" t="s">
        <v>24</v>
      </c>
      <c r="W167" s="144" t="s">
        <v>24</v>
      </c>
      <c r="X167" s="144" t="s">
        <v>24</v>
      </c>
      <c r="Y167" s="144" t="s">
        <v>24</v>
      </c>
      <c r="Z167" s="144" t="s">
        <v>24</v>
      </c>
      <c r="AB167" s="152" t="s">
        <v>902</v>
      </c>
      <c r="AC167" s="152" t="s">
        <v>903</v>
      </c>
      <c r="AD167" s="152" t="s">
        <v>904</v>
      </c>
      <c r="AE167" s="149" t="s">
        <v>108</v>
      </c>
      <c r="AF167" s="149" t="s">
        <v>4</v>
      </c>
      <c r="AG167" s="208">
        <v>23857.85</v>
      </c>
      <c r="AH167" s="208">
        <f>AG167+30000</f>
        <v>53857.85</v>
      </c>
      <c r="AI167" s="230" t="s">
        <v>6</v>
      </c>
      <c r="AJ167" s="138" t="s">
        <v>109</v>
      </c>
      <c r="AK167" s="200"/>
      <c r="AL167" s="149" t="s">
        <v>110</v>
      </c>
      <c r="AM167" s="149" t="s">
        <v>110</v>
      </c>
      <c r="AN167" s="149" t="s">
        <v>111</v>
      </c>
      <c r="AP167" s="199" t="s">
        <v>905</v>
      </c>
      <c r="AQ167" s="198" t="s">
        <v>110</v>
      </c>
      <c r="AR167" s="198" t="s">
        <v>110</v>
      </c>
      <c r="AS167" s="198" t="s">
        <v>110</v>
      </c>
      <c r="AT167" s="198" t="s">
        <v>110</v>
      </c>
      <c r="AU167" s="194">
        <v>45573</v>
      </c>
      <c r="AV167" s="198" t="s">
        <v>110</v>
      </c>
      <c r="AW167" s="198" t="s">
        <v>110</v>
      </c>
      <c r="AX167" s="194">
        <v>45580</v>
      </c>
      <c r="AY167" s="197">
        <v>45580</v>
      </c>
      <c r="AZ167" s="145" t="s">
        <v>33</v>
      </c>
      <c r="BA167" s="145" t="s">
        <v>113</v>
      </c>
      <c r="BB167" s="149" t="s">
        <v>110</v>
      </c>
      <c r="BC167" s="142">
        <f t="shared" si="9"/>
        <v>75</v>
      </c>
      <c r="BD167" s="134" t="str">
        <f t="shared" si="10"/>
        <v>INDENIZAÇÃO</v>
      </c>
      <c r="BE167" s="134" t="str">
        <f t="shared" si="11"/>
        <v>NÃO</v>
      </c>
      <c r="BF167" s="134" t="s">
        <v>24</v>
      </c>
      <c r="BG167" s="134" t="s">
        <v>24</v>
      </c>
      <c r="BH167" s="134" t="s">
        <v>24</v>
      </c>
      <c r="BI167" s="198" t="s">
        <v>110</v>
      </c>
      <c r="BJ167" s="198" t="s">
        <v>110</v>
      </c>
      <c r="BK167" s="194">
        <v>45621</v>
      </c>
      <c r="BL167" s="198" t="s">
        <v>110</v>
      </c>
      <c r="BM167" s="145" t="s">
        <v>33</v>
      </c>
      <c r="CI167" s="200"/>
    </row>
    <row r="168" spans="1:87" s="149" customFormat="1" ht="30" hidden="1" customHeight="1" x14ac:dyDescent="0.25">
      <c r="A168" s="134">
        <v>152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906</v>
      </c>
      <c r="G168" s="149" t="s">
        <v>1</v>
      </c>
      <c r="H168" s="149" t="s">
        <v>2</v>
      </c>
      <c r="I168" s="149" t="s">
        <v>108</v>
      </c>
      <c r="J168" s="152" t="s">
        <v>907</v>
      </c>
      <c r="K168" s="152" t="s">
        <v>908</v>
      </c>
      <c r="L168" s="152" t="s">
        <v>909</v>
      </c>
      <c r="M168" s="134" t="s">
        <v>4</v>
      </c>
      <c r="N168" s="134" t="s">
        <v>5</v>
      </c>
      <c r="O168" s="194">
        <v>45546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907</v>
      </c>
      <c r="AC168" s="152" t="s">
        <v>908</v>
      </c>
      <c r="AD168" s="152" t="s">
        <v>909</v>
      </c>
      <c r="AE168" s="149" t="s">
        <v>108</v>
      </c>
      <c r="AF168" s="149" t="s">
        <v>4</v>
      </c>
      <c r="AG168" s="208">
        <v>72541.78</v>
      </c>
      <c r="AH168" s="208">
        <v>72541.78</v>
      </c>
      <c r="AI168" s="230" t="s">
        <v>6</v>
      </c>
      <c r="AJ168" s="138" t="s">
        <v>109</v>
      </c>
      <c r="AK168" s="211"/>
      <c r="AL168" s="149" t="s">
        <v>110</v>
      </c>
      <c r="AM168" s="149" t="s">
        <v>110</v>
      </c>
      <c r="AN168" s="149" t="s">
        <v>111</v>
      </c>
      <c r="AP168" s="199" t="s">
        <v>910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45587</v>
      </c>
      <c r="AV168" s="198" t="s">
        <v>110</v>
      </c>
      <c r="AW168" s="198" t="s">
        <v>110</v>
      </c>
      <c r="AX168" s="194">
        <v>45600</v>
      </c>
      <c r="AY168" s="197">
        <v>45600</v>
      </c>
      <c r="AZ168" s="197" t="s">
        <v>33</v>
      </c>
      <c r="BA168" s="145" t="s">
        <v>113</v>
      </c>
      <c r="BB168" s="149" t="s">
        <v>110</v>
      </c>
      <c r="BC168" s="142">
        <f t="shared" si="9"/>
        <v>54</v>
      </c>
      <c r="BD168" s="134" t="str">
        <f t="shared" si="10"/>
        <v>INDENIZAÇÃO</v>
      </c>
      <c r="BE168" s="134" t="str">
        <f t="shared" si="11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45621</v>
      </c>
      <c r="BL168" s="198" t="s">
        <v>110</v>
      </c>
      <c r="BM168" s="145" t="s">
        <v>33</v>
      </c>
      <c r="CI168" s="200"/>
    </row>
    <row r="169" spans="1:87" s="149" customFormat="1" ht="30" hidden="1" customHeight="1" x14ac:dyDescent="0.25">
      <c r="A169" s="134">
        <v>153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911</v>
      </c>
      <c r="G169" s="149" t="s">
        <v>1</v>
      </c>
      <c r="H169" s="149" t="s">
        <v>2</v>
      </c>
      <c r="I169" s="149" t="s">
        <v>108</v>
      </c>
      <c r="J169" s="152" t="s">
        <v>912</v>
      </c>
      <c r="K169" s="152" t="s">
        <v>913</v>
      </c>
      <c r="L169" s="152" t="s">
        <v>914</v>
      </c>
      <c r="M169" s="134" t="s">
        <v>4</v>
      </c>
      <c r="N169" s="134" t="s">
        <v>14</v>
      </c>
      <c r="O169" s="194"/>
      <c r="P169" s="144"/>
      <c r="Q169" s="263"/>
      <c r="R169" s="144"/>
      <c r="S169" s="144"/>
      <c r="T169" s="144"/>
      <c r="U169" s="144"/>
      <c r="V169" s="144"/>
      <c r="W169" s="144"/>
      <c r="X169" s="144"/>
      <c r="Y169" s="144"/>
      <c r="Z169" s="144"/>
      <c r="AB169" s="152" t="s">
        <v>912</v>
      </c>
      <c r="AC169" s="152" t="s">
        <v>913</v>
      </c>
      <c r="AD169" s="152" t="s">
        <v>914</v>
      </c>
      <c r="AE169" s="149" t="s">
        <v>108</v>
      </c>
      <c r="AF169" s="149" t="s">
        <v>4</v>
      </c>
      <c r="AG169" s="208"/>
      <c r="AH169" s="208"/>
      <c r="AI169" s="230"/>
      <c r="AJ169" s="138"/>
      <c r="AK169" s="211"/>
      <c r="AP169" s="199"/>
      <c r="AQ169" s="198"/>
      <c r="AR169" s="198"/>
      <c r="AS169" s="198"/>
      <c r="AT169" s="198"/>
      <c r="AU169" s="194"/>
      <c r="AV169" s="198"/>
      <c r="AW169" s="198"/>
      <c r="AX169" s="194"/>
      <c r="AY169" s="197"/>
      <c r="AZ169" s="197"/>
      <c r="BA169" s="145"/>
      <c r="BC169" s="142" t="str">
        <f t="shared" si="9"/>
        <v/>
      </c>
      <c r="BD169" s="134" t="str">
        <f t="shared" si="10"/>
        <v>INDENIZAÇÃO</v>
      </c>
      <c r="BE169" s="134" t="str">
        <f t="shared" si="11"/>
        <v>NÃO</v>
      </c>
      <c r="BF169" s="134"/>
      <c r="BG169" s="134"/>
      <c r="BH169" s="134"/>
      <c r="BI169" s="198"/>
      <c r="BJ169" s="198"/>
      <c r="BK169" s="194"/>
      <c r="BL169" s="198"/>
      <c r="BM169" s="145"/>
      <c r="CI169" s="200"/>
    </row>
    <row r="170" spans="1:87" s="149" customFormat="1" ht="30" hidden="1" customHeight="1" x14ac:dyDescent="0.25">
      <c r="A170" s="134">
        <v>154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915</v>
      </c>
      <c r="G170" s="149" t="s">
        <v>1</v>
      </c>
      <c r="H170" s="149" t="s">
        <v>2</v>
      </c>
      <c r="I170" s="149" t="s">
        <v>108</v>
      </c>
      <c r="J170" s="152" t="s">
        <v>916</v>
      </c>
      <c r="K170" s="152" t="s">
        <v>917</v>
      </c>
      <c r="L170" s="152" t="s">
        <v>918</v>
      </c>
      <c r="M170" s="134" t="s">
        <v>4</v>
      </c>
      <c r="N170" s="134" t="s">
        <v>5</v>
      </c>
      <c r="O170" s="194">
        <v>45770</v>
      </c>
      <c r="P170" s="144" t="s">
        <v>24</v>
      </c>
      <c r="Q170" s="144" t="s">
        <v>24</v>
      </c>
      <c r="R170" s="144" t="s">
        <v>24</v>
      </c>
      <c r="S170" s="144" t="s">
        <v>24</v>
      </c>
      <c r="T170" s="144" t="s">
        <v>24</v>
      </c>
      <c r="U170" s="144" t="s">
        <v>24</v>
      </c>
      <c r="V170" s="144" t="s">
        <v>24</v>
      </c>
      <c r="W170" s="144" t="s">
        <v>24</v>
      </c>
      <c r="X170" s="144" t="s">
        <v>24</v>
      </c>
      <c r="Y170" s="144" t="s">
        <v>24</v>
      </c>
      <c r="Z170" s="144" t="s">
        <v>24</v>
      </c>
      <c r="AB170" s="152" t="s">
        <v>916</v>
      </c>
      <c r="AC170" s="152" t="s">
        <v>917</v>
      </c>
      <c r="AD170" s="152" t="s">
        <v>918</v>
      </c>
      <c r="AE170" s="149" t="s">
        <v>108</v>
      </c>
      <c r="AF170" s="149" t="s">
        <v>4</v>
      </c>
      <c r="AG170" s="208">
        <v>28671.33</v>
      </c>
      <c r="AH170" s="208">
        <v>58671.33</v>
      </c>
      <c r="AI170" s="134" t="s">
        <v>6</v>
      </c>
      <c r="AJ170" s="160" t="s">
        <v>109</v>
      </c>
      <c r="AK170" s="134">
        <v>110895070</v>
      </c>
      <c r="AL170" s="149" t="s">
        <v>110</v>
      </c>
      <c r="AM170" s="149" t="s">
        <v>110</v>
      </c>
      <c r="AN170" s="149" t="s">
        <v>111</v>
      </c>
      <c r="AP170" s="152" t="s">
        <v>919</v>
      </c>
      <c r="AQ170" s="198" t="s">
        <v>110</v>
      </c>
      <c r="AR170" s="198" t="s">
        <v>110</v>
      </c>
      <c r="AS170" s="198" t="s">
        <v>110</v>
      </c>
      <c r="AT170" s="198" t="s">
        <v>110</v>
      </c>
      <c r="AU170" s="194">
        <v>45834</v>
      </c>
      <c r="AV170" s="198" t="s">
        <v>110</v>
      </c>
      <c r="AW170" s="198" t="s">
        <v>110</v>
      </c>
      <c r="AX170" s="194">
        <v>45840</v>
      </c>
      <c r="AY170" s="140">
        <v>45840</v>
      </c>
      <c r="AZ170" s="145" t="s">
        <v>33</v>
      </c>
      <c r="BA170" s="145" t="s">
        <v>113</v>
      </c>
      <c r="BB170" s="149" t="s">
        <v>110</v>
      </c>
      <c r="BC170" s="142">
        <f t="shared" si="9"/>
        <v>70</v>
      </c>
      <c r="BD170" s="134" t="str">
        <f t="shared" si="10"/>
        <v>INDENIZAÇÃO</v>
      </c>
      <c r="BE170" s="134" t="str">
        <f t="shared" si="11"/>
        <v>NÃO</v>
      </c>
      <c r="BF170" s="134" t="s">
        <v>24</v>
      </c>
      <c r="BG170" s="134" t="s">
        <v>24</v>
      </c>
      <c r="BH170" s="134" t="s">
        <v>24</v>
      </c>
      <c r="BI170" s="198" t="s">
        <v>110</v>
      </c>
      <c r="BJ170" s="198" t="s">
        <v>110</v>
      </c>
      <c r="BK170" s="194">
        <v>45859</v>
      </c>
      <c r="BL170" s="149" t="s">
        <v>110</v>
      </c>
      <c r="BM170" s="141" t="s">
        <v>33</v>
      </c>
      <c r="CI170" s="200"/>
    </row>
    <row r="171" spans="1:87" s="149" customFormat="1" ht="30" hidden="1" customHeight="1" x14ac:dyDescent="0.25">
      <c r="A171" s="134">
        <v>155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45341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49119.43</v>
      </c>
      <c r="AH171" s="208">
        <v>60000</v>
      </c>
      <c r="AI171" s="214" t="s">
        <v>6</v>
      </c>
      <c r="AJ171" s="311" t="s">
        <v>109</v>
      </c>
      <c r="AK171" s="214"/>
      <c r="AL171" s="149" t="s">
        <v>110</v>
      </c>
      <c r="AM171" s="198" t="s">
        <v>110</v>
      </c>
      <c r="AN171" s="198" t="s">
        <v>111</v>
      </c>
      <c r="AP171" s="199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44">
        <v>45422</v>
      </c>
      <c r="AV171" s="198" t="s">
        <v>110</v>
      </c>
      <c r="AW171" s="198" t="s">
        <v>110</v>
      </c>
      <c r="AX171" s="144">
        <v>45432</v>
      </c>
      <c r="AY171" s="197">
        <v>45432</v>
      </c>
      <c r="AZ171" s="197" t="s">
        <v>33</v>
      </c>
      <c r="BA171" s="145" t="s">
        <v>113</v>
      </c>
      <c r="BB171" s="149" t="s">
        <v>110</v>
      </c>
      <c r="BC171" s="142">
        <f t="shared" si="9"/>
        <v>91</v>
      </c>
      <c r="BD171" s="134" t="str">
        <f t="shared" si="10"/>
        <v>INDENIZAÇÃO</v>
      </c>
      <c r="BE171" s="134" t="str">
        <f t="shared" si="11"/>
        <v>NÃO</v>
      </c>
      <c r="BF171" s="134" t="s">
        <v>24</v>
      </c>
      <c r="BG171" s="134" t="s">
        <v>24</v>
      </c>
      <c r="BH171" s="134" t="s">
        <v>24</v>
      </c>
      <c r="BI171" s="198" t="s">
        <v>110</v>
      </c>
      <c r="BJ171" s="198" t="s">
        <v>110</v>
      </c>
      <c r="BK171" s="144">
        <v>45554</v>
      </c>
      <c r="BL171" s="198" t="s">
        <v>110</v>
      </c>
      <c r="BM171" s="145" t="s">
        <v>33</v>
      </c>
      <c r="CI171" s="200"/>
    </row>
    <row r="172" spans="1:87" s="149" customFormat="1" ht="30" customHeight="1" x14ac:dyDescent="0.25">
      <c r="A172" s="134">
        <v>156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337</v>
      </c>
      <c r="H172" s="149" t="s">
        <v>2</v>
      </c>
      <c r="I172" s="149" t="s">
        <v>342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46129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342</v>
      </c>
      <c r="AF172" s="149" t="s">
        <v>4</v>
      </c>
      <c r="AG172" s="208">
        <v>57508.6</v>
      </c>
      <c r="AH172" s="208">
        <v>60000</v>
      </c>
      <c r="AI172" s="230" t="s">
        <v>6</v>
      </c>
      <c r="AJ172" s="311" t="s">
        <v>109</v>
      </c>
      <c r="AK172" s="211">
        <v>130628222</v>
      </c>
      <c r="AL172" s="134" t="s">
        <v>110</v>
      </c>
      <c r="AM172" s="198" t="s">
        <v>110</v>
      </c>
      <c r="AN172" s="273" t="s">
        <v>111</v>
      </c>
      <c r="AP172" s="152" t="s">
        <v>929</v>
      </c>
      <c r="AQ172" s="198" t="s">
        <v>110</v>
      </c>
      <c r="AR172" s="198" t="s">
        <v>110</v>
      </c>
      <c r="AS172" s="198" t="s">
        <v>110</v>
      </c>
      <c r="AT172" s="198" t="s">
        <v>110</v>
      </c>
      <c r="AU172" s="194">
        <v>46226</v>
      </c>
      <c r="AV172" s="198" t="s">
        <v>110</v>
      </c>
      <c r="AW172" s="198" t="s">
        <v>110</v>
      </c>
      <c r="AX172" s="194">
        <v>46233</v>
      </c>
      <c r="AY172" s="197">
        <v>46233</v>
      </c>
      <c r="AZ172" s="145" t="s">
        <v>33</v>
      </c>
      <c r="BA172" s="145" t="s">
        <v>113</v>
      </c>
      <c r="BB172" s="149" t="s">
        <v>110</v>
      </c>
      <c r="BC172" s="142">
        <f t="shared" si="9"/>
        <v>104</v>
      </c>
      <c r="BD172" s="134" t="str">
        <f t="shared" si="10"/>
        <v>INDENIZAÇÃO</v>
      </c>
      <c r="BE172" s="134" t="str">
        <f t="shared" si="11"/>
        <v>NÃO</v>
      </c>
      <c r="BF172" s="134" t="s">
        <v>24</v>
      </c>
      <c r="BG172" s="134" t="s">
        <v>24</v>
      </c>
      <c r="BH172" s="134" t="s">
        <v>24</v>
      </c>
      <c r="BI172" s="198" t="s">
        <v>110</v>
      </c>
      <c r="BJ172" s="145" t="s">
        <v>33</v>
      </c>
      <c r="BK172" s="279"/>
      <c r="BL172" s="145"/>
      <c r="BM172" s="145"/>
      <c r="CI172" s="200"/>
    </row>
    <row r="173" spans="1:87" s="149" customFormat="1" ht="30" customHeight="1" x14ac:dyDescent="0.25">
      <c r="A173" s="134">
        <v>157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45838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23160.92</v>
      </c>
      <c r="AH173" s="208">
        <v>53160.92</v>
      </c>
      <c r="AI173" s="232" t="s">
        <v>6</v>
      </c>
      <c r="AJ173" s="138" t="s">
        <v>109</v>
      </c>
      <c r="AK173" s="235">
        <v>98329587</v>
      </c>
      <c r="AL173" s="149" t="s">
        <v>110</v>
      </c>
      <c r="AM173" s="149" t="s">
        <v>110</v>
      </c>
      <c r="AN173" s="149" t="s">
        <v>111</v>
      </c>
      <c r="AP173" s="138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61">
        <v>45890</v>
      </c>
      <c r="AV173" s="198" t="s">
        <v>110</v>
      </c>
      <c r="AW173" s="198" t="s">
        <v>110</v>
      </c>
      <c r="AX173" s="161">
        <v>45950</v>
      </c>
      <c r="AY173" s="140">
        <v>45950</v>
      </c>
      <c r="AZ173" s="140" t="s">
        <v>33</v>
      </c>
      <c r="BA173" s="145" t="s">
        <v>113</v>
      </c>
      <c r="BB173" s="198" t="s">
        <v>110</v>
      </c>
      <c r="BC173" s="142">
        <f t="shared" si="9"/>
        <v>112</v>
      </c>
      <c r="BD173" s="134" t="str">
        <f t="shared" si="10"/>
        <v>INDENIZAÇÃO</v>
      </c>
      <c r="BE173" s="134" t="str">
        <f t="shared" si="11"/>
        <v>NÃO</v>
      </c>
      <c r="BF173" s="198" t="s">
        <v>24</v>
      </c>
      <c r="BG173" s="198" t="s">
        <v>24</v>
      </c>
      <c r="BH173" s="198" t="s">
        <v>24</v>
      </c>
      <c r="BI173" s="198" t="s">
        <v>110</v>
      </c>
      <c r="BJ173" s="145" t="s">
        <v>33</v>
      </c>
      <c r="BK173" s="279"/>
      <c r="BL173" s="145"/>
      <c r="BM173" s="145"/>
      <c r="CI173" s="200"/>
    </row>
    <row r="174" spans="1:87" s="149" customFormat="1" ht="30" hidden="1" customHeight="1" x14ac:dyDescent="0.25">
      <c r="A174" s="134">
        <v>158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337</v>
      </c>
      <c r="H174" s="149" t="s">
        <v>2</v>
      </c>
      <c r="I174" s="149" t="s">
        <v>342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134" t="s">
        <v>5</v>
      </c>
      <c r="O174" s="194">
        <v>45455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34" t="s">
        <v>342</v>
      </c>
      <c r="AF174" s="149" t="s">
        <v>4</v>
      </c>
      <c r="AG174" s="208">
        <v>3588.62</v>
      </c>
      <c r="AH174" s="208">
        <f>AG174+30000</f>
        <v>33588.620000000003</v>
      </c>
      <c r="AI174" s="230" t="s">
        <v>6</v>
      </c>
      <c r="AJ174" s="138" t="s">
        <v>109</v>
      </c>
      <c r="AK174" s="235"/>
      <c r="AL174" s="134" t="s">
        <v>110</v>
      </c>
      <c r="AM174" s="149" t="s">
        <v>110</v>
      </c>
      <c r="AN174" s="134" t="s">
        <v>111</v>
      </c>
      <c r="AP174" s="199" t="s">
        <v>939</v>
      </c>
      <c r="AQ174" s="198" t="s">
        <v>110</v>
      </c>
      <c r="AR174" s="198" t="s">
        <v>110</v>
      </c>
      <c r="AS174" s="149" t="s">
        <v>110</v>
      </c>
      <c r="AT174" s="149" t="s">
        <v>110</v>
      </c>
      <c r="AU174" s="161">
        <v>45755</v>
      </c>
      <c r="AV174" s="149" t="s">
        <v>110</v>
      </c>
      <c r="AW174" s="149" t="s">
        <v>110</v>
      </c>
      <c r="AX174" s="161">
        <v>45763</v>
      </c>
      <c r="AY174" s="140">
        <v>45763</v>
      </c>
      <c r="AZ174" s="141" t="s">
        <v>33</v>
      </c>
      <c r="BA174" s="141" t="s">
        <v>1</v>
      </c>
      <c r="BB174" s="149" t="s">
        <v>110</v>
      </c>
      <c r="BC174" s="142">
        <f t="shared" si="9"/>
        <v>308</v>
      </c>
      <c r="BD174" s="134" t="str">
        <f t="shared" si="10"/>
        <v>INDENIZAÇÃO</v>
      </c>
      <c r="BE174" s="134" t="str">
        <f t="shared" si="11"/>
        <v>NÃO</v>
      </c>
      <c r="BF174" s="149" t="s">
        <v>24</v>
      </c>
      <c r="BG174" s="149" t="s">
        <v>24</v>
      </c>
      <c r="BH174" s="149" t="s">
        <v>24</v>
      </c>
      <c r="BI174" s="198" t="s">
        <v>110</v>
      </c>
      <c r="BJ174" s="198" t="s">
        <v>110</v>
      </c>
      <c r="BK174" s="161">
        <v>45783</v>
      </c>
      <c r="BL174" s="198" t="s">
        <v>110</v>
      </c>
      <c r="BM174" s="145" t="s">
        <v>33</v>
      </c>
      <c r="CI174" s="200"/>
    </row>
    <row r="175" spans="1:87" s="149" customFormat="1" ht="30" hidden="1" customHeight="1" x14ac:dyDescent="0.25">
      <c r="A175" s="134">
        <v>159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1</v>
      </c>
      <c r="H175" s="149" t="s">
        <v>2</v>
      </c>
      <c r="I175" s="149" t="s">
        <v>108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45268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49" t="s">
        <v>108</v>
      </c>
      <c r="AF175" s="149" t="s">
        <v>4</v>
      </c>
      <c r="AG175" s="208">
        <v>43851.08</v>
      </c>
      <c r="AH175" s="208">
        <v>60000</v>
      </c>
      <c r="AI175" s="232" t="s">
        <v>6</v>
      </c>
      <c r="AJ175" s="138" t="s">
        <v>109</v>
      </c>
      <c r="AK175" s="235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45498</v>
      </c>
      <c r="AV175" s="198" t="s">
        <v>110</v>
      </c>
      <c r="AW175" s="198" t="s">
        <v>110</v>
      </c>
      <c r="AX175" s="194">
        <v>45506</v>
      </c>
      <c r="AY175" s="197">
        <v>45506</v>
      </c>
      <c r="AZ175" s="197" t="s">
        <v>33</v>
      </c>
      <c r="BA175" s="145" t="s">
        <v>113</v>
      </c>
      <c r="BB175" s="149" t="s">
        <v>110</v>
      </c>
      <c r="BC175" s="142">
        <f t="shared" si="9"/>
        <v>238</v>
      </c>
      <c r="BD175" s="134" t="str">
        <f t="shared" si="10"/>
        <v>INDENIZAÇÃO</v>
      </c>
      <c r="BE175" s="134" t="str">
        <f t="shared" si="11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45559</v>
      </c>
      <c r="BL175" s="198" t="s">
        <v>110</v>
      </c>
      <c r="BM175" s="145" t="s">
        <v>33</v>
      </c>
      <c r="CI175" s="200"/>
    </row>
    <row r="176" spans="1:87" s="149" customFormat="1" ht="30" hidden="1" customHeight="1" x14ac:dyDescent="0.25">
      <c r="A176" s="134">
        <v>160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45268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20585.759999999998</v>
      </c>
      <c r="AH176" s="208">
        <v>50585.760000000002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45373</v>
      </c>
      <c r="AV176" s="149" t="s">
        <v>110</v>
      </c>
      <c r="AW176" s="149" t="s">
        <v>110</v>
      </c>
      <c r="AX176" s="194">
        <v>45384</v>
      </c>
      <c r="AY176" s="197">
        <v>45384</v>
      </c>
      <c r="AZ176" s="197" t="s">
        <v>33</v>
      </c>
      <c r="BA176" s="145" t="s">
        <v>113</v>
      </c>
      <c r="BB176" s="149" t="s">
        <v>110</v>
      </c>
      <c r="BC176" s="142">
        <f t="shared" si="9"/>
        <v>116</v>
      </c>
      <c r="BD176" s="134" t="str">
        <f t="shared" si="10"/>
        <v>INDENIZAÇÃO</v>
      </c>
      <c r="BE176" s="134" t="str">
        <f t="shared" si="11"/>
        <v>NÃO</v>
      </c>
      <c r="BF176" s="134" t="s">
        <v>24</v>
      </c>
      <c r="BG176" s="134" t="s">
        <v>24</v>
      </c>
      <c r="BH176" s="134" t="s">
        <v>24</v>
      </c>
      <c r="BI176" s="149" t="s">
        <v>110</v>
      </c>
      <c r="BJ176" s="149" t="s">
        <v>110</v>
      </c>
      <c r="BK176" s="194">
        <v>45510</v>
      </c>
      <c r="BL176" s="149" t="s">
        <v>110</v>
      </c>
      <c r="BM176" s="145" t="s">
        <v>33</v>
      </c>
      <c r="CI176" s="200"/>
    </row>
    <row r="177" spans="1:87" s="149" customFormat="1" ht="30" hidden="1" customHeight="1" x14ac:dyDescent="0.25">
      <c r="A177" s="134">
        <v>161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337</v>
      </c>
      <c r="H177" s="149" t="s">
        <v>2</v>
      </c>
      <c r="I177" s="149" t="s">
        <v>342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214" t="s">
        <v>5</v>
      </c>
      <c r="O177" s="194">
        <v>45505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34" t="s">
        <v>342</v>
      </c>
      <c r="AF177" s="149" t="s">
        <v>4</v>
      </c>
      <c r="AG177" s="208">
        <v>5636.08</v>
      </c>
      <c r="AH177" s="208">
        <f>AG177+30000</f>
        <v>35636.080000000002</v>
      </c>
      <c r="AI177" s="230" t="s">
        <v>6</v>
      </c>
      <c r="AJ177" s="138" t="s">
        <v>109</v>
      </c>
      <c r="AK177" s="200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98" t="s">
        <v>110</v>
      </c>
      <c r="AT177" s="198" t="s">
        <v>110</v>
      </c>
      <c r="AU177" s="194">
        <v>45573</v>
      </c>
      <c r="AV177" s="198" t="s">
        <v>110</v>
      </c>
      <c r="AW177" s="198" t="s">
        <v>110</v>
      </c>
      <c r="AX177" s="194">
        <v>45582</v>
      </c>
      <c r="AY177" s="197">
        <v>45582</v>
      </c>
      <c r="AZ177" s="145" t="s">
        <v>33</v>
      </c>
      <c r="BA177" s="145" t="s">
        <v>113</v>
      </c>
      <c r="BB177" s="149" t="s">
        <v>110</v>
      </c>
      <c r="BC177" s="142">
        <f t="shared" si="9"/>
        <v>77</v>
      </c>
      <c r="BD177" s="134" t="str">
        <f t="shared" si="10"/>
        <v>INDENIZAÇÃO</v>
      </c>
      <c r="BE177" s="134" t="str">
        <f t="shared" si="11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45621</v>
      </c>
      <c r="BL177" s="198" t="s">
        <v>110</v>
      </c>
      <c r="BM177" s="145" t="s">
        <v>33</v>
      </c>
      <c r="CI177" s="200"/>
    </row>
    <row r="178" spans="1:87" s="149" customFormat="1" ht="30" hidden="1" customHeight="1" x14ac:dyDescent="0.25">
      <c r="A178" s="134">
        <v>162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214" t="s">
        <v>5</v>
      </c>
      <c r="O178" s="194">
        <v>45280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26827.54</v>
      </c>
      <c r="AH178" s="208">
        <f>AG178+30000</f>
        <v>56827.54</v>
      </c>
      <c r="AI178" s="232" t="s">
        <v>6</v>
      </c>
      <c r="AJ178" s="138" t="s">
        <v>109</v>
      </c>
      <c r="AK178" s="235"/>
      <c r="AL178" s="149" t="s">
        <v>110</v>
      </c>
      <c r="AM178" s="149" t="s">
        <v>110</v>
      </c>
      <c r="AN178" s="149" t="s">
        <v>111</v>
      </c>
      <c r="AP178" s="199" t="s">
        <v>959</v>
      </c>
      <c r="AQ178" s="149" t="s">
        <v>110</v>
      </c>
      <c r="AR178" s="149" t="s">
        <v>110</v>
      </c>
      <c r="AS178" s="149" t="s">
        <v>110</v>
      </c>
      <c r="AT178" s="149" t="s">
        <v>110</v>
      </c>
      <c r="AU178" s="194">
        <v>45525</v>
      </c>
      <c r="AV178" s="149" t="s">
        <v>110</v>
      </c>
      <c r="AW178" s="149" t="s">
        <v>110</v>
      </c>
      <c r="AX178" s="194">
        <v>45531</v>
      </c>
      <c r="AY178" s="197">
        <v>45531</v>
      </c>
      <c r="AZ178" s="145" t="s">
        <v>33</v>
      </c>
      <c r="BA178" s="145" t="s">
        <v>113</v>
      </c>
      <c r="BB178" s="149" t="s">
        <v>110</v>
      </c>
      <c r="BC178" s="142">
        <f t="shared" si="9"/>
        <v>251</v>
      </c>
      <c r="BD178" s="134" t="str">
        <f t="shared" si="10"/>
        <v>INDENIZAÇÃO</v>
      </c>
      <c r="BE178" s="134" t="str">
        <f t="shared" si="11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45559</v>
      </c>
      <c r="BL178" s="198" t="s">
        <v>110</v>
      </c>
      <c r="BM178" s="145" t="s">
        <v>33</v>
      </c>
      <c r="CI178" s="200"/>
    </row>
    <row r="179" spans="1:87" s="149" customFormat="1" ht="30" hidden="1" customHeight="1" x14ac:dyDescent="0.25">
      <c r="A179" s="134">
        <v>163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134" t="s">
        <v>5</v>
      </c>
      <c r="O179" s="194">
        <v>45455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F179" s="149" t="s">
        <v>4</v>
      </c>
      <c r="AG179" s="208">
        <v>7969.52</v>
      </c>
      <c r="AH179" s="208">
        <f>AG179+30000</f>
        <v>37969.520000000004</v>
      </c>
      <c r="AI179" s="232" t="s">
        <v>6</v>
      </c>
      <c r="AJ179" s="138" t="s">
        <v>109</v>
      </c>
      <c r="AK179" s="235"/>
      <c r="AL179" s="149" t="s">
        <v>110</v>
      </c>
      <c r="AM179" s="149" t="s">
        <v>110</v>
      </c>
      <c r="AN179" s="149" t="s">
        <v>111</v>
      </c>
      <c r="AP179" s="199" t="s">
        <v>964</v>
      </c>
      <c r="AQ179" s="198" t="s">
        <v>110</v>
      </c>
      <c r="AR179" s="198" t="s">
        <v>110</v>
      </c>
      <c r="AS179" s="149" t="s">
        <v>110</v>
      </c>
      <c r="AT179" s="149" t="s">
        <v>110</v>
      </c>
      <c r="AU179" s="194">
        <v>45525</v>
      </c>
      <c r="AV179" s="149" t="s">
        <v>110</v>
      </c>
      <c r="AW179" s="149" t="s">
        <v>110</v>
      </c>
      <c r="AX179" s="194">
        <v>45531</v>
      </c>
      <c r="AY179" s="197">
        <v>45531</v>
      </c>
      <c r="AZ179" s="145" t="s">
        <v>33</v>
      </c>
      <c r="BA179" s="145" t="s">
        <v>113</v>
      </c>
      <c r="BB179" s="149" t="s">
        <v>110</v>
      </c>
      <c r="BC179" s="142">
        <f t="shared" si="9"/>
        <v>76</v>
      </c>
      <c r="BD179" s="134" t="str">
        <f t="shared" si="10"/>
        <v>INDENIZAÇÃO</v>
      </c>
      <c r="BE179" s="134" t="str">
        <f t="shared" si="11"/>
        <v>NÃO</v>
      </c>
      <c r="BF179" s="134" t="s">
        <v>24</v>
      </c>
      <c r="BG179" s="134" t="s">
        <v>24</v>
      </c>
      <c r="BH179" s="134" t="s">
        <v>24</v>
      </c>
      <c r="BI179" s="198" t="s">
        <v>110</v>
      </c>
      <c r="BJ179" s="198" t="s">
        <v>110</v>
      </c>
      <c r="BK179" s="194">
        <v>45559</v>
      </c>
      <c r="BL179" s="198" t="s">
        <v>110</v>
      </c>
      <c r="BM179" s="145" t="s">
        <v>33</v>
      </c>
      <c r="CI179" s="200"/>
    </row>
    <row r="180" spans="1:87" s="149" customFormat="1" ht="30" hidden="1" customHeight="1" x14ac:dyDescent="0.25">
      <c r="A180" s="134">
        <v>164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965</v>
      </c>
      <c r="G180" s="149" t="s">
        <v>1</v>
      </c>
      <c r="H180" s="149" t="s">
        <v>2</v>
      </c>
      <c r="I180" s="149" t="s">
        <v>108</v>
      </c>
      <c r="J180" s="152" t="s">
        <v>966</v>
      </c>
      <c r="K180" s="152" t="s">
        <v>967</v>
      </c>
      <c r="L180" s="152" t="s">
        <v>968</v>
      </c>
      <c r="M180" s="134" t="s">
        <v>4</v>
      </c>
      <c r="N180" s="134" t="s">
        <v>5</v>
      </c>
      <c r="O180" s="194">
        <v>45792</v>
      </c>
      <c r="P180" s="144" t="s">
        <v>24</v>
      </c>
      <c r="Q180" s="144" t="s">
        <v>24</v>
      </c>
      <c r="R180" s="144" t="s">
        <v>24</v>
      </c>
      <c r="S180" s="144" t="s">
        <v>24</v>
      </c>
      <c r="T180" s="144" t="s">
        <v>24</v>
      </c>
      <c r="U180" s="144" t="s">
        <v>24</v>
      </c>
      <c r="V180" s="144" t="s">
        <v>24</v>
      </c>
      <c r="W180" s="144" t="s">
        <v>24</v>
      </c>
      <c r="X180" s="144" t="s">
        <v>24</v>
      </c>
      <c r="Y180" s="144" t="s">
        <v>24</v>
      </c>
      <c r="Z180" s="144" t="s">
        <v>24</v>
      </c>
      <c r="AB180" s="152" t="s">
        <v>966</v>
      </c>
      <c r="AC180" s="152" t="s">
        <v>967</v>
      </c>
      <c r="AD180" s="152" t="s">
        <v>968</v>
      </c>
      <c r="AE180" s="149" t="s">
        <v>108</v>
      </c>
      <c r="AF180" s="149" t="s">
        <v>4</v>
      </c>
      <c r="AG180" s="208">
        <v>9845.4699999999993</v>
      </c>
      <c r="AH180" s="208">
        <v>39845.47</v>
      </c>
      <c r="AI180" s="232" t="s">
        <v>6</v>
      </c>
      <c r="AJ180" s="138" t="s">
        <v>109</v>
      </c>
      <c r="AK180" s="211">
        <v>93520647</v>
      </c>
      <c r="AL180" s="149" t="s">
        <v>110</v>
      </c>
      <c r="AM180" s="149" t="s">
        <v>110</v>
      </c>
      <c r="AN180" s="149" t="s">
        <v>111</v>
      </c>
      <c r="AP180" s="152" t="s">
        <v>969</v>
      </c>
      <c r="AQ180" s="198" t="s">
        <v>110</v>
      </c>
      <c r="AR180" s="198" t="s">
        <v>110</v>
      </c>
      <c r="AS180" s="198" t="s">
        <v>110</v>
      </c>
      <c r="AT180" s="198" t="s">
        <v>110</v>
      </c>
      <c r="AU180" s="194">
        <v>45834</v>
      </c>
      <c r="AV180" s="198" t="s">
        <v>110</v>
      </c>
      <c r="AW180" s="198" t="s">
        <v>110</v>
      </c>
      <c r="AX180" s="194">
        <v>45842</v>
      </c>
      <c r="AY180" s="197">
        <v>45842</v>
      </c>
      <c r="AZ180" s="145" t="s">
        <v>33</v>
      </c>
      <c r="BA180" s="145" t="s">
        <v>113</v>
      </c>
      <c r="BB180" s="149" t="s">
        <v>110</v>
      </c>
      <c r="BC180" s="142">
        <f t="shared" si="9"/>
        <v>50</v>
      </c>
      <c r="BD180" s="134" t="str">
        <f t="shared" si="10"/>
        <v>INDENIZAÇÃO</v>
      </c>
      <c r="BE180" s="134" t="str">
        <f t="shared" si="11"/>
        <v>NÃO</v>
      </c>
      <c r="BF180" s="134" t="s">
        <v>24</v>
      </c>
      <c r="BG180" s="134" t="s">
        <v>24</v>
      </c>
      <c r="BH180" s="134" t="s">
        <v>24</v>
      </c>
      <c r="BI180" s="198" t="s">
        <v>110</v>
      </c>
      <c r="BJ180" s="198" t="s">
        <v>110</v>
      </c>
      <c r="BK180" s="194">
        <v>45859</v>
      </c>
      <c r="BL180" s="149" t="s">
        <v>110</v>
      </c>
      <c r="BM180" s="141" t="s">
        <v>33</v>
      </c>
      <c r="CI180" s="200"/>
    </row>
    <row r="181" spans="1:87" s="149" customFormat="1" ht="30" hidden="1" customHeight="1" x14ac:dyDescent="0.25">
      <c r="A181" s="134">
        <v>165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970</v>
      </c>
      <c r="G181" s="149" t="s">
        <v>1</v>
      </c>
      <c r="H181" s="149" t="s">
        <v>2</v>
      </c>
      <c r="I181" s="149" t="s">
        <v>108</v>
      </c>
      <c r="J181" s="152" t="s">
        <v>971</v>
      </c>
      <c r="K181" s="152" t="s">
        <v>972</v>
      </c>
      <c r="L181" s="152" t="s">
        <v>973</v>
      </c>
      <c r="M181" s="134" t="s">
        <v>4</v>
      </c>
      <c r="N181" s="214" t="s">
        <v>366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971</v>
      </c>
      <c r="AC181" s="152" t="s">
        <v>972</v>
      </c>
      <c r="AD181" s="152" t="s">
        <v>973</v>
      </c>
      <c r="AE181" s="149" t="s">
        <v>108</v>
      </c>
      <c r="AG181" s="208" t="s">
        <v>366</v>
      </c>
      <c r="AH181" s="208" t="s">
        <v>366</v>
      </c>
      <c r="AI181" s="232" t="s">
        <v>366</v>
      </c>
      <c r="AJ181" s="214" t="s">
        <v>366</v>
      </c>
      <c r="AK181" s="235"/>
      <c r="AP181" s="152"/>
      <c r="BC181" s="142" t="str">
        <f t="shared" si="9"/>
        <v/>
      </c>
      <c r="BD181" s="134" t="str">
        <f t="shared" si="10"/>
        <v>INDENIZAÇÃO</v>
      </c>
      <c r="BE181" s="134" t="str">
        <f t="shared" si="11"/>
        <v>NÃO</v>
      </c>
      <c r="BF181" s="134"/>
      <c r="BG181" s="194"/>
      <c r="BH181" s="194"/>
      <c r="CI181" s="200"/>
    </row>
    <row r="182" spans="1:87" s="149" customFormat="1" ht="30" hidden="1" customHeight="1" x14ac:dyDescent="0.25">
      <c r="A182" s="134">
        <v>166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337</v>
      </c>
      <c r="H182" s="149" t="s">
        <v>2</v>
      </c>
      <c r="I182" s="149" t="s">
        <v>342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/>
      <c r="O182" s="194"/>
      <c r="P182" s="144"/>
      <c r="Q182" s="263"/>
      <c r="R182" s="144"/>
      <c r="S182" s="144"/>
      <c r="T182" s="144"/>
      <c r="U182" s="144"/>
      <c r="V182" s="144"/>
      <c r="W182" s="144"/>
      <c r="X182" s="144"/>
      <c r="Y182" s="144"/>
      <c r="Z182" s="144"/>
      <c r="AB182" s="152" t="s">
        <v>975</v>
      </c>
      <c r="AC182" s="152" t="s">
        <v>976</v>
      </c>
      <c r="AD182" s="152" t="s">
        <v>977</v>
      </c>
      <c r="AE182" s="134" t="s">
        <v>342</v>
      </c>
      <c r="AG182" s="208"/>
      <c r="AH182" s="208"/>
      <c r="AI182" s="214"/>
      <c r="AJ182" s="239"/>
      <c r="AK182" s="214"/>
      <c r="AP182" s="152"/>
      <c r="BC182" s="142" t="str">
        <f t="shared" si="9"/>
        <v/>
      </c>
      <c r="BD182" s="134" t="str">
        <f t="shared" si="10"/>
        <v>INDENIZAÇÃO</v>
      </c>
      <c r="BE182" s="134" t="str">
        <f t="shared" si="11"/>
        <v>NÃO</v>
      </c>
      <c r="BF182" s="134"/>
      <c r="BG182" s="194"/>
      <c r="BH182" s="194"/>
      <c r="CI182" s="200"/>
    </row>
    <row r="183" spans="1:87" s="149" customFormat="1" ht="30" hidden="1" customHeight="1" x14ac:dyDescent="0.25">
      <c r="A183" s="134">
        <v>167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978</v>
      </c>
      <c r="G183" s="149" t="s">
        <v>1</v>
      </c>
      <c r="H183" s="149" t="s">
        <v>2</v>
      </c>
      <c r="I183" s="149" t="s">
        <v>108</v>
      </c>
      <c r="J183" s="152" t="s">
        <v>979</v>
      </c>
      <c r="K183" s="152" t="s">
        <v>980</v>
      </c>
      <c r="L183" s="152" t="s">
        <v>981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982</v>
      </c>
      <c r="AC183" s="152" t="s">
        <v>980</v>
      </c>
      <c r="AD183" s="152" t="s">
        <v>981</v>
      </c>
      <c r="AE183" s="149" t="s">
        <v>108</v>
      </c>
      <c r="AF183" s="149" t="s">
        <v>4</v>
      </c>
      <c r="AG183" s="208">
        <v>54164.37</v>
      </c>
      <c r="AH183" s="208">
        <v>60000</v>
      </c>
      <c r="AI183" s="214" t="s">
        <v>6</v>
      </c>
      <c r="AJ183" s="311" t="s">
        <v>109</v>
      </c>
      <c r="AK183" s="214"/>
      <c r="AL183" s="149" t="s">
        <v>110</v>
      </c>
      <c r="AM183" s="149" t="s">
        <v>110</v>
      </c>
      <c r="AN183" s="149" t="s">
        <v>111</v>
      </c>
      <c r="AO183" s="198"/>
      <c r="AP183" s="199" t="s">
        <v>983</v>
      </c>
      <c r="AQ183" s="198" t="s">
        <v>110</v>
      </c>
      <c r="AR183" s="198" t="s">
        <v>110</v>
      </c>
      <c r="AS183" s="198" t="s">
        <v>110</v>
      </c>
      <c r="AT183" s="198" t="s">
        <v>110</v>
      </c>
      <c r="AU183" s="194">
        <v>45495</v>
      </c>
      <c r="AV183" s="198" t="s">
        <v>110</v>
      </c>
      <c r="AW183" s="198" t="s">
        <v>110</v>
      </c>
      <c r="AX183" s="194">
        <v>45499</v>
      </c>
      <c r="AY183" s="197">
        <v>45499</v>
      </c>
      <c r="AZ183" s="145" t="s">
        <v>33</v>
      </c>
      <c r="BA183" s="145" t="s">
        <v>113</v>
      </c>
      <c r="BB183" s="149" t="s">
        <v>110</v>
      </c>
      <c r="BC183" s="142">
        <f t="shared" si="9"/>
        <v>231</v>
      </c>
      <c r="BD183" s="134" t="str">
        <f t="shared" si="10"/>
        <v>INDENIZAÇÃO</v>
      </c>
      <c r="BE183" s="134" t="str">
        <f t="shared" si="11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hidden="1" customHeight="1" x14ac:dyDescent="0.25">
      <c r="A184" s="134">
        <v>168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0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9"/>
        <v>104</v>
      </c>
      <c r="BD184" s="134" t="str">
        <f t="shared" si="10"/>
        <v>INDENIZAÇÃO</v>
      </c>
      <c r="BE184" s="134" t="str">
        <f t="shared" si="11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hidden="1" customHeight="1" x14ac:dyDescent="0.25">
      <c r="A185" s="134">
        <v>169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45268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49916.49</v>
      </c>
      <c r="AH185" s="208">
        <v>60000</v>
      </c>
      <c r="AI185" s="214" t="s">
        <v>6</v>
      </c>
      <c r="AJ185" s="138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45476</v>
      </c>
      <c r="AY185" s="197">
        <v>45476</v>
      </c>
      <c r="AZ185" s="145" t="s">
        <v>33</v>
      </c>
      <c r="BA185" s="145" t="s">
        <v>113</v>
      </c>
      <c r="BB185" s="149" t="s">
        <v>110</v>
      </c>
      <c r="BC185" s="142">
        <f t="shared" si="9"/>
        <v>208</v>
      </c>
      <c r="BD185" s="134" t="str">
        <f t="shared" si="10"/>
        <v>INDENIZAÇÃO</v>
      </c>
      <c r="BE185" s="134" t="str">
        <f t="shared" si="11"/>
        <v>NÃO</v>
      </c>
      <c r="BF185" s="134" t="s">
        <v>24</v>
      </c>
      <c r="BG185" s="134" t="s">
        <v>24</v>
      </c>
      <c r="BH185" s="134" t="s">
        <v>24</v>
      </c>
      <c r="BI185" s="198" t="s">
        <v>110</v>
      </c>
      <c r="BJ185" s="198" t="s">
        <v>110</v>
      </c>
      <c r="BK185" s="194">
        <v>45559</v>
      </c>
      <c r="BL185" s="198" t="s">
        <v>110</v>
      </c>
      <c r="BM185" s="145" t="s">
        <v>33</v>
      </c>
      <c r="CI185" s="200"/>
    </row>
    <row r="186" spans="1:87" s="149" customFormat="1" ht="30" hidden="1" customHeight="1" x14ac:dyDescent="0.25">
      <c r="A186" s="134">
        <v>170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45280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34854.42</v>
      </c>
      <c r="AH186" s="208">
        <v>60000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49" t="s">
        <v>110</v>
      </c>
      <c r="AT186" s="149" t="s">
        <v>110</v>
      </c>
      <c r="AU186" s="194">
        <v>45373</v>
      </c>
      <c r="AV186" s="149" t="s">
        <v>110</v>
      </c>
      <c r="AW186" s="149" t="s">
        <v>110</v>
      </c>
      <c r="AX186" s="194">
        <v>45384</v>
      </c>
      <c r="AY186" s="197">
        <v>45384</v>
      </c>
      <c r="AZ186" s="197" t="s">
        <v>33</v>
      </c>
      <c r="BA186" s="145" t="s">
        <v>113</v>
      </c>
      <c r="BB186" s="149" t="s">
        <v>110</v>
      </c>
      <c r="BC186" s="142">
        <f t="shared" si="9"/>
        <v>104</v>
      </c>
      <c r="BD186" s="134" t="str">
        <f t="shared" si="10"/>
        <v>INDENIZAÇÃO</v>
      </c>
      <c r="BE186" s="134" t="str">
        <f t="shared" si="11"/>
        <v>NÃO</v>
      </c>
      <c r="BF186" s="134" t="s">
        <v>24</v>
      </c>
      <c r="BG186" s="134" t="s">
        <v>24</v>
      </c>
      <c r="BH186" s="134" t="s">
        <v>24</v>
      </c>
      <c r="BI186" s="149" t="s">
        <v>110</v>
      </c>
      <c r="BJ186" s="149" t="s">
        <v>110</v>
      </c>
      <c r="BK186" s="194">
        <v>45510</v>
      </c>
      <c r="BL186" s="149" t="s">
        <v>110</v>
      </c>
      <c r="BM186" s="145" t="s">
        <v>33</v>
      </c>
      <c r="CI186" s="200"/>
    </row>
    <row r="187" spans="1:87" s="149" customFormat="1" ht="30" hidden="1" customHeight="1" x14ac:dyDescent="0.25">
      <c r="A187" s="134">
        <v>171</v>
      </c>
      <c r="B187" s="134" t="s">
        <v>99</v>
      </c>
      <c r="C187" s="134">
        <v>1</v>
      </c>
      <c r="D187" s="134" t="s">
        <v>100</v>
      </c>
      <c r="E187" s="134" t="s">
        <v>100</v>
      </c>
      <c r="F187" s="138" t="s">
        <v>999</v>
      </c>
      <c r="G187" s="149" t="s">
        <v>1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134" t="s">
        <v>4</v>
      </c>
      <c r="N187" s="214" t="s">
        <v>5</v>
      </c>
      <c r="O187" s="194">
        <v>45280</v>
      </c>
      <c r="P187" s="144" t="s">
        <v>24</v>
      </c>
      <c r="Q187" s="144" t="s">
        <v>24</v>
      </c>
      <c r="R187" s="144" t="s">
        <v>24</v>
      </c>
      <c r="S187" s="144" t="s">
        <v>24</v>
      </c>
      <c r="T187" s="144" t="s">
        <v>24</v>
      </c>
      <c r="U187" s="144" t="s">
        <v>24</v>
      </c>
      <c r="V187" s="144" t="s">
        <v>24</v>
      </c>
      <c r="W187" s="144" t="s">
        <v>24</v>
      </c>
      <c r="X187" s="144" t="s">
        <v>24</v>
      </c>
      <c r="Y187" s="144" t="s">
        <v>24</v>
      </c>
      <c r="Z187" s="144" t="s">
        <v>24</v>
      </c>
      <c r="AB187" s="152" t="s">
        <v>1000</v>
      </c>
      <c r="AC187" s="152" t="s">
        <v>1001</v>
      </c>
      <c r="AD187" s="152" t="s">
        <v>1002</v>
      </c>
      <c r="AE187" s="149" t="s">
        <v>108</v>
      </c>
      <c r="AF187" s="149" t="s">
        <v>4</v>
      </c>
      <c r="AG187" s="208">
        <v>26350.240000000002</v>
      </c>
      <c r="AH187" s="208">
        <v>56350.239999999998</v>
      </c>
      <c r="AI187" s="214" t="s">
        <v>6</v>
      </c>
      <c r="AJ187" s="310" t="s">
        <v>109</v>
      </c>
      <c r="AK187" s="214"/>
      <c r="AL187" s="149" t="s">
        <v>110</v>
      </c>
      <c r="AM187" s="149" t="s">
        <v>110</v>
      </c>
      <c r="AN187" s="149" t="s">
        <v>111</v>
      </c>
      <c r="AP187" s="199" t="s">
        <v>1003</v>
      </c>
      <c r="AQ187" s="149" t="s">
        <v>110</v>
      </c>
      <c r="AR187" s="149" t="s">
        <v>110</v>
      </c>
      <c r="AS187" s="149" t="s">
        <v>110</v>
      </c>
      <c r="AT187" s="149" t="s">
        <v>110</v>
      </c>
      <c r="AU187" s="194">
        <v>45373</v>
      </c>
      <c r="AV187" s="149" t="s">
        <v>110</v>
      </c>
      <c r="AW187" s="149" t="s">
        <v>110</v>
      </c>
      <c r="AX187" s="194">
        <v>45384</v>
      </c>
      <c r="AY187" s="197">
        <v>45384</v>
      </c>
      <c r="AZ187" s="197" t="s">
        <v>33</v>
      </c>
      <c r="BA187" s="145" t="s">
        <v>113</v>
      </c>
      <c r="BB187" s="149" t="s">
        <v>110</v>
      </c>
      <c r="BC187" s="142">
        <f t="shared" si="9"/>
        <v>104</v>
      </c>
      <c r="BD187" s="134" t="str">
        <f t="shared" si="10"/>
        <v>INDENIZAÇÃO</v>
      </c>
      <c r="BE187" s="134" t="str">
        <f t="shared" si="11"/>
        <v>NÃO</v>
      </c>
      <c r="BF187" s="134" t="s">
        <v>24</v>
      </c>
      <c r="BG187" s="134" t="s">
        <v>24</v>
      </c>
      <c r="BH187" s="134" t="s">
        <v>24</v>
      </c>
      <c r="BI187" s="149" t="s">
        <v>110</v>
      </c>
      <c r="BJ187" s="149" t="s">
        <v>110</v>
      </c>
      <c r="BK187" s="194">
        <v>45510</v>
      </c>
      <c r="BL187" s="149" t="s">
        <v>110</v>
      </c>
      <c r="BM187" s="145" t="s">
        <v>33</v>
      </c>
      <c r="CI187" s="200"/>
    </row>
    <row r="188" spans="1:87" s="149" customFormat="1" ht="30" hidden="1" customHeight="1" x14ac:dyDescent="0.25">
      <c r="A188" s="134">
        <v>172</v>
      </c>
      <c r="B188" s="134" t="s">
        <v>99</v>
      </c>
      <c r="C188" s="134">
        <v>1</v>
      </c>
      <c r="D188" s="134" t="s">
        <v>100</v>
      </c>
      <c r="E188" s="134" t="s">
        <v>100</v>
      </c>
      <c r="F188" s="138" t="s">
        <v>1004</v>
      </c>
      <c r="G188" s="149" t="s">
        <v>1</v>
      </c>
      <c r="H188" s="149" t="s">
        <v>2</v>
      </c>
      <c r="I188" s="149" t="s">
        <v>108</v>
      </c>
      <c r="J188" s="152" t="s">
        <v>1005</v>
      </c>
      <c r="K188" s="152" t="s">
        <v>1006</v>
      </c>
      <c r="L188" s="152" t="s">
        <v>1007</v>
      </c>
      <c r="M188" s="134" t="s">
        <v>4</v>
      </c>
      <c r="N188" s="214" t="s">
        <v>5</v>
      </c>
      <c r="O188" s="194">
        <v>45302</v>
      </c>
      <c r="P188" s="144" t="s">
        <v>24</v>
      </c>
      <c r="Q188" s="144" t="s">
        <v>24</v>
      </c>
      <c r="R188" s="144" t="s">
        <v>24</v>
      </c>
      <c r="S188" s="144" t="s">
        <v>24</v>
      </c>
      <c r="T188" s="144" t="s">
        <v>24</v>
      </c>
      <c r="U188" s="144" t="s">
        <v>24</v>
      </c>
      <c r="V188" s="144" t="s">
        <v>24</v>
      </c>
      <c r="W188" s="144" t="s">
        <v>24</v>
      </c>
      <c r="X188" s="144" t="s">
        <v>24</v>
      </c>
      <c r="Y188" s="144" t="s">
        <v>24</v>
      </c>
      <c r="Z188" s="144" t="s">
        <v>24</v>
      </c>
      <c r="AB188" s="152" t="s">
        <v>1005</v>
      </c>
      <c r="AC188" s="152" t="s">
        <v>1006</v>
      </c>
      <c r="AD188" s="152" t="s">
        <v>1007</v>
      </c>
      <c r="AE188" s="149" t="s">
        <v>108</v>
      </c>
      <c r="AF188" s="149" t="s">
        <v>4</v>
      </c>
      <c r="AG188" s="208">
        <v>12745.69</v>
      </c>
      <c r="AH188" s="208">
        <v>42745.69</v>
      </c>
      <c r="AI188" s="232" t="s">
        <v>6</v>
      </c>
      <c r="AJ188" s="138" t="s">
        <v>109</v>
      </c>
      <c r="AK188" s="235"/>
      <c r="AL188" s="149" t="s">
        <v>110</v>
      </c>
      <c r="AM188" s="149" t="s">
        <v>110</v>
      </c>
      <c r="AN188" s="149" t="s">
        <v>111</v>
      </c>
      <c r="AP188" s="199" t="s">
        <v>1008</v>
      </c>
      <c r="AQ188" s="149" t="s">
        <v>110</v>
      </c>
      <c r="AR188" s="149" t="s">
        <v>110</v>
      </c>
      <c r="AS188" s="198" t="s">
        <v>110</v>
      </c>
      <c r="AT188" s="198" t="s">
        <v>110</v>
      </c>
      <c r="AU188" s="194">
        <v>45498</v>
      </c>
      <c r="AV188" s="198" t="s">
        <v>110</v>
      </c>
      <c r="AW188" s="198" t="s">
        <v>110</v>
      </c>
      <c r="AX188" s="219">
        <v>45526</v>
      </c>
      <c r="AY188" s="197">
        <v>45526</v>
      </c>
      <c r="AZ188" s="145" t="s">
        <v>33</v>
      </c>
      <c r="BA188" s="145" t="s">
        <v>113</v>
      </c>
      <c r="BB188" s="149" t="s">
        <v>110</v>
      </c>
      <c r="BC188" s="142">
        <f t="shared" si="9"/>
        <v>224</v>
      </c>
      <c r="BD188" s="134" t="str">
        <f t="shared" si="10"/>
        <v>INDENIZAÇÃO</v>
      </c>
      <c r="BE188" s="134" t="str">
        <f t="shared" si="11"/>
        <v>NÃO</v>
      </c>
      <c r="BF188" s="134" t="s">
        <v>24</v>
      </c>
      <c r="BG188" s="134" t="s">
        <v>24</v>
      </c>
      <c r="BH188" s="134" t="s">
        <v>24</v>
      </c>
      <c r="BI188" s="198" t="s">
        <v>110</v>
      </c>
      <c r="BJ188" s="198" t="s">
        <v>110</v>
      </c>
      <c r="BK188" s="194">
        <v>45559</v>
      </c>
      <c r="BL188" s="198" t="s">
        <v>110</v>
      </c>
      <c r="BM188" s="145" t="s">
        <v>33</v>
      </c>
      <c r="CI188" s="200"/>
    </row>
    <row r="189" spans="1:87" s="149" customFormat="1" ht="30" hidden="1" customHeight="1" x14ac:dyDescent="0.25">
      <c r="A189" s="134">
        <v>173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1009</v>
      </c>
      <c r="G189" s="149" t="s">
        <v>337</v>
      </c>
      <c r="H189" s="149" t="s">
        <v>2</v>
      </c>
      <c r="I189" s="149" t="s">
        <v>108</v>
      </c>
      <c r="J189" s="152" t="s">
        <v>1010</v>
      </c>
      <c r="K189" s="152" t="s">
        <v>1011</v>
      </c>
      <c r="L189" s="152" t="s">
        <v>1012</v>
      </c>
      <c r="M189" s="245" t="s">
        <v>4</v>
      </c>
      <c r="N189" s="245" t="s">
        <v>5</v>
      </c>
      <c r="O189" s="256">
        <v>45539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1010</v>
      </c>
      <c r="AC189" s="152" t="s">
        <v>1011</v>
      </c>
      <c r="AD189" s="152" t="s">
        <v>1013</v>
      </c>
      <c r="AE189" s="149" t="s">
        <v>108</v>
      </c>
      <c r="AF189" s="250" t="s">
        <v>4</v>
      </c>
      <c r="AG189" s="208">
        <v>52949.65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48">
        <v>45755</v>
      </c>
      <c r="AV189" s="250" t="s">
        <v>110</v>
      </c>
      <c r="AW189" s="250" t="s">
        <v>110</v>
      </c>
      <c r="AX189" s="248">
        <v>45762</v>
      </c>
      <c r="AY189" s="254">
        <v>45762</v>
      </c>
      <c r="AZ189" s="245" t="s">
        <v>355</v>
      </c>
      <c r="BA189" s="245" t="s">
        <v>1</v>
      </c>
      <c r="BB189" s="250" t="s">
        <v>110</v>
      </c>
      <c r="BC189" s="142">
        <f t="shared" si="9"/>
        <v>223</v>
      </c>
      <c r="BD189" s="134" t="str">
        <f t="shared" si="10"/>
        <v>INDENIZAÇÃO</v>
      </c>
      <c r="BE189" s="134" t="str">
        <f t="shared" si="11"/>
        <v>NÃO</v>
      </c>
      <c r="BF189" s="250" t="s">
        <v>24</v>
      </c>
      <c r="BG189" s="250" t="s">
        <v>24</v>
      </c>
      <c r="BH189" s="250" t="s">
        <v>24</v>
      </c>
      <c r="BI189" s="250" t="s">
        <v>110</v>
      </c>
      <c r="BJ189" s="250" t="s">
        <v>110</v>
      </c>
      <c r="BK189" s="248">
        <v>45783</v>
      </c>
      <c r="BL189" s="250" t="s">
        <v>110</v>
      </c>
      <c r="BM189" s="250" t="s">
        <v>33</v>
      </c>
      <c r="CI189" s="200"/>
    </row>
    <row r="190" spans="1:87" s="149" customFormat="1" ht="30" hidden="1" customHeight="1" x14ac:dyDescent="0.25">
      <c r="A190" s="134">
        <v>174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</v>
      </c>
      <c r="H190" s="149" t="s">
        <v>2</v>
      </c>
      <c r="I190" s="149" t="s">
        <v>108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45455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49" t="s">
        <v>108</v>
      </c>
      <c r="AF190" s="250" t="s">
        <v>4</v>
      </c>
      <c r="AG190" s="208">
        <v>38912.26</v>
      </c>
      <c r="AH190" s="208">
        <v>60000</v>
      </c>
      <c r="AI190" s="251" t="s">
        <v>6</v>
      </c>
      <c r="AJ190" s="246" t="s">
        <v>109</v>
      </c>
      <c r="AK190" s="257"/>
      <c r="AL190" s="250" t="s">
        <v>110</v>
      </c>
      <c r="AM190" s="250" t="s">
        <v>110</v>
      </c>
      <c r="AN190" s="250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56">
        <v>45525</v>
      </c>
      <c r="AV190" s="250" t="s">
        <v>110</v>
      </c>
      <c r="AW190" s="250" t="s">
        <v>110</v>
      </c>
      <c r="AX190" s="256">
        <v>45531</v>
      </c>
      <c r="AY190" s="249">
        <v>45531</v>
      </c>
      <c r="AZ190" s="245" t="s">
        <v>355</v>
      </c>
      <c r="BA190" s="245" t="s">
        <v>1</v>
      </c>
      <c r="BB190" s="250" t="s">
        <v>110</v>
      </c>
      <c r="BC190" s="142">
        <f t="shared" si="9"/>
        <v>76</v>
      </c>
      <c r="BD190" s="134" t="str">
        <f t="shared" si="10"/>
        <v>INDENIZAÇÃO</v>
      </c>
      <c r="BE190" s="134" t="str">
        <f t="shared" si="11"/>
        <v>NÃO</v>
      </c>
      <c r="BF190" s="245" t="s">
        <v>24</v>
      </c>
      <c r="BG190" s="245" t="s">
        <v>24</v>
      </c>
      <c r="BH190" s="245" t="s">
        <v>24</v>
      </c>
      <c r="BI190" s="250" t="s">
        <v>110</v>
      </c>
      <c r="BJ190" s="250" t="s">
        <v>110</v>
      </c>
      <c r="BK190" s="256">
        <v>45559</v>
      </c>
      <c r="BL190" s="250" t="s">
        <v>110</v>
      </c>
      <c r="BM190" s="250" t="s">
        <v>33</v>
      </c>
      <c r="CI190" s="200"/>
    </row>
    <row r="191" spans="1:87" s="149" customFormat="1" ht="30" hidden="1" customHeight="1" x14ac:dyDescent="0.25">
      <c r="A191" s="134">
        <v>175</v>
      </c>
      <c r="B191" s="245" t="s">
        <v>99</v>
      </c>
      <c r="C191" s="245">
        <v>1</v>
      </c>
      <c r="D191" s="245" t="s">
        <v>100</v>
      </c>
      <c r="E191" s="245" t="s">
        <v>100</v>
      </c>
      <c r="F191" s="246" t="s">
        <v>1020</v>
      </c>
      <c r="G191" s="149" t="s">
        <v>1</v>
      </c>
      <c r="H191" s="149" t="s">
        <v>2</v>
      </c>
      <c r="I191" s="149" t="s">
        <v>108</v>
      </c>
      <c r="J191" s="152" t="s">
        <v>1021</v>
      </c>
      <c r="K191" s="152" t="s">
        <v>1022</v>
      </c>
      <c r="L191" s="152" t="s">
        <v>1023</v>
      </c>
      <c r="M191" s="245" t="s">
        <v>4</v>
      </c>
      <c r="N191" s="245" t="s">
        <v>5</v>
      </c>
      <c r="O191" s="256">
        <v>45455</v>
      </c>
      <c r="P191" s="249" t="s">
        <v>24</v>
      </c>
      <c r="Q191" s="249" t="s">
        <v>24</v>
      </c>
      <c r="R191" s="249" t="s">
        <v>24</v>
      </c>
      <c r="S191" s="249" t="s">
        <v>24</v>
      </c>
      <c r="T191" s="249" t="s">
        <v>24</v>
      </c>
      <c r="U191" s="249" t="s">
        <v>24</v>
      </c>
      <c r="V191" s="249" t="s">
        <v>24</v>
      </c>
      <c r="W191" s="249" t="s">
        <v>24</v>
      </c>
      <c r="X191" s="249" t="s">
        <v>24</v>
      </c>
      <c r="Y191" s="249" t="s">
        <v>24</v>
      </c>
      <c r="Z191" s="249" t="s">
        <v>24</v>
      </c>
      <c r="AA191" s="250"/>
      <c r="AB191" s="152" t="s">
        <v>1021</v>
      </c>
      <c r="AC191" s="152" t="s">
        <v>1022</v>
      </c>
      <c r="AD191" s="152" t="s">
        <v>1023</v>
      </c>
      <c r="AE191" s="149" t="s">
        <v>108</v>
      </c>
      <c r="AF191" s="250" t="s">
        <v>4</v>
      </c>
      <c r="AG191" s="208">
        <v>34958.769999999997</v>
      </c>
      <c r="AH191" s="208">
        <v>60000</v>
      </c>
      <c r="AI191" s="251" t="s">
        <v>6</v>
      </c>
      <c r="AJ191" s="246" t="s">
        <v>109</v>
      </c>
      <c r="AK191" s="257"/>
      <c r="AL191" s="250" t="s">
        <v>110</v>
      </c>
      <c r="AM191" s="250" t="s">
        <v>110</v>
      </c>
      <c r="AN191" s="250" t="s">
        <v>111</v>
      </c>
      <c r="AO191" s="250"/>
      <c r="AP191" s="253" t="s">
        <v>1024</v>
      </c>
      <c r="AQ191" s="250" t="s">
        <v>110</v>
      </c>
      <c r="AR191" s="250" t="s">
        <v>110</v>
      </c>
      <c r="AS191" s="250" t="s">
        <v>110</v>
      </c>
      <c r="AT191" s="250" t="s">
        <v>110</v>
      </c>
      <c r="AU191" s="256">
        <v>45525</v>
      </c>
      <c r="AV191" s="250" t="s">
        <v>110</v>
      </c>
      <c r="AW191" s="250" t="s">
        <v>110</v>
      </c>
      <c r="AX191" s="256">
        <v>45531</v>
      </c>
      <c r="AY191" s="249">
        <v>45531</v>
      </c>
      <c r="AZ191" s="245" t="s">
        <v>355</v>
      </c>
      <c r="BA191" s="245" t="s">
        <v>1</v>
      </c>
      <c r="BB191" s="250" t="s">
        <v>110</v>
      </c>
      <c r="BC191" s="142">
        <f t="shared" si="9"/>
        <v>76</v>
      </c>
      <c r="BD191" s="134" t="str">
        <f t="shared" si="10"/>
        <v>INDENIZAÇÃO</v>
      </c>
      <c r="BE191" s="134" t="str">
        <f t="shared" si="11"/>
        <v>NÃO</v>
      </c>
      <c r="BF191" s="245" t="s">
        <v>24</v>
      </c>
      <c r="BG191" s="245" t="s">
        <v>24</v>
      </c>
      <c r="BH191" s="245" t="s">
        <v>24</v>
      </c>
      <c r="BI191" s="250" t="s">
        <v>110</v>
      </c>
      <c r="BJ191" s="250" t="s">
        <v>110</v>
      </c>
      <c r="BK191" s="256">
        <v>45559</v>
      </c>
      <c r="BL191" s="250" t="s">
        <v>110</v>
      </c>
      <c r="BM191" s="250" t="s">
        <v>33</v>
      </c>
      <c r="CI191" s="200"/>
    </row>
    <row r="192" spans="1:87" s="149" customFormat="1" ht="30" hidden="1" customHeight="1" x14ac:dyDescent="0.25">
      <c r="A192" s="134">
        <v>176</v>
      </c>
      <c r="B192" s="245" t="s">
        <v>99</v>
      </c>
      <c r="C192" s="245">
        <v>1</v>
      </c>
      <c r="D192" s="245" t="s">
        <v>100</v>
      </c>
      <c r="E192" s="245" t="s">
        <v>100</v>
      </c>
      <c r="F192" s="246" t="s">
        <v>1025</v>
      </c>
      <c r="G192" s="149" t="s">
        <v>10</v>
      </c>
      <c r="H192" s="149" t="s">
        <v>2</v>
      </c>
      <c r="I192" s="149" t="s">
        <v>342</v>
      </c>
      <c r="J192" s="152" t="s">
        <v>1026</v>
      </c>
      <c r="K192" s="152" t="s">
        <v>1027</v>
      </c>
      <c r="L192" s="152" t="s">
        <v>1028</v>
      </c>
      <c r="M192" s="245" t="s">
        <v>4</v>
      </c>
      <c r="N192" s="245" t="s">
        <v>5</v>
      </c>
      <c r="O192" s="256">
        <v>45628</v>
      </c>
      <c r="P192" s="249" t="s">
        <v>24</v>
      </c>
      <c r="Q192" s="249" t="s">
        <v>24</v>
      </c>
      <c r="R192" s="249" t="s">
        <v>24</v>
      </c>
      <c r="S192" s="249" t="s">
        <v>24</v>
      </c>
      <c r="T192" s="249" t="s">
        <v>24</v>
      </c>
      <c r="U192" s="249" t="s">
        <v>24</v>
      </c>
      <c r="V192" s="249" t="s">
        <v>24</v>
      </c>
      <c r="W192" s="249" t="s">
        <v>24</v>
      </c>
      <c r="X192" s="249" t="s">
        <v>24</v>
      </c>
      <c r="Y192" s="249" t="s">
        <v>24</v>
      </c>
      <c r="Z192" s="249" t="s">
        <v>24</v>
      </c>
      <c r="AA192" s="250"/>
      <c r="AB192" s="152" t="s">
        <v>1026</v>
      </c>
      <c r="AC192" s="152" t="s">
        <v>1027</v>
      </c>
      <c r="AD192" s="152" t="s">
        <v>1028</v>
      </c>
      <c r="AE192" s="134" t="s">
        <v>342</v>
      </c>
      <c r="AF192" s="250" t="s">
        <v>4</v>
      </c>
      <c r="AG192" s="208">
        <v>43487.39</v>
      </c>
      <c r="AH192" s="208">
        <v>60000</v>
      </c>
      <c r="AI192" s="251" t="s">
        <v>6</v>
      </c>
      <c r="AJ192" s="246" t="s">
        <v>109</v>
      </c>
      <c r="AK192" s="257"/>
      <c r="AL192" s="245" t="s">
        <v>110</v>
      </c>
      <c r="AM192" s="250" t="s">
        <v>110</v>
      </c>
      <c r="AN192" s="245" t="s">
        <v>111</v>
      </c>
      <c r="AO192" s="250"/>
      <c r="AP192" s="253" t="s">
        <v>1029</v>
      </c>
      <c r="AQ192" s="250" t="s">
        <v>110</v>
      </c>
      <c r="AR192" s="250" t="s">
        <v>110</v>
      </c>
      <c r="AS192" s="250" t="s">
        <v>110</v>
      </c>
      <c r="AT192" s="250" t="s">
        <v>110</v>
      </c>
      <c r="AU192" s="248">
        <v>45755</v>
      </c>
      <c r="AV192" s="250" t="s">
        <v>110</v>
      </c>
      <c r="AW192" s="250" t="s">
        <v>110</v>
      </c>
      <c r="AX192" s="248">
        <v>45762</v>
      </c>
      <c r="AY192" s="254">
        <v>45762</v>
      </c>
      <c r="AZ192" s="245" t="s">
        <v>355</v>
      </c>
      <c r="BA192" s="245" t="s">
        <v>1</v>
      </c>
      <c r="BB192" s="250" t="s">
        <v>110</v>
      </c>
      <c r="BC192" s="142">
        <f t="shared" si="9"/>
        <v>134</v>
      </c>
      <c r="BD192" s="134" t="str">
        <f t="shared" si="10"/>
        <v>INDENIZAÇÃO</v>
      </c>
      <c r="BE192" s="134" t="str">
        <f t="shared" si="11"/>
        <v>NÃO</v>
      </c>
      <c r="BF192" s="250" t="s">
        <v>24</v>
      </c>
      <c r="BG192" s="250" t="s">
        <v>24</v>
      </c>
      <c r="BH192" s="250" t="s">
        <v>24</v>
      </c>
      <c r="BI192" s="250" t="s">
        <v>110</v>
      </c>
      <c r="BJ192" s="250" t="s">
        <v>110</v>
      </c>
      <c r="BK192" s="248">
        <v>45783</v>
      </c>
      <c r="BL192" s="250" t="s">
        <v>110</v>
      </c>
      <c r="BM192" s="250" t="s">
        <v>33</v>
      </c>
      <c r="CI192" s="200"/>
    </row>
    <row r="193" spans="1:103" s="149" customFormat="1" ht="30" customHeight="1" x14ac:dyDescent="0.25">
      <c r="A193" s="134">
        <v>177</v>
      </c>
      <c r="B193" s="134" t="s">
        <v>99</v>
      </c>
      <c r="C193" s="134">
        <v>1</v>
      </c>
      <c r="D193" s="134" t="s">
        <v>100</v>
      </c>
      <c r="E193" s="134" t="s">
        <v>100</v>
      </c>
      <c r="F193" s="138" t="s">
        <v>1030</v>
      </c>
      <c r="G193" s="149" t="s">
        <v>1</v>
      </c>
      <c r="H193" s="149" t="s">
        <v>2</v>
      </c>
      <c r="I193" s="149" t="s">
        <v>382</v>
      </c>
      <c r="J193" s="152" t="s">
        <v>1031</v>
      </c>
      <c r="K193" s="152" t="s">
        <v>1032</v>
      </c>
      <c r="L193" s="152" t="s">
        <v>1033</v>
      </c>
      <c r="M193" s="134" t="s">
        <v>4</v>
      </c>
      <c r="N193" s="214" t="s">
        <v>14</v>
      </c>
      <c r="O193" s="194">
        <v>46063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B193" s="152" t="s">
        <v>1034</v>
      </c>
      <c r="AC193" s="152" t="s">
        <v>1035</v>
      </c>
      <c r="AD193" s="152" t="s">
        <v>1036</v>
      </c>
      <c r="AE193" s="134" t="s">
        <v>342</v>
      </c>
      <c r="AF193" s="149" t="s">
        <v>4</v>
      </c>
      <c r="AG193" s="208">
        <v>46426.74</v>
      </c>
      <c r="AH193" s="208">
        <v>46426.74</v>
      </c>
      <c r="AI193" s="232" t="s">
        <v>6</v>
      </c>
      <c r="AJ193" s="138" t="s">
        <v>109</v>
      </c>
      <c r="AK193" s="235">
        <v>94134876</v>
      </c>
      <c r="AL193" s="149" t="s">
        <v>110</v>
      </c>
      <c r="AM193" s="134" t="s">
        <v>110</v>
      </c>
      <c r="AN193" s="134" t="s">
        <v>111</v>
      </c>
      <c r="AP193" s="199" t="s">
        <v>1037</v>
      </c>
      <c r="AQ193" s="149" t="s">
        <v>110</v>
      </c>
      <c r="AR193" s="149" t="s">
        <v>110</v>
      </c>
      <c r="AS193" s="198" t="s">
        <v>110</v>
      </c>
      <c r="AT193" s="198" t="s">
        <v>110</v>
      </c>
      <c r="AU193" s="194">
        <v>46226</v>
      </c>
      <c r="AV193" s="198" t="s">
        <v>110</v>
      </c>
      <c r="AW193" s="198" t="s">
        <v>110</v>
      </c>
      <c r="AX193" s="194">
        <v>46233</v>
      </c>
      <c r="AY193" s="197">
        <v>46233</v>
      </c>
      <c r="AZ193" s="145" t="s">
        <v>33</v>
      </c>
      <c r="BA193" s="145" t="s">
        <v>113</v>
      </c>
      <c r="BB193" s="149" t="s">
        <v>110</v>
      </c>
      <c r="BC193" s="142">
        <f t="shared" si="9"/>
        <v>170</v>
      </c>
      <c r="BD193" s="134" t="str">
        <f t="shared" si="10"/>
        <v>INDENIZAÇÃO</v>
      </c>
      <c r="BE193" s="134" t="str">
        <f t="shared" si="11"/>
        <v>NÃO</v>
      </c>
      <c r="BF193" s="134" t="s">
        <v>24</v>
      </c>
      <c r="BG193" s="134" t="s">
        <v>24</v>
      </c>
      <c r="BH193" s="134" t="s">
        <v>24</v>
      </c>
      <c r="BI193" s="198" t="s">
        <v>110</v>
      </c>
      <c r="BJ193" s="145" t="s">
        <v>33</v>
      </c>
      <c r="BK193" s="279"/>
      <c r="BL193" s="145"/>
      <c r="BM193" s="145"/>
      <c r="CI193" s="200"/>
    </row>
    <row r="194" spans="1:103" s="149" customFormat="1" ht="30" customHeight="1" x14ac:dyDescent="0.25">
      <c r="A194" s="134">
        <v>33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1038</v>
      </c>
      <c r="G194" s="149" t="s">
        <v>1</v>
      </c>
      <c r="H194" s="149" t="s">
        <v>2</v>
      </c>
      <c r="I194" s="149" t="s">
        <v>620</v>
      </c>
      <c r="J194" s="152" t="s">
        <v>1039</v>
      </c>
      <c r="K194" s="152" t="s">
        <v>1040</v>
      </c>
      <c r="L194" s="152" t="s">
        <v>1041</v>
      </c>
      <c r="M194" s="134" t="s">
        <v>4</v>
      </c>
      <c r="N194" s="134" t="s">
        <v>14</v>
      </c>
      <c r="O194" s="194">
        <v>46063</v>
      </c>
      <c r="P194" s="197" t="s">
        <v>17</v>
      </c>
      <c r="Q194" s="264" t="s">
        <v>386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A194" s="250"/>
      <c r="AB194" s="152" t="s">
        <v>1042</v>
      </c>
      <c r="AC194" s="152" t="s">
        <v>1043</v>
      </c>
      <c r="AD194" s="152" t="s">
        <v>1044</v>
      </c>
      <c r="AE194" s="134" t="s">
        <v>342</v>
      </c>
      <c r="AF194" s="149" t="s">
        <v>4</v>
      </c>
      <c r="AG194" s="208">
        <v>46426.74</v>
      </c>
      <c r="AH194" s="208">
        <v>46426.74</v>
      </c>
      <c r="AI194" s="232" t="s">
        <v>6</v>
      </c>
      <c r="AJ194" s="138" t="s">
        <v>109</v>
      </c>
      <c r="AK194" s="235">
        <v>149983772</v>
      </c>
      <c r="AL194" s="149" t="s">
        <v>110</v>
      </c>
      <c r="AM194" s="134" t="s">
        <v>110</v>
      </c>
      <c r="AN194" s="134" t="s">
        <v>111</v>
      </c>
      <c r="AP194" s="199" t="s">
        <v>1045</v>
      </c>
      <c r="AQ194" s="149" t="s">
        <v>110</v>
      </c>
      <c r="AR194" s="149" t="s">
        <v>110</v>
      </c>
      <c r="AS194" s="198" t="s">
        <v>110</v>
      </c>
      <c r="AT194" s="149" t="s">
        <v>110</v>
      </c>
      <c r="AU194" s="194">
        <v>46182</v>
      </c>
      <c r="AV194" s="149" t="s">
        <v>110</v>
      </c>
      <c r="AW194" s="149" t="s">
        <v>110</v>
      </c>
      <c r="AX194" s="194">
        <v>46189</v>
      </c>
      <c r="AY194" s="197">
        <v>46189</v>
      </c>
      <c r="AZ194" s="145" t="s">
        <v>33</v>
      </c>
      <c r="BA194" s="145" t="s">
        <v>113</v>
      </c>
      <c r="BB194" s="149" t="s">
        <v>110</v>
      </c>
      <c r="BC194" s="142">
        <f t="shared" si="9"/>
        <v>126</v>
      </c>
      <c r="BD194" s="134" t="str">
        <f t="shared" si="10"/>
        <v>INDENIZAÇÃO</v>
      </c>
      <c r="BE194" s="134" t="str">
        <f t="shared" si="11"/>
        <v>NÃO</v>
      </c>
      <c r="BF194" s="149" t="s">
        <v>24</v>
      </c>
      <c r="BG194" s="149" t="s">
        <v>24</v>
      </c>
      <c r="BH194" s="149" t="s">
        <v>24</v>
      </c>
      <c r="BI194" s="198" t="s">
        <v>110</v>
      </c>
      <c r="BJ194" s="145" t="s">
        <v>33</v>
      </c>
      <c r="BK194" s="145"/>
      <c r="BL194" s="145"/>
      <c r="BM194" s="145"/>
      <c r="BN194" s="276"/>
      <c r="BO194" s="276"/>
      <c r="BP194" s="199"/>
      <c r="BQ194" s="134"/>
      <c r="BR194" s="134"/>
      <c r="BS194" s="134"/>
      <c r="BT194" s="134"/>
      <c r="BU194" s="134"/>
      <c r="BV194" s="134"/>
      <c r="BW194" s="134"/>
      <c r="BX194" s="134"/>
      <c r="BY194" s="134"/>
      <c r="BZ194" s="134"/>
      <c r="CA194" s="134"/>
      <c r="CB194" s="134"/>
      <c r="CC194" s="134"/>
      <c r="CD194" s="134"/>
      <c r="CE194" s="134"/>
      <c r="CF194" s="134"/>
      <c r="CG194" s="134"/>
      <c r="CH194" s="134"/>
      <c r="CI194" s="211"/>
      <c r="CJ194" s="134"/>
      <c r="CK194" s="134"/>
      <c r="CL194" s="134"/>
      <c r="CM194" s="134"/>
      <c r="CN194" s="134"/>
      <c r="CO194" s="134"/>
      <c r="CP194" s="134"/>
      <c r="CQ194" s="134"/>
      <c r="CR194" s="134"/>
      <c r="CS194" s="134"/>
      <c r="CT194" s="134"/>
      <c r="CU194" s="134"/>
      <c r="CV194" s="134"/>
      <c r="CW194" s="134"/>
      <c r="CX194" s="134"/>
      <c r="CY194" s="134"/>
    </row>
    <row r="195" spans="1:103" s="149" customFormat="1" ht="30" hidden="1" customHeight="1" x14ac:dyDescent="0.25">
      <c r="A195" s="134">
        <v>179</v>
      </c>
      <c r="B195" s="245" t="s">
        <v>99</v>
      </c>
      <c r="C195" s="245">
        <v>1</v>
      </c>
      <c r="D195" s="245" t="s">
        <v>100</v>
      </c>
      <c r="E195" s="245" t="s">
        <v>100</v>
      </c>
      <c r="F195" s="246" t="s">
        <v>1046</v>
      </c>
      <c r="G195" s="149" t="s">
        <v>1</v>
      </c>
      <c r="H195" s="149" t="s">
        <v>2</v>
      </c>
      <c r="I195" s="149" t="s">
        <v>108</v>
      </c>
      <c r="J195" s="152" t="s">
        <v>1047</v>
      </c>
      <c r="K195" s="152" t="s">
        <v>1048</v>
      </c>
      <c r="L195" s="152" t="s">
        <v>1049</v>
      </c>
      <c r="M195" s="245" t="s">
        <v>4</v>
      </c>
      <c r="N195" s="245" t="s">
        <v>5</v>
      </c>
      <c r="O195" s="256">
        <v>45652</v>
      </c>
      <c r="P195" s="249" t="s">
        <v>24</v>
      </c>
      <c r="Q195" s="249" t="s">
        <v>24</v>
      </c>
      <c r="R195" s="249" t="s">
        <v>24</v>
      </c>
      <c r="S195" s="249" t="s">
        <v>24</v>
      </c>
      <c r="T195" s="249" t="s">
        <v>24</v>
      </c>
      <c r="U195" s="249" t="s">
        <v>24</v>
      </c>
      <c r="V195" s="249" t="s">
        <v>24</v>
      </c>
      <c r="W195" s="249" t="s">
        <v>24</v>
      </c>
      <c r="X195" s="249" t="s">
        <v>24</v>
      </c>
      <c r="Y195" s="249" t="s">
        <v>24</v>
      </c>
      <c r="Z195" s="249" t="s">
        <v>24</v>
      </c>
      <c r="AA195" s="250"/>
      <c r="AB195" s="152" t="s">
        <v>1047</v>
      </c>
      <c r="AC195" s="152" t="s">
        <v>1048</v>
      </c>
      <c r="AD195" s="152" t="s">
        <v>1049</v>
      </c>
      <c r="AE195" s="149" t="s">
        <v>108</v>
      </c>
      <c r="AF195" s="250" t="s">
        <v>4</v>
      </c>
      <c r="AG195" s="208">
        <v>31769.79</v>
      </c>
      <c r="AH195" s="208">
        <v>60000</v>
      </c>
      <c r="AI195" s="251" t="s">
        <v>6</v>
      </c>
      <c r="AJ195" s="246" t="s">
        <v>109</v>
      </c>
      <c r="AK195" s="257">
        <v>98330434</v>
      </c>
      <c r="AL195" s="250" t="s">
        <v>110</v>
      </c>
      <c r="AM195" s="250" t="s">
        <v>110</v>
      </c>
      <c r="AN195" s="250" t="s">
        <v>111</v>
      </c>
      <c r="AO195" s="245" t="s">
        <v>1050</v>
      </c>
      <c r="AP195" s="253" t="s">
        <v>1051</v>
      </c>
      <c r="AQ195" s="250" t="s">
        <v>110</v>
      </c>
      <c r="AR195" s="250" t="s">
        <v>110</v>
      </c>
      <c r="AS195" s="250" t="s">
        <v>110</v>
      </c>
      <c r="AT195" s="250" t="s">
        <v>110</v>
      </c>
      <c r="AU195" s="256">
        <v>45775</v>
      </c>
      <c r="AV195" s="250" t="s">
        <v>110</v>
      </c>
      <c r="AW195" s="250" t="s">
        <v>110</v>
      </c>
      <c r="AX195" s="256">
        <v>45782</v>
      </c>
      <c r="AY195" s="249">
        <v>45782</v>
      </c>
      <c r="AZ195" s="245" t="s">
        <v>355</v>
      </c>
      <c r="BA195" s="245" t="s">
        <v>1</v>
      </c>
      <c r="BB195" s="250" t="s">
        <v>110</v>
      </c>
      <c r="BC195" s="142">
        <f t="shared" si="9"/>
        <v>130</v>
      </c>
      <c r="BD195" s="134" t="str">
        <f t="shared" si="10"/>
        <v>INDENIZAÇÃO</v>
      </c>
      <c r="BE195" s="134" t="str">
        <f t="shared" si="11"/>
        <v>NÃO</v>
      </c>
      <c r="BF195" s="245" t="s">
        <v>24</v>
      </c>
      <c r="BG195" s="245" t="s">
        <v>24</v>
      </c>
      <c r="BH195" s="245" t="s">
        <v>24</v>
      </c>
      <c r="BI195" s="250" t="s">
        <v>110</v>
      </c>
      <c r="BJ195" s="198" t="s">
        <v>110</v>
      </c>
      <c r="BK195" s="194">
        <v>45859</v>
      </c>
      <c r="BL195" s="149" t="s">
        <v>110</v>
      </c>
      <c r="BM195" s="141" t="s">
        <v>33</v>
      </c>
      <c r="CI195" s="200"/>
    </row>
    <row r="196" spans="1:103" s="149" customFormat="1" ht="30" hidden="1" customHeight="1" x14ac:dyDescent="0.25">
      <c r="A196" s="134">
        <v>180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1052</v>
      </c>
      <c r="G196" s="149" t="s">
        <v>1</v>
      </c>
      <c r="H196" s="149" t="s">
        <v>2</v>
      </c>
      <c r="I196" s="149" t="s">
        <v>620</v>
      </c>
      <c r="J196" s="152" t="s">
        <v>1053</v>
      </c>
      <c r="K196" s="152" t="s">
        <v>1054</v>
      </c>
      <c r="L196" s="152" t="s">
        <v>1055</v>
      </c>
      <c r="M196" s="134" t="s">
        <v>4</v>
      </c>
      <c r="N196" s="134" t="s">
        <v>14</v>
      </c>
      <c r="O196" s="194">
        <v>45756</v>
      </c>
      <c r="P196" s="197" t="s">
        <v>17</v>
      </c>
      <c r="Q196" s="264" t="s">
        <v>386</v>
      </c>
      <c r="R196" s="197"/>
      <c r="S196" s="197"/>
      <c r="T196" s="197"/>
      <c r="U196" s="197"/>
      <c r="V196" s="197"/>
      <c r="W196" s="197"/>
      <c r="X196" s="197"/>
      <c r="Y196" s="197"/>
      <c r="Z196" s="197"/>
      <c r="AB196" s="152" t="s">
        <v>1056</v>
      </c>
      <c r="AC196" s="152" t="s">
        <v>1057</v>
      </c>
      <c r="AD196" s="152" t="s">
        <v>1058</v>
      </c>
      <c r="AE196" s="134" t="s">
        <v>342</v>
      </c>
      <c r="AF196" s="149" t="s">
        <v>4</v>
      </c>
      <c r="AG196" s="208">
        <v>42255.9</v>
      </c>
      <c r="AH196" s="208">
        <v>42255.9</v>
      </c>
      <c r="AI196" s="232" t="s">
        <v>6</v>
      </c>
      <c r="AJ196" s="138" t="s">
        <v>109</v>
      </c>
      <c r="AK196" s="235">
        <v>125886839</v>
      </c>
      <c r="AL196" s="134" t="s">
        <v>110</v>
      </c>
      <c r="AM196" s="134" t="s">
        <v>110</v>
      </c>
      <c r="AN196" s="134" t="s">
        <v>111</v>
      </c>
      <c r="AO196" s="226"/>
      <c r="AP196" s="152" t="s">
        <v>1059</v>
      </c>
      <c r="AQ196" s="149" t="s">
        <v>110</v>
      </c>
      <c r="AR196" s="149" t="s">
        <v>110</v>
      </c>
      <c r="AS196" s="198" t="s">
        <v>110</v>
      </c>
      <c r="AT196" s="198" t="s">
        <v>110</v>
      </c>
      <c r="AU196" s="194">
        <v>45819</v>
      </c>
      <c r="AV196" s="198" t="s">
        <v>110</v>
      </c>
      <c r="AW196" s="198" t="s">
        <v>110</v>
      </c>
      <c r="AX196" s="194">
        <v>45826</v>
      </c>
      <c r="AY196" s="197">
        <v>45826</v>
      </c>
      <c r="AZ196" s="145" t="s">
        <v>33</v>
      </c>
      <c r="BA196" s="145" t="s">
        <v>113</v>
      </c>
      <c r="BB196" s="149" t="s">
        <v>110</v>
      </c>
      <c r="BC196" s="142">
        <f t="shared" si="9"/>
        <v>70</v>
      </c>
      <c r="BD196" s="134" t="str">
        <f t="shared" si="10"/>
        <v>INDENIZAÇÃO</v>
      </c>
      <c r="BE196" s="134" t="str">
        <f t="shared" si="11"/>
        <v>NÃO</v>
      </c>
      <c r="BF196" s="134" t="s">
        <v>24</v>
      </c>
      <c r="BG196" s="134" t="s">
        <v>24</v>
      </c>
      <c r="BH196" s="134" t="s">
        <v>24</v>
      </c>
      <c r="BI196" s="198" t="s">
        <v>110</v>
      </c>
      <c r="BJ196" s="198" t="s">
        <v>110</v>
      </c>
      <c r="BK196" s="194">
        <v>45859</v>
      </c>
      <c r="BL196" s="149" t="s">
        <v>110</v>
      </c>
      <c r="BM196" s="141" t="s">
        <v>33</v>
      </c>
      <c r="CI196" s="200"/>
    </row>
    <row r="197" spans="1:103" s="149" customFormat="1" ht="30" hidden="1" customHeight="1" x14ac:dyDescent="0.25">
      <c r="A197" s="134">
        <v>181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1060</v>
      </c>
      <c r="G197" s="149" t="s">
        <v>1</v>
      </c>
      <c r="H197" s="149" t="s">
        <v>2</v>
      </c>
      <c r="I197" s="149" t="s">
        <v>108</v>
      </c>
      <c r="J197" s="152" t="s">
        <v>1061</v>
      </c>
      <c r="K197" s="152" t="s">
        <v>1062</v>
      </c>
      <c r="L197" s="152" t="s">
        <v>1063</v>
      </c>
      <c r="M197" s="134" t="s">
        <v>4</v>
      </c>
      <c r="N197" s="214" t="s">
        <v>5</v>
      </c>
      <c r="O197" s="194">
        <v>45702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1061</v>
      </c>
      <c r="AC197" s="152" t="s">
        <v>1062</v>
      </c>
      <c r="AD197" s="152" t="s">
        <v>1063</v>
      </c>
      <c r="AE197" s="149" t="s">
        <v>108</v>
      </c>
      <c r="AF197" s="149" t="s">
        <v>4</v>
      </c>
      <c r="AG197" s="208">
        <v>38033.14</v>
      </c>
      <c r="AH197" s="208">
        <v>60000</v>
      </c>
      <c r="AI197" s="232" t="s">
        <v>6</v>
      </c>
      <c r="AJ197" s="138" t="s">
        <v>109</v>
      </c>
      <c r="AK197" s="235">
        <v>114956465</v>
      </c>
      <c r="AL197" s="149" t="s">
        <v>110</v>
      </c>
      <c r="AM197" s="149" t="s">
        <v>110</v>
      </c>
      <c r="AN197" s="149" t="s">
        <v>111</v>
      </c>
      <c r="AP197" s="199" t="s">
        <v>1064</v>
      </c>
      <c r="AQ197" s="149" t="s">
        <v>110</v>
      </c>
      <c r="AR197" s="149" t="s">
        <v>110</v>
      </c>
      <c r="AS197" s="149" t="s">
        <v>110</v>
      </c>
      <c r="AT197" s="149" t="s">
        <v>110</v>
      </c>
      <c r="AU197" s="144">
        <v>45750</v>
      </c>
      <c r="AV197" s="149" t="s">
        <v>110</v>
      </c>
      <c r="AW197" s="149" t="s">
        <v>110</v>
      </c>
      <c r="AX197" s="144">
        <v>45756</v>
      </c>
      <c r="AY197" s="140">
        <v>45756</v>
      </c>
      <c r="AZ197" s="141" t="s">
        <v>33</v>
      </c>
      <c r="BA197" s="145" t="s">
        <v>1</v>
      </c>
      <c r="BB197" s="149" t="s">
        <v>110</v>
      </c>
      <c r="BC197" s="142">
        <f t="shared" si="9"/>
        <v>54</v>
      </c>
      <c r="BD197" s="134" t="str">
        <f t="shared" si="10"/>
        <v>INDENIZAÇÃO</v>
      </c>
      <c r="BE197" s="134" t="str">
        <f t="shared" si="11"/>
        <v>NÃO</v>
      </c>
      <c r="BF197" s="149" t="s">
        <v>24</v>
      </c>
      <c r="BG197" s="149" t="s">
        <v>24</v>
      </c>
      <c r="BH197" s="149" t="s">
        <v>24</v>
      </c>
      <c r="BI197" s="198" t="s">
        <v>110</v>
      </c>
      <c r="BJ197" s="198" t="s">
        <v>110</v>
      </c>
      <c r="BK197" s="161">
        <v>45783</v>
      </c>
      <c r="BL197" s="198" t="s">
        <v>110</v>
      </c>
      <c r="BM197" s="145" t="s">
        <v>33</v>
      </c>
      <c r="CI197" s="200"/>
    </row>
    <row r="198" spans="1:103" s="149" customFormat="1" ht="30" hidden="1" customHeight="1" x14ac:dyDescent="0.25">
      <c r="A198" s="134">
        <v>182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1065</v>
      </c>
      <c r="G198" s="149" t="s">
        <v>1</v>
      </c>
      <c r="H198" s="149" t="s">
        <v>2</v>
      </c>
      <c r="I198" s="149" t="s">
        <v>342</v>
      </c>
      <c r="J198" s="152" t="s">
        <v>1066</v>
      </c>
      <c r="K198" s="152" t="s">
        <v>1067</v>
      </c>
      <c r="L198" s="152" t="s">
        <v>1068</v>
      </c>
      <c r="M198" s="134" t="s">
        <v>4</v>
      </c>
      <c r="N198" s="214" t="s">
        <v>365</v>
      </c>
      <c r="O198" s="194"/>
      <c r="P198" s="144"/>
      <c r="Q198" s="263"/>
      <c r="R198" s="144"/>
      <c r="S198" s="144"/>
      <c r="T198" s="144"/>
      <c r="U198" s="144"/>
      <c r="V198" s="144"/>
      <c r="W198" s="144"/>
      <c r="X198" s="144"/>
      <c r="Y198" s="144"/>
      <c r="Z198" s="144"/>
      <c r="AB198" s="152" t="s">
        <v>1066</v>
      </c>
      <c r="AC198" s="152" t="s">
        <v>1067</v>
      </c>
      <c r="AD198" s="152" t="s">
        <v>1068</v>
      </c>
      <c r="AE198" s="134" t="s">
        <v>342</v>
      </c>
      <c r="AG198" s="208"/>
      <c r="AH198" s="208"/>
      <c r="AI198" s="232"/>
      <c r="AJ198" s="214"/>
      <c r="AK198" s="235"/>
      <c r="AP198" s="152"/>
      <c r="BC198" s="142" t="str">
        <f t="shared" si="9"/>
        <v/>
      </c>
      <c r="BD198" s="134" t="str">
        <f t="shared" si="10"/>
        <v>INDENIZAÇÃO</v>
      </c>
      <c r="BE198" s="134" t="str">
        <f t="shared" si="11"/>
        <v>NÃO</v>
      </c>
      <c r="BF198" s="134"/>
      <c r="BG198" s="194"/>
      <c r="BH198" s="194"/>
      <c r="CI198" s="200"/>
    </row>
    <row r="199" spans="1:103" s="149" customFormat="1" ht="30" hidden="1" customHeight="1" x14ac:dyDescent="0.25">
      <c r="A199" s="134">
        <v>183</v>
      </c>
      <c r="B199" s="134" t="s">
        <v>99</v>
      </c>
      <c r="C199" s="134">
        <v>1</v>
      </c>
      <c r="D199" s="134" t="s">
        <v>100</v>
      </c>
      <c r="E199" s="134" t="s">
        <v>100</v>
      </c>
      <c r="F199" s="138" t="s">
        <v>1069</v>
      </c>
      <c r="G199" s="149" t="s">
        <v>1</v>
      </c>
      <c r="H199" s="149" t="s">
        <v>2</v>
      </c>
      <c r="I199" s="149" t="s">
        <v>108</v>
      </c>
      <c r="J199" s="152" t="s">
        <v>1070</v>
      </c>
      <c r="K199" s="152" t="s">
        <v>1071</v>
      </c>
      <c r="L199" s="152" t="s">
        <v>1072</v>
      </c>
      <c r="M199" s="134" t="s">
        <v>4</v>
      </c>
      <c r="N199" s="214" t="s">
        <v>5</v>
      </c>
      <c r="O199" s="194">
        <v>45594</v>
      </c>
      <c r="P199" s="144" t="s">
        <v>24</v>
      </c>
      <c r="Q199" s="144" t="s">
        <v>24</v>
      </c>
      <c r="R199" s="144" t="s">
        <v>24</v>
      </c>
      <c r="S199" s="144" t="s">
        <v>24</v>
      </c>
      <c r="T199" s="144" t="s">
        <v>24</v>
      </c>
      <c r="U199" s="144" t="s">
        <v>24</v>
      </c>
      <c r="V199" s="144" t="s">
        <v>24</v>
      </c>
      <c r="W199" s="144" t="s">
        <v>24</v>
      </c>
      <c r="X199" s="144" t="s">
        <v>24</v>
      </c>
      <c r="Y199" s="144" t="s">
        <v>24</v>
      </c>
      <c r="Z199" s="144" t="s">
        <v>24</v>
      </c>
      <c r="AB199" s="152" t="s">
        <v>1070</v>
      </c>
      <c r="AC199" s="152" t="s">
        <v>1071</v>
      </c>
      <c r="AD199" s="152" t="s">
        <v>1072</v>
      </c>
      <c r="AE199" s="149" t="s">
        <v>108</v>
      </c>
      <c r="AF199" s="149" t="s">
        <v>4</v>
      </c>
      <c r="AG199" s="208">
        <v>90482.35</v>
      </c>
      <c r="AH199" s="208">
        <v>90482.35</v>
      </c>
      <c r="AI199" s="232" t="s">
        <v>6</v>
      </c>
      <c r="AJ199" s="138" t="s">
        <v>109</v>
      </c>
      <c r="AK199" s="235">
        <v>98330542</v>
      </c>
      <c r="AL199" s="134" t="s">
        <v>110</v>
      </c>
      <c r="AM199" s="134" t="s">
        <v>110</v>
      </c>
      <c r="AN199" s="134" t="s">
        <v>111</v>
      </c>
      <c r="AO199" s="225" t="s">
        <v>1073</v>
      </c>
      <c r="AP199" s="152" t="s">
        <v>1074</v>
      </c>
      <c r="AQ199" s="149" t="s">
        <v>110</v>
      </c>
      <c r="AR199" s="149" t="s">
        <v>110</v>
      </c>
      <c r="AS199" s="198" t="s">
        <v>110</v>
      </c>
      <c r="AT199" s="198" t="s">
        <v>110</v>
      </c>
      <c r="AU199" s="161">
        <v>45831</v>
      </c>
      <c r="AV199" s="198" t="s">
        <v>110</v>
      </c>
      <c r="AW199" s="198" t="s">
        <v>110</v>
      </c>
      <c r="AX199" s="161">
        <v>45834</v>
      </c>
      <c r="AY199" s="140">
        <v>45834</v>
      </c>
      <c r="AZ199" s="145" t="s">
        <v>33</v>
      </c>
      <c r="BA199" s="145" t="s">
        <v>113</v>
      </c>
      <c r="BB199" s="149" t="s">
        <v>110</v>
      </c>
      <c r="BC199" s="142">
        <f t="shared" si="9"/>
        <v>240</v>
      </c>
      <c r="BD199" s="134" t="str">
        <f t="shared" si="10"/>
        <v>INDENIZAÇÃO</v>
      </c>
      <c r="BE199" s="134" t="str">
        <f t="shared" si="11"/>
        <v>NÃO</v>
      </c>
      <c r="BF199" s="134" t="s">
        <v>24</v>
      </c>
      <c r="BG199" s="134" t="s">
        <v>24</v>
      </c>
      <c r="BH199" s="134" t="s">
        <v>24</v>
      </c>
      <c r="BI199" s="198" t="s">
        <v>110</v>
      </c>
      <c r="BJ199" s="198" t="s">
        <v>110</v>
      </c>
      <c r="BK199" s="194">
        <v>45859</v>
      </c>
      <c r="BL199" s="149" t="s">
        <v>110</v>
      </c>
      <c r="BM199" s="141" t="s">
        <v>33</v>
      </c>
      <c r="CI199" s="200"/>
    </row>
    <row r="200" spans="1:103" s="149" customFormat="1" ht="30" hidden="1" customHeight="1" x14ac:dyDescent="0.25">
      <c r="A200" s="134">
        <v>184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1075</v>
      </c>
      <c r="G200" s="149" t="s">
        <v>1</v>
      </c>
      <c r="H200" s="149" t="s">
        <v>2</v>
      </c>
      <c r="I200" s="149" t="s">
        <v>108</v>
      </c>
      <c r="J200" s="152" t="s">
        <v>1076</v>
      </c>
      <c r="K200" s="152" t="s">
        <v>1077</v>
      </c>
      <c r="L200" s="152">
        <v>48834094816</v>
      </c>
      <c r="M200" s="134" t="s">
        <v>4</v>
      </c>
      <c r="N200" s="214" t="s">
        <v>5</v>
      </c>
      <c r="O200" s="194">
        <v>45652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24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1076</v>
      </c>
      <c r="AC200" s="152" t="s">
        <v>1077</v>
      </c>
      <c r="AD200" s="152" t="s">
        <v>1078</v>
      </c>
      <c r="AE200" s="149" t="s">
        <v>108</v>
      </c>
      <c r="AF200" s="149" t="s">
        <v>4</v>
      </c>
      <c r="AG200" s="208">
        <v>36577.31</v>
      </c>
      <c r="AH200" s="208">
        <v>60000</v>
      </c>
      <c r="AI200" s="232" t="s">
        <v>6</v>
      </c>
      <c r="AJ200" s="138" t="s">
        <v>109</v>
      </c>
      <c r="AK200" s="235">
        <v>98330665</v>
      </c>
      <c r="AL200" s="134" t="s">
        <v>110</v>
      </c>
      <c r="AM200" s="134" t="s">
        <v>110</v>
      </c>
      <c r="AN200" s="134" t="s">
        <v>111</v>
      </c>
      <c r="AO200" s="225" t="s">
        <v>1073</v>
      </c>
      <c r="AP200" s="152" t="s">
        <v>1079</v>
      </c>
      <c r="AQ200" s="149" t="s">
        <v>110</v>
      </c>
      <c r="AR200" s="149" t="s">
        <v>110</v>
      </c>
      <c r="AS200" s="198" t="s">
        <v>110</v>
      </c>
      <c r="AT200" s="198" t="s">
        <v>110</v>
      </c>
      <c r="AU200" s="161">
        <v>45831</v>
      </c>
      <c r="AV200" s="198" t="s">
        <v>110</v>
      </c>
      <c r="AW200" s="198" t="s">
        <v>110</v>
      </c>
      <c r="AX200" s="161">
        <v>45834</v>
      </c>
      <c r="AY200" s="140">
        <v>45834</v>
      </c>
      <c r="AZ200" s="145" t="s">
        <v>33</v>
      </c>
      <c r="BA200" s="145" t="s">
        <v>113</v>
      </c>
      <c r="BB200" s="149" t="s">
        <v>110</v>
      </c>
      <c r="BC200" s="142">
        <f t="shared" si="9"/>
        <v>182</v>
      </c>
      <c r="BD200" s="134" t="str">
        <f t="shared" si="10"/>
        <v>INDENIZAÇÃO</v>
      </c>
      <c r="BE200" s="134" t="str">
        <f t="shared" si="11"/>
        <v>NÃO</v>
      </c>
      <c r="BF200" s="134" t="s">
        <v>24</v>
      </c>
      <c r="BG200" s="134" t="s">
        <v>24</v>
      </c>
      <c r="BH200" s="134" t="s">
        <v>24</v>
      </c>
      <c r="BI200" s="198" t="s">
        <v>110</v>
      </c>
      <c r="BJ200" s="198" t="s">
        <v>110</v>
      </c>
      <c r="BK200" s="194">
        <v>45859</v>
      </c>
      <c r="BL200" s="149" t="s">
        <v>110</v>
      </c>
      <c r="BM200" s="141" t="s">
        <v>33</v>
      </c>
      <c r="CI200" s="200"/>
    </row>
    <row r="201" spans="1:103" s="149" customFormat="1" ht="30" hidden="1" customHeight="1" x14ac:dyDescent="0.25">
      <c r="A201" s="134">
        <v>185</v>
      </c>
      <c r="B201" s="245" t="s">
        <v>99</v>
      </c>
      <c r="C201" s="245">
        <v>1</v>
      </c>
      <c r="D201" s="245" t="s">
        <v>100</v>
      </c>
      <c r="E201" s="245" t="s">
        <v>100</v>
      </c>
      <c r="F201" s="246" t="s">
        <v>1080</v>
      </c>
      <c r="G201" s="149" t="s">
        <v>1</v>
      </c>
      <c r="H201" s="149" t="s">
        <v>1081</v>
      </c>
      <c r="I201" s="149" t="s">
        <v>342</v>
      </c>
      <c r="J201" s="152" t="s">
        <v>1082</v>
      </c>
      <c r="K201" s="152" t="s">
        <v>1083</v>
      </c>
      <c r="L201" s="152" t="s">
        <v>1084</v>
      </c>
      <c r="M201" s="245" t="s">
        <v>4</v>
      </c>
      <c r="N201" s="245" t="s">
        <v>1085</v>
      </c>
      <c r="O201" s="256">
        <v>45594</v>
      </c>
      <c r="P201" s="249" t="s">
        <v>24</v>
      </c>
      <c r="Q201" s="249" t="s">
        <v>24</v>
      </c>
      <c r="R201" s="249" t="s">
        <v>24</v>
      </c>
      <c r="S201" s="249" t="s">
        <v>24</v>
      </c>
      <c r="T201" s="249" t="s">
        <v>24</v>
      </c>
      <c r="U201" s="249" t="s">
        <v>24</v>
      </c>
      <c r="V201" s="249" t="s">
        <v>24</v>
      </c>
      <c r="W201" s="249" t="s">
        <v>24</v>
      </c>
      <c r="X201" s="249" t="s">
        <v>24</v>
      </c>
      <c r="Y201" s="249" t="s">
        <v>24</v>
      </c>
      <c r="Z201" s="249" t="s">
        <v>24</v>
      </c>
      <c r="AA201" s="250"/>
      <c r="AB201" s="152" t="s">
        <v>1082</v>
      </c>
      <c r="AC201" s="152" t="s">
        <v>1083</v>
      </c>
      <c r="AD201" s="152" t="s">
        <v>1084</v>
      </c>
      <c r="AE201" s="134" t="s">
        <v>342</v>
      </c>
      <c r="AF201" s="303" t="s">
        <v>4</v>
      </c>
      <c r="AG201" s="208">
        <v>29353.89</v>
      </c>
      <c r="AH201" s="208">
        <v>59353.89</v>
      </c>
      <c r="AI201" s="304" t="s">
        <v>6</v>
      </c>
      <c r="AJ201" s="313" t="s">
        <v>109</v>
      </c>
      <c r="AK201" s="304"/>
      <c r="AL201" s="303" t="s">
        <v>110</v>
      </c>
      <c r="AM201" s="303" t="s">
        <v>110</v>
      </c>
      <c r="AN201" s="304" t="s">
        <v>111</v>
      </c>
      <c r="AO201" s="303"/>
      <c r="AP201" s="253" t="s">
        <v>1086</v>
      </c>
      <c r="AQ201" s="250" t="s">
        <v>110</v>
      </c>
      <c r="AR201" s="250" t="s">
        <v>110</v>
      </c>
      <c r="AS201" s="250" t="s">
        <v>110</v>
      </c>
      <c r="AT201" s="250" t="s">
        <v>110</v>
      </c>
      <c r="AU201" s="248">
        <v>45755</v>
      </c>
      <c r="AV201" s="250" t="s">
        <v>110</v>
      </c>
      <c r="AW201" s="250" t="s">
        <v>110</v>
      </c>
      <c r="AX201" s="254">
        <v>45762</v>
      </c>
      <c r="AY201" s="254">
        <v>45762</v>
      </c>
      <c r="AZ201" s="245" t="s">
        <v>355</v>
      </c>
      <c r="BA201" s="245" t="s">
        <v>1</v>
      </c>
      <c r="BB201" s="250" t="s">
        <v>110</v>
      </c>
      <c r="BC201" s="142">
        <f t="shared" si="9"/>
        <v>168</v>
      </c>
      <c r="BD201" s="134" t="str">
        <f t="shared" si="10"/>
        <v>INDENIZAÇÃO</v>
      </c>
      <c r="BE201" s="134" t="str">
        <f t="shared" si="11"/>
        <v>NÃO</v>
      </c>
      <c r="BF201" s="303" t="s">
        <v>24</v>
      </c>
      <c r="BG201" s="303" t="s">
        <v>24</v>
      </c>
      <c r="BH201" s="303" t="s">
        <v>24</v>
      </c>
      <c r="BI201" s="303" t="s">
        <v>110</v>
      </c>
      <c r="BJ201" s="303" t="s">
        <v>110</v>
      </c>
      <c r="BK201" s="305">
        <v>45783</v>
      </c>
      <c r="BL201" s="250" t="s">
        <v>110</v>
      </c>
      <c r="BM201" s="250" t="s">
        <v>33</v>
      </c>
      <c r="CI201" s="200"/>
    </row>
    <row r="202" spans="1:103" s="149" customFormat="1" ht="30" hidden="1" customHeight="1" x14ac:dyDescent="0.25">
      <c r="A202" s="134">
        <v>186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1087</v>
      </c>
      <c r="G202" s="149" t="s">
        <v>1</v>
      </c>
      <c r="H202" s="149" t="s">
        <v>2</v>
      </c>
      <c r="I202" s="149" t="s">
        <v>108</v>
      </c>
      <c r="J202" s="152" t="s">
        <v>1088</v>
      </c>
      <c r="K202" s="152" t="s">
        <v>1089</v>
      </c>
      <c r="L202" s="152" t="s">
        <v>1090</v>
      </c>
      <c r="M202" s="134" t="s">
        <v>4</v>
      </c>
      <c r="N202" s="214" t="s">
        <v>5</v>
      </c>
      <c r="O202" s="194">
        <v>45594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1091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1088</v>
      </c>
      <c r="AC202" s="152" t="s">
        <v>1089</v>
      </c>
      <c r="AD202" s="152" t="s">
        <v>1090</v>
      </c>
      <c r="AE202" s="149" t="s">
        <v>108</v>
      </c>
      <c r="AF202" s="149" t="s">
        <v>4</v>
      </c>
      <c r="AG202" s="208">
        <v>75427.740000000005</v>
      </c>
      <c r="AH202" s="208">
        <v>75427.740000000005</v>
      </c>
      <c r="AI202" s="232" t="s">
        <v>6</v>
      </c>
      <c r="AJ202" s="138" t="s">
        <v>109</v>
      </c>
      <c r="AK202" s="235">
        <v>108769791</v>
      </c>
      <c r="AL202" s="134" t="s">
        <v>110</v>
      </c>
      <c r="AM202" s="134" t="s">
        <v>110</v>
      </c>
      <c r="AN202" s="134" t="s">
        <v>111</v>
      </c>
      <c r="AO202" s="225" t="s">
        <v>1073</v>
      </c>
      <c r="AP202" s="152" t="s">
        <v>1092</v>
      </c>
      <c r="AQ202" s="134" t="s">
        <v>110</v>
      </c>
      <c r="AR202" s="134" t="s">
        <v>110</v>
      </c>
      <c r="AS202" s="134" t="s">
        <v>110</v>
      </c>
      <c r="AT202" s="134" t="s">
        <v>110</v>
      </c>
      <c r="AU202" s="194">
        <v>45846</v>
      </c>
      <c r="AV202" s="198" t="s">
        <v>110</v>
      </c>
      <c r="AW202" s="198" t="s">
        <v>110</v>
      </c>
      <c r="AX202" s="161">
        <v>45902</v>
      </c>
      <c r="AY202" s="140">
        <v>45902</v>
      </c>
      <c r="AZ202" s="140" t="s">
        <v>33</v>
      </c>
      <c r="BA202" s="141" t="s">
        <v>113</v>
      </c>
      <c r="BB202" s="149" t="s">
        <v>110</v>
      </c>
      <c r="BC202" s="142">
        <f t="shared" si="9"/>
        <v>308</v>
      </c>
      <c r="BD202" s="134" t="str">
        <f t="shared" si="10"/>
        <v>INDENIZAÇÃO</v>
      </c>
      <c r="BE202" s="134" t="str">
        <f t="shared" si="11"/>
        <v>NÃO</v>
      </c>
      <c r="BF202" s="149" t="s">
        <v>24</v>
      </c>
      <c r="BG202" s="149" t="s">
        <v>24</v>
      </c>
      <c r="BH202" s="149" t="s">
        <v>24</v>
      </c>
      <c r="BI202" s="198" t="s">
        <v>110</v>
      </c>
      <c r="BJ202" s="198" t="s">
        <v>110</v>
      </c>
      <c r="BK202" s="161">
        <v>45923</v>
      </c>
      <c r="BL202" s="198" t="s">
        <v>110</v>
      </c>
      <c r="BM202" s="145" t="s">
        <v>33</v>
      </c>
      <c r="CI202" s="200"/>
    </row>
    <row r="203" spans="1:103" s="149" customFormat="1" ht="30" hidden="1" customHeight="1" x14ac:dyDescent="0.25">
      <c r="A203" s="134">
        <v>187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1093</v>
      </c>
      <c r="G203" s="149" t="s">
        <v>1</v>
      </c>
      <c r="H203" s="149" t="s">
        <v>2</v>
      </c>
      <c r="I203" s="149" t="s">
        <v>108</v>
      </c>
      <c r="J203" s="152" t="s">
        <v>1094</v>
      </c>
      <c r="K203" s="152" t="s">
        <v>1095</v>
      </c>
      <c r="L203" s="152" t="s">
        <v>1096</v>
      </c>
      <c r="M203" s="134" t="s">
        <v>4</v>
      </c>
      <c r="N203" s="214" t="s">
        <v>5</v>
      </c>
      <c r="O203" s="194">
        <v>45455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1094</v>
      </c>
      <c r="AC203" s="152" t="s">
        <v>1095</v>
      </c>
      <c r="AD203" s="152" t="s">
        <v>1096</v>
      </c>
      <c r="AE203" s="149" t="s">
        <v>108</v>
      </c>
      <c r="AF203" s="149" t="s">
        <v>4</v>
      </c>
      <c r="AG203" s="208">
        <v>36199.06</v>
      </c>
      <c r="AH203" s="208">
        <v>60000</v>
      </c>
      <c r="AI203" s="232" t="s">
        <v>6</v>
      </c>
      <c r="AJ203" s="138" t="s">
        <v>109</v>
      </c>
      <c r="AK203" s="235"/>
      <c r="AL203" s="149" t="s">
        <v>110</v>
      </c>
      <c r="AM203" s="149" t="s">
        <v>110</v>
      </c>
      <c r="AN203" s="149" t="s">
        <v>111</v>
      </c>
      <c r="AP203" s="199" t="s">
        <v>1097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45525</v>
      </c>
      <c r="AV203" s="149" t="s">
        <v>110</v>
      </c>
      <c r="AW203" s="149" t="s">
        <v>110</v>
      </c>
      <c r="AX203" s="194">
        <v>45531</v>
      </c>
      <c r="AY203" s="197">
        <v>45531</v>
      </c>
      <c r="AZ203" s="145" t="s">
        <v>33</v>
      </c>
      <c r="BA203" s="145" t="s">
        <v>113</v>
      </c>
      <c r="BB203" s="149" t="s">
        <v>110</v>
      </c>
      <c r="BC203" s="142">
        <f t="shared" si="9"/>
        <v>76</v>
      </c>
      <c r="BD203" s="134" t="str">
        <f t="shared" si="10"/>
        <v>INDENIZAÇÃO</v>
      </c>
      <c r="BE203" s="134" t="str">
        <f t="shared" si="11"/>
        <v>NÃO</v>
      </c>
      <c r="BF203" s="134" t="s">
        <v>24</v>
      </c>
      <c r="BG203" s="134" t="s">
        <v>24</v>
      </c>
      <c r="BH203" s="134" t="s">
        <v>24</v>
      </c>
      <c r="BI203" s="198" t="s">
        <v>110</v>
      </c>
      <c r="BJ203" s="198" t="s">
        <v>110</v>
      </c>
      <c r="BK203" s="194">
        <v>45559</v>
      </c>
      <c r="BL203" s="198" t="s">
        <v>110</v>
      </c>
      <c r="BM203" s="145" t="s">
        <v>33</v>
      </c>
      <c r="CI203" s="200"/>
    </row>
    <row r="204" spans="1:103" s="149" customFormat="1" ht="30" hidden="1" customHeight="1" x14ac:dyDescent="0.25">
      <c r="A204" s="134">
        <v>188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1098</v>
      </c>
      <c r="G204" s="149" t="s">
        <v>1</v>
      </c>
      <c r="H204" s="149" t="s">
        <v>2</v>
      </c>
      <c r="I204" s="149" t="s">
        <v>108</v>
      </c>
      <c r="J204" s="152" t="s">
        <v>1099</v>
      </c>
      <c r="K204" s="152" t="s">
        <v>1100</v>
      </c>
      <c r="L204" s="152" t="s">
        <v>1101</v>
      </c>
      <c r="M204" s="134" t="s">
        <v>4</v>
      </c>
      <c r="N204" s="214" t="s">
        <v>5</v>
      </c>
      <c r="O204" s="194">
        <v>45455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1099</v>
      </c>
      <c r="AC204" s="152" t="s">
        <v>1100</v>
      </c>
      <c r="AD204" s="152" t="s">
        <v>1101</v>
      </c>
      <c r="AE204" s="149" t="s">
        <v>108</v>
      </c>
      <c r="AF204" s="149" t="s">
        <v>4</v>
      </c>
      <c r="AG204" s="208">
        <v>10467.299999999999</v>
      </c>
      <c r="AH204" s="208">
        <f>AG204+30000</f>
        <v>40467.300000000003</v>
      </c>
      <c r="AI204" s="232" t="s">
        <v>6</v>
      </c>
      <c r="AJ204" s="138" t="s">
        <v>109</v>
      </c>
      <c r="AK204" s="235"/>
      <c r="AL204" s="149" t="s">
        <v>110</v>
      </c>
      <c r="AM204" s="149" t="s">
        <v>110</v>
      </c>
      <c r="AN204" s="149" t="s">
        <v>111</v>
      </c>
      <c r="AP204" s="199" t="s">
        <v>1102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45538</v>
      </c>
      <c r="AV204" s="149" t="s">
        <v>110</v>
      </c>
      <c r="AW204" s="149" t="s">
        <v>110</v>
      </c>
      <c r="AX204" s="144">
        <v>45546</v>
      </c>
      <c r="AY204" s="197">
        <v>45546</v>
      </c>
      <c r="AZ204" s="145" t="s">
        <v>33</v>
      </c>
      <c r="BA204" s="145" t="s">
        <v>113</v>
      </c>
      <c r="BB204" s="149" t="s">
        <v>110</v>
      </c>
      <c r="BC204" s="142">
        <f t="shared" si="9"/>
        <v>91</v>
      </c>
      <c r="BD204" s="134" t="str">
        <f t="shared" si="10"/>
        <v>INDENIZAÇÃO</v>
      </c>
      <c r="BE204" s="134" t="str">
        <f t="shared" si="11"/>
        <v>NÃO</v>
      </c>
      <c r="BF204" s="134" t="s">
        <v>24</v>
      </c>
      <c r="BG204" s="134" t="s">
        <v>24</v>
      </c>
      <c r="BH204" s="134" t="s">
        <v>24</v>
      </c>
      <c r="BI204" s="198" t="s">
        <v>110</v>
      </c>
      <c r="BJ204" s="198" t="s">
        <v>110</v>
      </c>
      <c r="BK204" s="194">
        <v>45621</v>
      </c>
      <c r="BL204" s="198" t="s">
        <v>110</v>
      </c>
      <c r="BM204" s="145" t="s">
        <v>33</v>
      </c>
      <c r="CI204" s="200"/>
    </row>
    <row r="205" spans="1:103" s="149" customFormat="1" ht="30" hidden="1" customHeight="1" x14ac:dyDescent="0.25">
      <c r="A205" s="134">
        <v>189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1103</v>
      </c>
      <c r="G205" s="149" t="s">
        <v>1</v>
      </c>
      <c r="H205" s="149" t="s">
        <v>2</v>
      </c>
      <c r="I205" s="149" t="s">
        <v>108</v>
      </c>
      <c r="J205" s="152" t="s">
        <v>1104</v>
      </c>
      <c r="K205" s="152" t="s">
        <v>1105</v>
      </c>
      <c r="L205" s="152" t="s">
        <v>1106</v>
      </c>
      <c r="M205" s="134" t="s">
        <v>4</v>
      </c>
      <c r="N205" s="214" t="s">
        <v>5</v>
      </c>
      <c r="O205" s="194">
        <v>45268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1104</v>
      </c>
      <c r="AC205" s="152" t="s">
        <v>1105</v>
      </c>
      <c r="AD205" s="152" t="s">
        <v>1106</v>
      </c>
      <c r="AE205" s="149" t="s">
        <v>108</v>
      </c>
      <c r="AF205" s="149" t="s">
        <v>4</v>
      </c>
      <c r="AG205" s="208">
        <v>61334.66</v>
      </c>
      <c r="AH205" s="208">
        <v>61334.66</v>
      </c>
      <c r="AI205" s="214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1107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45373</v>
      </c>
      <c r="AV205" s="149" t="s">
        <v>110</v>
      </c>
      <c r="AW205" s="149" t="s">
        <v>110</v>
      </c>
      <c r="AX205" s="194">
        <v>45385</v>
      </c>
      <c r="AY205" s="197">
        <v>45385</v>
      </c>
      <c r="AZ205" s="197" t="s">
        <v>33</v>
      </c>
      <c r="BA205" s="145" t="s">
        <v>113</v>
      </c>
      <c r="BB205" s="149" t="s">
        <v>110</v>
      </c>
      <c r="BC205" s="142">
        <f t="shared" si="9"/>
        <v>117</v>
      </c>
      <c r="BD205" s="134" t="str">
        <f t="shared" si="10"/>
        <v>INDENIZAÇÃO</v>
      </c>
      <c r="BE205" s="134" t="str">
        <f t="shared" si="11"/>
        <v>NÃO</v>
      </c>
      <c r="BF205" s="134" t="s">
        <v>24</v>
      </c>
      <c r="BG205" s="134" t="s">
        <v>24</v>
      </c>
      <c r="BH205" s="134" t="s">
        <v>24</v>
      </c>
      <c r="BI205" s="149" t="s">
        <v>110</v>
      </c>
      <c r="BJ205" s="149" t="s">
        <v>110</v>
      </c>
      <c r="BK205" s="194">
        <v>45510</v>
      </c>
      <c r="BL205" s="149" t="s">
        <v>110</v>
      </c>
      <c r="BM205" s="145" t="s">
        <v>33</v>
      </c>
      <c r="CI205" s="200"/>
    </row>
    <row r="206" spans="1:103" s="149" customFormat="1" ht="30" hidden="1" customHeight="1" x14ac:dyDescent="0.25">
      <c r="A206" s="134">
        <v>190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1108</v>
      </c>
      <c r="G206" s="149" t="s">
        <v>1</v>
      </c>
      <c r="H206" s="149" t="s">
        <v>2</v>
      </c>
      <c r="I206" s="149" t="s">
        <v>108</v>
      </c>
      <c r="J206" s="152" t="s">
        <v>1109</v>
      </c>
      <c r="K206" s="152" t="s">
        <v>1110</v>
      </c>
      <c r="L206" s="152" t="s">
        <v>1111</v>
      </c>
      <c r="M206" s="134" t="s">
        <v>4</v>
      </c>
      <c r="N206" s="214" t="s">
        <v>5</v>
      </c>
      <c r="O206" s="194">
        <v>45268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1109</v>
      </c>
      <c r="AC206" s="152" t="s">
        <v>1110</v>
      </c>
      <c r="AD206" s="152" t="s">
        <v>1111</v>
      </c>
      <c r="AE206" s="149" t="s">
        <v>108</v>
      </c>
      <c r="AF206" s="149" t="s">
        <v>4</v>
      </c>
      <c r="AG206" s="208">
        <v>19092.78</v>
      </c>
      <c r="AH206" s="208">
        <v>49092.78</v>
      </c>
      <c r="AI206" s="214" t="s">
        <v>6</v>
      </c>
      <c r="AJ206" s="138" t="s">
        <v>109</v>
      </c>
      <c r="AK206" s="214"/>
      <c r="AL206" s="149" t="s">
        <v>110</v>
      </c>
      <c r="AM206" s="149" t="s">
        <v>110</v>
      </c>
      <c r="AN206" s="149" t="s">
        <v>111</v>
      </c>
      <c r="AP206" s="199" t="s">
        <v>1112</v>
      </c>
      <c r="AQ206" s="149" t="s">
        <v>110</v>
      </c>
      <c r="AR206" s="149" t="s">
        <v>110</v>
      </c>
      <c r="AS206" s="149" t="s">
        <v>110</v>
      </c>
      <c r="AT206" s="149" t="s">
        <v>110</v>
      </c>
      <c r="AU206" s="194">
        <v>45373</v>
      </c>
      <c r="AV206" s="149" t="s">
        <v>110</v>
      </c>
      <c r="AW206" s="149" t="s">
        <v>110</v>
      </c>
      <c r="AX206" s="194">
        <v>45384</v>
      </c>
      <c r="AY206" s="197">
        <v>45384</v>
      </c>
      <c r="AZ206" s="197" t="s">
        <v>33</v>
      </c>
      <c r="BA206" s="145" t="s">
        <v>113</v>
      </c>
      <c r="BB206" s="149" t="s">
        <v>110</v>
      </c>
      <c r="BC206" s="142">
        <f t="shared" si="9"/>
        <v>116</v>
      </c>
      <c r="BD206" s="134" t="str">
        <f t="shared" si="10"/>
        <v>INDENIZAÇÃO</v>
      </c>
      <c r="BE206" s="134" t="str">
        <f t="shared" si="11"/>
        <v>NÃO</v>
      </c>
      <c r="BF206" s="134" t="s">
        <v>24</v>
      </c>
      <c r="BG206" s="134" t="s">
        <v>24</v>
      </c>
      <c r="BH206" s="134" t="s">
        <v>24</v>
      </c>
      <c r="BI206" s="149" t="s">
        <v>110</v>
      </c>
      <c r="BJ206" s="149" t="s">
        <v>110</v>
      </c>
      <c r="BK206" s="194">
        <v>45510</v>
      </c>
      <c r="BL206" s="149" t="s">
        <v>110</v>
      </c>
      <c r="BM206" s="145" t="s">
        <v>33</v>
      </c>
      <c r="CI206" s="200"/>
    </row>
    <row r="207" spans="1:103" s="149" customFormat="1" ht="30" hidden="1" customHeight="1" x14ac:dyDescent="0.25">
      <c r="A207" s="134">
        <v>191</v>
      </c>
      <c r="B207" s="134" t="s">
        <v>99</v>
      </c>
      <c r="C207" s="134">
        <v>1</v>
      </c>
      <c r="D207" s="134" t="s">
        <v>100</v>
      </c>
      <c r="E207" s="134" t="s">
        <v>100</v>
      </c>
      <c r="F207" s="138" t="s">
        <v>1113</v>
      </c>
      <c r="G207" s="149" t="s">
        <v>1</v>
      </c>
      <c r="H207" s="149" t="s">
        <v>2</v>
      </c>
      <c r="I207" s="149" t="s">
        <v>108</v>
      </c>
      <c r="J207" s="152" t="s">
        <v>1114</v>
      </c>
      <c r="K207" s="152" t="s">
        <v>1115</v>
      </c>
      <c r="L207" s="152" t="s">
        <v>1116</v>
      </c>
      <c r="M207" s="134" t="s">
        <v>4</v>
      </c>
      <c r="N207" s="214" t="s">
        <v>5</v>
      </c>
      <c r="O207" s="194">
        <v>45280</v>
      </c>
      <c r="P207" s="144" t="s">
        <v>24</v>
      </c>
      <c r="Q207" s="144" t="s">
        <v>24</v>
      </c>
      <c r="R207" s="144" t="s">
        <v>24</v>
      </c>
      <c r="S207" s="144" t="s">
        <v>24</v>
      </c>
      <c r="T207" s="144" t="s">
        <v>24</v>
      </c>
      <c r="U207" s="144" t="s">
        <v>24</v>
      </c>
      <c r="V207" s="144" t="s">
        <v>24</v>
      </c>
      <c r="W207" s="144" t="s">
        <v>24</v>
      </c>
      <c r="X207" s="144" t="s">
        <v>24</v>
      </c>
      <c r="Y207" s="144" t="s">
        <v>24</v>
      </c>
      <c r="Z207" s="144" t="s">
        <v>24</v>
      </c>
      <c r="AB207" s="152" t="s">
        <v>1114</v>
      </c>
      <c r="AC207" s="152" t="s">
        <v>1115</v>
      </c>
      <c r="AD207" s="152" t="s">
        <v>1116</v>
      </c>
      <c r="AE207" s="149" t="s">
        <v>108</v>
      </c>
      <c r="AF207" s="149" t="s">
        <v>4</v>
      </c>
      <c r="AG207" s="208">
        <v>19207.29</v>
      </c>
      <c r="AH207" s="208">
        <v>49207.29</v>
      </c>
      <c r="AI207" s="232" t="s">
        <v>6</v>
      </c>
      <c r="AJ207" s="138" t="s">
        <v>109</v>
      </c>
      <c r="AK207" s="214"/>
      <c r="AL207" s="149" t="s">
        <v>110</v>
      </c>
      <c r="AM207" s="149" t="s">
        <v>110</v>
      </c>
      <c r="AN207" s="149" t="s">
        <v>111</v>
      </c>
      <c r="AP207" s="199" t="s">
        <v>1117</v>
      </c>
      <c r="AQ207" s="149" t="s">
        <v>110</v>
      </c>
      <c r="AR207" s="149" t="s">
        <v>110</v>
      </c>
      <c r="AS207" s="149" t="s">
        <v>110</v>
      </c>
      <c r="AT207" s="149" t="s">
        <v>110</v>
      </c>
      <c r="AU207" s="194">
        <v>45397</v>
      </c>
      <c r="AV207" s="149" t="s">
        <v>110</v>
      </c>
      <c r="AW207" s="149" t="s">
        <v>110</v>
      </c>
      <c r="AX207" s="194">
        <v>45406</v>
      </c>
      <c r="AY207" s="197">
        <v>45406</v>
      </c>
      <c r="AZ207" s="145" t="s">
        <v>33</v>
      </c>
      <c r="BA207" s="145" t="s">
        <v>113</v>
      </c>
      <c r="BB207" s="149" t="s">
        <v>110</v>
      </c>
      <c r="BC207" s="142">
        <f t="shared" ref="BC207:BC270" si="12">IF(AY207-KD207=0,"",AY207-O207)</f>
        <v>126</v>
      </c>
      <c r="BD207" s="134" t="str">
        <f t="shared" ref="BD207:BD270" si="13">IF(AND(AI207&lt;&gt;"SIM",AI207="UH"),"AA","INDENIZAÇÃO")</f>
        <v>INDENIZAÇÃO</v>
      </c>
      <c r="BE207" s="134" t="str">
        <f t="shared" ref="BE207:BE270" si="14">IF(AND(AY207&lt;&gt;"AGUARDANDO",AY207&lt;&gt;"",N207="AUXÍLIO ALUGUEL ATÉ INDENIZAÇÃO"),"SIM","NÃO")</f>
        <v>NÃO</v>
      </c>
      <c r="BF207" s="134" t="s">
        <v>24</v>
      </c>
      <c r="BG207" s="134" t="s">
        <v>24</v>
      </c>
      <c r="BH207" s="134" t="s">
        <v>24</v>
      </c>
      <c r="BI207" s="198" t="s">
        <v>110</v>
      </c>
      <c r="BJ207" s="198" t="s">
        <v>110</v>
      </c>
      <c r="BK207" s="144">
        <v>45545</v>
      </c>
      <c r="BL207" s="198" t="s">
        <v>110</v>
      </c>
      <c r="BM207" s="145" t="s">
        <v>33</v>
      </c>
      <c r="CI207" s="200"/>
    </row>
    <row r="208" spans="1:103" s="149" customFormat="1" ht="30" hidden="1" customHeight="1" x14ac:dyDescent="0.25">
      <c r="A208" s="134">
        <v>192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1118</v>
      </c>
      <c r="G208" s="149" t="s">
        <v>10</v>
      </c>
      <c r="H208" s="149" t="s">
        <v>2</v>
      </c>
      <c r="I208" s="149" t="s">
        <v>342</v>
      </c>
      <c r="J208" s="152" t="s">
        <v>1119</v>
      </c>
      <c r="K208" s="152" t="s">
        <v>1120</v>
      </c>
      <c r="L208" s="152" t="s">
        <v>1121</v>
      </c>
      <c r="M208" s="134" t="s">
        <v>4</v>
      </c>
      <c r="N208" s="214" t="s">
        <v>5</v>
      </c>
      <c r="O208" s="194">
        <v>45475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1122</v>
      </c>
      <c r="AC208" s="152" t="s">
        <v>1120</v>
      </c>
      <c r="AD208" s="152" t="s">
        <v>1121</v>
      </c>
      <c r="AE208" s="134" t="s">
        <v>342</v>
      </c>
      <c r="AF208" s="149" t="s">
        <v>4</v>
      </c>
      <c r="AG208" s="208">
        <v>8038</v>
      </c>
      <c r="AH208" s="208">
        <f>AG208+30000</f>
        <v>38038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P208" s="199" t="s">
        <v>1123</v>
      </c>
      <c r="AQ208" s="149" t="s">
        <v>110</v>
      </c>
      <c r="AR208" s="149" t="s">
        <v>110</v>
      </c>
      <c r="AS208" s="149" t="s">
        <v>110</v>
      </c>
      <c r="AT208" s="198" t="s">
        <v>110</v>
      </c>
      <c r="AU208" s="194">
        <v>45498</v>
      </c>
      <c r="AV208" s="198" t="s">
        <v>110</v>
      </c>
      <c r="AW208" s="198" t="s">
        <v>110</v>
      </c>
      <c r="AX208" s="219">
        <v>45526</v>
      </c>
      <c r="AY208" s="197">
        <v>45526</v>
      </c>
      <c r="AZ208" s="145" t="s">
        <v>33</v>
      </c>
      <c r="BA208" s="145" t="s">
        <v>113</v>
      </c>
      <c r="BB208" s="149" t="s">
        <v>110</v>
      </c>
      <c r="BC208" s="142">
        <f t="shared" si="12"/>
        <v>51</v>
      </c>
      <c r="BD208" s="134" t="str">
        <f t="shared" si="13"/>
        <v>INDENIZAÇÃO</v>
      </c>
      <c r="BE208" s="134" t="str">
        <f t="shared" si="14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94">
        <v>45559</v>
      </c>
      <c r="BL208" s="198" t="s">
        <v>110</v>
      </c>
      <c r="BM208" s="145" t="s">
        <v>33</v>
      </c>
      <c r="CI208" s="200"/>
    </row>
    <row r="209" spans="1:92" s="149" customFormat="1" ht="30" hidden="1" customHeight="1" x14ac:dyDescent="0.25">
      <c r="A209" s="134">
        <v>193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1124</v>
      </c>
      <c r="G209" s="149" t="s">
        <v>1</v>
      </c>
      <c r="H209" s="149" t="s">
        <v>2</v>
      </c>
      <c r="I209" s="149" t="s">
        <v>108</v>
      </c>
      <c r="J209" s="152" t="s">
        <v>1125</v>
      </c>
      <c r="K209" s="152" t="s">
        <v>1126</v>
      </c>
      <c r="L209" s="152" t="s">
        <v>1127</v>
      </c>
      <c r="M209" s="245" t="s">
        <v>4</v>
      </c>
      <c r="N209" s="245" t="s">
        <v>5</v>
      </c>
      <c r="O209" s="256">
        <v>45300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1125</v>
      </c>
      <c r="AC209" s="152" t="s">
        <v>1126</v>
      </c>
      <c r="AD209" s="152" t="s">
        <v>1127</v>
      </c>
      <c r="AE209" s="149" t="s">
        <v>108</v>
      </c>
      <c r="AF209" s="250" t="s">
        <v>4</v>
      </c>
      <c r="AG209" s="208">
        <v>0</v>
      </c>
      <c r="AH209" s="208">
        <v>60000</v>
      </c>
      <c r="AI209" s="245" t="s">
        <v>6</v>
      </c>
      <c r="AJ209" s="312" t="s">
        <v>109</v>
      </c>
      <c r="AK209" s="245"/>
      <c r="AL209" s="250" t="s">
        <v>110</v>
      </c>
      <c r="AM209" s="250" t="s">
        <v>110</v>
      </c>
      <c r="AN209" s="250" t="s">
        <v>111</v>
      </c>
      <c r="AO209" s="250"/>
      <c r="AP209" s="253" t="s">
        <v>1128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45373</v>
      </c>
      <c r="AV209" s="250" t="s">
        <v>110</v>
      </c>
      <c r="AW209" s="250" t="s">
        <v>110</v>
      </c>
      <c r="AX209" s="256">
        <v>45384</v>
      </c>
      <c r="AY209" s="249">
        <v>45384</v>
      </c>
      <c r="AZ209" s="245" t="s">
        <v>355</v>
      </c>
      <c r="BA209" s="245" t="s">
        <v>1</v>
      </c>
      <c r="BB209" s="250" t="s">
        <v>110</v>
      </c>
      <c r="BC209" s="142">
        <f t="shared" si="12"/>
        <v>84</v>
      </c>
      <c r="BD209" s="134" t="str">
        <f t="shared" si="13"/>
        <v>INDENIZAÇÃO</v>
      </c>
      <c r="BE209" s="134" t="str">
        <f t="shared" si="14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45510</v>
      </c>
      <c r="BL209" s="250" t="s">
        <v>110</v>
      </c>
      <c r="BM209" s="250" t="s">
        <v>33</v>
      </c>
      <c r="CI209" s="200"/>
    </row>
    <row r="210" spans="1:92" s="149" customFormat="1" ht="30" hidden="1" customHeight="1" x14ac:dyDescent="0.25">
      <c r="A210" s="134">
        <v>194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1129</v>
      </c>
      <c r="G210" s="149" t="s">
        <v>1</v>
      </c>
      <c r="H210" s="149" t="s">
        <v>2</v>
      </c>
      <c r="I210" s="149" t="s">
        <v>108</v>
      </c>
      <c r="J210" s="152" t="s">
        <v>1130</v>
      </c>
      <c r="K210" s="152" t="s">
        <v>1131</v>
      </c>
      <c r="L210" s="152" t="s">
        <v>1132</v>
      </c>
      <c r="M210" s="134" t="s">
        <v>4</v>
      </c>
      <c r="N210" s="214" t="s">
        <v>5</v>
      </c>
      <c r="O210" s="194">
        <v>45393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B210" s="152" t="s">
        <v>1130</v>
      </c>
      <c r="AC210" s="152" t="s">
        <v>1131</v>
      </c>
      <c r="AD210" s="152" t="s">
        <v>1132</v>
      </c>
      <c r="AE210" s="149" t="s">
        <v>108</v>
      </c>
      <c r="AF210" s="149" t="s">
        <v>4</v>
      </c>
      <c r="AG210" s="208">
        <v>43339.040000000001</v>
      </c>
      <c r="AH210" s="208">
        <v>60000</v>
      </c>
      <c r="AI210" s="232" t="s">
        <v>6</v>
      </c>
      <c r="AJ210" s="138" t="s">
        <v>109</v>
      </c>
      <c r="AK210" s="235"/>
      <c r="AL210" s="149" t="s">
        <v>110</v>
      </c>
      <c r="AM210" s="149" t="s">
        <v>110</v>
      </c>
      <c r="AN210" s="149" t="s">
        <v>111</v>
      </c>
      <c r="AO210" s="198"/>
      <c r="AP210" s="199" t="s">
        <v>1133</v>
      </c>
      <c r="AQ210" s="198" t="s">
        <v>110</v>
      </c>
      <c r="AR210" s="198" t="s">
        <v>110</v>
      </c>
      <c r="AS210" s="198" t="s">
        <v>110</v>
      </c>
      <c r="AT210" s="198" t="s">
        <v>110</v>
      </c>
      <c r="AU210" s="144">
        <v>45422</v>
      </c>
      <c r="AV210" s="198" t="s">
        <v>110</v>
      </c>
      <c r="AW210" s="198" t="s">
        <v>110</v>
      </c>
      <c r="AX210" s="144">
        <v>45432</v>
      </c>
      <c r="AY210" s="197">
        <v>45432</v>
      </c>
      <c r="AZ210" s="197" t="s">
        <v>33</v>
      </c>
      <c r="BA210" s="145" t="s">
        <v>113</v>
      </c>
      <c r="BB210" s="149" t="s">
        <v>110</v>
      </c>
      <c r="BC210" s="142">
        <f t="shared" si="12"/>
        <v>39</v>
      </c>
      <c r="BD210" s="134" t="str">
        <f t="shared" si="13"/>
        <v>INDENIZAÇÃO</v>
      </c>
      <c r="BE210" s="134" t="str">
        <f t="shared" si="14"/>
        <v>NÃO</v>
      </c>
      <c r="BF210" s="134" t="s">
        <v>24</v>
      </c>
      <c r="BG210" s="134" t="s">
        <v>24</v>
      </c>
      <c r="BH210" s="134" t="s">
        <v>24</v>
      </c>
      <c r="BI210" s="198" t="s">
        <v>110</v>
      </c>
      <c r="BJ210" s="198" t="s">
        <v>110</v>
      </c>
      <c r="BK210" s="144">
        <v>45545</v>
      </c>
      <c r="BL210" s="198" t="s">
        <v>110</v>
      </c>
      <c r="BM210" s="145" t="s">
        <v>33</v>
      </c>
      <c r="CI210" s="200"/>
    </row>
    <row r="211" spans="1:92" s="149" customFormat="1" ht="30" hidden="1" customHeight="1" x14ac:dyDescent="0.25">
      <c r="A211" s="134">
        <v>195</v>
      </c>
      <c r="B211" s="245" t="s">
        <v>99</v>
      </c>
      <c r="C211" s="245">
        <v>1</v>
      </c>
      <c r="D211" s="245" t="s">
        <v>100</v>
      </c>
      <c r="E211" s="245" t="s">
        <v>100</v>
      </c>
      <c r="F211" s="246" t="s">
        <v>1134</v>
      </c>
      <c r="G211" s="149" t="s">
        <v>1</v>
      </c>
      <c r="H211" s="149" t="s">
        <v>2</v>
      </c>
      <c r="I211" s="149" t="s">
        <v>108</v>
      </c>
      <c r="J211" s="152" t="s">
        <v>1135</v>
      </c>
      <c r="K211" s="152" t="s">
        <v>1136</v>
      </c>
      <c r="L211" s="152" t="s">
        <v>1137</v>
      </c>
      <c r="M211" s="245" t="s">
        <v>4</v>
      </c>
      <c r="N211" s="245" t="s">
        <v>5</v>
      </c>
      <c r="O211" s="256">
        <v>45455</v>
      </c>
      <c r="P211" s="249" t="s">
        <v>24</v>
      </c>
      <c r="Q211" s="249" t="s">
        <v>24</v>
      </c>
      <c r="R211" s="249" t="s">
        <v>24</v>
      </c>
      <c r="S211" s="249" t="s">
        <v>24</v>
      </c>
      <c r="T211" s="249" t="s">
        <v>24</v>
      </c>
      <c r="U211" s="249" t="s">
        <v>24</v>
      </c>
      <c r="V211" s="249" t="s">
        <v>24</v>
      </c>
      <c r="W211" s="249" t="s">
        <v>24</v>
      </c>
      <c r="X211" s="249" t="s">
        <v>24</v>
      </c>
      <c r="Y211" s="249" t="s">
        <v>24</v>
      </c>
      <c r="Z211" s="249" t="s">
        <v>24</v>
      </c>
      <c r="AA211" s="250"/>
      <c r="AB211" s="152" t="s">
        <v>1135</v>
      </c>
      <c r="AC211" s="152" t="s">
        <v>1136</v>
      </c>
      <c r="AD211" s="152" t="s">
        <v>1137</v>
      </c>
      <c r="AE211" s="149" t="s">
        <v>108</v>
      </c>
      <c r="AF211" s="250" t="s">
        <v>4</v>
      </c>
      <c r="AG211" s="208">
        <v>10720.02</v>
      </c>
      <c r="AH211" s="208">
        <f>AG211+30000</f>
        <v>40720.020000000004</v>
      </c>
      <c r="AI211" s="251" t="s">
        <v>6</v>
      </c>
      <c r="AJ211" s="246" t="s">
        <v>109</v>
      </c>
      <c r="AK211" s="257"/>
      <c r="AL211" s="250" t="s">
        <v>110</v>
      </c>
      <c r="AM211" s="250" t="s">
        <v>110</v>
      </c>
      <c r="AN211" s="250" t="s">
        <v>111</v>
      </c>
      <c r="AO211" s="250"/>
      <c r="AP211" s="253" t="s">
        <v>1138</v>
      </c>
      <c r="AQ211" s="250" t="s">
        <v>110</v>
      </c>
      <c r="AR211" s="250" t="s">
        <v>110</v>
      </c>
      <c r="AS211" s="250" t="s">
        <v>110</v>
      </c>
      <c r="AT211" s="250" t="s">
        <v>110</v>
      </c>
      <c r="AU211" s="256">
        <v>45525</v>
      </c>
      <c r="AV211" s="250" t="s">
        <v>110</v>
      </c>
      <c r="AW211" s="250" t="s">
        <v>110</v>
      </c>
      <c r="AX211" s="256">
        <v>45531</v>
      </c>
      <c r="AY211" s="249">
        <v>45531</v>
      </c>
      <c r="AZ211" s="245" t="s">
        <v>355</v>
      </c>
      <c r="BA211" s="245" t="s">
        <v>1</v>
      </c>
      <c r="BB211" s="250" t="s">
        <v>110</v>
      </c>
      <c r="BC211" s="142">
        <f t="shared" si="12"/>
        <v>76</v>
      </c>
      <c r="BD211" s="134" t="str">
        <f t="shared" si="13"/>
        <v>INDENIZAÇÃO</v>
      </c>
      <c r="BE211" s="134" t="str">
        <f t="shared" si="14"/>
        <v>NÃO</v>
      </c>
      <c r="BF211" s="245" t="s">
        <v>24</v>
      </c>
      <c r="BG211" s="245" t="s">
        <v>24</v>
      </c>
      <c r="BH211" s="245" t="s">
        <v>24</v>
      </c>
      <c r="BI211" s="250" t="s">
        <v>110</v>
      </c>
      <c r="BJ211" s="250" t="s">
        <v>110</v>
      </c>
      <c r="BK211" s="256">
        <v>45559</v>
      </c>
      <c r="BL211" s="250" t="s">
        <v>110</v>
      </c>
      <c r="BM211" s="250" t="s">
        <v>33</v>
      </c>
      <c r="CI211" s="200"/>
    </row>
    <row r="212" spans="1:92" s="149" customFormat="1" ht="30" hidden="1" customHeight="1" x14ac:dyDescent="0.25">
      <c r="A212" s="134">
        <v>196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1139</v>
      </c>
      <c r="G212" s="149" t="s">
        <v>10</v>
      </c>
      <c r="H212" s="149" t="s">
        <v>2</v>
      </c>
      <c r="I212" s="149" t="s">
        <v>342</v>
      </c>
      <c r="J212" s="152" t="s">
        <v>1135</v>
      </c>
      <c r="K212" s="152" t="s">
        <v>1136</v>
      </c>
      <c r="L212" s="152" t="s">
        <v>1137</v>
      </c>
      <c r="M212" s="134" t="s">
        <v>4</v>
      </c>
      <c r="N212" s="214" t="s">
        <v>480</v>
      </c>
      <c r="O212" s="194">
        <v>45455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A212" s="149" t="s">
        <v>1140</v>
      </c>
      <c r="AB212" s="152" t="s">
        <v>1135</v>
      </c>
      <c r="AC212" s="152" t="s">
        <v>1136</v>
      </c>
      <c r="AD212" s="152" t="s">
        <v>1137</v>
      </c>
      <c r="AE212" s="134" t="s">
        <v>342</v>
      </c>
      <c r="AF212" s="280" t="s">
        <v>24</v>
      </c>
      <c r="AG212" s="208" t="s">
        <v>24</v>
      </c>
      <c r="AH212" s="208" t="s">
        <v>24</v>
      </c>
      <c r="AI212" s="289" t="s">
        <v>24</v>
      </c>
      <c r="AJ212" s="280" t="s">
        <v>24</v>
      </c>
      <c r="AK212" s="290"/>
      <c r="AL212" s="280" t="s">
        <v>24</v>
      </c>
      <c r="AM212" s="280" t="s">
        <v>24</v>
      </c>
      <c r="AN212" s="280" t="s">
        <v>24</v>
      </c>
      <c r="AO212" s="149" t="s">
        <v>1140</v>
      </c>
      <c r="AP212" s="199" t="s">
        <v>24</v>
      </c>
      <c r="AQ212" s="149" t="s">
        <v>24</v>
      </c>
      <c r="AR212" s="149" t="s">
        <v>24</v>
      </c>
      <c r="AS212" s="149" t="s">
        <v>24</v>
      </c>
      <c r="AT212" s="149" t="s">
        <v>24</v>
      </c>
      <c r="AU212" s="149" t="s">
        <v>24</v>
      </c>
      <c r="AV212" s="149" t="s">
        <v>24</v>
      </c>
      <c r="AW212" s="149" t="s">
        <v>24</v>
      </c>
      <c r="AX212" s="149" t="s">
        <v>24</v>
      </c>
      <c r="AY212" s="149" t="s">
        <v>24</v>
      </c>
      <c r="AZ212" s="149" t="s">
        <v>24</v>
      </c>
      <c r="BA212" s="149" t="s">
        <v>24</v>
      </c>
      <c r="BB212" s="149" t="s">
        <v>24</v>
      </c>
      <c r="BC212" s="142" t="e">
        <f t="shared" si="12"/>
        <v>#VALUE!</v>
      </c>
      <c r="BD212" s="134" t="str">
        <f t="shared" si="13"/>
        <v>INDENIZAÇÃO</v>
      </c>
      <c r="BE212" s="134" t="str">
        <f t="shared" si="14"/>
        <v>NÃO</v>
      </c>
      <c r="BF212" s="142" t="s">
        <v>24</v>
      </c>
      <c r="BG212" s="142" t="s">
        <v>24</v>
      </c>
      <c r="BH212" s="142" t="s">
        <v>24</v>
      </c>
      <c r="BI212" s="142" t="s">
        <v>24</v>
      </c>
      <c r="BJ212" s="142" t="s">
        <v>24</v>
      </c>
      <c r="BK212" s="142" t="s">
        <v>24</v>
      </c>
      <c r="BL212" s="142" t="s">
        <v>24</v>
      </c>
      <c r="BM212" s="142" t="s">
        <v>24</v>
      </c>
      <c r="CI212" s="200"/>
    </row>
    <row r="213" spans="1:92" s="149" customFormat="1" ht="30" hidden="1" customHeight="1" x14ac:dyDescent="0.25">
      <c r="A213" s="134">
        <v>197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1141</v>
      </c>
      <c r="G213" s="149" t="s">
        <v>1</v>
      </c>
      <c r="H213" s="149" t="s">
        <v>2</v>
      </c>
      <c r="I213" s="149" t="s">
        <v>108</v>
      </c>
      <c r="J213" s="152" t="s">
        <v>1142</v>
      </c>
      <c r="K213" s="152" t="s">
        <v>1143</v>
      </c>
      <c r="L213" s="152" t="s">
        <v>1144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1142</v>
      </c>
      <c r="AC213" s="152" t="s">
        <v>1143</v>
      </c>
      <c r="AD213" s="152" t="s">
        <v>1144</v>
      </c>
      <c r="AE213" s="149" t="s">
        <v>108</v>
      </c>
      <c r="AF213" s="149" t="s">
        <v>4</v>
      </c>
      <c r="AG213" s="208">
        <v>31370.45</v>
      </c>
      <c r="AH213" s="208">
        <v>60000</v>
      </c>
      <c r="AI213" s="214" t="s">
        <v>6</v>
      </c>
      <c r="AJ213" s="310" t="s">
        <v>109</v>
      </c>
      <c r="AK213" s="214"/>
      <c r="AL213" s="149" t="s">
        <v>110</v>
      </c>
      <c r="AM213" s="149" t="s">
        <v>110</v>
      </c>
      <c r="AN213" s="149" t="s">
        <v>111</v>
      </c>
      <c r="AP213" s="152" t="s">
        <v>1145</v>
      </c>
      <c r="AQ213" s="198" t="s">
        <v>110</v>
      </c>
      <c r="AR213" s="198" t="s">
        <v>110</v>
      </c>
      <c r="AS213" s="198" t="s">
        <v>110</v>
      </c>
      <c r="AT213" s="198" t="s">
        <v>110</v>
      </c>
      <c r="AU213" s="194">
        <v>45495</v>
      </c>
      <c r="AV213" s="198" t="s">
        <v>110</v>
      </c>
      <c r="AW213" s="198" t="s">
        <v>110</v>
      </c>
      <c r="AX213" s="194">
        <v>45499</v>
      </c>
      <c r="AY213" s="197">
        <v>45499</v>
      </c>
      <c r="AZ213" s="145" t="s">
        <v>33</v>
      </c>
      <c r="BA213" s="145" t="s">
        <v>113</v>
      </c>
      <c r="BB213" s="149" t="s">
        <v>110</v>
      </c>
      <c r="BC213" s="142">
        <f t="shared" si="12"/>
        <v>219</v>
      </c>
      <c r="BD213" s="134" t="str">
        <f t="shared" si="13"/>
        <v>INDENIZAÇÃO</v>
      </c>
      <c r="BE213" s="134" t="str">
        <f t="shared" si="14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94">
        <v>45559</v>
      </c>
      <c r="BL213" s="198" t="s">
        <v>110</v>
      </c>
      <c r="BM213" s="145" t="s">
        <v>33</v>
      </c>
      <c r="CI213" s="200"/>
    </row>
    <row r="214" spans="1:92" s="149" customFormat="1" ht="30" hidden="1" customHeight="1" x14ac:dyDescent="0.25">
      <c r="A214" s="134">
        <v>198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1146</v>
      </c>
      <c r="G214" s="149" t="s">
        <v>1</v>
      </c>
      <c r="H214" s="149" t="s">
        <v>2</v>
      </c>
      <c r="I214" s="149" t="s">
        <v>108</v>
      </c>
      <c r="J214" s="152" t="s">
        <v>1147</v>
      </c>
      <c r="K214" s="152" t="s">
        <v>1148</v>
      </c>
      <c r="L214" s="152" t="s">
        <v>1149</v>
      </c>
      <c r="M214" s="134" t="s">
        <v>4</v>
      </c>
      <c r="N214" s="214" t="s">
        <v>5</v>
      </c>
      <c r="O214" s="194">
        <v>45280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1147</v>
      </c>
      <c r="AC214" s="152" t="s">
        <v>1148</v>
      </c>
      <c r="AD214" s="152" t="s">
        <v>1149</v>
      </c>
      <c r="AE214" s="149" t="s">
        <v>108</v>
      </c>
      <c r="AF214" s="149" t="s">
        <v>4</v>
      </c>
      <c r="AG214" s="208">
        <v>11508.99</v>
      </c>
      <c r="AH214" s="208">
        <v>41508.99</v>
      </c>
      <c r="AI214" s="232" t="s">
        <v>6</v>
      </c>
      <c r="AJ214" s="138" t="s">
        <v>109</v>
      </c>
      <c r="AK214" s="235"/>
      <c r="AL214" s="149" t="s">
        <v>110</v>
      </c>
      <c r="AM214" s="149" t="s">
        <v>110</v>
      </c>
      <c r="AN214" s="149" t="s">
        <v>111</v>
      </c>
      <c r="AP214" s="152" t="s">
        <v>1150</v>
      </c>
      <c r="AQ214" s="149" t="s">
        <v>110</v>
      </c>
      <c r="AR214" s="149" t="s">
        <v>110</v>
      </c>
      <c r="AS214" s="149" t="s">
        <v>110</v>
      </c>
      <c r="AT214" s="149" t="s">
        <v>110</v>
      </c>
      <c r="AU214" s="194">
        <v>45373</v>
      </c>
      <c r="AV214" s="149" t="s">
        <v>110</v>
      </c>
      <c r="AW214" s="149" t="s">
        <v>110</v>
      </c>
      <c r="AX214" s="194">
        <v>45384</v>
      </c>
      <c r="AY214" s="197">
        <v>45384</v>
      </c>
      <c r="AZ214" s="197" t="s">
        <v>33</v>
      </c>
      <c r="BA214" s="145" t="s">
        <v>113</v>
      </c>
      <c r="BB214" s="149" t="s">
        <v>110</v>
      </c>
      <c r="BC214" s="142">
        <f t="shared" si="12"/>
        <v>104</v>
      </c>
      <c r="BD214" s="134" t="str">
        <f t="shared" si="13"/>
        <v>INDENIZAÇÃO</v>
      </c>
      <c r="BE214" s="134" t="str">
        <f t="shared" si="14"/>
        <v>NÃO</v>
      </c>
      <c r="BF214" s="134" t="s">
        <v>24</v>
      </c>
      <c r="BG214" s="134" t="s">
        <v>24</v>
      </c>
      <c r="BH214" s="134" t="s">
        <v>24</v>
      </c>
      <c r="BI214" s="149" t="s">
        <v>110</v>
      </c>
      <c r="BJ214" s="149" t="s">
        <v>110</v>
      </c>
      <c r="BK214" s="194">
        <v>45510</v>
      </c>
      <c r="BL214" s="149" t="s">
        <v>110</v>
      </c>
      <c r="BM214" s="145" t="s">
        <v>33</v>
      </c>
      <c r="CI214" s="200"/>
    </row>
    <row r="215" spans="1:92" s="149" customFormat="1" ht="30" hidden="1" customHeight="1" x14ac:dyDescent="0.25">
      <c r="A215" s="134">
        <v>199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1151</v>
      </c>
      <c r="G215" s="149" t="s">
        <v>1</v>
      </c>
      <c r="H215" s="149" t="s">
        <v>2</v>
      </c>
      <c r="I215" s="149" t="s">
        <v>108</v>
      </c>
      <c r="J215" s="152" t="s">
        <v>1152</v>
      </c>
      <c r="K215" s="152" t="s">
        <v>1153</v>
      </c>
      <c r="L215" s="152" t="s">
        <v>1154</v>
      </c>
      <c r="M215" s="134" t="s">
        <v>4</v>
      </c>
      <c r="N215" s="214" t="s">
        <v>5</v>
      </c>
      <c r="O215" s="194">
        <v>45280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1152</v>
      </c>
      <c r="AC215" s="152" t="s">
        <v>1153</v>
      </c>
      <c r="AD215" s="152" t="s">
        <v>1154</v>
      </c>
      <c r="AE215" s="149" t="s">
        <v>108</v>
      </c>
      <c r="AF215" s="149" t="s">
        <v>4</v>
      </c>
      <c r="AG215" s="208">
        <v>18453.830000000002</v>
      </c>
      <c r="AH215" s="208">
        <v>48453.83</v>
      </c>
      <c r="AI215" s="232" t="s">
        <v>6</v>
      </c>
      <c r="AJ215" s="138" t="s">
        <v>109</v>
      </c>
      <c r="AK215" s="235"/>
      <c r="AL215" s="149" t="s">
        <v>110</v>
      </c>
      <c r="AM215" s="149" t="s">
        <v>110</v>
      </c>
      <c r="AN215" s="149" t="s">
        <v>111</v>
      </c>
      <c r="AP215" s="152" t="s">
        <v>1155</v>
      </c>
      <c r="AQ215" s="149" t="s">
        <v>110</v>
      </c>
      <c r="AR215" s="149" t="s">
        <v>110</v>
      </c>
      <c r="AS215" s="198" t="s">
        <v>110</v>
      </c>
      <c r="AT215" s="198" t="s">
        <v>110</v>
      </c>
      <c r="AU215" s="144">
        <v>45422</v>
      </c>
      <c r="AV215" s="198" t="s">
        <v>110</v>
      </c>
      <c r="AW215" s="198" t="s">
        <v>110</v>
      </c>
      <c r="AX215" s="144">
        <v>45432</v>
      </c>
      <c r="AY215" s="197">
        <v>45432</v>
      </c>
      <c r="AZ215" s="197" t="s">
        <v>33</v>
      </c>
      <c r="BA215" s="145" t="s">
        <v>113</v>
      </c>
      <c r="BB215" s="149" t="s">
        <v>110</v>
      </c>
      <c r="BC215" s="142">
        <f t="shared" si="12"/>
        <v>152</v>
      </c>
      <c r="BD215" s="134" t="str">
        <f t="shared" si="13"/>
        <v>INDENIZAÇÃO</v>
      </c>
      <c r="BE215" s="134" t="str">
        <f t="shared" si="14"/>
        <v>NÃO</v>
      </c>
      <c r="BF215" s="134" t="s">
        <v>24</v>
      </c>
      <c r="BG215" s="134" t="s">
        <v>24</v>
      </c>
      <c r="BH215" s="134" t="s">
        <v>24</v>
      </c>
      <c r="BI215" s="198" t="s">
        <v>110</v>
      </c>
      <c r="BJ215" s="198" t="s">
        <v>110</v>
      </c>
      <c r="BK215" s="144">
        <v>45545</v>
      </c>
      <c r="BL215" s="198" t="s">
        <v>110</v>
      </c>
      <c r="BM215" s="145" t="s">
        <v>33</v>
      </c>
      <c r="CI215" s="200"/>
    </row>
    <row r="216" spans="1:92" s="149" customFormat="1" ht="30" customHeight="1" x14ac:dyDescent="0.25">
      <c r="A216" s="134">
        <v>200</v>
      </c>
      <c r="B216" s="134" t="s">
        <v>99</v>
      </c>
      <c r="C216" s="134">
        <v>1</v>
      </c>
      <c r="D216" s="134" t="s">
        <v>100</v>
      </c>
      <c r="E216" s="134" t="s">
        <v>100</v>
      </c>
      <c r="F216" s="138" t="s">
        <v>1156</v>
      </c>
      <c r="G216" s="149" t="s">
        <v>10</v>
      </c>
      <c r="H216" s="149" t="s">
        <v>26</v>
      </c>
      <c r="I216" s="149" t="s">
        <v>342</v>
      </c>
      <c r="J216" s="152" t="s">
        <v>1157</v>
      </c>
      <c r="K216" s="152" t="s">
        <v>1158</v>
      </c>
      <c r="L216" s="152" t="s">
        <v>1159</v>
      </c>
      <c r="M216" s="134" t="s">
        <v>4</v>
      </c>
      <c r="N216" s="214" t="s">
        <v>5</v>
      </c>
      <c r="O216" s="194">
        <v>45849</v>
      </c>
      <c r="P216" s="144" t="s">
        <v>24</v>
      </c>
      <c r="Q216" s="144" t="s">
        <v>24</v>
      </c>
      <c r="R216" s="144" t="s">
        <v>24</v>
      </c>
      <c r="S216" s="144" t="s">
        <v>24</v>
      </c>
      <c r="T216" s="144" t="s">
        <v>24</v>
      </c>
      <c r="U216" s="144" t="s">
        <v>24</v>
      </c>
      <c r="V216" s="144" t="s">
        <v>24</v>
      </c>
      <c r="W216" s="144" t="s">
        <v>24</v>
      </c>
      <c r="X216" s="144" t="s">
        <v>24</v>
      </c>
      <c r="Y216" s="144" t="s">
        <v>24</v>
      </c>
      <c r="Z216" s="144" t="s">
        <v>24</v>
      </c>
      <c r="AB216" s="152" t="s">
        <v>1157</v>
      </c>
      <c r="AC216" s="152" t="s">
        <v>1158</v>
      </c>
      <c r="AD216" s="152" t="s">
        <v>1159</v>
      </c>
      <c r="AE216" s="134" t="s">
        <v>342</v>
      </c>
      <c r="AF216" s="149" t="s">
        <v>4</v>
      </c>
      <c r="AG216" s="208">
        <v>17991.54</v>
      </c>
      <c r="AH216" s="208">
        <v>47991.54</v>
      </c>
      <c r="AI216" s="232" t="s">
        <v>6</v>
      </c>
      <c r="AJ216" s="138" t="s">
        <v>109</v>
      </c>
      <c r="AK216" s="235">
        <v>92710551</v>
      </c>
      <c r="AL216" s="149" t="s">
        <v>110</v>
      </c>
      <c r="AM216" s="149" t="s">
        <v>110</v>
      </c>
      <c r="AN216" s="149" t="s">
        <v>111</v>
      </c>
      <c r="AO216" s="198"/>
      <c r="AP216" s="199" t="s">
        <v>1160</v>
      </c>
      <c r="AQ216" s="149" t="s">
        <v>110</v>
      </c>
      <c r="AR216" s="198" t="s">
        <v>110</v>
      </c>
      <c r="AS216" s="149" t="s">
        <v>110</v>
      </c>
      <c r="AT216" s="149" t="s">
        <v>110</v>
      </c>
      <c r="AU216" s="144">
        <v>46090</v>
      </c>
      <c r="AV216" s="149" t="s">
        <v>110</v>
      </c>
      <c r="AW216" s="149" t="s">
        <v>110</v>
      </c>
      <c r="AX216" s="274">
        <v>46097</v>
      </c>
      <c r="AY216" s="197">
        <v>46097</v>
      </c>
      <c r="AZ216" s="145" t="s">
        <v>33</v>
      </c>
      <c r="BA216" s="145" t="s">
        <v>113</v>
      </c>
      <c r="BB216" s="198" t="s">
        <v>110</v>
      </c>
      <c r="BC216" s="142">
        <f t="shared" si="12"/>
        <v>248</v>
      </c>
      <c r="BD216" s="134" t="str">
        <f t="shared" si="13"/>
        <v>INDENIZAÇÃO</v>
      </c>
      <c r="BE216" s="134" t="str">
        <f t="shared" si="14"/>
        <v>NÃO</v>
      </c>
      <c r="BF216" s="198" t="s">
        <v>24</v>
      </c>
      <c r="BG216" s="198" t="s">
        <v>24</v>
      </c>
      <c r="BH216" s="198" t="s">
        <v>24</v>
      </c>
      <c r="BI216" s="198" t="s">
        <v>110</v>
      </c>
      <c r="BJ216" s="145" t="s">
        <v>33</v>
      </c>
      <c r="BK216" s="279"/>
      <c r="BL216" s="145"/>
      <c r="BM216" s="145"/>
      <c r="CI216" s="200"/>
    </row>
    <row r="217" spans="1:92" s="149" customFormat="1" ht="30" customHeight="1" x14ac:dyDescent="0.25">
      <c r="A217" s="134">
        <v>201</v>
      </c>
      <c r="B217" s="134" t="s">
        <v>99</v>
      </c>
      <c r="C217" s="134">
        <v>1</v>
      </c>
      <c r="D217" s="134" t="s">
        <v>100</v>
      </c>
      <c r="E217" s="134" t="s">
        <v>100</v>
      </c>
      <c r="F217" s="138" t="s">
        <v>1161</v>
      </c>
      <c r="G217" s="149" t="s">
        <v>1</v>
      </c>
      <c r="H217" s="149" t="s">
        <v>2</v>
      </c>
      <c r="I217" s="149" t="s">
        <v>108</v>
      </c>
      <c r="J217" s="152" t="s">
        <v>1162</v>
      </c>
      <c r="K217" s="152" t="s">
        <v>1163</v>
      </c>
      <c r="L217" s="152" t="s">
        <v>1164</v>
      </c>
      <c r="M217" s="134" t="s">
        <v>4</v>
      </c>
      <c r="N217" s="214" t="s">
        <v>5</v>
      </c>
      <c r="O217" s="194">
        <v>45849</v>
      </c>
      <c r="P217" s="144" t="s">
        <v>24</v>
      </c>
      <c r="Q217" s="144" t="s">
        <v>24</v>
      </c>
      <c r="R217" s="144" t="s">
        <v>24</v>
      </c>
      <c r="S217" s="144" t="s">
        <v>24</v>
      </c>
      <c r="T217" s="144" t="s">
        <v>24</v>
      </c>
      <c r="U217" s="144" t="s">
        <v>24</v>
      </c>
      <c r="V217" s="144" t="s">
        <v>24</v>
      </c>
      <c r="W217" s="144" t="s">
        <v>24</v>
      </c>
      <c r="X217" s="144" t="s">
        <v>24</v>
      </c>
      <c r="Y217" s="144" t="s">
        <v>24</v>
      </c>
      <c r="Z217" s="144" t="s">
        <v>24</v>
      </c>
      <c r="AB217" s="152" t="s">
        <v>1162</v>
      </c>
      <c r="AC217" s="152" t="s">
        <v>1163</v>
      </c>
      <c r="AD217" s="152" t="s">
        <v>1164</v>
      </c>
      <c r="AE217" s="149" t="s">
        <v>108</v>
      </c>
      <c r="AF217" s="149" t="s">
        <v>4</v>
      </c>
      <c r="AG217" s="208">
        <v>24632.82</v>
      </c>
      <c r="AH217" s="208">
        <v>54632.82</v>
      </c>
      <c r="AI217" s="232" t="s">
        <v>6</v>
      </c>
      <c r="AJ217" s="138" t="s">
        <v>109</v>
      </c>
      <c r="AK217" s="235">
        <v>92976418</v>
      </c>
      <c r="AL217" s="149" t="s">
        <v>110</v>
      </c>
      <c r="AM217" s="149" t="s">
        <v>110</v>
      </c>
      <c r="AN217" s="149" t="s">
        <v>111</v>
      </c>
      <c r="AO217" s="149" t="s">
        <v>1165</v>
      </c>
      <c r="AP217" s="199" t="s">
        <v>1166</v>
      </c>
      <c r="AQ217" s="149" t="s">
        <v>110</v>
      </c>
      <c r="AR217" s="149" t="s">
        <v>110</v>
      </c>
      <c r="AS217" s="149" t="s">
        <v>110</v>
      </c>
      <c r="AT217" s="149" t="s">
        <v>110</v>
      </c>
      <c r="AU217" s="144">
        <v>46090</v>
      </c>
      <c r="AV217" s="149" t="s">
        <v>110</v>
      </c>
      <c r="AW217" s="149" t="s">
        <v>110</v>
      </c>
      <c r="AX217" s="144">
        <v>46134</v>
      </c>
      <c r="AY217" s="197">
        <v>46134</v>
      </c>
      <c r="AZ217" s="145" t="s">
        <v>33</v>
      </c>
      <c r="BA217" s="145" t="s">
        <v>113</v>
      </c>
      <c r="BB217" s="149" t="s">
        <v>110</v>
      </c>
      <c r="BC217" s="142">
        <f t="shared" si="12"/>
        <v>285</v>
      </c>
      <c r="BD217" s="134" t="str">
        <f t="shared" si="13"/>
        <v>INDENIZAÇÃO</v>
      </c>
      <c r="BE217" s="134" t="str">
        <f t="shared" si="14"/>
        <v>NÃO</v>
      </c>
      <c r="BF217" s="134" t="s">
        <v>24</v>
      </c>
      <c r="BG217" s="134" t="s">
        <v>24</v>
      </c>
      <c r="BH217" s="134" t="s">
        <v>24</v>
      </c>
      <c r="BI217" s="198" t="s">
        <v>110</v>
      </c>
      <c r="BJ217" s="145" t="s">
        <v>33</v>
      </c>
      <c r="BK217" s="145"/>
      <c r="BL217" s="145"/>
      <c r="BM217" s="145"/>
      <c r="CI217" s="200"/>
    </row>
    <row r="218" spans="1:92" s="149" customFormat="1" ht="30" hidden="1" customHeight="1" x14ac:dyDescent="0.25">
      <c r="A218" s="134">
        <v>202</v>
      </c>
      <c r="B218" s="245" t="s">
        <v>99</v>
      </c>
      <c r="C218" s="245">
        <v>1</v>
      </c>
      <c r="D218" s="245" t="s">
        <v>100</v>
      </c>
      <c r="E218" s="245" t="s">
        <v>100</v>
      </c>
      <c r="F218" s="246" t="s">
        <v>1167</v>
      </c>
      <c r="G218" s="149" t="s">
        <v>1</v>
      </c>
      <c r="H218" s="149" t="s">
        <v>2</v>
      </c>
      <c r="I218" s="149" t="s">
        <v>382</v>
      </c>
      <c r="J218" s="152" t="s">
        <v>1168</v>
      </c>
      <c r="K218" s="152" t="s">
        <v>1169</v>
      </c>
      <c r="L218" s="152" t="s">
        <v>1170</v>
      </c>
      <c r="M218" s="245" t="s">
        <v>4</v>
      </c>
      <c r="N218" s="245" t="s">
        <v>14</v>
      </c>
      <c r="O218" s="256">
        <v>45280</v>
      </c>
      <c r="P218" s="249" t="s">
        <v>17</v>
      </c>
      <c r="Q218" s="246" t="s">
        <v>386</v>
      </c>
      <c r="R218" s="249"/>
      <c r="S218" s="249"/>
      <c r="T218" s="249"/>
      <c r="U218" s="249"/>
      <c r="V218" s="249"/>
      <c r="W218" s="249"/>
      <c r="X218" s="249"/>
      <c r="Y218" s="249"/>
      <c r="Z218" s="249"/>
      <c r="AA218" s="250"/>
      <c r="AB218" s="152" t="s">
        <v>1171</v>
      </c>
      <c r="AC218" s="152" t="s">
        <v>1172</v>
      </c>
      <c r="AD218" s="152" t="s">
        <v>1173</v>
      </c>
      <c r="AE218" s="134" t="s">
        <v>342</v>
      </c>
      <c r="AF218" s="250" t="s">
        <v>4</v>
      </c>
      <c r="AG218" s="208">
        <v>35521.71</v>
      </c>
      <c r="AH218" s="208">
        <v>35521.71</v>
      </c>
      <c r="AI218" s="251" t="s">
        <v>6</v>
      </c>
      <c r="AJ218" s="246" t="s">
        <v>109</v>
      </c>
      <c r="AK218" s="257" t="s">
        <v>110</v>
      </c>
      <c r="AL218" s="250" t="s">
        <v>110</v>
      </c>
      <c r="AM218" s="250" t="s">
        <v>110</v>
      </c>
      <c r="AN218" s="245" t="s">
        <v>111</v>
      </c>
      <c r="AO218" s="250"/>
      <c r="AP218" s="253" t="s">
        <v>1174</v>
      </c>
      <c r="AQ218" s="250" t="s">
        <v>110</v>
      </c>
      <c r="AR218" s="250" t="s">
        <v>110</v>
      </c>
      <c r="AS218" s="250" t="s">
        <v>110</v>
      </c>
      <c r="AT218" s="250" t="s">
        <v>110</v>
      </c>
      <c r="AU218" s="248">
        <v>45755</v>
      </c>
      <c r="AV218" s="250" t="s">
        <v>110</v>
      </c>
      <c r="AW218" s="250" t="s">
        <v>110</v>
      </c>
      <c r="AX218" s="248">
        <v>45800</v>
      </c>
      <c r="AY218" s="254">
        <v>45800</v>
      </c>
      <c r="AZ218" s="245" t="s">
        <v>355</v>
      </c>
      <c r="BA218" s="245" t="s">
        <v>1</v>
      </c>
      <c r="BB218" s="250" t="s">
        <v>110</v>
      </c>
      <c r="BC218" s="142">
        <f t="shared" si="12"/>
        <v>520</v>
      </c>
      <c r="BD218" s="134" t="str">
        <f t="shared" si="13"/>
        <v>INDENIZAÇÃO</v>
      </c>
      <c r="BE218" s="134" t="str">
        <f t="shared" si="14"/>
        <v>NÃO</v>
      </c>
      <c r="BF218" s="245" t="s">
        <v>24</v>
      </c>
      <c r="BG218" s="245" t="s">
        <v>24</v>
      </c>
      <c r="BH218" s="245" t="s">
        <v>24</v>
      </c>
      <c r="BI218" s="250" t="s">
        <v>110</v>
      </c>
      <c r="BJ218" s="198" t="s">
        <v>110</v>
      </c>
      <c r="BK218" s="194">
        <v>45859</v>
      </c>
      <c r="BL218" s="149" t="s">
        <v>110</v>
      </c>
      <c r="BM218" s="141" t="s">
        <v>33</v>
      </c>
      <c r="CI218" s="200"/>
    </row>
    <row r="219" spans="1:92" s="149" customFormat="1" ht="30" hidden="1" customHeight="1" x14ac:dyDescent="0.25">
      <c r="A219" s="134">
        <v>203</v>
      </c>
      <c r="B219" s="245" t="s">
        <v>99</v>
      </c>
      <c r="C219" s="245">
        <v>1</v>
      </c>
      <c r="D219" s="245" t="s">
        <v>100</v>
      </c>
      <c r="E219" s="245" t="s">
        <v>100</v>
      </c>
      <c r="F219" s="246" t="s">
        <v>1175</v>
      </c>
      <c r="G219" s="149" t="s">
        <v>1</v>
      </c>
      <c r="H219" s="149" t="s">
        <v>2</v>
      </c>
      <c r="I219" s="149" t="s">
        <v>382</v>
      </c>
      <c r="J219" s="152" t="s">
        <v>1176</v>
      </c>
      <c r="K219" s="152" t="s">
        <v>1177</v>
      </c>
      <c r="L219" s="152" t="s">
        <v>1178</v>
      </c>
      <c r="M219" s="245" t="s">
        <v>4</v>
      </c>
      <c r="N219" s="245" t="s">
        <v>14</v>
      </c>
      <c r="O219" s="256">
        <v>45455</v>
      </c>
      <c r="P219" s="249" t="s">
        <v>17</v>
      </c>
      <c r="Q219" s="246" t="s">
        <v>386</v>
      </c>
      <c r="R219" s="249"/>
      <c r="S219" s="249"/>
      <c r="T219" s="249"/>
      <c r="U219" s="249"/>
      <c r="V219" s="249"/>
      <c r="W219" s="249"/>
      <c r="X219" s="249"/>
      <c r="Y219" s="249"/>
      <c r="Z219" s="249"/>
      <c r="AA219" s="250"/>
      <c r="AB219" s="152" t="s">
        <v>1179</v>
      </c>
      <c r="AC219" s="152" t="s">
        <v>1180</v>
      </c>
      <c r="AD219" s="152" t="s">
        <v>1181</v>
      </c>
      <c r="AE219" s="134" t="s">
        <v>342</v>
      </c>
      <c r="AF219" s="250" t="s">
        <v>4</v>
      </c>
      <c r="AG219" s="208">
        <v>16883.169999999998</v>
      </c>
      <c r="AH219" s="208">
        <v>16883.169999999998</v>
      </c>
      <c r="AI219" s="245" t="s">
        <v>6</v>
      </c>
      <c r="AJ219" s="246" t="s">
        <v>109</v>
      </c>
      <c r="AK219" s="245"/>
      <c r="AL219" s="250" t="s">
        <v>110</v>
      </c>
      <c r="AM219" s="250" t="s">
        <v>110</v>
      </c>
      <c r="AN219" s="250" t="s">
        <v>111</v>
      </c>
      <c r="AO219" s="250"/>
      <c r="AP219" s="253" t="s">
        <v>1182</v>
      </c>
      <c r="AQ219" s="250" t="s">
        <v>110</v>
      </c>
      <c r="AR219" s="250" t="s">
        <v>110</v>
      </c>
      <c r="AS219" s="250" t="s">
        <v>110</v>
      </c>
      <c r="AT219" s="250" t="s">
        <v>110</v>
      </c>
      <c r="AU219" s="256">
        <v>45579</v>
      </c>
      <c r="AV219" s="250" t="s">
        <v>110</v>
      </c>
      <c r="AW219" s="250" t="s">
        <v>110</v>
      </c>
      <c r="AX219" s="256">
        <v>45600</v>
      </c>
      <c r="AY219" s="249">
        <v>45600</v>
      </c>
      <c r="AZ219" s="245" t="s">
        <v>355</v>
      </c>
      <c r="BA219" s="245" t="s">
        <v>1</v>
      </c>
      <c r="BB219" s="250" t="s">
        <v>110</v>
      </c>
      <c r="BC219" s="142">
        <f t="shared" si="12"/>
        <v>145</v>
      </c>
      <c r="BD219" s="134" t="str">
        <f t="shared" si="13"/>
        <v>INDENIZAÇÃO</v>
      </c>
      <c r="BE219" s="134" t="str">
        <f t="shared" si="14"/>
        <v>NÃO</v>
      </c>
      <c r="BF219" s="245" t="s">
        <v>24</v>
      </c>
      <c r="BG219" s="245" t="s">
        <v>24</v>
      </c>
      <c r="BH219" s="245" t="s">
        <v>24</v>
      </c>
      <c r="BI219" s="250" t="s">
        <v>110</v>
      </c>
      <c r="BJ219" s="250" t="s">
        <v>110</v>
      </c>
      <c r="BK219" s="256">
        <v>45621</v>
      </c>
      <c r="BL219" s="250" t="s">
        <v>110</v>
      </c>
      <c r="BM219" s="250" t="s">
        <v>33</v>
      </c>
      <c r="CI219" s="200"/>
    </row>
    <row r="220" spans="1:92" s="149" customFormat="1" ht="30" hidden="1" customHeight="1" x14ac:dyDescent="0.25">
      <c r="A220" s="134">
        <v>204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52" t="s">
        <v>1183</v>
      </c>
      <c r="G220" s="149" t="s">
        <v>1</v>
      </c>
      <c r="H220" s="149" t="s">
        <v>2</v>
      </c>
      <c r="I220" s="149" t="s">
        <v>108</v>
      </c>
      <c r="J220" s="152" t="s">
        <v>1184</v>
      </c>
      <c r="K220" s="152" t="s">
        <v>1185</v>
      </c>
      <c r="L220" s="152" t="s">
        <v>1186</v>
      </c>
      <c r="M220" s="134" t="s">
        <v>4</v>
      </c>
      <c r="N220" s="214" t="s">
        <v>14</v>
      </c>
      <c r="O220" s="194">
        <v>45356</v>
      </c>
      <c r="P220" s="144">
        <v>45251</v>
      </c>
      <c r="Q220" s="138" t="s">
        <v>386</v>
      </c>
      <c r="R220" s="144" t="s">
        <v>110</v>
      </c>
      <c r="S220" s="144" t="s">
        <v>110</v>
      </c>
      <c r="T220" s="144"/>
      <c r="U220" s="144"/>
      <c r="V220" s="144"/>
      <c r="W220" s="144"/>
      <c r="X220" s="144"/>
      <c r="Y220" s="144"/>
      <c r="Z220" s="144"/>
      <c r="AB220" s="152" t="s">
        <v>1187</v>
      </c>
      <c r="AC220" s="152" t="s">
        <v>1185</v>
      </c>
      <c r="AD220" s="152" t="s">
        <v>1186</v>
      </c>
      <c r="AE220" s="149" t="s">
        <v>108</v>
      </c>
      <c r="AG220" s="208"/>
      <c r="AH220" s="208"/>
      <c r="AI220" s="234"/>
      <c r="AK220" s="200"/>
      <c r="AP220" s="152"/>
      <c r="BC220" s="142" t="str">
        <f t="shared" si="12"/>
        <v/>
      </c>
      <c r="BD220" s="134" t="str">
        <f t="shared" si="13"/>
        <v>INDENIZAÇÃO</v>
      </c>
      <c r="BE220" s="134" t="str">
        <f t="shared" si="14"/>
        <v>NÃO</v>
      </c>
      <c r="BG220" s="194"/>
      <c r="BH220" s="194"/>
      <c r="CI220" s="210"/>
      <c r="CJ220" s="201"/>
      <c r="CK220" s="201"/>
      <c r="CL220" s="201"/>
      <c r="CM220" s="201"/>
    </row>
    <row r="221" spans="1:92" s="149" customFormat="1" ht="30" hidden="1" customHeight="1" x14ac:dyDescent="0.25">
      <c r="A221" s="134">
        <v>205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1188</v>
      </c>
      <c r="G221" s="149" t="s">
        <v>1</v>
      </c>
      <c r="H221" s="149" t="s">
        <v>2</v>
      </c>
      <c r="I221" s="149" t="s">
        <v>108</v>
      </c>
      <c r="J221" s="152" t="s">
        <v>1189</v>
      </c>
      <c r="K221" s="152" t="s">
        <v>1190</v>
      </c>
      <c r="L221" s="152" t="s">
        <v>1191</v>
      </c>
      <c r="M221" s="134" t="s">
        <v>4</v>
      </c>
      <c r="N221" s="214" t="s">
        <v>5</v>
      </c>
      <c r="O221" s="194">
        <v>45280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1189</v>
      </c>
      <c r="AC221" s="152" t="s">
        <v>1190</v>
      </c>
      <c r="AD221" s="152" t="s">
        <v>1191</v>
      </c>
      <c r="AE221" s="149" t="s">
        <v>108</v>
      </c>
      <c r="AF221" s="149" t="s">
        <v>4</v>
      </c>
      <c r="AG221" s="208">
        <v>10157.67</v>
      </c>
      <c r="AH221" s="208">
        <v>40157.67</v>
      </c>
      <c r="AI221" s="232" t="s">
        <v>6</v>
      </c>
      <c r="AJ221" s="138" t="s">
        <v>109</v>
      </c>
      <c r="AK221" s="235"/>
      <c r="AL221" s="149" t="s">
        <v>110</v>
      </c>
      <c r="AM221" s="149" t="s">
        <v>110</v>
      </c>
      <c r="AN221" s="149" t="s">
        <v>111</v>
      </c>
      <c r="AP221" s="152" t="s">
        <v>1192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45441</v>
      </c>
      <c r="AV221" s="149" t="s">
        <v>110</v>
      </c>
      <c r="AW221" s="149" t="s">
        <v>110</v>
      </c>
      <c r="AX221" s="194">
        <v>45450</v>
      </c>
      <c r="AY221" s="217">
        <v>45450</v>
      </c>
      <c r="AZ221" s="217" t="s">
        <v>33</v>
      </c>
      <c r="BA221" s="145" t="s">
        <v>113</v>
      </c>
      <c r="BB221" s="149" t="s">
        <v>110</v>
      </c>
      <c r="BC221" s="142">
        <f t="shared" si="12"/>
        <v>170</v>
      </c>
      <c r="BD221" s="134" t="str">
        <f t="shared" si="13"/>
        <v>INDENIZAÇÃO</v>
      </c>
      <c r="BE221" s="134" t="str">
        <f t="shared" si="14"/>
        <v>NÃO</v>
      </c>
      <c r="BF221" s="134" t="s">
        <v>24</v>
      </c>
      <c r="BG221" s="134" t="s">
        <v>24</v>
      </c>
      <c r="BH221" s="134" t="s">
        <v>24</v>
      </c>
      <c r="BI221" s="198" t="s">
        <v>110</v>
      </c>
      <c r="BJ221" s="198" t="s">
        <v>110</v>
      </c>
      <c r="BK221" s="144">
        <v>45545</v>
      </c>
      <c r="BL221" s="198" t="s">
        <v>110</v>
      </c>
      <c r="BM221" s="145" t="s">
        <v>33</v>
      </c>
      <c r="CI221" s="212"/>
      <c r="CJ221" s="171"/>
      <c r="CK221" s="171"/>
      <c r="CL221" s="171"/>
      <c r="CM221" s="171"/>
    </row>
    <row r="222" spans="1:92" s="149" customFormat="1" ht="30" hidden="1" customHeight="1" x14ac:dyDescent="0.25">
      <c r="A222" s="134">
        <v>206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1193</v>
      </c>
      <c r="G222" s="149" t="s">
        <v>1</v>
      </c>
      <c r="H222" s="149" t="s">
        <v>2</v>
      </c>
      <c r="I222" s="149" t="s">
        <v>382</v>
      </c>
      <c r="J222" s="152" t="s">
        <v>1194</v>
      </c>
      <c r="K222" s="152" t="s">
        <v>1195</v>
      </c>
      <c r="L222" s="152" t="s">
        <v>1196</v>
      </c>
      <c r="M222" s="134" t="s">
        <v>4</v>
      </c>
      <c r="N222" s="134" t="s">
        <v>14</v>
      </c>
      <c r="O222" s="194">
        <v>45280</v>
      </c>
      <c r="P222" s="197" t="s">
        <v>17</v>
      </c>
      <c r="Q222" s="264" t="s">
        <v>386</v>
      </c>
      <c r="R222" s="197"/>
      <c r="S222" s="197"/>
      <c r="T222" s="197"/>
      <c r="U222" s="197"/>
      <c r="V222" s="197"/>
      <c r="W222" s="197"/>
      <c r="X222" s="197"/>
      <c r="Y222" s="197"/>
      <c r="Z222" s="197"/>
      <c r="AB222" s="152" t="s">
        <v>1197</v>
      </c>
      <c r="AC222" s="152" t="s">
        <v>1198</v>
      </c>
      <c r="AD222" s="152" t="s">
        <v>1199</v>
      </c>
      <c r="AE222" s="134" t="s">
        <v>342</v>
      </c>
      <c r="AF222" s="149" t="s">
        <v>4</v>
      </c>
      <c r="AG222" s="208">
        <v>9571.6299999999992</v>
      </c>
      <c r="AH222" s="208">
        <v>9571.6299999999992</v>
      </c>
      <c r="AI222" s="134" t="s">
        <v>6</v>
      </c>
      <c r="AJ222" s="160" t="s">
        <v>109</v>
      </c>
      <c r="AK222" s="134">
        <v>125886905</v>
      </c>
      <c r="AL222" s="134" t="s">
        <v>110</v>
      </c>
      <c r="AM222" s="134" t="s">
        <v>110</v>
      </c>
      <c r="AN222" s="134" t="s">
        <v>111</v>
      </c>
      <c r="AO222" s="134" t="s">
        <v>1050</v>
      </c>
      <c r="AP222" s="152" t="s">
        <v>1200</v>
      </c>
      <c r="AQ222" s="134" t="s">
        <v>110</v>
      </c>
      <c r="AR222" s="134" t="s">
        <v>110</v>
      </c>
      <c r="AS222" s="198" t="s">
        <v>110</v>
      </c>
      <c r="AT222" s="198" t="s">
        <v>110</v>
      </c>
      <c r="AU222" s="194">
        <v>45834</v>
      </c>
      <c r="AV222" s="198" t="s">
        <v>110</v>
      </c>
      <c r="AW222" s="198" t="s">
        <v>110</v>
      </c>
      <c r="AX222" s="194">
        <v>45840</v>
      </c>
      <c r="AY222" s="140">
        <v>45840</v>
      </c>
      <c r="AZ222" s="145" t="s">
        <v>33</v>
      </c>
      <c r="BA222" s="145" t="s">
        <v>113</v>
      </c>
      <c r="BB222" s="149" t="s">
        <v>110</v>
      </c>
      <c r="BC222" s="142">
        <f t="shared" si="12"/>
        <v>560</v>
      </c>
      <c r="BD222" s="134" t="str">
        <f t="shared" si="13"/>
        <v>INDENIZAÇÃO</v>
      </c>
      <c r="BE222" s="134" t="str">
        <f t="shared" si="14"/>
        <v>NÃO</v>
      </c>
      <c r="BF222" s="134" t="s">
        <v>24</v>
      </c>
      <c r="BG222" s="134" t="s">
        <v>24</v>
      </c>
      <c r="BH222" s="134" t="s">
        <v>24</v>
      </c>
      <c r="BI222" s="198" t="s">
        <v>110</v>
      </c>
      <c r="BJ222" s="198" t="s">
        <v>110</v>
      </c>
      <c r="BK222" s="194">
        <v>45859</v>
      </c>
      <c r="BL222" s="149" t="s">
        <v>110</v>
      </c>
      <c r="BM222" s="141" t="s">
        <v>33</v>
      </c>
      <c r="CI222" s="210"/>
      <c r="CJ222" s="201"/>
      <c r="CK222" s="201"/>
      <c r="CL222" s="201"/>
      <c r="CM222" s="201"/>
    </row>
    <row r="223" spans="1:92" s="149" customFormat="1" ht="30" hidden="1" customHeight="1" x14ac:dyDescent="0.25">
      <c r="A223" s="134">
        <v>207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1201</v>
      </c>
      <c r="G223" s="149" t="s">
        <v>1</v>
      </c>
      <c r="H223" s="149" t="s">
        <v>2</v>
      </c>
      <c r="I223" s="149" t="s">
        <v>108</v>
      </c>
      <c r="J223" s="152" t="s">
        <v>1202</v>
      </c>
      <c r="K223" s="152" t="s">
        <v>1203</v>
      </c>
      <c r="L223" s="152" t="s">
        <v>1204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1202</v>
      </c>
      <c r="AC223" s="152" t="s">
        <v>1203</v>
      </c>
      <c r="AD223" s="152" t="s">
        <v>1204</v>
      </c>
      <c r="AE223" s="149" t="s">
        <v>108</v>
      </c>
      <c r="AF223" s="149" t="s">
        <v>4</v>
      </c>
      <c r="AG223" s="208">
        <v>35521.71</v>
      </c>
      <c r="AH223" s="208">
        <v>60000</v>
      </c>
      <c r="AI223" s="214" t="s">
        <v>6</v>
      </c>
      <c r="AJ223" s="311" t="s">
        <v>109</v>
      </c>
      <c r="AK223" s="214"/>
      <c r="AL223" s="149" t="s">
        <v>110</v>
      </c>
      <c r="AM223" s="149" t="s">
        <v>110</v>
      </c>
      <c r="AN223" s="149" t="s">
        <v>111</v>
      </c>
      <c r="AP223" s="152" t="s">
        <v>1205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45384</v>
      </c>
      <c r="AY223" s="197">
        <v>45384</v>
      </c>
      <c r="AZ223" s="197" t="s">
        <v>33</v>
      </c>
      <c r="BA223" s="145" t="s">
        <v>113</v>
      </c>
      <c r="BB223" s="149" t="s">
        <v>110</v>
      </c>
      <c r="BC223" s="142">
        <f t="shared" si="12"/>
        <v>116</v>
      </c>
      <c r="BD223" s="134" t="str">
        <f t="shared" si="13"/>
        <v>INDENIZAÇÃO</v>
      </c>
      <c r="BE223" s="134" t="str">
        <f t="shared" si="14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  <c r="CN223" s="200"/>
    </row>
    <row r="224" spans="1:92" s="149" customFormat="1" ht="30" hidden="1" customHeight="1" x14ac:dyDescent="0.25">
      <c r="A224" s="134">
        <v>208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1206</v>
      </c>
      <c r="G224" s="149" t="s">
        <v>1</v>
      </c>
      <c r="H224" s="149" t="s">
        <v>2</v>
      </c>
      <c r="I224" s="149" t="s">
        <v>108</v>
      </c>
      <c r="J224" s="152" t="s">
        <v>1207</v>
      </c>
      <c r="K224" s="152" t="s">
        <v>1208</v>
      </c>
      <c r="L224" s="152" t="s">
        <v>1209</v>
      </c>
      <c r="M224" s="134" t="s">
        <v>4</v>
      </c>
      <c r="N224" s="214" t="s">
        <v>365</v>
      </c>
      <c r="O224" s="194">
        <v>45356</v>
      </c>
      <c r="P224" s="144">
        <v>45264</v>
      </c>
      <c r="Q224" s="138" t="s">
        <v>386</v>
      </c>
      <c r="R224" s="144" t="s">
        <v>110</v>
      </c>
      <c r="S224" s="144" t="s">
        <v>110</v>
      </c>
      <c r="T224" s="144"/>
      <c r="U224" s="144"/>
      <c r="V224" s="144"/>
      <c r="W224" s="144"/>
      <c r="X224" s="144"/>
      <c r="Y224" s="144"/>
      <c r="Z224" s="144"/>
      <c r="AB224" s="152"/>
      <c r="AC224" s="152"/>
      <c r="AD224" s="152"/>
      <c r="AG224" s="208"/>
      <c r="AH224" s="208"/>
      <c r="AI224" s="234"/>
      <c r="AK224" s="200"/>
      <c r="AP224" s="152"/>
      <c r="BC224" s="142" t="str">
        <f t="shared" si="12"/>
        <v/>
      </c>
      <c r="BD224" s="134" t="str">
        <f t="shared" si="13"/>
        <v>INDENIZAÇÃO</v>
      </c>
      <c r="BE224" s="134" t="str">
        <f t="shared" si="14"/>
        <v>NÃO</v>
      </c>
      <c r="BG224" s="194"/>
      <c r="BH224" s="194"/>
      <c r="CI224" s="200"/>
      <c r="CN224" s="200"/>
    </row>
    <row r="225" spans="1:92" s="149" customFormat="1" ht="30" hidden="1" customHeight="1" x14ac:dyDescent="0.25">
      <c r="A225" s="134">
        <v>209</v>
      </c>
      <c r="B225" s="134" t="s">
        <v>99</v>
      </c>
      <c r="C225" s="134">
        <v>1</v>
      </c>
      <c r="D225" s="134" t="s">
        <v>100</v>
      </c>
      <c r="E225" s="134" t="s">
        <v>100</v>
      </c>
      <c r="F225" s="138" t="s">
        <v>1210</v>
      </c>
      <c r="G225" s="149" t="s">
        <v>1</v>
      </c>
      <c r="H225" s="149" t="s">
        <v>2</v>
      </c>
      <c r="I225" s="149" t="s">
        <v>108</v>
      </c>
      <c r="J225" s="152" t="s">
        <v>1211</v>
      </c>
      <c r="K225" s="152" t="s">
        <v>1212</v>
      </c>
      <c r="L225" s="152" t="s">
        <v>1213</v>
      </c>
      <c r="M225" s="134" t="s">
        <v>4</v>
      </c>
      <c r="N225" s="214" t="s">
        <v>5</v>
      </c>
      <c r="O225" s="194">
        <v>45268</v>
      </c>
      <c r="P225" s="144" t="s">
        <v>24</v>
      </c>
      <c r="Q225" s="144" t="s">
        <v>24</v>
      </c>
      <c r="R225" s="144" t="s">
        <v>24</v>
      </c>
      <c r="S225" s="144" t="s">
        <v>24</v>
      </c>
      <c r="T225" s="144" t="s">
        <v>24</v>
      </c>
      <c r="U225" s="144" t="s">
        <v>24</v>
      </c>
      <c r="V225" s="144" t="s">
        <v>24</v>
      </c>
      <c r="W225" s="144" t="s">
        <v>24</v>
      </c>
      <c r="X225" s="144" t="s">
        <v>24</v>
      </c>
      <c r="Y225" s="144" t="s">
        <v>24</v>
      </c>
      <c r="Z225" s="144" t="s">
        <v>24</v>
      </c>
      <c r="AB225" s="152" t="s">
        <v>1211</v>
      </c>
      <c r="AC225" s="152" t="s">
        <v>1212</v>
      </c>
      <c r="AD225" s="152" t="s">
        <v>1213</v>
      </c>
      <c r="AE225" s="149" t="s">
        <v>108</v>
      </c>
      <c r="AF225" s="149" t="s">
        <v>4</v>
      </c>
      <c r="AG225" s="208">
        <v>33523.040000000001</v>
      </c>
      <c r="AH225" s="208">
        <v>60000</v>
      </c>
      <c r="AI225" s="232" t="s">
        <v>6</v>
      </c>
      <c r="AJ225" s="138" t="s">
        <v>109</v>
      </c>
      <c r="AK225" s="235"/>
      <c r="AL225" s="149" t="s">
        <v>110</v>
      </c>
      <c r="AM225" s="149" t="s">
        <v>110</v>
      </c>
      <c r="AN225" s="149" t="s">
        <v>111</v>
      </c>
      <c r="AP225" s="152" t="s">
        <v>1214</v>
      </c>
      <c r="AQ225" s="149" t="s">
        <v>110</v>
      </c>
      <c r="AR225" s="149" t="s">
        <v>110</v>
      </c>
      <c r="AS225" s="149" t="s">
        <v>110</v>
      </c>
      <c r="AT225" s="149" t="s">
        <v>110</v>
      </c>
      <c r="AU225" s="194">
        <v>45373</v>
      </c>
      <c r="AV225" s="149" t="s">
        <v>110</v>
      </c>
      <c r="AW225" s="149" t="s">
        <v>110</v>
      </c>
      <c r="AX225" s="194">
        <v>45385</v>
      </c>
      <c r="AY225" s="197">
        <v>45385</v>
      </c>
      <c r="AZ225" s="197" t="s">
        <v>33</v>
      </c>
      <c r="BA225" s="145" t="s">
        <v>113</v>
      </c>
      <c r="BB225" s="149" t="s">
        <v>110</v>
      </c>
      <c r="BC225" s="142">
        <f t="shared" si="12"/>
        <v>117</v>
      </c>
      <c r="BD225" s="134" t="str">
        <f t="shared" si="13"/>
        <v>INDENIZAÇÃO</v>
      </c>
      <c r="BE225" s="134" t="str">
        <f t="shared" si="14"/>
        <v>NÃO</v>
      </c>
      <c r="BF225" s="134" t="s">
        <v>24</v>
      </c>
      <c r="BG225" s="134" t="s">
        <v>24</v>
      </c>
      <c r="BH225" s="134" t="s">
        <v>24</v>
      </c>
      <c r="BI225" s="149" t="s">
        <v>110</v>
      </c>
      <c r="BJ225" s="149" t="s">
        <v>110</v>
      </c>
      <c r="BK225" s="194">
        <v>45510</v>
      </c>
      <c r="BL225" s="149" t="s">
        <v>110</v>
      </c>
      <c r="BM225" s="145" t="s">
        <v>33</v>
      </c>
      <c r="CI225" s="200"/>
    </row>
    <row r="226" spans="1:92" s="149" customFormat="1" ht="30" hidden="1" customHeight="1" x14ac:dyDescent="0.25">
      <c r="A226" s="134">
        <v>210</v>
      </c>
      <c r="B226" s="134" t="s">
        <v>99</v>
      </c>
      <c r="C226" s="134">
        <v>1</v>
      </c>
      <c r="D226" s="134" t="s">
        <v>100</v>
      </c>
      <c r="E226" s="134" t="s">
        <v>100</v>
      </c>
      <c r="F226" s="138" t="s">
        <v>1215</v>
      </c>
      <c r="G226" s="149" t="s">
        <v>1</v>
      </c>
      <c r="H226" s="149" t="s">
        <v>2</v>
      </c>
      <c r="I226" s="149" t="s">
        <v>108</v>
      </c>
      <c r="J226" s="152" t="s">
        <v>1216</v>
      </c>
      <c r="K226" s="152" t="s">
        <v>1217</v>
      </c>
      <c r="L226" s="152" t="s">
        <v>1218</v>
      </c>
      <c r="M226" s="134" t="s">
        <v>4</v>
      </c>
      <c r="N226" s="214" t="s">
        <v>5</v>
      </c>
      <c r="O226" s="194">
        <v>45280</v>
      </c>
      <c r="P226" s="144" t="s">
        <v>24</v>
      </c>
      <c r="Q226" s="144" t="s">
        <v>24</v>
      </c>
      <c r="R226" s="144" t="s">
        <v>24</v>
      </c>
      <c r="S226" s="144" t="s">
        <v>24</v>
      </c>
      <c r="T226" s="144" t="s">
        <v>24</v>
      </c>
      <c r="U226" s="144" t="s">
        <v>24</v>
      </c>
      <c r="V226" s="144" t="s">
        <v>24</v>
      </c>
      <c r="W226" s="144" t="s">
        <v>24</v>
      </c>
      <c r="X226" s="144" t="s">
        <v>24</v>
      </c>
      <c r="Y226" s="144" t="s">
        <v>24</v>
      </c>
      <c r="Z226" s="144" t="s">
        <v>24</v>
      </c>
      <c r="AB226" s="152" t="s">
        <v>1216</v>
      </c>
      <c r="AC226" s="152" t="s">
        <v>1219</v>
      </c>
      <c r="AD226" s="152" t="s">
        <v>1218</v>
      </c>
      <c r="AE226" s="149" t="s">
        <v>108</v>
      </c>
      <c r="AF226" s="149" t="s">
        <v>4</v>
      </c>
      <c r="AG226" s="208">
        <v>10859.81</v>
      </c>
      <c r="AH226" s="208">
        <v>40859.81</v>
      </c>
      <c r="AI226" s="232" t="s">
        <v>6</v>
      </c>
      <c r="AJ226" s="138" t="s">
        <v>109</v>
      </c>
      <c r="AK226" s="235"/>
      <c r="AL226" s="149" t="s">
        <v>110</v>
      </c>
      <c r="AM226" s="149" t="s">
        <v>110</v>
      </c>
      <c r="AN226" s="149" t="s">
        <v>111</v>
      </c>
      <c r="AP226" s="152" t="s">
        <v>1220</v>
      </c>
      <c r="AQ226" s="149" t="s">
        <v>110</v>
      </c>
      <c r="AR226" s="149" t="s">
        <v>110</v>
      </c>
      <c r="AS226" s="149" t="s">
        <v>110</v>
      </c>
      <c r="AT226" s="149" t="s">
        <v>110</v>
      </c>
      <c r="AU226" s="194">
        <v>45373</v>
      </c>
      <c r="AV226" s="149" t="s">
        <v>110</v>
      </c>
      <c r="AW226" s="149" t="s">
        <v>110</v>
      </c>
      <c r="AX226" s="194">
        <v>45393</v>
      </c>
      <c r="AY226" s="197">
        <v>45393</v>
      </c>
      <c r="AZ226" s="197" t="s">
        <v>33</v>
      </c>
      <c r="BA226" s="145" t="s">
        <v>113</v>
      </c>
      <c r="BB226" s="149" t="s">
        <v>110</v>
      </c>
      <c r="BC226" s="142">
        <f t="shared" si="12"/>
        <v>113</v>
      </c>
      <c r="BD226" s="134" t="str">
        <f t="shared" si="13"/>
        <v>INDENIZAÇÃO</v>
      </c>
      <c r="BE226" s="134" t="str">
        <f t="shared" si="14"/>
        <v>NÃO</v>
      </c>
      <c r="BF226" s="134" t="s">
        <v>24</v>
      </c>
      <c r="BG226" s="134" t="s">
        <v>24</v>
      </c>
      <c r="BH226" s="134" t="s">
        <v>24</v>
      </c>
      <c r="BI226" s="198" t="s">
        <v>110</v>
      </c>
      <c r="BJ226" s="198" t="s">
        <v>110</v>
      </c>
      <c r="BK226" s="144">
        <v>45545</v>
      </c>
      <c r="BL226" s="198" t="s">
        <v>110</v>
      </c>
      <c r="BM226" s="145" t="s">
        <v>33</v>
      </c>
      <c r="CI226" s="200"/>
    </row>
    <row r="227" spans="1:92" s="149" customFormat="1" ht="30" hidden="1" customHeight="1" x14ac:dyDescent="0.25">
      <c r="A227" s="134">
        <v>211</v>
      </c>
      <c r="B227" s="136" t="s">
        <v>99</v>
      </c>
      <c r="C227" s="136">
        <v>1</v>
      </c>
      <c r="D227" s="136" t="s">
        <v>100</v>
      </c>
      <c r="E227" s="136" t="s">
        <v>100</v>
      </c>
      <c r="F227" s="137" t="s">
        <v>1221</v>
      </c>
      <c r="G227" s="149" t="s">
        <v>1</v>
      </c>
      <c r="H227" s="149" t="s">
        <v>2</v>
      </c>
      <c r="I227" s="149" t="s">
        <v>108</v>
      </c>
      <c r="J227" s="152" t="s">
        <v>1222</v>
      </c>
      <c r="K227" s="152" t="s">
        <v>1223</v>
      </c>
      <c r="L227" s="152" t="s">
        <v>1224</v>
      </c>
      <c r="M227" s="136" t="s">
        <v>4</v>
      </c>
      <c r="N227" s="136" t="s">
        <v>5</v>
      </c>
      <c r="O227" s="220">
        <v>45280</v>
      </c>
      <c r="P227" s="221" t="s">
        <v>24</v>
      </c>
      <c r="Q227" s="221" t="s">
        <v>24</v>
      </c>
      <c r="R227" s="221" t="s">
        <v>24</v>
      </c>
      <c r="S227" s="221" t="s">
        <v>24</v>
      </c>
      <c r="T227" s="221" t="s">
        <v>24</v>
      </c>
      <c r="U227" s="221" t="s">
        <v>24</v>
      </c>
      <c r="V227" s="221" t="s">
        <v>24</v>
      </c>
      <c r="W227" s="221" t="s">
        <v>24</v>
      </c>
      <c r="X227" s="221" t="s">
        <v>24</v>
      </c>
      <c r="Y227" s="221" t="s">
        <v>24</v>
      </c>
      <c r="Z227" s="221" t="s">
        <v>24</v>
      </c>
      <c r="AA227" s="218"/>
      <c r="AB227" s="152" t="s">
        <v>1222</v>
      </c>
      <c r="AC227" s="152" t="s">
        <v>1223</v>
      </c>
      <c r="AD227" s="152" t="s">
        <v>1224</v>
      </c>
      <c r="AE227" s="149" t="s">
        <v>108</v>
      </c>
      <c r="AF227" s="218" t="s">
        <v>4</v>
      </c>
      <c r="AG227" s="208">
        <v>9274.34</v>
      </c>
      <c r="AH227" s="208">
        <v>39274.339999999997</v>
      </c>
      <c r="AI227" s="233" t="s">
        <v>6</v>
      </c>
      <c r="AJ227" s="137" t="s">
        <v>109</v>
      </c>
      <c r="AK227" s="236"/>
      <c r="AL227" s="218" t="s">
        <v>110</v>
      </c>
      <c r="AM227" s="218" t="s">
        <v>110</v>
      </c>
      <c r="AN227" s="218" t="s">
        <v>111</v>
      </c>
      <c r="AO227" s="218"/>
      <c r="AP227" s="222" t="s">
        <v>1225</v>
      </c>
      <c r="AQ227" s="218" t="s">
        <v>110</v>
      </c>
      <c r="AR227" s="218" t="s">
        <v>110</v>
      </c>
      <c r="AS227" s="218" t="s">
        <v>110</v>
      </c>
      <c r="AT227" s="218" t="s">
        <v>110</v>
      </c>
      <c r="AU227" s="220">
        <v>45441</v>
      </c>
      <c r="AV227" s="218" t="s">
        <v>110</v>
      </c>
      <c r="AW227" s="218" t="s">
        <v>110</v>
      </c>
      <c r="AX227" s="220">
        <v>45450</v>
      </c>
      <c r="AY227" s="223">
        <v>45450</v>
      </c>
      <c r="AZ227" s="221" t="s">
        <v>355</v>
      </c>
      <c r="BA227" s="218" t="s">
        <v>113</v>
      </c>
      <c r="BB227" s="149" t="s">
        <v>110</v>
      </c>
      <c r="BC227" s="142">
        <f t="shared" si="12"/>
        <v>170</v>
      </c>
      <c r="BD227" s="134" t="str">
        <f t="shared" si="13"/>
        <v>INDENIZAÇÃO</v>
      </c>
      <c r="BE227" s="134" t="str">
        <f t="shared" si="14"/>
        <v>NÃO</v>
      </c>
      <c r="BF227" s="134" t="s">
        <v>24</v>
      </c>
      <c r="BG227" s="134" t="s">
        <v>24</v>
      </c>
      <c r="BH227" s="134" t="s">
        <v>24</v>
      </c>
      <c r="BI227" s="198" t="s">
        <v>110</v>
      </c>
      <c r="BJ227" s="198" t="s">
        <v>110</v>
      </c>
      <c r="BK227" s="144">
        <v>45545</v>
      </c>
      <c r="BL227" s="198" t="s">
        <v>110</v>
      </c>
      <c r="BM227" s="145" t="s">
        <v>33</v>
      </c>
      <c r="CI227" s="200"/>
      <c r="CN227" s="200"/>
    </row>
    <row r="228" spans="1:92" s="149" customFormat="1" ht="30" hidden="1" customHeight="1" x14ac:dyDescent="0.25">
      <c r="A228" s="134">
        <v>212</v>
      </c>
      <c r="B228" s="245" t="s">
        <v>99</v>
      </c>
      <c r="C228" s="245">
        <v>1</v>
      </c>
      <c r="D228" s="245" t="s">
        <v>100</v>
      </c>
      <c r="E228" s="245" t="s">
        <v>100</v>
      </c>
      <c r="F228" s="246" t="s">
        <v>1226</v>
      </c>
      <c r="G228" s="149" t="s">
        <v>1</v>
      </c>
      <c r="H228" s="149" t="s">
        <v>2</v>
      </c>
      <c r="I228" s="149" t="s">
        <v>108</v>
      </c>
      <c r="J228" s="152" t="s">
        <v>1227</v>
      </c>
      <c r="K228" s="152" t="s">
        <v>1228</v>
      </c>
      <c r="L228" s="152" t="s">
        <v>1229</v>
      </c>
      <c r="M228" s="245" t="s">
        <v>4</v>
      </c>
      <c r="N228" s="245" t="s">
        <v>5</v>
      </c>
      <c r="O228" s="256">
        <v>45525</v>
      </c>
      <c r="P228" s="249" t="s">
        <v>24</v>
      </c>
      <c r="Q228" s="249" t="s">
        <v>24</v>
      </c>
      <c r="R228" s="249" t="s">
        <v>24</v>
      </c>
      <c r="S228" s="249" t="s">
        <v>24</v>
      </c>
      <c r="T228" s="249" t="s">
        <v>24</v>
      </c>
      <c r="U228" s="249" t="s">
        <v>24</v>
      </c>
      <c r="V228" s="249" t="s">
        <v>24</v>
      </c>
      <c r="W228" s="249" t="s">
        <v>24</v>
      </c>
      <c r="X228" s="249" t="s">
        <v>24</v>
      </c>
      <c r="Y228" s="249" t="s">
        <v>24</v>
      </c>
      <c r="Z228" s="249" t="s">
        <v>24</v>
      </c>
      <c r="AA228" s="250"/>
      <c r="AB228" s="152" t="s">
        <v>1227</v>
      </c>
      <c r="AC228" s="152" t="s">
        <v>1228</v>
      </c>
      <c r="AD228" s="152" t="s">
        <v>1229</v>
      </c>
      <c r="AE228" s="149" t="s">
        <v>108</v>
      </c>
      <c r="AF228" s="250" t="s">
        <v>4</v>
      </c>
      <c r="AG228" s="208">
        <v>65800.25</v>
      </c>
      <c r="AH228" s="208">
        <f>AG228</f>
        <v>65800.25</v>
      </c>
      <c r="AI228" s="251" t="s">
        <v>6</v>
      </c>
      <c r="AJ228" s="246" t="s">
        <v>109</v>
      </c>
      <c r="AK228" s="257"/>
      <c r="AL228" s="250" t="s">
        <v>110</v>
      </c>
      <c r="AM228" s="250" t="s">
        <v>110</v>
      </c>
      <c r="AN228" s="250" t="s">
        <v>111</v>
      </c>
      <c r="AO228" s="250"/>
      <c r="AP228" s="253" t="s">
        <v>1230</v>
      </c>
      <c r="AQ228" s="250" t="s">
        <v>110</v>
      </c>
      <c r="AR228" s="250" t="s">
        <v>110</v>
      </c>
      <c r="AS228" s="250" t="s">
        <v>110</v>
      </c>
      <c r="AT228" s="250" t="s">
        <v>110</v>
      </c>
      <c r="AU228" s="256">
        <v>45573</v>
      </c>
      <c r="AV228" s="250" t="s">
        <v>110</v>
      </c>
      <c r="AW228" s="250" t="s">
        <v>110</v>
      </c>
      <c r="AX228" s="256">
        <v>45582</v>
      </c>
      <c r="AY228" s="249">
        <v>45582</v>
      </c>
      <c r="AZ228" s="245" t="s">
        <v>355</v>
      </c>
      <c r="BA228" s="245" t="s">
        <v>1</v>
      </c>
      <c r="BB228" s="250" t="s">
        <v>110</v>
      </c>
      <c r="BC228" s="142">
        <f t="shared" si="12"/>
        <v>57</v>
      </c>
      <c r="BD228" s="134" t="str">
        <f t="shared" si="13"/>
        <v>INDENIZAÇÃO</v>
      </c>
      <c r="BE228" s="134" t="str">
        <f t="shared" si="14"/>
        <v>NÃO</v>
      </c>
      <c r="BF228" s="245" t="s">
        <v>24</v>
      </c>
      <c r="BG228" s="245" t="s">
        <v>24</v>
      </c>
      <c r="BH228" s="245" t="s">
        <v>24</v>
      </c>
      <c r="BI228" s="250" t="s">
        <v>110</v>
      </c>
      <c r="BJ228" s="250" t="s">
        <v>110</v>
      </c>
      <c r="BK228" s="256">
        <v>45621</v>
      </c>
      <c r="BL228" s="250" t="s">
        <v>110</v>
      </c>
      <c r="BM228" s="250" t="s">
        <v>33</v>
      </c>
      <c r="CI228" s="200"/>
      <c r="CN228" s="200"/>
    </row>
    <row r="229" spans="1:92" s="149" customFormat="1" ht="30" hidden="1" customHeight="1" x14ac:dyDescent="0.25">
      <c r="A229" s="134">
        <v>213</v>
      </c>
      <c r="B229" s="245" t="s">
        <v>99</v>
      </c>
      <c r="C229" s="245">
        <v>1</v>
      </c>
      <c r="D229" s="245" t="s">
        <v>100</v>
      </c>
      <c r="E229" s="245" t="s">
        <v>100</v>
      </c>
      <c r="F229" s="246" t="s">
        <v>1231</v>
      </c>
      <c r="G229" s="149" t="s">
        <v>1</v>
      </c>
      <c r="H229" s="149" t="s">
        <v>2</v>
      </c>
      <c r="I229" s="149" t="s">
        <v>108</v>
      </c>
      <c r="J229" s="152" t="s">
        <v>1232</v>
      </c>
      <c r="K229" s="152" t="s">
        <v>1233</v>
      </c>
      <c r="L229" s="152" t="s">
        <v>1234</v>
      </c>
      <c r="M229" s="245" t="s">
        <v>4</v>
      </c>
      <c r="N229" s="245" t="s">
        <v>5</v>
      </c>
      <c r="O229" s="256">
        <v>45572</v>
      </c>
      <c r="P229" s="249" t="s">
        <v>24</v>
      </c>
      <c r="Q229" s="249" t="s">
        <v>24</v>
      </c>
      <c r="R229" s="249" t="s">
        <v>24</v>
      </c>
      <c r="S229" s="249" t="s">
        <v>24</v>
      </c>
      <c r="T229" s="249" t="s">
        <v>24</v>
      </c>
      <c r="U229" s="249" t="s">
        <v>24</v>
      </c>
      <c r="V229" s="249" t="s">
        <v>24</v>
      </c>
      <c r="W229" s="249" t="s">
        <v>24</v>
      </c>
      <c r="X229" s="249" t="s">
        <v>24</v>
      </c>
      <c r="Y229" s="249" t="s">
        <v>24</v>
      </c>
      <c r="Z229" s="249" t="s">
        <v>24</v>
      </c>
      <c r="AA229" s="250"/>
      <c r="AB229" s="152" t="s">
        <v>1232</v>
      </c>
      <c r="AC229" s="152" t="s">
        <v>1233</v>
      </c>
      <c r="AD229" s="152" t="s">
        <v>1234</v>
      </c>
      <c r="AE229" s="149" t="s">
        <v>108</v>
      </c>
      <c r="AF229" s="250" t="s">
        <v>4</v>
      </c>
      <c r="AG229" s="208">
        <v>31831.66</v>
      </c>
      <c r="AH229" s="208">
        <v>60000</v>
      </c>
      <c r="AI229" s="251" t="s">
        <v>6</v>
      </c>
      <c r="AJ229" s="246" t="s">
        <v>109</v>
      </c>
      <c r="AK229" s="245"/>
      <c r="AL229" s="250" t="s">
        <v>110</v>
      </c>
      <c r="AM229" s="250" t="s">
        <v>110</v>
      </c>
      <c r="AN229" s="250" t="s">
        <v>111</v>
      </c>
      <c r="AO229" s="250"/>
      <c r="AP229" s="253" t="s">
        <v>1235</v>
      </c>
      <c r="AQ229" s="250" t="s">
        <v>110</v>
      </c>
      <c r="AR229" s="250" t="s">
        <v>110</v>
      </c>
      <c r="AS229" s="250" t="s">
        <v>110</v>
      </c>
      <c r="AT229" s="250" t="s">
        <v>110</v>
      </c>
      <c r="AU229" s="256">
        <v>45614</v>
      </c>
      <c r="AV229" s="250" t="s">
        <v>110</v>
      </c>
      <c r="AW229" s="250" t="s">
        <v>110</v>
      </c>
      <c r="AX229" s="256">
        <v>45621</v>
      </c>
      <c r="AY229" s="249">
        <v>45621</v>
      </c>
      <c r="AZ229" s="245" t="s">
        <v>355</v>
      </c>
      <c r="BA229" s="245" t="s">
        <v>1</v>
      </c>
      <c r="BB229" s="250" t="s">
        <v>110</v>
      </c>
      <c r="BC229" s="142">
        <f t="shared" si="12"/>
        <v>49</v>
      </c>
      <c r="BD229" s="134" t="str">
        <f t="shared" si="13"/>
        <v>INDENIZAÇÃO</v>
      </c>
      <c r="BE229" s="134" t="str">
        <f t="shared" si="14"/>
        <v>NÃO</v>
      </c>
      <c r="BF229" s="245" t="s">
        <v>24</v>
      </c>
      <c r="BG229" s="245" t="s">
        <v>24</v>
      </c>
      <c r="BH229" s="245" t="s">
        <v>24</v>
      </c>
      <c r="BI229" s="250" t="s">
        <v>110</v>
      </c>
      <c r="BJ229" s="250" t="s">
        <v>110</v>
      </c>
      <c r="BK229" s="256">
        <v>45677</v>
      </c>
      <c r="BL229" s="250" t="s">
        <v>110</v>
      </c>
      <c r="BM229" s="249" t="s">
        <v>33</v>
      </c>
      <c r="CI229" s="200"/>
      <c r="CN229" s="200"/>
    </row>
    <row r="230" spans="1:92" s="149" customFormat="1" ht="30" hidden="1" customHeight="1" x14ac:dyDescent="0.25">
      <c r="A230" s="134">
        <v>214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1236</v>
      </c>
      <c r="G230" s="149" t="s">
        <v>1</v>
      </c>
      <c r="H230" s="149" t="s">
        <v>2</v>
      </c>
      <c r="I230" s="149" t="s">
        <v>108</v>
      </c>
      <c r="J230" s="152" t="s">
        <v>1237</v>
      </c>
      <c r="K230" s="152" t="s">
        <v>1238</v>
      </c>
      <c r="L230" s="152" t="s">
        <v>1239</v>
      </c>
      <c r="M230" s="134" t="s">
        <v>4</v>
      </c>
      <c r="N230" s="214" t="s">
        <v>5</v>
      </c>
      <c r="O230" s="194">
        <v>45770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1240</v>
      </c>
      <c r="AC230" s="152" t="s">
        <v>1238</v>
      </c>
      <c r="AD230" s="152" t="s">
        <v>1239</v>
      </c>
      <c r="AE230" s="149" t="s">
        <v>108</v>
      </c>
      <c r="AF230" s="149" t="s">
        <v>4</v>
      </c>
      <c r="AG230" s="208">
        <v>57287.34</v>
      </c>
      <c r="AH230" s="208">
        <v>60000</v>
      </c>
      <c r="AI230" s="214" t="s">
        <v>6</v>
      </c>
      <c r="AJ230" s="310" t="s">
        <v>109</v>
      </c>
      <c r="AK230" s="214">
        <v>110306174</v>
      </c>
      <c r="AL230" s="149" t="s">
        <v>110</v>
      </c>
      <c r="AM230" s="149" t="s">
        <v>110</v>
      </c>
      <c r="AN230" s="149" t="s">
        <v>111</v>
      </c>
      <c r="AP230" s="152" t="s">
        <v>1241</v>
      </c>
      <c r="AQ230" s="149" t="s">
        <v>110</v>
      </c>
      <c r="AR230" s="149" t="s">
        <v>110</v>
      </c>
      <c r="AS230" s="198" t="s">
        <v>110</v>
      </c>
      <c r="AT230" s="198" t="s">
        <v>110</v>
      </c>
      <c r="AU230" s="194">
        <v>45834</v>
      </c>
      <c r="AV230" s="198" t="s">
        <v>110</v>
      </c>
      <c r="AW230" s="198" t="s">
        <v>110</v>
      </c>
      <c r="AX230" s="194">
        <v>45840</v>
      </c>
      <c r="AY230" s="140">
        <v>45840</v>
      </c>
      <c r="AZ230" s="145" t="s">
        <v>33</v>
      </c>
      <c r="BA230" s="145" t="s">
        <v>113</v>
      </c>
      <c r="BB230" s="149" t="s">
        <v>110</v>
      </c>
      <c r="BC230" s="142">
        <f t="shared" si="12"/>
        <v>70</v>
      </c>
      <c r="BD230" s="134" t="str">
        <f t="shared" si="13"/>
        <v>INDENIZAÇÃO</v>
      </c>
      <c r="BE230" s="134" t="str">
        <f t="shared" si="14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94">
        <v>45859</v>
      </c>
      <c r="BL230" s="149" t="s">
        <v>110</v>
      </c>
      <c r="BM230" s="141" t="s">
        <v>33</v>
      </c>
      <c r="CI230" s="200"/>
      <c r="CN230" s="200"/>
    </row>
    <row r="231" spans="1:92" s="149" customFormat="1" ht="30" hidden="1" customHeight="1" x14ac:dyDescent="0.25">
      <c r="A231" s="134">
        <v>215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1242</v>
      </c>
      <c r="G231" s="149" t="s">
        <v>1</v>
      </c>
      <c r="H231" s="149" t="s">
        <v>2</v>
      </c>
      <c r="I231" s="149" t="s">
        <v>108</v>
      </c>
      <c r="J231" s="152" t="s">
        <v>1243</v>
      </c>
      <c r="K231" s="152" t="s">
        <v>1244</v>
      </c>
      <c r="L231" s="152" t="s">
        <v>1245</v>
      </c>
      <c r="M231" s="134" t="s">
        <v>4</v>
      </c>
      <c r="N231" s="214" t="s">
        <v>5</v>
      </c>
      <c r="O231" s="194">
        <v>45268</v>
      </c>
      <c r="P231" s="144" t="s">
        <v>24</v>
      </c>
      <c r="Q231" s="144" t="s">
        <v>24</v>
      </c>
      <c r="R231" s="144" t="s">
        <v>24</v>
      </c>
      <c r="S231" s="144" t="s">
        <v>24</v>
      </c>
      <c r="T231" s="144" t="s">
        <v>24</v>
      </c>
      <c r="U231" s="144" t="s">
        <v>24</v>
      </c>
      <c r="V231" s="144" t="s">
        <v>24</v>
      </c>
      <c r="W231" s="144" t="s">
        <v>24</v>
      </c>
      <c r="X231" s="144" t="s">
        <v>24</v>
      </c>
      <c r="Y231" s="144" t="s">
        <v>24</v>
      </c>
      <c r="Z231" s="144" t="s">
        <v>24</v>
      </c>
      <c r="AB231" s="152" t="s">
        <v>1243</v>
      </c>
      <c r="AC231" s="152" t="s">
        <v>1244</v>
      </c>
      <c r="AD231" s="152" t="s">
        <v>1245</v>
      </c>
      <c r="AE231" s="149" t="s">
        <v>108</v>
      </c>
      <c r="AF231" s="149" t="s">
        <v>4</v>
      </c>
      <c r="AG231" s="208">
        <v>14387.77</v>
      </c>
      <c r="AH231" s="208">
        <v>44387.77</v>
      </c>
      <c r="AI231" s="232" t="s">
        <v>6</v>
      </c>
      <c r="AJ231" s="138" t="s">
        <v>109</v>
      </c>
      <c r="AK231" s="235"/>
      <c r="AL231" s="149" t="s">
        <v>110</v>
      </c>
      <c r="AM231" s="149" t="s">
        <v>110</v>
      </c>
      <c r="AN231" s="149" t="s">
        <v>111</v>
      </c>
      <c r="AP231" s="199" t="s">
        <v>1246</v>
      </c>
      <c r="AQ231" s="149" t="s">
        <v>110</v>
      </c>
      <c r="AR231" s="149" t="s">
        <v>110</v>
      </c>
      <c r="AS231" s="198" t="s">
        <v>110</v>
      </c>
      <c r="AT231" s="198" t="s">
        <v>110</v>
      </c>
      <c r="AU231" s="194">
        <v>45498</v>
      </c>
      <c r="AV231" s="198" t="s">
        <v>110</v>
      </c>
      <c r="AW231" s="198" t="s">
        <v>110</v>
      </c>
      <c r="AX231" s="194">
        <v>45517</v>
      </c>
      <c r="AY231" s="197">
        <v>45517</v>
      </c>
      <c r="AZ231" s="145" t="s">
        <v>33</v>
      </c>
      <c r="BA231" s="145" t="s">
        <v>113</v>
      </c>
      <c r="BB231" s="149" t="s">
        <v>110</v>
      </c>
      <c r="BC231" s="142">
        <f t="shared" si="12"/>
        <v>249</v>
      </c>
      <c r="BD231" s="134" t="str">
        <f t="shared" si="13"/>
        <v>INDENIZAÇÃO</v>
      </c>
      <c r="BE231" s="134" t="str">
        <f t="shared" si="14"/>
        <v>NÃO</v>
      </c>
      <c r="BF231" s="134" t="s">
        <v>24</v>
      </c>
      <c r="BG231" s="134" t="s">
        <v>24</v>
      </c>
      <c r="BH231" s="134" t="s">
        <v>24</v>
      </c>
      <c r="BI231" s="198" t="s">
        <v>110</v>
      </c>
      <c r="BJ231" s="198" t="s">
        <v>110</v>
      </c>
      <c r="BK231" s="194">
        <v>45559</v>
      </c>
      <c r="BL231" s="198" t="s">
        <v>110</v>
      </c>
      <c r="BM231" s="145" t="s">
        <v>33</v>
      </c>
      <c r="CI231" s="200"/>
      <c r="CN231" s="200"/>
    </row>
    <row r="232" spans="1:92" s="149" customFormat="1" ht="30" hidden="1" customHeight="1" x14ac:dyDescent="0.25">
      <c r="A232" s="134">
        <v>216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1247</v>
      </c>
      <c r="G232" s="149" t="s">
        <v>1</v>
      </c>
      <c r="H232" s="149" t="s">
        <v>2</v>
      </c>
      <c r="I232" s="149" t="s">
        <v>108</v>
      </c>
      <c r="J232" s="152" t="s">
        <v>1248</v>
      </c>
      <c r="K232" s="152" t="s">
        <v>1249</v>
      </c>
      <c r="L232" s="152" t="s">
        <v>1250</v>
      </c>
      <c r="M232" s="134" t="s">
        <v>4</v>
      </c>
      <c r="N232" s="214" t="s">
        <v>5</v>
      </c>
      <c r="O232" s="194">
        <v>45324</v>
      </c>
      <c r="P232" s="144" t="s">
        <v>24</v>
      </c>
      <c r="Q232" s="144" t="s">
        <v>24</v>
      </c>
      <c r="R232" s="144" t="s">
        <v>24</v>
      </c>
      <c r="S232" s="144" t="s">
        <v>24</v>
      </c>
      <c r="T232" s="144" t="s">
        <v>24</v>
      </c>
      <c r="U232" s="144" t="s">
        <v>24</v>
      </c>
      <c r="V232" s="144" t="s">
        <v>24</v>
      </c>
      <c r="W232" s="144" t="s">
        <v>24</v>
      </c>
      <c r="X232" s="144" t="s">
        <v>24</v>
      </c>
      <c r="Y232" s="144" t="s">
        <v>24</v>
      </c>
      <c r="Z232" s="144" t="s">
        <v>24</v>
      </c>
      <c r="AB232" s="152" t="s">
        <v>1248</v>
      </c>
      <c r="AC232" s="152" t="s">
        <v>1249</v>
      </c>
      <c r="AD232" s="152" t="s">
        <v>1250</v>
      </c>
      <c r="AE232" s="149" t="s">
        <v>108</v>
      </c>
      <c r="AF232" s="149" t="s">
        <v>4</v>
      </c>
      <c r="AG232" s="208">
        <v>18898.5</v>
      </c>
      <c r="AH232" s="208">
        <f>AG232+30000</f>
        <v>48898.5</v>
      </c>
      <c r="AI232" s="214" t="s">
        <v>6</v>
      </c>
      <c r="AJ232" s="310" t="s">
        <v>109</v>
      </c>
      <c r="AK232" s="214"/>
      <c r="AL232" s="149" t="s">
        <v>110</v>
      </c>
      <c r="AM232" s="149" t="s">
        <v>110</v>
      </c>
      <c r="AN232" s="149" t="s">
        <v>111</v>
      </c>
      <c r="AO232" s="198"/>
      <c r="AP232" s="152" t="s">
        <v>1251</v>
      </c>
      <c r="AQ232" s="198" t="s">
        <v>110</v>
      </c>
      <c r="AR232" s="149" t="s">
        <v>110</v>
      </c>
      <c r="AS232" s="149" t="s">
        <v>110</v>
      </c>
      <c r="AT232" s="149" t="s">
        <v>110</v>
      </c>
      <c r="AU232" s="194">
        <v>45373</v>
      </c>
      <c r="AV232" s="149" t="s">
        <v>110</v>
      </c>
      <c r="AW232" s="149" t="s">
        <v>110</v>
      </c>
      <c r="AX232" s="194">
        <v>45406</v>
      </c>
      <c r="AY232" s="197">
        <v>45406</v>
      </c>
      <c r="AZ232" s="145" t="s">
        <v>33</v>
      </c>
      <c r="BA232" s="145" t="s">
        <v>113</v>
      </c>
      <c r="BB232" s="149" t="s">
        <v>110</v>
      </c>
      <c r="BC232" s="142">
        <f t="shared" si="12"/>
        <v>82</v>
      </c>
      <c r="BD232" s="134" t="str">
        <f t="shared" si="13"/>
        <v>INDENIZAÇÃO</v>
      </c>
      <c r="BE232" s="134" t="str">
        <f t="shared" si="14"/>
        <v>NÃO</v>
      </c>
      <c r="BF232" s="134" t="s">
        <v>24</v>
      </c>
      <c r="BG232" s="134" t="s">
        <v>24</v>
      </c>
      <c r="BH232" s="134" t="s">
        <v>24</v>
      </c>
      <c r="BI232" s="198" t="s">
        <v>110</v>
      </c>
      <c r="BJ232" s="198" t="s">
        <v>110</v>
      </c>
      <c r="BK232" s="144">
        <v>45545</v>
      </c>
      <c r="BL232" s="198" t="s">
        <v>110</v>
      </c>
      <c r="BM232" s="145" t="s">
        <v>33</v>
      </c>
      <c r="CI232" s="200"/>
      <c r="CN232" s="200"/>
    </row>
    <row r="233" spans="1:92" s="149" customFormat="1" ht="30" hidden="1" customHeight="1" x14ac:dyDescent="0.25">
      <c r="A233" s="134">
        <v>217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1252</v>
      </c>
      <c r="G233" s="149" t="s">
        <v>1</v>
      </c>
      <c r="H233" s="149" t="s">
        <v>2</v>
      </c>
      <c r="I233" s="149" t="s">
        <v>108</v>
      </c>
      <c r="J233" s="152" t="s">
        <v>1253</v>
      </c>
      <c r="K233" s="152" t="s">
        <v>1254</v>
      </c>
      <c r="L233" s="152" t="s">
        <v>1255</v>
      </c>
      <c r="M233" s="134" t="s">
        <v>4</v>
      </c>
      <c r="N233" s="214" t="s">
        <v>14</v>
      </c>
      <c r="O233" s="194">
        <v>45356</v>
      </c>
      <c r="P233" s="144">
        <v>45257</v>
      </c>
      <c r="Q233" s="138" t="s">
        <v>386</v>
      </c>
      <c r="R233" s="144" t="s">
        <v>110</v>
      </c>
      <c r="S233" s="144" t="s">
        <v>110</v>
      </c>
      <c r="T233" s="144"/>
      <c r="U233" s="144"/>
      <c r="V233" s="144"/>
      <c r="W233" s="144"/>
      <c r="X233" s="144"/>
      <c r="Y233" s="144"/>
      <c r="Z233" s="144"/>
      <c r="AB233" s="152" t="s">
        <v>1253</v>
      </c>
      <c r="AC233" s="152" t="s">
        <v>1254</v>
      </c>
      <c r="AD233" s="152" t="s">
        <v>1255</v>
      </c>
      <c r="AE233" s="149" t="s">
        <v>108</v>
      </c>
      <c r="AG233" s="208" t="s">
        <v>366</v>
      </c>
      <c r="AH233" s="208" t="s">
        <v>366</v>
      </c>
      <c r="AI233" s="232" t="s">
        <v>366</v>
      </c>
      <c r="AJ233" s="214" t="s">
        <v>366</v>
      </c>
      <c r="AK233" s="235"/>
      <c r="AP233" s="152"/>
      <c r="BC233" s="142" t="str">
        <f t="shared" si="12"/>
        <v/>
      </c>
      <c r="BD233" s="134" t="str">
        <f t="shared" si="13"/>
        <v>INDENIZAÇÃO</v>
      </c>
      <c r="BE233" s="134" t="str">
        <f t="shared" si="14"/>
        <v>NÃO</v>
      </c>
      <c r="BF233" s="134"/>
      <c r="BG233" s="194"/>
      <c r="BH233" s="194"/>
      <c r="CI233" s="200"/>
      <c r="CN233" s="200"/>
    </row>
    <row r="234" spans="1:92" s="149" customFormat="1" ht="30" hidden="1" customHeight="1" x14ac:dyDescent="0.25">
      <c r="A234" s="134">
        <v>218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1256</v>
      </c>
      <c r="G234" s="149" t="s">
        <v>1</v>
      </c>
      <c r="H234" s="149" t="s">
        <v>2</v>
      </c>
      <c r="I234" s="149" t="s">
        <v>108</v>
      </c>
      <c r="J234" s="152" t="s">
        <v>1257</v>
      </c>
      <c r="K234" s="152" t="s">
        <v>1258</v>
      </c>
      <c r="L234" s="152" t="s">
        <v>1259</v>
      </c>
      <c r="M234" s="134" t="s">
        <v>4</v>
      </c>
      <c r="N234" s="214" t="s">
        <v>14</v>
      </c>
      <c r="O234" s="194">
        <v>45356</v>
      </c>
      <c r="P234" s="144">
        <v>45203</v>
      </c>
      <c r="Q234" s="138" t="s">
        <v>386</v>
      </c>
      <c r="R234" s="144" t="s">
        <v>110</v>
      </c>
      <c r="S234" s="144" t="s">
        <v>110</v>
      </c>
      <c r="T234" s="144"/>
      <c r="U234" s="144"/>
      <c r="V234" s="144"/>
      <c r="W234" s="144"/>
      <c r="X234" s="144"/>
      <c r="Y234" s="144"/>
      <c r="Z234" s="144"/>
      <c r="AB234" s="152" t="s">
        <v>1257</v>
      </c>
      <c r="AC234" s="152" t="s">
        <v>1258</v>
      </c>
      <c r="AD234" s="152" t="s">
        <v>1259</v>
      </c>
      <c r="AE234" s="149" t="s">
        <v>108</v>
      </c>
      <c r="AG234" s="208" t="s">
        <v>366</v>
      </c>
      <c r="AH234" s="208" t="s">
        <v>366</v>
      </c>
      <c r="AI234" s="214" t="s">
        <v>366</v>
      </c>
      <c r="AJ234" s="239" t="s">
        <v>366</v>
      </c>
      <c r="AK234" s="214"/>
      <c r="AP234" s="152"/>
      <c r="BC234" s="142" t="str">
        <f t="shared" si="12"/>
        <v/>
      </c>
      <c r="BD234" s="134" t="str">
        <f t="shared" si="13"/>
        <v>INDENIZAÇÃO</v>
      </c>
      <c r="BE234" s="134" t="str">
        <f t="shared" si="14"/>
        <v>NÃO</v>
      </c>
      <c r="BF234" s="134"/>
      <c r="BG234" s="194"/>
      <c r="BH234" s="194"/>
      <c r="CI234" s="200"/>
      <c r="CN234" s="200"/>
    </row>
    <row r="235" spans="1:92" s="149" customFormat="1" ht="30" hidden="1" customHeight="1" x14ac:dyDescent="0.25">
      <c r="A235" s="134">
        <v>219</v>
      </c>
      <c r="B235" s="134" t="s">
        <v>99</v>
      </c>
      <c r="C235" s="134">
        <v>1</v>
      </c>
      <c r="D235" s="134" t="s">
        <v>100</v>
      </c>
      <c r="E235" s="134" t="s">
        <v>100</v>
      </c>
      <c r="F235" s="138" t="s">
        <v>1260</v>
      </c>
      <c r="G235" s="149" t="s">
        <v>1</v>
      </c>
      <c r="H235" s="149" t="s">
        <v>2</v>
      </c>
      <c r="I235" s="149" t="s">
        <v>620</v>
      </c>
      <c r="J235" s="152" t="s">
        <v>1261</v>
      </c>
      <c r="K235" s="152" t="s">
        <v>1262</v>
      </c>
      <c r="L235" s="152" t="s">
        <v>1263</v>
      </c>
      <c r="M235" s="134" t="s">
        <v>4</v>
      </c>
      <c r="N235" s="134" t="s">
        <v>14</v>
      </c>
      <c r="O235" s="194">
        <v>45280</v>
      </c>
      <c r="P235" s="197" t="s">
        <v>17</v>
      </c>
      <c r="Q235" s="264" t="s">
        <v>386</v>
      </c>
      <c r="R235" s="197"/>
      <c r="S235" s="197"/>
      <c r="T235" s="197"/>
      <c r="U235" s="197"/>
      <c r="V235" s="197"/>
      <c r="W235" s="197"/>
      <c r="X235" s="197"/>
      <c r="Y235" s="197"/>
      <c r="Z235" s="197"/>
      <c r="AB235" s="152" t="s">
        <v>1264</v>
      </c>
      <c r="AC235" s="152" t="s">
        <v>1265</v>
      </c>
      <c r="AD235" s="152" t="s">
        <v>1266</v>
      </c>
      <c r="AE235" s="134" t="s">
        <v>342</v>
      </c>
      <c r="AF235" s="149" t="s">
        <v>4</v>
      </c>
      <c r="AG235" s="208">
        <v>13475.48</v>
      </c>
      <c r="AH235" s="208">
        <v>13475.48</v>
      </c>
      <c r="AI235" s="214" t="s">
        <v>6</v>
      </c>
      <c r="AJ235" s="311" t="s">
        <v>109</v>
      </c>
      <c r="AK235" s="214"/>
      <c r="AL235" s="149" t="s">
        <v>110</v>
      </c>
      <c r="AM235" s="149" t="s">
        <v>110</v>
      </c>
      <c r="AN235" s="149" t="s">
        <v>111</v>
      </c>
      <c r="AP235" s="152" t="s">
        <v>1267</v>
      </c>
      <c r="AQ235" s="198" t="s">
        <v>110</v>
      </c>
      <c r="AR235" s="149" t="s">
        <v>110</v>
      </c>
      <c r="AS235" s="198" t="s">
        <v>110</v>
      </c>
      <c r="AT235" s="198" t="s">
        <v>110</v>
      </c>
      <c r="AU235" s="194">
        <v>45601</v>
      </c>
      <c r="AV235" s="198" t="s">
        <v>110</v>
      </c>
      <c r="AW235" s="198" t="s">
        <v>110</v>
      </c>
      <c r="AX235" s="194">
        <v>45615</v>
      </c>
      <c r="AY235" s="197">
        <v>45615</v>
      </c>
      <c r="AZ235" s="197" t="s">
        <v>33</v>
      </c>
      <c r="BA235" s="145" t="s">
        <v>113</v>
      </c>
      <c r="BB235" s="149" t="s">
        <v>110</v>
      </c>
      <c r="BC235" s="142">
        <f t="shared" si="12"/>
        <v>335</v>
      </c>
      <c r="BD235" s="134" t="str">
        <f t="shared" si="13"/>
        <v>INDENIZAÇÃO</v>
      </c>
      <c r="BE235" s="134" t="str">
        <f t="shared" si="14"/>
        <v>NÃO</v>
      </c>
      <c r="BF235" s="134" t="s">
        <v>24</v>
      </c>
      <c r="BG235" s="134" t="s">
        <v>24</v>
      </c>
      <c r="BH235" s="134" t="s">
        <v>24</v>
      </c>
      <c r="BI235" s="198" t="s">
        <v>110</v>
      </c>
      <c r="BJ235" s="198" t="s">
        <v>110</v>
      </c>
      <c r="BK235" s="194">
        <v>45677</v>
      </c>
      <c r="BL235" s="198" t="s">
        <v>110</v>
      </c>
      <c r="BM235" s="197" t="s">
        <v>33</v>
      </c>
      <c r="CI235" s="200"/>
      <c r="CN235" s="200"/>
    </row>
    <row r="236" spans="1:92" s="149" customFormat="1" ht="30" hidden="1" customHeight="1" x14ac:dyDescent="0.25">
      <c r="A236" s="134">
        <v>220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1268</v>
      </c>
      <c r="G236" s="149" t="s">
        <v>1</v>
      </c>
      <c r="H236" s="149" t="s">
        <v>2</v>
      </c>
      <c r="I236" s="149" t="s">
        <v>108</v>
      </c>
      <c r="J236" s="152" t="s">
        <v>1269</v>
      </c>
      <c r="K236" s="152" t="s">
        <v>1270</v>
      </c>
      <c r="L236" s="152" t="s">
        <v>1271</v>
      </c>
      <c r="M236" s="134" t="s">
        <v>4</v>
      </c>
      <c r="N236" s="214" t="s">
        <v>5</v>
      </c>
      <c r="O236" s="194">
        <v>45280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1269</v>
      </c>
      <c r="AC236" s="152" t="s">
        <v>1270</v>
      </c>
      <c r="AD236" s="152" t="s">
        <v>1271</v>
      </c>
      <c r="AE236" s="149" t="s">
        <v>108</v>
      </c>
      <c r="AF236" s="149" t="s">
        <v>4</v>
      </c>
      <c r="AG236" s="208">
        <v>50234.76</v>
      </c>
      <c r="AH236" s="208">
        <v>60000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1272</v>
      </c>
      <c r="AQ236" s="149" t="s">
        <v>110</v>
      </c>
      <c r="AR236" s="149" t="s">
        <v>110</v>
      </c>
      <c r="AS236" s="149" t="s">
        <v>110</v>
      </c>
      <c r="AT236" s="149" t="s">
        <v>110</v>
      </c>
      <c r="AU236" s="194">
        <v>45441</v>
      </c>
      <c r="AV236" s="149" t="s">
        <v>110</v>
      </c>
      <c r="AW236" s="149" t="s">
        <v>110</v>
      </c>
      <c r="AX236" s="194">
        <v>45450</v>
      </c>
      <c r="AY236" s="217">
        <v>45450</v>
      </c>
      <c r="AZ236" s="217" t="s">
        <v>33</v>
      </c>
      <c r="BA236" s="145" t="s">
        <v>113</v>
      </c>
      <c r="BB236" s="149" t="s">
        <v>110</v>
      </c>
      <c r="BC236" s="142">
        <f t="shared" si="12"/>
        <v>170</v>
      </c>
      <c r="BD236" s="134" t="str">
        <f t="shared" si="13"/>
        <v>INDENIZAÇÃO</v>
      </c>
      <c r="BE236" s="134" t="str">
        <f t="shared" si="14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44">
        <v>45545</v>
      </c>
      <c r="BL236" s="198" t="s">
        <v>110</v>
      </c>
      <c r="BM236" s="145" t="s">
        <v>33</v>
      </c>
      <c r="CI236" s="209"/>
      <c r="CJ236" s="204"/>
      <c r="CK236" s="204"/>
      <c r="CL236" s="204"/>
      <c r="CM236" s="204"/>
    </row>
    <row r="237" spans="1:92" s="149" customFormat="1" ht="30" hidden="1" customHeight="1" x14ac:dyDescent="0.25">
      <c r="A237" s="134">
        <v>221</v>
      </c>
      <c r="B237" s="136" t="s">
        <v>99</v>
      </c>
      <c r="C237" s="136">
        <v>1</v>
      </c>
      <c r="D237" s="136" t="s">
        <v>100</v>
      </c>
      <c r="E237" s="136" t="s">
        <v>100</v>
      </c>
      <c r="F237" s="137" t="s">
        <v>1273</v>
      </c>
      <c r="G237" s="149" t="s">
        <v>1</v>
      </c>
      <c r="H237" s="149" t="s">
        <v>2</v>
      </c>
      <c r="I237" s="149" t="s">
        <v>108</v>
      </c>
      <c r="J237" s="152" t="s">
        <v>1274</v>
      </c>
      <c r="K237" s="152" t="s">
        <v>1275</v>
      </c>
      <c r="L237" s="152" t="s">
        <v>1276</v>
      </c>
      <c r="M237" s="136" t="s">
        <v>4</v>
      </c>
      <c r="N237" s="136" t="s">
        <v>5</v>
      </c>
      <c r="O237" s="220">
        <v>45299</v>
      </c>
      <c r="P237" s="221" t="s">
        <v>24</v>
      </c>
      <c r="Q237" s="221" t="s">
        <v>24</v>
      </c>
      <c r="R237" s="221" t="s">
        <v>24</v>
      </c>
      <c r="S237" s="221" t="s">
        <v>24</v>
      </c>
      <c r="T237" s="221" t="s">
        <v>24</v>
      </c>
      <c r="U237" s="221" t="s">
        <v>24</v>
      </c>
      <c r="V237" s="221" t="s">
        <v>24</v>
      </c>
      <c r="W237" s="221" t="s">
        <v>24</v>
      </c>
      <c r="X237" s="221" t="s">
        <v>24</v>
      </c>
      <c r="Y237" s="221" t="s">
        <v>24</v>
      </c>
      <c r="Z237" s="221" t="s">
        <v>24</v>
      </c>
      <c r="AA237" s="218"/>
      <c r="AB237" s="152" t="s">
        <v>1274</v>
      </c>
      <c r="AC237" s="152" t="s">
        <v>1275</v>
      </c>
      <c r="AD237" s="152" t="s">
        <v>1276</v>
      </c>
      <c r="AE237" s="149" t="s">
        <v>108</v>
      </c>
      <c r="AF237" s="218" t="s">
        <v>4</v>
      </c>
      <c r="AG237" s="208">
        <v>0</v>
      </c>
      <c r="AH237" s="208">
        <v>60000</v>
      </c>
      <c r="AI237" s="233" t="s">
        <v>6</v>
      </c>
      <c r="AJ237" s="137" t="s">
        <v>109</v>
      </c>
      <c r="AK237" s="236"/>
      <c r="AL237" s="218" t="s">
        <v>110</v>
      </c>
      <c r="AM237" s="218" t="s">
        <v>110</v>
      </c>
      <c r="AN237" s="218" t="s">
        <v>111</v>
      </c>
      <c r="AO237" s="218"/>
      <c r="AP237" s="222" t="s">
        <v>1277</v>
      </c>
      <c r="AQ237" s="218" t="s">
        <v>110</v>
      </c>
      <c r="AR237" s="218" t="s">
        <v>110</v>
      </c>
      <c r="AS237" s="218" t="s">
        <v>110</v>
      </c>
      <c r="AT237" s="218" t="s">
        <v>110</v>
      </c>
      <c r="AU237" s="220">
        <v>45373</v>
      </c>
      <c r="AV237" s="218" t="s">
        <v>110</v>
      </c>
      <c r="AW237" s="218" t="s">
        <v>110</v>
      </c>
      <c r="AX237" s="220">
        <v>45385</v>
      </c>
      <c r="AY237" s="221">
        <v>45385</v>
      </c>
      <c r="AZ237" s="221" t="s">
        <v>355</v>
      </c>
      <c r="BA237" s="218" t="s">
        <v>113</v>
      </c>
      <c r="BB237" s="149" t="s">
        <v>110</v>
      </c>
      <c r="BC237" s="142">
        <f t="shared" si="12"/>
        <v>86</v>
      </c>
      <c r="BD237" s="134" t="str">
        <f t="shared" si="13"/>
        <v>INDENIZAÇÃO</v>
      </c>
      <c r="BE237" s="134" t="str">
        <f t="shared" si="14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hidden="1" customHeight="1" x14ac:dyDescent="0.25">
      <c r="A238" s="134">
        <v>222</v>
      </c>
      <c r="B238" s="134" t="s">
        <v>99</v>
      </c>
      <c r="C238" s="134">
        <v>1</v>
      </c>
      <c r="D238" s="134" t="s">
        <v>100</v>
      </c>
      <c r="E238" s="134" t="s">
        <v>100</v>
      </c>
      <c r="F238" s="138" t="s">
        <v>1278</v>
      </c>
      <c r="G238" s="149" t="s">
        <v>10</v>
      </c>
      <c r="H238" s="149" t="s">
        <v>2</v>
      </c>
      <c r="I238" s="149" t="s">
        <v>342</v>
      </c>
      <c r="J238" s="152" t="s">
        <v>1279</v>
      </c>
      <c r="K238" s="152" t="s">
        <v>1280</v>
      </c>
      <c r="L238" s="152" t="s">
        <v>1281</v>
      </c>
      <c r="M238" s="134" t="s">
        <v>4</v>
      </c>
      <c r="N238" s="214" t="s">
        <v>5</v>
      </c>
      <c r="O238" s="194">
        <v>45475</v>
      </c>
      <c r="P238" s="144" t="s">
        <v>24</v>
      </c>
      <c r="Q238" s="144" t="s">
        <v>24</v>
      </c>
      <c r="R238" s="144" t="s">
        <v>24</v>
      </c>
      <c r="S238" s="144" t="s">
        <v>24</v>
      </c>
      <c r="T238" s="144" t="s">
        <v>24</v>
      </c>
      <c r="U238" s="144" t="s">
        <v>24</v>
      </c>
      <c r="V238" s="144" t="s">
        <v>24</v>
      </c>
      <c r="W238" s="144" t="s">
        <v>24</v>
      </c>
      <c r="X238" s="144" t="s">
        <v>24</v>
      </c>
      <c r="Y238" s="144" t="s">
        <v>24</v>
      </c>
      <c r="Z238" s="144" t="s">
        <v>24</v>
      </c>
      <c r="AB238" s="152" t="s">
        <v>1279</v>
      </c>
      <c r="AC238" s="152" t="s">
        <v>1280</v>
      </c>
      <c r="AD238" s="152" t="s">
        <v>1281</v>
      </c>
      <c r="AE238" s="134" t="s">
        <v>342</v>
      </c>
      <c r="AF238" s="149" t="s">
        <v>4</v>
      </c>
      <c r="AG238" s="208">
        <v>2531.38</v>
      </c>
      <c r="AH238" s="208">
        <v>32531.38</v>
      </c>
      <c r="AI238" s="232" t="s">
        <v>6</v>
      </c>
      <c r="AJ238" s="138" t="s">
        <v>109</v>
      </c>
      <c r="AK238" s="235"/>
      <c r="AL238" s="149" t="s">
        <v>110</v>
      </c>
      <c r="AM238" s="149" t="s">
        <v>110</v>
      </c>
      <c r="AN238" s="149" t="s">
        <v>111</v>
      </c>
      <c r="AP238" s="152" t="s">
        <v>1282</v>
      </c>
      <c r="AQ238" s="198" t="s">
        <v>110</v>
      </c>
      <c r="AR238" s="198" t="s">
        <v>110</v>
      </c>
      <c r="AS238" s="198" t="s">
        <v>110</v>
      </c>
      <c r="AT238" s="198" t="s">
        <v>110</v>
      </c>
      <c r="AU238" s="194">
        <v>45498</v>
      </c>
      <c r="AV238" s="198" t="s">
        <v>110</v>
      </c>
      <c r="AW238" s="198" t="s">
        <v>110</v>
      </c>
      <c r="AX238" s="219">
        <v>45533</v>
      </c>
      <c r="AY238" s="197">
        <v>45533</v>
      </c>
      <c r="AZ238" s="145" t="s">
        <v>33</v>
      </c>
      <c r="BA238" s="145" t="s">
        <v>113</v>
      </c>
      <c r="BB238" s="149" t="s">
        <v>110</v>
      </c>
      <c r="BC238" s="142">
        <f t="shared" si="12"/>
        <v>58</v>
      </c>
      <c r="BD238" s="134" t="str">
        <f t="shared" si="13"/>
        <v>INDENIZAÇÃO</v>
      </c>
      <c r="BE238" s="134" t="str">
        <f t="shared" si="14"/>
        <v>NÃO</v>
      </c>
      <c r="BF238" s="134" t="s">
        <v>24</v>
      </c>
      <c r="BG238" s="134" t="s">
        <v>24</v>
      </c>
      <c r="BH238" s="134" t="s">
        <v>24</v>
      </c>
      <c r="BI238" s="198" t="s">
        <v>110</v>
      </c>
      <c r="BJ238" s="198" t="s">
        <v>110</v>
      </c>
      <c r="BK238" s="194">
        <v>45559</v>
      </c>
      <c r="BL238" s="198" t="s">
        <v>110</v>
      </c>
      <c r="BM238" s="145" t="s">
        <v>33</v>
      </c>
      <c r="CI238" s="200"/>
      <c r="CN238" s="200"/>
    </row>
    <row r="239" spans="1:92" s="149" customFormat="1" ht="30" hidden="1" customHeight="1" x14ac:dyDescent="0.25">
      <c r="A239" s="134">
        <v>223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1283</v>
      </c>
      <c r="G239" s="149" t="s">
        <v>1</v>
      </c>
      <c r="H239" s="149" t="s">
        <v>2</v>
      </c>
      <c r="I239" s="149" t="s">
        <v>108</v>
      </c>
      <c r="J239" s="152" t="s">
        <v>1284</v>
      </c>
      <c r="K239" s="152" t="s">
        <v>1285</v>
      </c>
      <c r="L239" s="152" t="s">
        <v>1286</v>
      </c>
      <c r="M239" s="134" t="s">
        <v>4</v>
      </c>
      <c r="N239" s="214" t="s">
        <v>5</v>
      </c>
      <c r="O239" s="194">
        <v>45299</v>
      </c>
      <c r="P239" s="144" t="s">
        <v>24</v>
      </c>
      <c r="Q239" s="144" t="s">
        <v>24</v>
      </c>
      <c r="R239" s="144" t="s">
        <v>24</v>
      </c>
      <c r="S239" s="144" t="s">
        <v>24</v>
      </c>
      <c r="T239" s="144" t="s">
        <v>24</v>
      </c>
      <c r="U239" s="144" t="s">
        <v>24</v>
      </c>
      <c r="V239" s="144" t="s">
        <v>24</v>
      </c>
      <c r="W239" s="144" t="s">
        <v>24</v>
      </c>
      <c r="X239" s="144" t="s">
        <v>24</v>
      </c>
      <c r="Y239" s="144" t="s">
        <v>24</v>
      </c>
      <c r="Z239" s="144" t="s">
        <v>24</v>
      </c>
      <c r="AB239" s="152" t="s">
        <v>1284</v>
      </c>
      <c r="AC239" s="152" t="s">
        <v>1285</v>
      </c>
      <c r="AD239" s="152" t="s">
        <v>1286</v>
      </c>
      <c r="AE239" s="149" t="s">
        <v>108</v>
      </c>
      <c r="AF239" s="149" t="s">
        <v>4</v>
      </c>
      <c r="AG239" s="208">
        <v>14653.48</v>
      </c>
      <c r="AH239" s="208">
        <v>44653.48</v>
      </c>
      <c r="AI239" s="232" t="s">
        <v>6</v>
      </c>
      <c r="AJ239" s="138" t="s">
        <v>109</v>
      </c>
      <c r="AK239" s="235"/>
      <c r="AL239" s="149" t="s">
        <v>110</v>
      </c>
      <c r="AM239" s="149" t="s">
        <v>110</v>
      </c>
      <c r="AN239" s="149" t="s">
        <v>111</v>
      </c>
      <c r="AP239" s="152" t="s">
        <v>1287</v>
      </c>
      <c r="AQ239" s="198" t="s">
        <v>110</v>
      </c>
      <c r="AR239" s="149" t="s">
        <v>110</v>
      </c>
      <c r="AS239" s="149" t="s">
        <v>110</v>
      </c>
      <c r="AT239" s="149" t="s">
        <v>110</v>
      </c>
      <c r="AU239" s="194">
        <v>45373</v>
      </c>
      <c r="AV239" s="149" t="s">
        <v>110</v>
      </c>
      <c r="AW239" s="149" t="s">
        <v>110</v>
      </c>
      <c r="AX239" s="194">
        <v>45385</v>
      </c>
      <c r="AY239" s="197">
        <v>45385</v>
      </c>
      <c r="AZ239" s="197" t="s">
        <v>33</v>
      </c>
      <c r="BA239" s="145" t="s">
        <v>113</v>
      </c>
      <c r="BB239" s="149" t="s">
        <v>110</v>
      </c>
      <c r="BC239" s="142">
        <f t="shared" si="12"/>
        <v>86</v>
      </c>
      <c r="BD239" s="134" t="str">
        <f t="shared" si="13"/>
        <v>INDENIZAÇÃO</v>
      </c>
      <c r="BE239" s="134" t="str">
        <f t="shared" si="14"/>
        <v>NÃO</v>
      </c>
      <c r="BF239" s="134" t="s">
        <v>24</v>
      </c>
      <c r="BG239" s="134" t="s">
        <v>24</v>
      </c>
      <c r="BH239" s="134" t="s">
        <v>24</v>
      </c>
      <c r="BI239" s="149" t="s">
        <v>110</v>
      </c>
      <c r="BJ239" s="149" t="s">
        <v>110</v>
      </c>
      <c r="BK239" s="194">
        <v>45510</v>
      </c>
      <c r="BL239" s="149" t="s">
        <v>110</v>
      </c>
      <c r="BM239" s="145" t="s">
        <v>33</v>
      </c>
      <c r="CI239" s="200"/>
      <c r="CN239" s="200"/>
    </row>
    <row r="240" spans="1:92" s="149" customFormat="1" ht="30" hidden="1" customHeight="1" x14ac:dyDescent="0.25">
      <c r="A240" s="134">
        <v>224</v>
      </c>
      <c r="B240" s="245" t="s">
        <v>99</v>
      </c>
      <c r="C240" s="245">
        <v>1</v>
      </c>
      <c r="D240" s="245" t="s">
        <v>100</v>
      </c>
      <c r="E240" s="245" t="s">
        <v>100</v>
      </c>
      <c r="F240" s="246" t="s">
        <v>1288</v>
      </c>
      <c r="G240" s="149" t="s">
        <v>10</v>
      </c>
      <c r="H240" s="149" t="s">
        <v>2</v>
      </c>
      <c r="I240" s="149" t="s">
        <v>342</v>
      </c>
      <c r="J240" s="152" t="s">
        <v>1289</v>
      </c>
      <c r="K240" s="152" t="s">
        <v>1290</v>
      </c>
      <c r="L240" s="152" t="s">
        <v>1291</v>
      </c>
      <c r="M240" s="245" t="s">
        <v>4</v>
      </c>
      <c r="N240" s="245" t="s">
        <v>5</v>
      </c>
      <c r="O240" s="249">
        <v>45455</v>
      </c>
      <c r="P240" s="249" t="s">
        <v>24</v>
      </c>
      <c r="Q240" s="249" t="s">
        <v>24</v>
      </c>
      <c r="R240" s="249" t="s">
        <v>24</v>
      </c>
      <c r="S240" s="249" t="s">
        <v>24</v>
      </c>
      <c r="T240" s="249" t="s">
        <v>24</v>
      </c>
      <c r="U240" s="249" t="s">
        <v>24</v>
      </c>
      <c r="V240" s="249" t="s">
        <v>24</v>
      </c>
      <c r="W240" s="249" t="s">
        <v>24</v>
      </c>
      <c r="X240" s="249" t="s">
        <v>24</v>
      </c>
      <c r="Y240" s="249" t="s">
        <v>24</v>
      </c>
      <c r="Z240" s="249" t="s">
        <v>24</v>
      </c>
      <c r="AA240" s="250"/>
      <c r="AB240" s="152" t="s">
        <v>1289</v>
      </c>
      <c r="AC240" s="152" t="s">
        <v>1290</v>
      </c>
      <c r="AD240" s="152" t="s">
        <v>1291</v>
      </c>
      <c r="AE240" s="134" t="s">
        <v>342</v>
      </c>
      <c r="AF240" s="250" t="s">
        <v>4</v>
      </c>
      <c r="AG240" s="208">
        <v>2891.63</v>
      </c>
      <c r="AH240" s="208">
        <f>AG240+30000</f>
        <v>32891.629999999997</v>
      </c>
      <c r="AI240" s="245" t="s">
        <v>6</v>
      </c>
      <c r="AJ240" s="246" t="s">
        <v>109</v>
      </c>
      <c r="AK240" s="245" t="s">
        <v>110</v>
      </c>
      <c r="AL240" s="245" t="s">
        <v>110</v>
      </c>
      <c r="AM240" s="250" t="s">
        <v>110</v>
      </c>
      <c r="AN240" s="245" t="s">
        <v>111</v>
      </c>
      <c r="AO240" s="250" t="s">
        <v>1292</v>
      </c>
      <c r="AP240" s="253" t="s">
        <v>1293</v>
      </c>
      <c r="AQ240" s="250" t="s">
        <v>110</v>
      </c>
      <c r="AR240" s="250" t="s">
        <v>110</v>
      </c>
      <c r="AS240" s="250" t="s">
        <v>110</v>
      </c>
      <c r="AT240" s="250" t="s">
        <v>110</v>
      </c>
      <c r="AU240" s="248">
        <v>45755</v>
      </c>
      <c r="AV240" s="250" t="s">
        <v>110</v>
      </c>
      <c r="AW240" s="250" t="s">
        <v>110</v>
      </c>
      <c r="AX240" s="248">
        <v>45790</v>
      </c>
      <c r="AY240" s="254">
        <v>45790</v>
      </c>
      <c r="AZ240" s="245" t="s">
        <v>355</v>
      </c>
      <c r="BA240" s="245" t="s">
        <v>1</v>
      </c>
      <c r="BB240" s="250" t="s">
        <v>110</v>
      </c>
      <c r="BC240" s="142">
        <f t="shared" si="12"/>
        <v>335</v>
      </c>
      <c r="BD240" s="134" t="str">
        <f t="shared" si="13"/>
        <v>INDENIZAÇÃO</v>
      </c>
      <c r="BE240" s="134" t="str">
        <f t="shared" si="14"/>
        <v>NÃO</v>
      </c>
      <c r="BF240" s="245" t="s">
        <v>24</v>
      </c>
      <c r="BG240" s="245" t="s">
        <v>24</v>
      </c>
      <c r="BH240" s="245" t="s">
        <v>24</v>
      </c>
      <c r="BI240" s="250" t="s">
        <v>110</v>
      </c>
      <c r="BJ240" s="198" t="s">
        <v>110</v>
      </c>
      <c r="BK240" s="194">
        <v>45859</v>
      </c>
      <c r="BL240" s="149" t="s">
        <v>110</v>
      </c>
      <c r="BM240" s="141" t="s">
        <v>33</v>
      </c>
      <c r="CI240" s="212"/>
      <c r="CJ240" s="171"/>
      <c r="CK240" s="171"/>
      <c r="CL240" s="171"/>
      <c r="CM240" s="171"/>
    </row>
    <row r="241" spans="1:103" s="149" customFormat="1" ht="30" hidden="1" customHeight="1" x14ac:dyDescent="0.25">
      <c r="A241" s="134">
        <v>225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1294</v>
      </c>
      <c r="G241" s="149" t="s">
        <v>1</v>
      </c>
      <c r="H241" s="149" t="s">
        <v>2</v>
      </c>
      <c r="I241" s="149" t="s">
        <v>108</v>
      </c>
      <c r="J241" s="152" t="s">
        <v>1295</v>
      </c>
      <c r="K241" s="152" t="s">
        <v>1296</v>
      </c>
      <c r="L241" s="152" t="s">
        <v>1297</v>
      </c>
      <c r="M241" s="134" t="s">
        <v>4</v>
      </c>
      <c r="N241" s="214" t="s">
        <v>14</v>
      </c>
      <c r="O241" s="194">
        <v>45356</v>
      </c>
      <c r="P241" s="144">
        <v>45246</v>
      </c>
      <c r="Q241" s="138" t="s">
        <v>386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1295</v>
      </c>
      <c r="AC241" s="152" t="s">
        <v>1296</v>
      </c>
      <c r="AD241" s="152" t="s">
        <v>1297</v>
      </c>
      <c r="AE241" s="149" t="s">
        <v>108</v>
      </c>
      <c r="AG241" s="208" t="s">
        <v>366</v>
      </c>
      <c r="AH241" s="208" t="s">
        <v>366</v>
      </c>
      <c r="AI241" s="232" t="s">
        <v>366</v>
      </c>
      <c r="AJ241" s="214" t="s">
        <v>366</v>
      </c>
      <c r="AK241" s="235"/>
      <c r="AP241" s="152"/>
      <c r="BC241" s="142" t="str">
        <f t="shared" si="12"/>
        <v/>
      </c>
      <c r="BD241" s="134" t="str">
        <f t="shared" si="13"/>
        <v>INDENIZAÇÃO</v>
      </c>
      <c r="BE241" s="134" t="str">
        <f t="shared" si="14"/>
        <v>NÃO</v>
      </c>
      <c r="BF241" s="134"/>
      <c r="BG241" s="194"/>
      <c r="BH241" s="194"/>
      <c r="CI241" s="200"/>
    </row>
    <row r="242" spans="1:103" s="149" customFormat="1" ht="30" hidden="1" customHeight="1" x14ac:dyDescent="0.25">
      <c r="A242" s="134">
        <v>226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1298</v>
      </c>
      <c r="G242" s="149" t="s">
        <v>1</v>
      </c>
      <c r="H242" s="149" t="s">
        <v>2</v>
      </c>
      <c r="I242" s="149" t="s">
        <v>108</v>
      </c>
      <c r="J242" s="152" t="s">
        <v>1299</v>
      </c>
      <c r="K242" s="152" t="s">
        <v>1300</v>
      </c>
      <c r="L242" s="152" t="s">
        <v>1301</v>
      </c>
      <c r="M242" s="134" t="s">
        <v>4</v>
      </c>
      <c r="N242" s="214" t="s">
        <v>5</v>
      </c>
      <c r="O242" s="194">
        <v>45268</v>
      </c>
      <c r="P242" s="144" t="s">
        <v>24</v>
      </c>
      <c r="Q242" s="144" t="s">
        <v>24</v>
      </c>
      <c r="R242" s="144" t="s">
        <v>24</v>
      </c>
      <c r="S242" s="144" t="s">
        <v>24</v>
      </c>
      <c r="T242" s="144" t="s">
        <v>24</v>
      </c>
      <c r="U242" s="144" t="s">
        <v>24</v>
      </c>
      <c r="V242" s="144" t="s">
        <v>24</v>
      </c>
      <c r="W242" s="144" t="s">
        <v>24</v>
      </c>
      <c r="X242" s="144" t="s">
        <v>24</v>
      </c>
      <c r="Y242" s="144" t="s">
        <v>24</v>
      </c>
      <c r="Z242" s="144" t="s">
        <v>24</v>
      </c>
      <c r="AB242" s="152" t="s">
        <v>1299</v>
      </c>
      <c r="AC242" s="152" t="s">
        <v>1300</v>
      </c>
      <c r="AD242" s="152" t="s">
        <v>1301</v>
      </c>
      <c r="AE242" s="149" t="s">
        <v>108</v>
      </c>
      <c r="AF242" s="149" t="s">
        <v>4</v>
      </c>
      <c r="AG242" s="208">
        <v>2928.66</v>
      </c>
      <c r="AH242" s="208">
        <v>32928.660000000003</v>
      </c>
      <c r="AI242" s="232" t="s">
        <v>6</v>
      </c>
      <c r="AJ242" s="138" t="s">
        <v>109</v>
      </c>
      <c r="AK242" s="235"/>
      <c r="AL242" s="149" t="s">
        <v>110</v>
      </c>
      <c r="AM242" s="149" t="s">
        <v>110</v>
      </c>
      <c r="AN242" s="149" t="s">
        <v>111</v>
      </c>
      <c r="AP242" s="152" t="s">
        <v>1302</v>
      </c>
      <c r="AQ242" s="149" t="s">
        <v>110</v>
      </c>
      <c r="AR242" s="149" t="s">
        <v>110</v>
      </c>
      <c r="AS242" s="198" t="s">
        <v>110</v>
      </c>
      <c r="AT242" s="198" t="s">
        <v>110</v>
      </c>
      <c r="AU242" s="144">
        <v>45422</v>
      </c>
      <c r="AV242" s="198" t="s">
        <v>110</v>
      </c>
      <c r="AW242" s="198" t="s">
        <v>110</v>
      </c>
      <c r="AX242" s="144">
        <v>45432</v>
      </c>
      <c r="AY242" s="197">
        <v>45432</v>
      </c>
      <c r="AZ242" s="197" t="s">
        <v>33</v>
      </c>
      <c r="BA242" s="145" t="s">
        <v>113</v>
      </c>
      <c r="BB242" s="149" t="s">
        <v>110</v>
      </c>
      <c r="BC242" s="142">
        <f t="shared" si="12"/>
        <v>164</v>
      </c>
      <c r="BD242" s="134" t="str">
        <f t="shared" si="13"/>
        <v>INDENIZAÇÃO</v>
      </c>
      <c r="BE242" s="134" t="str">
        <f t="shared" si="14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44">
        <v>45545</v>
      </c>
      <c r="BL242" s="198" t="s">
        <v>110</v>
      </c>
      <c r="BM242" s="145" t="s">
        <v>33</v>
      </c>
      <c r="CI242" s="210"/>
      <c r="CJ242" s="201"/>
      <c r="CK242" s="201"/>
      <c r="CL242" s="201"/>
      <c r="CM242" s="201"/>
    </row>
    <row r="243" spans="1:103" s="149" customFormat="1" ht="30" hidden="1" customHeight="1" x14ac:dyDescent="0.25">
      <c r="A243" s="134">
        <v>227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1303</v>
      </c>
      <c r="G243" s="149" t="s">
        <v>1</v>
      </c>
      <c r="H243" s="149" t="s">
        <v>2</v>
      </c>
      <c r="I243" s="149" t="s">
        <v>108</v>
      </c>
      <c r="J243" s="152" t="s">
        <v>1304</v>
      </c>
      <c r="K243" s="152" t="s">
        <v>1305</v>
      </c>
      <c r="L243" s="152" t="s">
        <v>1306</v>
      </c>
      <c r="M243" s="134" t="s">
        <v>4</v>
      </c>
      <c r="N243" s="214" t="s">
        <v>14</v>
      </c>
      <c r="O243" s="194">
        <v>45356</v>
      </c>
      <c r="P243" s="144">
        <v>45259</v>
      </c>
      <c r="Q243" s="138" t="s">
        <v>386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 t="s">
        <v>1304</v>
      </c>
      <c r="AC243" s="152" t="s">
        <v>1305</v>
      </c>
      <c r="AD243" s="152" t="s">
        <v>1306</v>
      </c>
      <c r="AE243" s="149" t="s">
        <v>108</v>
      </c>
      <c r="AG243" s="208" t="s">
        <v>366</v>
      </c>
      <c r="AH243" s="208" t="s">
        <v>366</v>
      </c>
      <c r="AI243" s="232" t="s">
        <v>366</v>
      </c>
      <c r="AJ243" s="214" t="s">
        <v>366</v>
      </c>
      <c r="AK243" s="235"/>
      <c r="AP243" s="152"/>
      <c r="BC243" s="142" t="str">
        <f t="shared" si="12"/>
        <v/>
      </c>
      <c r="BD243" s="134" t="str">
        <f t="shared" si="13"/>
        <v>INDENIZAÇÃO</v>
      </c>
      <c r="BE243" s="134" t="str">
        <f t="shared" si="14"/>
        <v>NÃO</v>
      </c>
      <c r="BG243" s="194"/>
      <c r="BH243" s="194"/>
      <c r="CI243" s="200"/>
      <c r="CN243" s="200"/>
    </row>
    <row r="244" spans="1:103" s="149" customFormat="1" ht="30" hidden="1" customHeight="1" x14ac:dyDescent="0.25">
      <c r="A244" s="134">
        <v>228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1307</v>
      </c>
      <c r="G244" s="149" t="s">
        <v>1</v>
      </c>
      <c r="H244" s="149" t="s">
        <v>2</v>
      </c>
      <c r="I244" s="149" t="s">
        <v>382</v>
      </c>
      <c r="J244" s="152" t="s">
        <v>1308</v>
      </c>
      <c r="K244" s="152" t="s">
        <v>1309</v>
      </c>
      <c r="L244" s="152" t="s">
        <v>1310</v>
      </c>
      <c r="M244" s="134" t="s">
        <v>4</v>
      </c>
      <c r="N244" s="134" t="s">
        <v>14</v>
      </c>
      <c r="O244" s="194">
        <v>45690</v>
      </c>
      <c r="P244" s="197" t="s">
        <v>17</v>
      </c>
      <c r="Q244" s="264" t="s">
        <v>386</v>
      </c>
      <c r="R244" s="197"/>
      <c r="S244" s="197"/>
      <c r="T244" s="197"/>
      <c r="U244" s="197"/>
      <c r="V244" s="197"/>
      <c r="W244" s="197"/>
      <c r="X244" s="197"/>
      <c r="Y244" s="197"/>
      <c r="Z244" s="197"/>
      <c r="AB244" s="152" t="s">
        <v>1311</v>
      </c>
      <c r="AC244" s="152" t="s">
        <v>1312</v>
      </c>
      <c r="AD244" s="152" t="s">
        <v>1313</v>
      </c>
      <c r="AE244" s="134" t="s">
        <v>342</v>
      </c>
      <c r="AF244" s="149" t="s">
        <v>4</v>
      </c>
      <c r="AG244" s="208">
        <v>8310.49</v>
      </c>
      <c r="AH244" s="208">
        <v>8310.49</v>
      </c>
      <c r="AI244" s="232" t="s">
        <v>6</v>
      </c>
      <c r="AJ244" s="138" t="s">
        <v>109</v>
      </c>
      <c r="AK244" s="235">
        <v>92508446</v>
      </c>
      <c r="AL244" s="149" t="s">
        <v>110</v>
      </c>
      <c r="AM244" s="149" t="s">
        <v>110</v>
      </c>
      <c r="AN244" s="149" t="s">
        <v>111</v>
      </c>
      <c r="AO244" s="149" t="s">
        <v>1314</v>
      </c>
      <c r="AP244" s="152" t="s">
        <v>1315</v>
      </c>
      <c r="AQ244" s="149" t="s">
        <v>110</v>
      </c>
      <c r="AR244" s="149" t="s">
        <v>110</v>
      </c>
      <c r="AS244" s="149" t="s">
        <v>110</v>
      </c>
      <c r="AT244" s="149" t="s">
        <v>110</v>
      </c>
      <c r="AU244" s="194">
        <v>45783</v>
      </c>
      <c r="AV244" s="149" t="s">
        <v>110</v>
      </c>
      <c r="AW244" s="149" t="s">
        <v>110</v>
      </c>
      <c r="AX244" s="194">
        <v>45791</v>
      </c>
      <c r="AY244" s="140">
        <v>45791</v>
      </c>
      <c r="AZ244" s="141" t="s">
        <v>33</v>
      </c>
      <c r="BA244" s="145" t="s">
        <v>113</v>
      </c>
      <c r="BB244" s="149" t="s">
        <v>110</v>
      </c>
      <c r="BC244" s="142">
        <f t="shared" si="12"/>
        <v>101</v>
      </c>
      <c r="BD244" s="134" t="str">
        <f t="shared" si="13"/>
        <v>INDENIZAÇÃO</v>
      </c>
      <c r="BE244" s="134" t="str">
        <f t="shared" si="14"/>
        <v>NÃO</v>
      </c>
      <c r="BF244" s="134" t="s">
        <v>24</v>
      </c>
      <c r="BG244" s="134" t="s">
        <v>24</v>
      </c>
      <c r="BH244" s="134" t="s">
        <v>24</v>
      </c>
      <c r="BI244" s="198" t="s">
        <v>110</v>
      </c>
      <c r="BJ244" s="198" t="s">
        <v>110</v>
      </c>
      <c r="BK244" s="194">
        <v>45856</v>
      </c>
      <c r="BL244" s="149" t="s">
        <v>110</v>
      </c>
      <c r="BM244" s="141" t="s">
        <v>33</v>
      </c>
      <c r="CI244" s="200"/>
    </row>
    <row r="245" spans="1:103" s="149" customFormat="1" ht="30" hidden="1" customHeight="1" x14ac:dyDescent="0.25">
      <c r="A245" s="134">
        <v>229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1316</v>
      </c>
      <c r="G245" s="149" t="s">
        <v>1</v>
      </c>
      <c r="H245" s="149" t="s">
        <v>2</v>
      </c>
      <c r="I245" s="149" t="s">
        <v>108</v>
      </c>
      <c r="J245" s="152" t="s">
        <v>1317</v>
      </c>
      <c r="K245" s="152" t="s">
        <v>1318</v>
      </c>
      <c r="L245" s="152" t="s">
        <v>1319</v>
      </c>
      <c r="M245" s="134" t="s">
        <v>4</v>
      </c>
      <c r="N245" s="214" t="s">
        <v>14</v>
      </c>
      <c r="O245" s="194">
        <v>45356</v>
      </c>
      <c r="P245" s="144">
        <v>45274</v>
      </c>
      <c r="Q245" s="138" t="s">
        <v>386</v>
      </c>
      <c r="R245" s="144" t="s">
        <v>110</v>
      </c>
      <c r="S245" s="144" t="s">
        <v>110</v>
      </c>
      <c r="T245" s="144"/>
      <c r="U245" s="144"/>
      <c r="V245" s="144"/>
      <c r="W245" s="144"/>
      <c r="X245" s="144"/>
      <c r="Y245" s="144"/>
      <c r="Z245" s="144"/>
      <c r="AB245" s="152"/>
      <c r="AC245" s="152"/>
      <c r="AD245" s="152"/>
      <c r="AG245" s="208"/>
      <c r="AH245" s="208"/>
      <c r="AI245" s="234"/>
      <c r="AK245" s="200"/>
      <c r="AP245" s="152"/>
      <c r="BC245" s="142" t="str">
        <f t="shared" si="12"/>
        <v/>
      </c>
      <c r="BD245" s="134" t="str">
        <f t="shared" si="13"/>
        <v>INDENIZAÇÃO</v>
      </c>
      <c r="BE245" s="134" t="str">
        <f t="shared" si="14"/>
        <v>NÃO</v>
      </c>
      <c r="BG245" s="194"/>
      <c r="BH245" s="194"/>
      <c r="CI245" s="210"/>
      <c r="CJ245" s="201"/>
      <c r="CK245" s="201"/>
      <c r="CL245" s="201"/>
      <c r="CM245" s="201"/>
      <c r="CN245" s="200"/>
    </row>
    <row r="246" spans="1:103" s="149" customFormat="1" ht="30" hidden="1" customHeight="1" x14ac:dyDescent="0.25">
      <c r="A246" s="134">
        <v>230</v>
      </c>
      <c r="B246" s="134" t="s">
        <v>99</v>
      </c>
      <c r="C246" s="134">
        <v>1</v>
      </c>
      <c r="D246" s="134" t="s">
        <v>100</v>
      </c>
      <c r="E246" s="134" t="s">
        <v>100</v>
      </c>
      <c r="F246" s="138" t="s">
        <v>1320</v>
      </c>
      <c r="G246" s="149" t="s">
        <v>1</v>
      </c>
      <c r="H246" s="149" t="s">
        <v>2</v>
      </c>
      <c r="I246" s="149" t="s">
        <v>108</v>
      </c>
      <c r="J246" s="152" t="s">
        <v>1321</v>
      </c>
      <c r="K246" s="152">
        <v>9780000</v>
      </c>
      <c r="L246" s="152" t="s">
        <v>1322</v>
      </c>
      <c r="M246" s="134" t="s">
        <v>4</v>
      </c>
      <c r="N246" s="214" t="s">
        <v>14</v>
      </c>
      <c r="O246" s="194">
        <v>45356</v>
      </c>
      <c r="P246" s="144">
        <v>45274</v>
      </c>
      <c r="Q246" s="138" t="s">
        <v>386</v>
      </c>
      <c r="R246" s="144" t="s">
        <v>110</v>
      </c>
      <c r="S246" s="144" t="s">
        <v>110</v>
      </c>
      <c r="T246" s="144"/>
      <c r="U246" s="144"/>
      <c r="V246" s="144"/>
      <c r="W246" s="144"/>
      <c r="X246" s="144"/>
      <c r="Y246" s="144"/>
      <c r="Z246" s="144"/>
      <c r="AB246" s="152"/>
      <c r="AC246" s="152"/>
      <c r="AD246" s="152"/>
      <c r="AG246" s="208"/>
      <c r="AH246" s="208"/>
      <c r="AI246" s="234"/>
      <c r="AK246" s="200"/>
      <c r="AP246" s="152"/>
      <c r="BC246" s="142" t="str">
        <f t="shared" si="12"/>
        <v/>
      </c>
      <c r="BD246" s="134" t="str">
        <f t="shared" si="13"/>
        <v>INDENIZAÇÃO</v>
      </c>
      <c r="BE246" s="134" t="str">
        <f t="shared" si="14"/>
        <v>NÃO</v>
      </c>
      <c r="BG246" s="194"/>
      <c r="BH246" s="194"/>
      <c r="CI246" s="209"/>
      <c r="CJ246" s="204"/>
      <c r="CK246" s="204"/>
      <c r="CL246" s="204"/>
      <c r="CM246" s="204"/>
    </row>
    <row r="247" spans="1:103" s="149" customFormat="1" ht="30" hidden="1" customHeight="1" x14ac:dyDescent="0.25">
      <c r="A247" s="134">
        <v>231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1323</v>
      </c>
      <c r="G247" s="149" t="s">
        <v>1</v>
      </c>
      <c r="H247" s="149" t="s">
        <v>2</v>
      </c>
      <c r="I247" s="149" t="s">
        <v>108</v>
      </c>
      <c r="J247" s="152" t="s">
        <v>1324</v>
      </c>
      <c r="K247" s="152" t="s">
        <v>1325</v>
      </c>
      <c r="L247" s="152" t="s">
        <v>1326</v>
      </c>
      <c r="M247" s="134" t="s">
        <v>4</v>
      </c>
      <c r="N247" s="214" t="s">
        <v>5</v>
      </c>
      <c r="O247" s="194">
        <v>45299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A247" s="198"/>
      <c r="AB247" s="152" t="s">
        <v>1324</v>
      </c>
      <c r="AC247" s="152" t="s">
        <v>1325</v>
      </c>
      <c r="AD247" s="152" t="s">
        <v>1326</v>
      </c>
      <c r="AE247" s="149" t="s">
        <v>108</v>
      </c>
      <c r="AF247" s="149" t="s">
        <v>4</v>
      </c>
      <c r="AG247" s="208">
        <v>4451.1000000000004</v>
      </c>
      <c r="AH247" s="208">
        <f>AG247+30000</f>
        <v>34451.1</v>
      </c>
      <c r="AI247" s="231" t="s">
        <v>6</v>
      </c>
      <c r="AJ247" s="138" t="s">
        <v>109</v>
      </c>
      <c r="AK247" s="235"/>
      <c r="AL247" s="149" t="s">
        <v>110</v>
      </c>
      <c r="AM247" s="149" t="s">
        <v>110</v>
      </c>
      <c r="AN247" s="149" t="s">
        <v>111</v>
      </c>
      <c r="AO247" s="198"/>
      <c r="AP247" s="152" t="s">
        <v>1327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12"/>
        <v>86</v>
      </c>
      <c r="BD247" s="134" t="str">
        <f t="shared" si="13"/>
        <v>INDENIZAÇÃO</v>
      </c>
      <c r="BE247" s="134" t="str">
        <f t="shared" si="14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hidden="1" customHeight="1" x14ac:dyDescent="0.25">
      <c r="A248" s="134">
        <v>232</v>
      </c>
      <c r="B248" s="136" t="s">
        <v>99</v>
      </c>
      <c r="C248" s="136">
        <v>1</v>
      </c>
      <c r="D248" s="136" t="s">
        <v>100</v>
      </c>
      <c r="E248" s="136" t="s">
        <v>100</v>
      </c>
      <c r="F248" s="137" t="s">
        <v>1328</v>
      </c>
      <c r="G248" s="149" t="s">
        <v>1</v>
      </c>
      <c r="H248" s="149" t="s">
        <v>2</v>
      </c>
      <c r="I248" s="149" t="s">
        <v>108</v>
      </c>
      <c r="J248" s="152" t="s">
        <v>1329</v>
      </c>
      <c r="K248" s="152" t="s">
        <v>1330</v>
      </c>
      <c r="L248" s="152" t="s">
        <v>1331</v>
      </c>
      <c r="M248" s="136" t="s">
        <v>4</v>
      </c>
      <c r="N248" s="136" t="s">
        <v>5</v>
      </c>
      <c r="O248" s="220">
        <v>45268</v>
      </c>
      <c r="P248" s="221" t="s">
        <v>24</v>
      </c>
      <c r="Q248" s="221" t="s">
        <v>24</v>
      </c>
      <c r="R248" s="221" t="s">
        <v>24</v>
      </c>
      <c r="S248" s="221" t="s">
        <v>24</v>
      </c>
      <c r="T248" s="221" t="s">
        <v>24</v>
      </c>
      <c r="U248" s="221" t="s">
        <v>24</v>
      </c>
      <c r="V248" s="221" t="s">
        <v>24</v>
      </c>
      <c r="W248" s="221" t="s">
        <v>24</v>
      </c>
      <c r="X248" s="221" t="s">
        <v>24</v>
      </c>
      <c r="Y248" s="221" t="s">
        <v>24</v>
      </c>
      <c r="Z248" s="221" t="s">
        <v>24</v>
      </c>
      <c r="AA248" s="218"/>
      <c r="AB248" s="152" t="s">
        <v>1329</v>
      </c>
      <c r="AC248" s="152" t="s">
        <v>1330</v>
      </c>
      <c r="AD248" s="152" t="s">
        <v>1331</v>
      </c>
      <c r="AE248" s="149" t="s">
        <v>108</v>
      </c>
      <c r="AF248" s="218" t="s">
        <v>4</v>
      </c>
      <c r="AG248" s="208">
        <f>AH248-30000</f>
        <v>7026.7200000000012</v>
      </c>
      <c r="AH248" s="208">
        <v>37026.720000000001</v>
      </c>
      <c r="AI248" s="233" t="s">
        <v>6</v>
      </c>
      <c r="AJ248" s="137" t="s">
        <v>109</v>
      </c>
      <c r="AK248" s="236"/>
      <c r="AL248" s="218" t="s">
        <v>110</v>
      </c>
      <c r="AM248" s="218" t="s">
        <v>110</v>
      </c>
      <c r="AN248" s="218" t="s">
        <v>111</v>
      </c>
      <c r="AO248" s="218"/>
      <c r="AP248" s="222" t="s">
        <v>1332</v>
      </c>
      <c r="AQ248" s="218" t="s">
        <v>110</v>
      </c>
      <c r="AR248" s="218" t="s">
        <v>110</v>
      </c>
      <c r="AS248" s="218" t="s">
        <v>110</v>
      </c>
      <c r="AT248" s="218" t="s">
        <v>110</v>
      </c>
      <c r="AU248" s="220">
        <v>45495</v>
      </c>
      <c r="AV248" s="218" t="s">
        <v>110</v>
      </c>
      <c r="AW248" s="218" t="s">
        <v>110</v>
      </c>
      <c r="AX248" s="220">
        <v>45499</v>
      </c>
      <c r="AY248" s="221">
        <v>45499</v>
      </c>
      <c r="AZ248" s="221" t="s">
        <v>355</v>
      </c>
      <c r="BA248" s="218" t="s">
        <v>113</v>
      </c>
      <c r="BB248" s="149" t="s">
        <v>110</v>
      </c>
      <c r="BC248" s="142">
        <f t="shared" si="12"/>
        <v>231</v>
      </c>
      <c r="BD248" s="134" t="str">
        <f t="shared" si="13"/>
        <v>INDENIZAÇÃO</v>
      </c>
      <c r="BE248" s="134" t="str">
        <f t="shared" si="14"/>
        <v>NÃO</v>
      </c>
      <c r="BF248" s="134" t="s">
        <v>24</v>
      </c>
      <c r="BG248" s="134" t="s">
        <v>24</v>
      </c>
      <c r="BH248" s="134" t="s">
        <v>24</v>
      </c>
      <c r="BI248" s="198" t="s">
        <v>110</v>
      </c>
      <c r="BJ248" s="198" t="s">
        <v>110</v>
      </c>
      <c r="BK248" s="194">
        <v>45559</v>
      </c>
      <c r="BL248" s="198" t="s">
        <v>110</v>
      </c>
      <c r="BM248" s="145" t="s">
        <v>33</v>
      </c>
      <c r="CI248" s="200"/>
      <c r="CN248" s="200"/>
    </row>
    <row r="249" spans="1:103" s="149" customFormat="1" ht="30" hidden="1" customHeight="1" x14ac:dyDescent="0.25">
      <c r="A249" s="134">
        <v>233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1333</v>
      </c>
      <c r="G249" s="149" t="s">
        <v>1</v>
      </c>
      <c r="H249" s="149" t="s">
        <v>2</v>
      </c>
      <c r="I249" s="149" t="s">
        <v>108</v>
      </c>
      <c r="J249" s="152" t="s">
        <v>1334</v>
      </c>
      <c r="K249" s="152" t="s">
        <v>1335</v>
      </c>
      <c r="L249" s="152" t="s">
        <v>1336</v>
      </c>
      <c r="M249" s="134" t="s">
        <v>4</v>
      </c>
      <c r="N249" s="214" t="s">
        <v>5</v>
      </c>
      <c r="O249" s="194">
        <v>45280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1334</v>
      </c>
      <c r="AC249" s="152" t="s">
        <v>1335</v>
      </c>
      <c r="AD249" s="152" t="s">
        <v>1336</v>
      </c>
      <c r="AE249" s="149" t="s">
        <v>108</v>
      </c>
      <c r="AF249" s="149" t="s">
        <v>4</v>
      </c>
      <c r="AG249" s="208">
        <v>14434.35</v>
      </c>
      <c r="AH249" s="208">
        <f>AG249+30000</f>
        <v>44434.35</v>
      </c>
      <c r="AI249" s="232" t="s">
        <v>6</v>
      </c>
      <c r="AJ249" s="138" t="s">
        <v>109</v>
      </c>
      <c r="AK249" s="235"/>
      <c r="AL249" s="149" t="s">
        <v>110</v>
      </c>
      <c r="AM249" s="198" t="s">
        <v>110</v>
      </c>
      <c r="AN249" s="198" t="s">
        <v>111</v>
      </c>
      <c r="AP249" s="152" t="s">
        <v>1337</v>
      </c>
      <c r="AQ249" s="198" t="s">
        <v>110</v>
      </c>
      <c r="AR249" s="198" t="s">
        <v>110</v>
      </c>
      <c r="AS249" s="149" t="s">
        <v>110</v>
      </c>
      <c r="AT249" s="149" t="s">
        <v>110</v>
      </c>
      <c r="AU249" s="194">
        <v>45373</v>
      </c>
      <c r="AV249" s="149" t="s">
        <v>110</v>
      </c>
      <c r="AW249" s="149" t="s">
        <v>110</v>
      </c>
      <c r="AX249" s="194">
        <v>45385</v>
      </c>
      <c r="AY249" s="197">
        <v>45385</v>
      </c>
      <c r="AZ249" s="197" t="s">
        <v>33</v>
      </c>
      <c r="BA249" s="145" t="s">
        <v>113</v>
      </c>
      <c r="BB249" s="149" t="s">
        <v>110</v>
      </c>
      <c r="BC249" s="142">
        <f t="shared" si="12"/>
        <v>105</v>
      </c>
      <c r="BD249" s="134" t="str">
        <f t="shared" si="13"/>
        <v>INDENIZAÇÃO</v>
      </c>
      <c r="BE249" s="134" t="str">
        <f t="shared" si="14"/>
        <v>NÃO</v>
      </c>
      <c r="BF249" s="134" t="s">
        <v>24</v>
      </c>
      <c r="BG249" s="134" t="s">
        <v>24</v>
      </c>
      <c r="BH249" s="134" t="s">
        <v>24</v>
      </c>
      <c r="BI249" s="149" t="s">
        <v>110</v>
      </c>
      <c r="BJ249" s="149" t="s">
        <v>110</v>
      </c>
      <c r="BK249" s="194">
        <v>45510</v>
      </c>
      <c r="BL249" s="149" t="s">
        <v>110</v>
      </c>
      <c r="BM249" s="145" t="s">
        <v>33</v>
      </c>
      <c r="CI249" s="200"/>
      <c r="CN249" s="200"/>
    </row>
    <row r="250" spans="1:103" s="149" customFormat="1" ht="30" hidden="1" customHeight="1" x14ac:dyDescent="0.25">
      <c r="A250" s="134">
        <v>234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1338</v>
      </c>
      <c r="G250" s="149" t="s">
        <v>1</v>
      </c>
      <c r="H250" s="149" t="s">
        <v>2</v>
      </c>
      <c r="I250" s="149" t="s">
        <v>108</v>
      </c>
      <c r="J250" s="152" t="s">
        <v>1339</v>
      </c>
      <c r="K250" s="152" t="s">
        <v>1340</v>
      </c>
      <c r="L250" s="152" t="s">
        <v>1341</v>
      </c>
      <c r="M250" s="245" t="s">
        <v>4</v>
      </c>
      <c r="N250" s="245" t="s">
        <v>5</v>
      </c>
      <c r="O250" s="256">
        <v>45525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1339</v>
      </c>
      <c r="AC250" s="152" t="s">
        <v>1340</v>
      </c>
      <c r="AD250" s="152" t="s">
        <v>1341</v>
      </c>
      <c r="AE250" s="149" t="s">
        <v>108</v>
      </c>
      <c r="AF250" s="250" t="s">
        <v>4</v>
      </c>
      <c r="AG250" s="208">
        <v>48700.51</v>
      </c>
      <c r="AH250" s="208">
        <v>60000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1342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45573</v>
      </c>
      <c r="AV250" s="250" t="s">
        <v>110</v>
      </c>
      <c r="AW250" s="250" t="s">
        <v>110</v>
      </c>
      <c r="AX250" s="256">
        <v>45582</v>
      </c>
      <c r="AY250" s="249">
        <v>45582</v>
      </c>
      <c r="AZ250" s="245" t="s">
        <v>355</v>
      </c>
      <c r="BA250" s="245" t="s">
        <v>1</v>
      </c>
      <c r="BB250" s="250" t="s">
        <v>110</v>
      </c>
      <c r="BC250" s="142">
        <f t="shared" si="12"/>
        <v>57</v>
      </c>
      <c r="BD250" s="134" t="str">
        <f t="shared" si="13"/>
        <v>INDENIZAÇÃO</v>
      </c>
      <c r="BE250" s="134" t="str">
        <f t="shared" si="14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CI250" s="200"/>
      <c r="CN250" s="200"/>
    </row>
    <row r="251" spans="1:103" s="149" customFormat="1" ht="30" hidden="1" customHeight="1" x14ac:dyDescent="0.25">
      <c r="A251" s="134">
        <v>235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1343</v>
      </c>
      <c r="G251" s="149" t="s">
        <v>1</v>
      </c>
      <c r="H251" s="149" t="s">
        <v>2</v>
      </c>
      <c r="I251" s="149" t="s">
        <v>108</v>
      </c>
      <c r="J251" s="152" t="s">
        <v>1344</v>
      </c>
      <c r="K251" s="152" t="s">
        <v>1345</v>
      </c>
      <c r="L251" s="152" t="s">
        <v>1346</v>
      </c>
      <c r="M251" s="134" t="s">
        <v>4</v>
      </c>
      <c r="N251" s="214" t="s">
        <v>5</v>
      </c>
      <c r="O251" s="194">
        <v>45756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1344</v>
      </c>
      <c r="AC251" s="152" t="s">
        <v>1345</v>
      </c>
      <c r="AD251" s="152" t="s">
        <v>1346</v>
      </c>
      <c r="AE251" s="149" t="s">
        <v>108</v>
      </c>
      <c r="AF251" s="149" t="s">
        <v>4</v>
      </c>
      <c r="AG251" s="208">
        <v>24391.54</v>
      </c>
      <c r="AH251" s="208">
        <v>54391.54</v>
      </c>
      <c r="AI251" s="232" t="s">
        <v>6</v>
      </c>
      <c r="AJ251" s="138" t="s">
        <v>109</v>
      </c>
      <c r="AK251" s="235">
        <v>125886967</v>
      </c>
      <c r="AL251" s="134" t="s">
        <v>110</v>
      </c>
      <c r="AM251" s="134" t="s">
        <v>110</v>
      </c>
      <c r="AN251" s="134" t="s">
        <v>111</v>
      </c>
      <c r="AO251" s="224"/>
      <c r="AP251" s="152" t="s">
        <v>1347</v>
      </c>
      <c r="AQ251" s="198" t="s">
        <v>110</v>
      </c>
      <c r="AR251" s="198" t="s">
        <v>110</v>
      </c>
      <c r="AS251" s="198" t="s">
        <v>110</v>
      </c>
      <c r="AT251" s="198" t="s">
        <v>110</v>
      </c>
      <c r="AU251" s="194">
        <v>45819</v>
      </c>
      <c r="AV251" s="198" t="s">
        <v>110</v>
      </c>
      <c r="AW251" s="198" t="s">
        <v>110</v>
      </c>
      <c r="AX251" s="194">
        <v>45826</v>
      </c>
      <c r="AY251" s="197">
        <v>45826</v>
      </c>
      <c r="AZ251" s="145" t="s">
        <v>33</v>
      </c>
      <c r="BA251" s="145" t="s">
        <v>113</v>
      </c>
      <c r="BB251" s="149" t="s">
        <v>110</v>
      </c>
      <c r="BC251" s="142">
        <f t="shared" si="12"/>
        <v>70</v>
      </c>
      <c r="BD251" s="134" t="str">
        <f t="shared" si="13"/>
        <v>INDENIZAÇÃO</v>
      </c>
      <c r="BE251" s="134" t="str">
        <f t="shared" si="14"/>
        <v>NÃO</v>
      </c>
      <c r="BF251" s="134" t="s">
        <v>24</v>
      </c>
      <c r="BG251" s="134" t="s">
        <v>24</v>
      </c>
      <c r="BH251" s="134" t="s">
        <v>24</v>
      </c>
      <c r="BI251" s="198" t="s">
        <v>110</v>
      </c>
      <c r="BJ251" s="198" t="s">
        <v>110</v>
      </c>
      <c r="BK251" s="194">
        <v>45859</v>
      </c>
      <c r="BL251" s="149" t="s">
        <v>110</v>
      </c>
      <c r="BM251" s="141" t="s">
        <v>33</v>
      </c>
      <c r="CI251" s="212"/>
      <c r="CJ251" s="171"/>
      <c r="CK251" s="171"/>
      <c r="CL251" s="171"/>
      <c r="CM251" s="171"/>
    </row>
    <row r="252" spans="1:103" s="149" customFormat="1" ht="30" hidden="1" customHeight="1" x14ac:dyDescent="0.25">
      <c r="A252" s="134">
        <v>236</v>
      </c>
      <c r="B252" s="245" t="s">
        <v>99</v>
      </c>
      <c r="C252" s="245">
        <v>1</v>
      </c>
      <c r="D252" s="245" t="s">
        <v>100</v>
      </c>
      <c r="E252" s="245" t="s">
        <v>100</v>
      </c>
      <c r="F252" s="246" t="s">
        <v>1348</v>
      </c>
      <c r="G252" s="149" t="s">
        <v>1349</v>
      </c>
      <c r="H252" s="149" t="s">
        <v>2</v>
      </c>
      <c r="I252" s="149" t="s">
        <v>342</v>
      </c>
      <c r="J252" s="152" t="s">
        <v>1350</v>
      </c>
      <c r="K252" s="152" t="s">
        <v>1351</v>
      </c>
      <c r="L252" s="152" t="s">
        <v>1352</v>
      </c>
      <c r="M252" s="245" t="s">
        <v>4</v>
      </c>
      <c r="N252" s="245" t="s">
        <v>5</v>
      </c>
      <c r="O252" s="256">
        <v>45280</v>
      </c>
      <c r="P252" s="249" t="s">
        <v>24</v>
      </c>
      <c r="Q252" s="249" t="s">
        <v>24</v>
      </c>
      <c r="R252" s="249" t="s">
        <v>24</v>
      </c>
      <c r="S252" s="249" t="s">
        <v>24</v>
      </c>
      <c r="T252" s="249" t="s">
        <v>24</v>
      </c>
      <c r="U252" s="249" t="s">
        <v>24</v>
      </c>
      <c r="V252" s="249" t="s">
        <v>24</v>
      </c>
      <c r="W252" s="249" t="s">
        <v>24</v>
      </c>
      <c r="X252" s="249" t="s">
        <v>24</v>
      </c>
      <c r="Y252" s="249" t="s">
        <v>24</v>
      </c>
      <c r="Z252" s="249" t="s">
        <v>24</v>
      </c>
      <c r="AA252" s="250"/>
      <c r="AB252" s="152" t="s">
        <v>1350</v>
      </c>
      <c r="AC252" s="152" t="s">
        <v>1351</v>
      </c>
      <c r="AD252" s="152" t="s">
        <v>1352</v>
      </c>
      <c r="AE252" s="134" t="s">
        <v>342</v>
      </c>
      <c r="AF252" s="250" t="s">
        <v>4</v>
      </c>
      <c r="AG252" s="208">
        <v>2299.77</v>
      </c>
      <c r="AH252" s="208">
        <f>AG252+30000</f>
        <v>32299.77</v>
      </c>
      <c r="AI252" s="251" t="s">
        <v>6</v>
      </c>
      <c r="AJ252" s="246" t="s">
        <v>109</v>
      </c>
      <c r="AK252" s="257"/>
      <c r="AL252" s="250" t="s">
        <v>110</v>
      </c>
      <c r="AM252" s="250" t="s">
        <v>110</v>
      </c>
      <c r="AN252" s="250" t="s">
        <v>111</v>
      </c>
      <c r="AO252" s="250"/>
      <c r="AP252" s="253" t="s">
        <v>1353</v>
      </c>
      <c r="AQ252" s="250" t="s">
        <v>110</v>
      </c>
      <c r="AR252" s="250" t="s">
        <v>110</v>
      </c>
      <c r="AS252" s="250" t="s">
        <v>110</v>
      </c>
      <c r="AT252" s="250" t="s">
        <v>110</v>
      </c>
      <c r="AU252" s="256">
        <v>45538</v>
      </c>
      <c r="AV252" s="250" t="s">
        <v>110</v>
      </c>
      <c r="AW252" s="250" t="s">
        <v>110</v>
      </c>
      <c r="AX252" s="249">
        <v>45546</v>
      </c>
      <c r="AY252" s="249">
        <v>45546</v>
      </c>
      <c r="AZ252" s="245" t="s">
        <v>355</v>
      </c>
      <c r="BA252" s="245" t="s">
        <v>1</v>
      </c>
      <c r="BB252" s="250" t="s">
        <v>110</v>
      </c>
      <c r="BC252" s="142">
        <f t="shared" si="12"/>
        <v>266</v>
      </c>
      <c r="BD252" s="134" t="str">
        <f t="shared" si="13"/>
        <v>INDENIZAÇÃO</v>
      </c>
      <c r="BE252" s="134" t="str">
        <f t="shared" si="14"/>
        <v>NÃO</v>
      </c>
      <c r="BF252" s="245" t="s">
        <v>24</v>
      </c>
      <c r="BG252" s="245" t="s">
        <v>24</v>
      </c>
      <c r="BH252" s="245" t="s">
        <v>24</v>
      </c>
      <c r="BI252" s="250" t="s">
        <v>110</v>
      </c>
      <c r="BJ252" s="250" t="s">
        <v>110</v>
      </c>
      <c r="BK252" s="256">
        <v>45621</v>
      </c>
      <c r="BL252" s="250" t="s">
        <v>110</v>
      </c>
      <c r="BM252" s="250" t="s">
        <v>33</v>
      </c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296"/>
      <c r="CJ252" s="299"/>
      <c r="CK252" s="299"/>
      <c r="CL252" s="299"/>
      <c r="CM252" s="299"/>
      <c r="CN252" s="152"/>
      <c r="CO252" s="152"/>
      <c r="CP252" s="152"/>
      <c r="CQ252" s="152"/>
      <c r="CR252" s="152"/>
      <c r="CS252" s="152"/>
      <c r="CT252" s="152"/>
      <c r="CU252" s="152"/>
      <c r="CV252" s="152"/>
      <c r="CW252" s="152"/>
      <c r="CX252" s="152"/>
      <c r="CY252" s="152"/>
    </row>
    <row r="253" spans="1:103" s="149" customFormat="1" ht="30" hidden="1" customHeight="1" x14ac:dyDescent="0.25">
      <c r="A253" s="134">
        <v>237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1354</v>
      </c>
      <c r="G253" s="149" t="s">
        <v>1</v>
      </c>
      <c r="H253" s="149" t="s">
        <v>2</v>
      </c>
      <c r="I253" s="149" t="s">
        <v>108</v>
      </c>
      <c r="J253" s="152" t="s">
        <v>1355</v>
      </c>
      <c r="K253" s="152" t="s">
        <v>1356</v>
      </c>
      <c r="L253" s="152" t="s">
        <v>1357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1355</v>
      </c>
      <c r="AC253" s="152" t="s">
        <v>1356</v>
      </c>
      <c r="AD253" s="152" t="s">
        <v>1357</v>
      </c>
      <c r="AE253" s="149" t="s">
        <v>108</v>
      </c>
      <c r="AF253" s="149" t="s">
        <v>4</v>
      </c>
      <c r="AG253" s="208">
        <v>9503.3799999999992</v>
      </c>
      <c r="AH253" s="208">
        <v>39503.379999999997</v>
      </c>
      <c r="AI253" s="232" t="s">
        <v>6</v>
      </c>
      <c r="AJ253" s="138" t="s">
        <v>109</v>
      </c>
      <c r="AK253" s="235"/>
      <c r="AL253" s="149" t="s">
        <v>110</v>
      </c>
      <c r="AM253" s="149" t="s">
        <v>110</v>
      </c>
      <c r="AN253" s="149" t="s">
        <v>111</v>
      </c>
      <c r="AP253" s="152" t="s">
        <v>1358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12"/>
        <v>103</v>
      </c>
      <c r="BD253" s="134" t="str">
        <f t="shared" si="13"/>
        <v>INDENIZAÇÃO</v>
      </c>
      <c r="BE253" s="134" t="str">
        <f t="shared" si="14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4"/>
      <c r="CJ253" s="291"/>
      <c r="CK253" s="291"/>
      <c r="CL253" s="291"/>
      <c r="CM253" s="291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hidden="1" customHeight="1" x14ac:dyDescent="0.25">
      <c r="A254" s="134">
        <v>238</v>
      </c>
      <c r="B254" s="134" t="s">
        <v>99</v>
      </c>
      <c r="C254" s="134">
        <v>1</v>
      </c>
      <c r="D254" s="134" t="s">
        <v>100</v>
      </c>
      <c r="E254" s="134" t="s">
        <v>100</v>
      </c>
      <c r="F254" s="138" t="s">
        <v>1359</v>
      </c>
      <c r="G254" s="149" t="s">
        <v>1</v>
      </c>
      <c r="H254" s="149" t="s">
        <v>2</v>
      </c>
      <c r="I254" s="149" t="s">
        <v>108</v>
      </c>
      <c r="J254" s="152" t="s">
        <v>1360</v>
      </c>
      <c r="K254" s="152" t="s">
        <v>1361</v>
      </c>
      <c r="L254" s="152" t="s">
        <v>1362</v>
      </c>
      <c r="M254" s="134" t="s">
        <v>4</v>
      </c>
      <c r="N254" s="214" t="s">
        <v>5</v>
      </c>
      <c r="O254" s="194">
        <v>45280</v>
      </c>
      <c r="P254" s="144" t="s">
        <v>24</v>
      </c>
      <c r="Q254" s="144" t="s">
        <v>24</v>
      </c>
      <c r="R254" s="144" t="s">
        <v>24</v>
      </c>
      <c r="S254" s="144" t="s">
        <v>24</v>
      </c>
      <c r="T254" s="144" t="s">
        <v>24</v>
      </c>
      <c r="U254" s="144" t="s">
        <v>24</v>
      </c>
      <c r="V254" s="144" t="s">
        <v>24</v>
      </c>
      <c r="W254" s="144" t="s">
        <v>24</v>
      </c>
      <c r="X254" s="144" t="s">
        <v>24</v>
      </c>
      <c r="Y254" s="144" t="s">
        <v>24</v>
      </c>
      <c r="Z254" s="144" t="s">
        <v>24</v>
      </c>
      <c r="AB254" s="152" t="s">
        <v>1360</v>
      </c>
      <c r="AC254" s="152" t="s">
        <v>1361</v>
      </c>
      <c r="AD254" s="152" t="s">
        <v>1362</v>
      </c>
      <c r="AE254" s="149" t="s">
        <v>108</v>
      </c>
      <c r="AF254" s="149" t="s">
        <v>4</v>
      </c>
      <c r="AG254" s="208">
        <v>17531.48</v>
      </c>
      <c r="AH254" s="208">
        <v>47531.48</v>
      </c>
      <c r="AI254" s="232" t="s">
        <v>6</v>
      </c>
      <c r="AJ254" s="138" t="s">
        <v>109</v>
      </c>
      <c r="AK254" s="235"/>
      <c r="AL254" s="149" t="s">
        <v>110</v>
      </c>
      <c r="AM254" s="149" t="s">
        <v>110</v>
      </c>
      <c r="AN254" s="149" t="s">
        <v>111</v>
      </c>
      <c r="AP254" s="152" t="s">
        <v>1363</v>
      </c>
      <c r="AQ254" s="149" t="s">
        <v>110</v>
      </c>
      <c r="AR254" s="149" t="s">
        <v>110</v>
      </c>
      <c r="AS254" s="149" t="s">
        <v>110</v>
      </c>
      <c r="AT254" s="149" t="s">
        <v>110</v>
      </c>
      <c r="AU254" s="194">
        <v>45373</v>
      </c>
      <c r="AV254" s="149" t="s">
        <v>110</v>
      </c>
      <c r="AW254" s="149" t="s">
        <v>110</v>
      </c>
      <c r="AX254" s="194">
        <v>45383</v>
      </c>
      <c r="AY254" s="197">
        <v>45383</v>
      </c>
      <c r="AZ254" s="197" t="s">
        <v>33</v>
      </c>
      <c r="BA254" s="145" t="s">
        <v>113</v>
      </c>
      <c r="BB254" s="149" t="s">
        <v>110</v>
      </c>
      <c r="BC254" s="142">
        <f t="shared" si="12"/>
        <v>103</v>
      </c>
      <c r="BD254" s="134" t="str">
        <f t="shared" si="13"/>
        <v>INDENIZAÇÃO</v>
      </c>
      <c r="BE254" s="134" t="str">
        <f t="shared" si="14"/>
        <v>NÃO</v>
      </c>
      <c r="BF254" s="134" t="s">
        <v>24</v>
      </c>
      <c r="BG254" s="134" t="s">
        <v>24</v>
      </c>
      <c r="BH254" s="134" t="s">
        <v>24</v>
      </c>
      <c r="BI254" s="149" t="s">
        <v>110</v>
      </c>
      <c r="BJ254" s="149" t="s">
        <v>110</v>
      </c>
      <c r="BK254" s="194">
        <v>45510</v>
      </c>
      <c r="BL254" s="149" t="s">
        <v>110</v>
      </c>
      <c r="BM254" s="145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5"/>
      <c r="CJ254" s="298"/>
      <c r="CK254" s="298"/>
      <c r="CL254" s="298"/>
      <c r="CM254" s="298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hidden="1" customHeight="1" x14ac:dyDescent="0.25">
      <c r="A255" s="134">
        <v>239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1364</v>
      </c>
      <c r="G255" s="149" t="s">
        <v>1</v>
      </c>
      <c r="H255" s="149" t="s">
        <v>2</v>
      </c>
      <c r="I255" s="149" t="s">
        <v>108</v>
      </c>
      <c r="J255" s="152" t="s">
        <v>1365</v>
      </c>
      <c r="K255" s="152" t="s">
        <v>1366</v>
      </c>
      <c r="L255" s="152" t="s">
        <v>1367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1365</v>
      </c>
      <c r="AC255" s="152" t="s">
        <v>1366</v>
      </c>
      <c r="AD255" s="152" t="s">
        <v>1367</v>
      </c>
      <c r="AE255" s="149" t="s">
        <v>108</v>
      </c>
      <c r="AF255" s="149" t="s">
        <v>4</v>
      </c>
      <c r="AG255" s="208">
        <v>3034.92</v>
      </c>
      <c r="AH255" s="208">
        <v>33034.92</v>
      </c>
      <c r="AI255" s="214" t="s">
        <v>6</v>
      </c>
      <c r="AJ255" s="310" t="s">
        <v>109</v>
      </c>
      <c r="AK255" s="214"/>
      <c r="AL255" s="149" t="s">
        <v>110</v>
      </c>
      <c r="AM255" s="149" t="s">
        <v>110</v>
      </c>
      <c r="AN255" s="149" t="s">
        <v>111</v>
      </c>
      <c r="AP255" s="152" t="s">
        <v>1368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12"/>
        <v>103</v>
      </c>
      <c r="BD255" s="134" t="str">
        <f t="shared" si="13"/>
        <v>INDENIZAÇÃO</v>
      </c>
      <c r="BE255" s="134" t="str">
        <f t="shared" si="14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BN255" s="199"/>
      <c r="BO255" s="199"/>
      <c r="BP255" s="199"/>
      <c r="BQ255" s="199"/>
      <c r="BR255" s="199"/>
      <c r="BS255" s="199"/>
      <c r="BT255" s="199"/>
      <c r="BU255" s="199"/>
      <c r="BV255" s="199"/>
      <c r="BW255" s="199"/>
      <c r="BX255" s="199"/>
      <c r="BY255" s="199"/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293"/>
      <c r="CJ255" s="297"/>
      <c r="CK255" s="297"/>
      <c r="CL255" s="297"/>
      <c r="CM255" s="297"/>
      <c r="CN255" s="199"/>
      <c r="CO255" s="199"/>
      <c r="CP255" s="199"/>
      <c r="CQ255" s="199"/>
      <c r="CR255" s="199"/>
      <c r="CS255" s="199"/>
      <c r="CT255" s="199"/>
      <c r="CU255" s="199"/>
      <c r="CV255" s="199"/>
      <c r="CW255" s="199"/>
      <c r="CX255" s="199"/>
      <c r="CY255" s="199"/>
    </row>
    <row r="256" spans="1:103" s="149" customFormat="1" ht="30" hidden="1" customHeight="1" x14ac:dyDescent="0.25">
      <c r="A256" s="134">
        <v>240</v>
      </c>
      <c r="B256" s="245" t="s">
        <v>99</v>
      </c>
      <c r="C256" s="245">
        <v>1</v>
      </c>
      <c r="D256" s="245" t="s">
        <v>100</v>
      </c>
      <c r="E256" s="245" t="s">
        <v>100</v>
      </c>
      <c r="F256" s="246" t="s">
        <v>1369</v>
      </c>
      <c r="G256" s="149" t="s">
        <v>1</v>
      </c>
      <c r="H256" s="149" t="s">
        <v>2</v>
      </c>
      <c r="I256" s="149" t="s">
        <v>108</v>
      </c>
      <c r="J256" s="152" t="s">
        <v>1370</v>
      </c>
      <c r="K256" s="152" t="s">
        <v>1371</v>
      </c>
      <c r="L256" s="152" t="s">
        <v>1372</v>
      </c>
      <c r="M256" s="245" t="s">
        <v>4</v>
      </c>
      <c r="N256" s="245" t="s">
        <v>5</v>
      </c>
      <c r="O256" s="256">
        <v>45268</v>
      </c>
      <c r="P256" s="249" t="s">
        <v>24</v>
      </c>
      <c r="Q256" s="249" t="s">
        <v>24</v>
      </c>
      <c r="R256" s="249" t="s">
        <v>24</v>
      </c>
      <c r="S256" s="249" t="s">
        <v>24</v>
      </c>
      <c r="T256" s="249" t="s">
        <v>24</v>
      </c>
      <c r="U256" s="249" t="s">
        <v>24</v>
      </c>
      <c r="V256" s="249" t="s">
        <v>24</v>
      </c>
      <c r="W256" s="249" t="s">
        <v>24</v>
      </c>
      <c r="X256" s="249" t="s">
        <v>24</v>
      </c>
      <c r="Y256" s="249" t="s">
        <v>24</v>
      </c>
      <c r="Z256" s="249" t="s">
        <v>24</v>
      </c>
      <c r="AA256" s="250"/>
      <c r="AB256" s="152" t="s">
        <v>1373</v>
      </c>
      <c r="AC256" s="152" t="s">
        <v>1371</v>
      </c>
      <c r="AD256" s="152" t="s">
        <v>1372</v>
      </c>
      <c r="AE256" s="149" t="s">
        <v>108</v>
      </c>
      <c r="AF256" s="250" t="s">
        <v>4</v>
      </c>
      <c r="AG256" s="208">
        <v>32689.45</v>
      </c>
      <c r="AH256" s="208">
        <v>60000</v>
      </c>
      <c r="AI256" s="251" t="s">
        <v>6</v>
      </c>
      <c r="AJ256" s="246" t="s">
        <v>109</v>
      </c>
      <c r="AK256" s="257"/>
      <c r="AL256" s="250" t="s">
        <v>110</v>
      </c>
      <c r="AM256" s="250" t="s">
        <v>110</v>
      </c>
      <c r="AN256" s="250" t="s">
        <v>111</v>
      </c>
      <c r="AO256" s="250"/>
      <c r="AP256" s="253" t="s">
        <v>1374</v>
      </c>
      <c r="AQ256" s="250" t="s">
        <v>110</v>
      </c>
      <c r="AR256" s="250" t="s">
        <v>110</v>
      </c>
      <c r="AS256" s="250" t="s">
        <v>110</v>
      </c>
      <c r="AT256" s="250" t="s">
        <v>110</v>
      </c>
      <c r="AU256" s="256">
        <v>45373</v>
      </c>
      <c r="AV256" s="250" t="s">
        <v>110</v>
      </c>
      <c r="AW256" s="250" t="s">
        <v>110</v>
      </c>
      <c r="AX256" s="256">
        <v>45383</v>
      </c>
      <c r="AY256" s="249">
        <v>45383</v>
      </c>
      <c r="AZ256" s="245" t="s">
        <v>355</v>
      </c>
      <c r="BA256" s="245" t="s">
        <v>1</v>
      </c>
      <c r="BB256" s="250" t="s">
        <v>110</v>
      </c>
      <c r="BC256" s="142">
        <f t="shared" si="12"/>
        <v>115</v>
      </c>
      <c r="BD256" s="134" t="str">
        <f t="shared" si="13"/>
        <v>INDENIZAÇÃO</v>
      </c>
      <c r="BE256" s="134" t="str">
        <f t="shared" si="14"/>
        <v>NÃO</v>
      </c>
      <c r="BF256" s="245" t="s">
        <v>24</v>
      </c>
      <c r="BG256" s="245" t="s">
        <v>24</v>
      </c>
      <c r="BH256" s="245" t="s">
        <v>24</v>
      </c>
      <c r="BI256" s="250" t="s">
        <v>110</v>
      </c>
      <c r="BJ256" s="250" t="s">
        <v>110</v>
      </c>
      <c r="BK256" s="256">
        <v>45510</v>
      </c>
      <c r="BL256" s="250" t="s">
        <v>110</v>
      </c>
      <c r="BM256" s="250" t="s">
        <v>33</v>
      </c>
      <c r="BN256" s="199"/>
      <c r="BO256" s="199"/>
      <c r="BP256" s="199"/>
      <c r="BQ256" s="199"/>
      <c r="BR256" s="199"/>
      <c r="BS256" s="199"/>
      <c r="BT256" s="199"/>
      <c r="BU256" s="199"/>
      <c r="BV256" s="199"/>
      <c r="BW256" s="199"/>
      <c r="BX256" s="199"/>
      <c r="BY256" s="199"/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293"/>
      <c r="CJ256" s="297"/>
      <c r="CK256" s="297"/>
      <c r="CL256" s="297"/>
      <c r="CM256" s="297"/>
      <c r="CN256" s="199"/>
      <c r="CO256" s="199"/>
      <c r="CP256" s="199"/>
      <c r="CQ256" s="199"/>
      <c r="CR256" s="199"/>
      <c r="CS256" s="199"/>
      <c r="CT256" s="199"/>
      <c r="CU256" s="199"/>
      <c r="CV256" s="199"/>
      <c r="CW256" s="199"/>
      <c r="CX256" s="199"/>
      <c r="CY256" s="199"/>
    </row>
    <row r="257" spans="1:103" s="149" customFormat="1" ht="30" hidden="1" customHeight="1" x14ac:dyDescent="0.25">
      <c r="A257" s="134">
        <v>241</v>
      </c>
      <c r="B257" s="134" t="s">
        <v>99</v>
      </c>
      <c r="C257" s="134">
        <v>1</v>
      </c>
      <c r="D257" s="134" t="s">
        <v>100</v>
      </c>
      <c r="E257" s="134" t="s">
        <v>100</v>
      </c>
      <c r="F257" s="138" t="s">
        <v>1375</v>
      </c>
      <c r="G257" s="149" t="s">
        <v>1</v>
      </c>
      <c r="H257" s="149" t="s">
        <v>2</v>
      </c>
      <c r="I257" s="149" t="s">
        <v>108</v>
      </c>
      <c r="J257" s="152" t="s">
        <v>1376</v>
      </c>
      <c r="K257" s="152" t="s">
        <v>1377</v>
      </c>
      <c r="L257" s="152" t="s">
        <v>1378</v>
      </c>
      <c r="M257" s="134" t="s">
        <v>4</v>
      </c>
      <c r="N257" s="214" t="s">
        <v>5</v>
      </c>
      <c r="O257" s="194">
        <v>45280</v>
      </c>
      <c r="P257" s="144" t="s">
        <v>24</v>
      </c>
      <c r="Q257" s="144" t="s">
        <v>24</v>
      </c>
      <c r="R257" s="144" t="s">
        <v>24</v>
      </c>
      <c r="S257" s="144" t="s">
        <v>24</v>
      </c>
      <c r="T257" s="144" t="s">
        <v>24</v>
      </c>
      <c r="U257" s="144" t="s">
        <v>24</v>
      </c>
      <c r="V257" s="144" t="s">
        <v>24</v>
      </c>
      <c r="W257" s="144" t="s">
        <v>24</v>
      </c>
      <c r="X257" s="144" t="s">
        <v>24</v>
      </c>
      <c r="Y257" s="144" t="s">
        <v>24</v>
      </c>
      <c r="Z257" s="144" t="s">
        <v>24</v>
      </c>
      <c r="AB257" s="152" t="s">
        <v>1376</v>
      </c>
      <c r="AC257" s="152" t="s">
        <v>1377</v>
      </c>
      <c r="AD257" s="152" t="s">
        <v>1378</v>
      </c>
      <c r="AE257" s="149" t="s">
        <v>108</v>
      </c>
      <c r="AF257" s="149" t="s">
        <v>4</v>
      </c>
      <c r="AG257" s="208">
        <v>3212.91</v>
      </c>
      <c r="AH257" s="208">
        <v>33212.910000000003</v>
      </c>
      <c r="AI257" s="232" t="s">
        <v>6</v>
      </c>
      <c r="AJ257" s="138" t="s">
        <v>109</v>
      </c>
      <c r="AK257" s="235"/>
      <c r="AL257" s="149" t="s">
        <v>110</v>
      </c>
      <c r="AM257" s="198" t="s">
        <v>110</v>
      </c>
      <c r="AN257" s="198" t="s">
        <v>111</v>
      </c>
      <c r="AP257" s="152" t="s">
        <v>1379</v>
      </c>
      <c r="AQ257" s="149" t="s">
        <v>110</v>
      </c>
      <c r="AR257" s="149" t="s">
        <v>110</v>
      </c>
      <c r="AS257" s="149" t="s">
        <v>110</v>
      </c>
      <c r="AT257" s="149" t="s">
        <v>110</v>
      </c>
      <c r="AU257" s="194">
        <v>45373</v>
      </c>
      <c r="AV257" s="149" t="s">
        <v>110</v>
      </c>
      <c r="AW257" s="149" t="s">
        <v>110</v>
      </c>
      <c r="AX257" s="194">
        <v>45383</v>
      </c>
      <c r="AY257" s="197">
        <v>45383</v>
      </c>
      <c r="AZ257" s="197" t="s">
        <v>33</v>
      </c>
      <c r="BA257" s="145" t="s">
        <v>113</v>
      </c>
      <c r="BB257" s="149" t="s">
        <v>110</v>
      </c>
      <c r="BC257" s="142">
        <f t="shared" si="12"/>
        <v>103</v>
      </c>
      <c r="BD257" s="134" t="str">
        <f t="shared" si="13"/>
        <v>INDENIZAÇÃO</v>
      </c>
      <c r="BE257" s="134" t="str">
        <f t="shared" si="14"/>
        <v>NÃO</v>
      </c>
      <c r="BF257" s="134" t="s">
        <v>24</v>
      </c>
      <c r="BG257" s="134" t="s">
        <v>24</v>
      </c>
      <c r="BH257" s="134" t="s">
        <v>24</v>
      </c>
      <c r="BI257" s="149" t="s">
        <v>110</v>
      </c>
      <c r="BJ257" s="149" t="s">
        <v>110</v>
      </c>
      <c r="BK257" s="194">
        <v>45510</v>
      </c>
      <c r="BL257" s="149" t="s">
        <v>110</v>
      </c>
      <c r="BM257" s="145" t="s">
        <v>33</v>
      </c>
      <c r="CI257" s="200"/>
      <c r="CN257" s="200"/>
    </row>
    <row r="258" spans="1:103" s="149" customFormat="1" ht="30" hidden="1" customHeight="1" x14ac:dyDescent="0.25">
      <c r="A258" s="134">
        <v>242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1380</v>
      </c>
      <c r="G258" s="149" t="s">
        <v>1</v>
      </c>
      <c r="H258" s="149" t="s">
        <v>2</v>
      </c>
      <c r="I258" s="149" t="s">
        <v>108</v>
      </c>
      <c r="J258" s="152" t="s">
        <v>1381</v>
      </c>
      <c r="K258" s="152" t="s">
        <v>1382</v>
      </c>
      <c r="L258" s="152" t="s">
        <v>1383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1381</v>
      </c>
      <c r="AC258" s="152" t="s">
        <v>1382</v>
      </c>
      <c r="AD258" s="152" t="s">
        <v>1383</v>
      </c>
      <c r="AE258" s="149" t="s">
        <v>108</v>
      </c>
      <c r="AF258" s="149" t="s">
        <v>4</v>
      </c>
      <c r="AG258" s="208">
        <v>9177</v>
      </c>
      <c r="AH258" s="208">
        <v>39177</v>
      </c>
      <c r="AI258" s="232" t="s">
        <v>6</v>
      </c>
      <c r="AJ258" s="138" t="s">
        <v>109</v>
      </c>
      <c r="AK258" s="235"/>
      <c r="AL258" s="149" t="s">
        <v>110</v>
      </c>
      <c r="AM258" s="198" t="s">
        <v>110</v>
      </c>
      <c r="AN258" s="198" t="s">
        <v>111</v>
      </c>
      <c r="AP258" s="152" t="s">
        <v>1384</v>
      </c>
      <c r="AQ258" s="198" t="s">
        <v>110</v>
      </c>
      <c r="AR258" s="149" t="s">
        <v>110</v>
      </c>
      <c r="AS258" s="149" t="s">
        <v>110</v>
      </c>
      <c r="AT258" s="149" t="s">
        <v>110</v>
      </c>
      <c r="AU258" s="194">
        <v>45373</v>
      </c>
      <c r="AV258" s="149" t="s">
        <v>110</v>
      </c>
      <c r="AW258" s="149" t="s">
        <v>110</v>
      </c>
      <c r="AX258" s="194">
        <v>45384</v>
      </c>
      <c r="AY258" s="197">
        <v>45384</v>
      </c>
      <c r="AZ258" s="197" t="s">
        <v>33</v>
      </c>
      <c r="BA258" s="145" t="s">
        <v>113</v>
      </c>
      <c r="BB258" s="149" t="s">
        <v>110</v>
      </c>
      <c r="BC258" s="142">
        <f t="shared" si="12"/>
        <v>104</v>
      </c>
      <c r="BD258" s="134" t="str">
        <f t="shared" si="13"/>
        <v>INDENIZAÇÃO</v>
      </c>
      <c r="BE258" s="134" t="str">
        <f t="shared" si="14"/>
        <v>NÃO</v>
      </c>
      <c r="BF258" s="134" t="s">
        <v>24</v>
      </c>
      <c r="BG258" s="134" t="s">
        <v>24</v>
      </c>
      <c r="BH258" s="134" t="s">
        <v>24</v>
      </c>
      <c r="BI258" s="149" t="s">
        <v>110</v>
      </c>
      <c r="BJ258" s="149" t="s">
        <v>110</v>
      </c>
      <c r="BK258" s="194">
        <v>45510</v>
      </c>
      <c r="BL258" s="149" t="s">
        <v>110</v>
      </c>
      <c r="BM258" s="145" t="s">
        <v>33</v>
      </c>
      <c r="CI258" s="200"/>
    </row>
    <row r="259" spans="1:103" s="149" customFormat="1" ht="30" hidden="1" customHeight="1" x14ac:dyDescent="0.25">
      <c r="A259" s="134">
        <v>243</v>
      </c>
      <c r="B259" s="245" t="s">
        <v>99</v>
      </c>
      <c r="C259" s="245">
        <v>1</v>
      </c>
      <c r="D259" s="245" t="s">
        <v>100</v>
      </c>
      <c r="E259" s="245" t="s">
        <v>100</v>
      </c>
      <c r="F259" s="246" t="s">
        <v>1385</v>
      </c>
      <c r="G259" s="149" t="s">
        <v>337</v>
      </c>
      <c r="H259" s="149" t="s">
        <v>2</v>
      </c>
      <c r="I259" s="149" t="s">
        <v>342</v>
      </c>
      <c r="J259" s="152" t="s">
        <v>1386</v>
      </c>
      <c r="K259" s="152" t="s">
        <v>1387</v>
      </c>
      <c r="L259" s="152" t="s">
        <v>1388</v>
      </c>
      <c r="M259" s="245" t="s">
        <v>4</v>
      </c>
      <c r="N259" s="245" t="s">
        <v>5</v>
      </c>
      <c r="O259" s="256">
        <v>45280</v>
      </c>
      <c r="P259" s="249" t="s">
        <v>24</v>
      </c>
      <c r="Q259" s="249" t="s">
        <v>24</v>
      </c>
      <c r="R259" s="249" t="s">
        <v>24</v>
      </c>
      <c r="S259" s="249" t="s">
        <v>24</v>
      </c>
      <c r="T259" s="249" t="s">
        <v>24</v>
      </c>
      <c r="U259" s="249" t="s">
        <v>24</v>
      </c>
      <c r="V259" s="249" t="s">
        <v>24</v>
      </c>
      <c r="W259" s="249" t="s">
        <v>24</v>
      </c>
      <c r="X259" s="249" t="s">
        <v>24</v>
      </c>
      <c r="Y259" s="249" t="s">
        <v>24</v>
      </c>
      <c r="Z259" s="249" t="s">
        <v>24</v>
      </c>
      <c r="AA259" s="250"/>
      <c r="AB259" s="152" t="s">
        <v>1386</v>
      </c>
      <c r="AC259" s="152" t="s">
        <v>1387</v>
      </c>
      <c r="AD259" s="152" t="s">
        <v>1388</v>
      </c>
      <c r="AE259" s="134" t="s">
        <v>342</v>
      </c>
      <c r="AF259" s="250" t="s">
        <v>4</v>
      </c>
      <c r="AG259" s="208">
        <v>9028.23</v>
      </c>
      <c r="AH259" s="208">
        <v>39028.230000000003</v>
      </c>
      <c r="AI259" s="251" t="s">
        <v>6</v>
      </c>
      <c r="AJ259" s="246" t="s">
        <v>109</v>
      </c>
      <c r="AK259" s="257"/>
      <c r="AL259" s="250" t="s">
        <v>110</v>
      </c>
      <c r="AM259" s="250" t="s">
        <v>110</v>
      </c>
      <c r="AN259" s="250" t="s">
        <v>111</v>
      </c>
      <c r="AO259" s="250" t="s">
        <v>1389</v>
      </c>
      <c r="AP259" s="253" t="s">
        <v>1390</v>
      </c>
      <c r="AQ259" s="250" t="s">
        <v>110</v>
      </c>
      <c r="AR259" s="250" t="s">
        <v>110</v>
      </c>
      <c r="AS259" s="250" t="s">
        <v>110</v>
      </c>
      <c r="AT259" s="250" t="s">
        <v>110</v>
      </c>
      <c r="AU259" s="256">
        <v>45540</v>
      </c>
      <c r="AV259" s="250" t="s">
        <v>110</v>
      </c>
      <c r="AW259" s="250" t="s">
        <v>110</v>
      </c>
      <c r="AX259" s="249">
        <v>45546</v>
      </c>
      <c r="AY259" s="249">
        <v>45546</v>
      </c>
      <c r="AZ259" s="245" t="s">
        <v>355</v>
      </c>
      <c r="BA259" s="245" t="s">
        <v>1</v>
      </c>
      <c r="BB259" s="250" t="s">
        <v>110</v>
      </c>
      <c r="BC259" s="142">
        <f t="shared" si="12"/>
        <v>266</v>
      </c>
      <c r="BD259" s="134" t="str">
        <f t="shared" si="13"/>
        <v>INDENIZAÇÃO</v>
      </c>
      <c r="BE259" s="134" t="str">
        <f t="shared" si="14"/>
        <v>NÃO</v>
      </c>
      <c r="BF259" s="245" t="s">
        <v>24</v>
      </c>
      <c r="BG259" s="245" t="s">
        <v>24</v>
      </c>
      <c r="BH259" s="245" t="s">
        <v>24</v>
      </c>
      <c r="BI259" s="250" t="s">
        <v>110</v>
      </c>
      <c r="BJ259" s="250" t="s">
        <v>110</v>
      </c>
      <c r="BK259" s="256">
        <v>45621</v>
      </c>
      <c r="BL259" s="250" t="s">
        <v>110</v>
      </c>
      <c r="BM259" s="250" t="s">
        <v>33</v>
      </c>
      <c r="BN259" s="199"/>
      <c r="BO259" s="199"/>
      <c r="BP259" s="199"/>
      <c r="BQ259" s="199"/>
      <c r="BR259" s="199"/>
      <c r="BS259" s="199"/>
      <c r="BT259" s="199"/>
      <c r="BU259" s="199"/>
      <c r="BV259" s="199"/>
      <c r="BW259" s="199"/>
      <c r="BX259" s="199"/>
      <c r="BY259" s="199"/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281"/>
      <c r="CJ259" s="199"/>
      <c r="CK259" s="199"/>
      <c r="CL259" s="199"/>
      <c r="CM259" s="199"/>
      <c r="CN259" s="199"/>
      <c r="CO259" s="199"/>
      <c r="CP259" s="199"/>
      <c r="CQ259" s="199"/>
      <c r="CR259" s="199"/>
      <c r="CS259" s="199"/>
      <c r="CT259" s="199"/>
      <c r="CU259" s="199"/>
      <c r="CV259" s="199"/>
      <c r="CW259" s="199"/>
      <c r="CX259" s="199"/>
      <c r="CY259" s="199"/>
    </row>
    <row r="260" spans="1:103" s="149" customFormat="1" ht="30" hidden="1" customHeight="1" x14ac:dyDescent="0.25">
      <c r="A260" s="134">
        <v>244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1391</v>
      </c>
      <c r="G260" s="149" t="s">
        <v>337</v>
      </c>
      <c r="H260" s="149" t="s">
        <v>2</v>
      </c>
      <c r="I260" s="149" t="s">
        <v>342</v>
      </c>
      <c r="J260" s="152" t="s">
        <v>1392</v>
      </c>
      <c r="K260" s="152" t="s">
        <v>1393</v>
      </c>
      <c r="L260" s="152" t="s">
        <v>1394</v>
      </c>
      <c r="M260" s="134" t="s">
        <v>4</v>
      </c>
      <c r="N260" s="214" t="s">
        <v>5</v>
      </c>
      <c r="O260" s="194">
        <v>45280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1392</v>
      </c>
      <c r="AC260" s="152" t="s">
        <v>1393</v>
      </c>
      <c r="AD260" s="152" t="s">
        <v>1394</v>
      </c>
      <c r="AE260" s="134" t="s">
        <v>342</v>
      </c>
      <c r="AF260" s="149" t="s">
        <v>4</v>
      </c>
      <c r="AG260" s="208">
        <v>16504.330000000002</v>
      </c>
      <c r="AH260" s="208">
        <f>AG260+30000</f>
        <v>46504.33</v>
      </c>
      <c r="AI260" s="232" t="s">
        <v>6</v>
      </c>
      <c r="AJ260" s="138" t="s">
        <v>109</v>
      </c>
      <c r="AK260" s="235"/>
      <c r="AL260" s="149" t="s">
        <v>110</v>
      </c>
      <c r="AM260" s="149" t="s">
        <v>110</v>
      </c>
      <c r="AN260" s="149" t="s">
        <v>111</v>
      </c>
      <c r="AP260" s="152" t="s">
        <v>1395</v>
      </c>
      <c r="AQ260" s="149" t="s">
        <v>110</v>
      </c>
      <c r="AR260" s="149" t="s">
        <v>110</v>
      </c>
      <c r="AS260" s="198" t="s">
        <v>110</v>
      </c>
      <c r="AT260" s="198" t="s">
        <v>110</v>
      </c>
      <c r="AU260" s="194">
        <v>45587</v>
      </c>
      <c r="AV260" s="198" t="s">
        <v>110</v>
      </c>
      <c r="AW260" s="198" t="s">
        <v>110</v>
      </c>
      <c r="AX260" s="194">
        <v>45608</v>
      </c>
      <c r="AY260" s="197">
        <v>45608</v>
      </c>
      <c r="AZ260" s="197" t="s">
        <v>33</v>
      </c>
      <c r="BA260" s="145" t="s">
        <v>113</v>
      </c>
      <c r="BB260" s="149" t="s">
        <v>110</v>
      </c>
      <c r="BC260" s="142">
        <f t="shared" si="12"/>
        <v>328</v>
      </c>
      <c r="BD260" s="134" t="str">
        <f t="shared" si="13"/>
        <v>INDENIZAÇÃO</v>
      </c>
      <c r="BE260" s="134" t="str">
        <f t="shared" si="14"/>
        <v>NÃO</v>
      </c>
      <c r="BF260" s="134" t="s">
        <v>24</v>
      </c>
      <c r="BG260" s="134" t="s">
        <v>24</v>
      </c>
      <c r="BH260" s="134" t="s">
        <v>24</v>
      </c>
      <c r="BI260" s="198" t="s">
        <v>110</v>
      </c>
      <c r="BJ260" s="198" t="s">
        <v>110</v>
      </c>
      <c r="BK260" s="194">
        <v>45677</v>
      </c>
      <c r="BL260" s="198" t="s">
        <v>110</v>
      </c>
      <c r="BM260" s="197" t="s">
        <v>33</v>
      </c>
      <c r="CI260" s="200"/>
    </row>
    <row r="261" spans="1:103" s="149" customFormat="1" ht="30" hidden="1" customHeight="1" x14ac:dyDescent="0.25">
      <c r="A261" s="134">
        <v>245</v>
      </c>
      <c r="B261" s="134" t="s">
        <v>99</v>
      </c>
      <c r="C261" s="134">
        <v>1</v>
      </c>
      <c r="D261" s="134" t="s">
        <v>100</v>
      </c>
      <c r="E261" s="134" t="s">
        <v>100</v>
      </c>
      <c r="F261" s="138" t="s">
        <v>1396</v>
      </c>
      <c r="G261" s="149" t="s">
        <v>1</v>
      </c>
      <c r="H261" s="149" t="s">
        <v>2</v>
      </c>
      <c r="I261" s="149" t="s">
        <v>108</v>
      </c>
      <c r="J261" s="152" t="s">
        <v>1397</v>
      </c>
      <c r="K261" s="152" t="s">
        <v>1398</v>
      </c>
      <c r="L261" s="152" t="s">
        <v>1399</v>
      </c>
      <c r="M261" s="134" t="s">
        <v>4</v>
      </c>
      <c r="N261" s="214" t="s">
        <v>5</v>
      </c>
      <c r="O261" s="194">
        <v>45280</v>
      </c>
      <c r="P261" s="144" t="s">
        <v>24</v>
      </c>
      <c r="Q261" s="144" t="s">
        <v>24</v>
      </c>
      <c r="R261" s="144" t="s">
        <v>24</v>
      </c>
      <c r="S261" s="144" t="s">
        <v>24</v>
      </c>
      <c r="T261" s="144" t="s">
        <v>24</v>
      </c>
      <c r="U261" s="144" t="s">
        <v>24</v>
      </c>
      <c r="V261" s="144" t="s">
        <v>24</v>
      </c>
      <c r="W261" s="144" t="s">
        <v>24</v>
      </c>
      <c r="X261" s="144" t="s">
        <v>24</v>
      </c>
      <c r="Y261" s="144" t="s">
        <v>24</v>
      </c>
      <c r="Z261" s="144" t="s">
        <v>24</v>
      </c>
      <c r="AB261" s="152" t="s">
        <v>1397</v>
      </c>
      <c r="AC261" s="152" t="s">
        <v>1398</v>
      </c>
      <c r="AD261" s="152" t="s">
        <v>1399</v>
      </c>
      <c r="AE261" s="149" t="s">
        <v>108</v>
      </c>
      <c r="AF261" s="149" t="s">
        <v>4</v>
      </c>
      <c r="AG261" s="208">
        <v>26870.43</v>
      </c>
      <c r="AH261" s="208">
        <v>56870.43</v>
      </c>
      <c r="AI261" s="232" t="s">
        <v>6</v>
      </c>
      <c r="AJ261" s="138" t="s">
        <v>109</v>
      </c>
      <c r="AK261" s="235"/>
      <c r="AL261" s="149" t="s">
        <v>110</v>
      </c>
      <c r="AM261" s="149" t="s">
        <v>110</v>
      </c>
      <c r="AN261" s="149" t="s">
        <v>111</v>
      </c>
      <c r="AP261" s="152" t="s">
        <v>1400</v>
      </c>
      <c r="AQ261" s="149" t="s">
        <v>110</v>
      </c>
      <c r="AR261" s="149" t="s">
        <v>110</v>
      </c>
      <c r="AS261" s="149" t="s">
        <v>110</v>
      </c>
      <c r="AT261" s="149" t="s">
        <v>110</v>
      </c>
      <c r="AU261" s="194">
        <v>45373</v>
      </c>
      <c r="AV261" s="149" t="s">
        <v>110</v>
      </c>
      <c r="AW261" s="149" t="s">
        <v>110</v>
      </c>
      <c r="AX261" s="194">
        <v>45384</v>
      </c>
      <c r="AY261" s="197">
        <v>45384</v>
      </c>
      <c r="AZ261" s="197" t="s">
        <v>33</v>
      </c>
      <c r="BA261" s="145" t="s">
        <v>113</v>
      </c>
      <c r="BB261" s="149" t="s">
        <v>110</v>
      </c>
      <c r="BC261" s="142">
        <f t="shared" si="12"/>
        <v>104</v>
      </c>
      <c r="BD261" s="134" t="str">
        <f t="shared" si="13"/>
        <v>INDENIZAÇÃO</v>
      </c>
      <c r="BE261" s="134" t="str">
        <f t="shared" si="14"/>
        <v>NÃO</v>
      </c>
      <c r="BF261" s="134" t="s">
        <v>24</v>
      </c>
      <c r="BG261" s="134" t="s">
        <v>24</v>
      </c>
      <c r="BH261" s="134" t="s">
        <v>24</v>
      </c>
      <c r="BI261" s="149" t="s">
        <v>110</v>
      </c>
      <c r="BJ261" s="149" t="s">
        <v>110</v>
      </c>
      <c r="BK261" s="194">
        <v>45510</v>
      </c>
      <c r="BL261" s="149" t="s">
        <v>110</v>
      </c>
      <c r="BM261" s="145" t="s">
        <v>33</v>
      </c>
      <c r="CI261" s="200"/>
    </row>
    <row r="262" spans="1:103" s="149" customFormat="1" ht="30" hidden="1" customHeight="1" x14ac:dyDescent="0.25">
      <c r="A262" s="134">
        <v>246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1401</v>
      </c>
      <c r="G262" s="149" t="s">
        <v>1</v>
      </c>
      <c r="H262" s="149" t="s">
        <v>2</v>
      </c>
      <c r="I262" s="149" t="s">
        <v>108</v>
      </c>
      <c r="J262" s="152" t="s">
        <v>1402</v>
      </c>
      <c r="K262" s="152" t="s">
        <v>1403</v>
      </c>
      <c r="L262" s="152" t="s">
        <v>1404</v>
      </c>
      <c r="M262" s="134" t="s">
        <v>4</v>
      </c>
      <c r="N262" s="214" t="s">
        <v>5</v>
      </c>
      <c r="O262" s="194">
        <v>45209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1402</v>
      </c>
      <c r="AC262" s="152" t="s">
        <v>1403</v>
      </c>
      <c r="AD262" s="152" t="s">
        <v>1404</v>
      </c>
      <c r="AE262" s="149" t="s">
        <v>108</v>
      </c>
      <c r="AF262" s="149" t="s">
        <v>4</v>
      </c>
      <c r="AG262" s="208">
        <v>51179.7</v>
      </c>
      <c r="AH262" s="208">
        <v>60000</v>
      </c>
      <c r="AI262" s="214" t="s">
        <v>6</v>
      </c>
      <c r="AJ262" s="160" t="s">
        <v>109</v>
      </c>
      <c r="AK262" s="239"/>
      <c r="AL262" s="171" t="s">
        <v>110</v>
      </c>
      <c r="AM262" s="171" t="s">
        <v>110</v>
      </c>
      <c r="AN262" s="171" t="s">
        <v>111</v>
      </c>
      <c r="AO262" s="198"/>
      <c r="AP262" s="291" t="s">
        <v>1405</v>
      </c>
      <c r="AQ262" s="292" t="s">
        <v>110</v>
      </c>
      <c r="AR262" s="292" t="s">
        <v>110</v>
      </c>
      <c r="AS262" s="292" t="s">
        <v>110</v>
      </c>
      <c r="AT262" s="292" t="s">
        <v>110</v>
      </c>
      <c r="AU262" s="202">
        <v>45495</v>
      </c>
      <c r="AV262" s="292" t="s">
        <v>110</v>
      </c>
      <c r="AW262" s="292" t="s">
        <v>110</v>
      </c>
      <c r="AX262" s="202">
        <v>45499</v>
      </c>
      <c r="AY262" s="197">
        <v>45499</v>
      </c>
      <c r="AZ262" s="145" t="s">
        <v>33</v>
      </c>
      <c r="BA262" s="145" t="s">
        <v>113</v>
      </c>
      <c r="BB262" s="149" t="s">
        <v>110</v>
      </c>
      <c r="BC262" s="142">
        <f t="shared" si="12"/>
        <v>290</v>
      </c>
      <c r="BD262" s="134" t="str">
        <f t="shared" si="13"/>
        <v>INDENIZAÇÃO</v>
      </c>
      <c r="BE262" s="134" t="str">
        <f t="shared" si="14"/>
        <v>NÃO</v>
      </c>
      <c r="BF262" s="170" t="s">
        <v>24</v>
      </c>
      <c r="BG262" s="170" t="s">
        <v>24</v>
      </c>
      <c r="BH262" s="170" t="s">
        <v>24</v>
      </c>
      <c r="BI262" s="292" t="s">
        <v>110</v>
      </c>
      <c r="BJ262" s="292" t="s">
        <v>110</v>
      </c>
      <c r="BK262" s="202">
        <v>45559</v>
      </c>
      <c r="BL262" s="292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hidden="1" customHeight="1" x14ac:dyDescent="0.25">
      <c r="A263" s="134">
        <v>247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1406</v>
      </c>
      <c r="G263" s="149" t="s">
        <v>1</v>
      </c>
      <c r="H263" s="149" t="s">
        <v>2</v>
      </c>
      <c r="I263" s="149" t="s">
        <v>108</v>
      </c>
      <c r="J263" s="152" t="s">
        <v>1407</v>
      </c>
      <c r="K263" s="152" t="s">
        <v>1408</v>
      </c>
      <c r="L263" s="152" t="s">
        <v>1409</v>
      </c>
      <c r="M263" s="245" t="s">
        <v>4</v>
      </c>
      <c r="N263" s="245" t="s">
        <v>5</v>
      </c>
      <c r="O263" s="256">
        <v>45525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1407</v>
      </c>
      <c r="AC263" s="152" t="s">
        <v>1408</v>
      </c>
      <c r="AD263" s="152" t="s">
        <v>1409</v>
      </c>
      <c r="AE263" s="149" t="s">
        <v>108</v>
      </c>
      <c r="AF263" s="250" t="s">
        <v>4</v>
      </c>
      <c r="AG263" s="208">
        <v>16806.38</v>
      </c>
      <c r="AH263" s="208">
        <f>AG263+30000</f>
        <v>46806.380000000005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1410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45601</v>
      </c>
      <c r="AV263" s="250" t="s">
        <v>110</v>
      </c>
      <c r="AW263" s="250" t="s">
        <v>110</v>
      </c>
      <c r="AX263" s="256">
        <v>45728</v>
      </c>
      <c r="AY263" s="197">
        <v>45728</v>
      </c>
      <c r="AZ263" s="245" t="s">
        <v>355</v>
      </c>
      <c r="BA263" s="245" t="s">
        <v>1</v>
      </c>
      <c r="BB263" s="250" t="s">
        <v>110</v>
      </c>
      <c r="BC263" s="142">
        <f t="shared" si="12"/>
        <v>203</v>
      </c>
      <c r="BD263" s="134" t="str">
        <f t="shared" si="13"/>
        <v>INDENIZAÇÃO</v>
      </c>
      <c r="BE263" s="134" t="str">
        <f t="shared" si="14"/>
        <v>NÃO</v>
      </c>
      <c r="BF263" s="250" t="s">
        <v>24</v>
      </c>
      <c r="BG263" s="250" t="s">
        <v>24</v>
      </c>
      <c r="BH263" s="250" t="s">
        <v>24</v>
      </c>
      <c r="BI263" s="250" t="s">
        <v>110</v>
      </c>
      <c r="BJ263" s="250" t="s">
        <v>110</v>
      </c>
      <c r="BK263" s="248">
        <v>45783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hidden="1" customHeight="1" x14ac:dyDescent="0.25">
      <c r="A264" s="134">
        <v>248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1411</v>
      </c>
      <c r="G264" s="149" t="s">
        <v>1</v>
      </c>
      <c r="H264" s="149" t="s">
        <v>2</v>
      </c>
      <c r="I264" s="149" t="s">
        <v>108</v>
      </c>
      <c r="J264" s="152" t="s">
        <v>1412</v>
      </c>
      <c r="K264" s="152" t="s">
        <v>1413</v>
      </c>
      <c r="L264" s="152" t="s">
        <v>1414</v>
      </c>
      <c r="M264" s="134" t="s">
        <v>4</v>
      </c>
      <c r="N264" s="214" t="s">
        <v>5</v>
      </c>
      <c r="O264" s="194">
        <v>45280</v>
      </c>
      <c r="P264" s="144" t="s">
        <v>24</v>
      </c>
      <c r="Q264" s="144" t="s">
        <v>24</v>
      </c>
      <c r="R264" s="144" t="s">
        <v>24</v>
      </c>
      <c r="S264" s="144" t="s">
        <v>24</v>
      </c>
      <c r="T264" s="144" t="s">
        <v>24</v>
      </c>
      <c r="U264" s="144" t="s">
        <v>24</v>
      </c>
      <c r="V264" s="144" t="s">
        <v>24</v>
      </c>
      <c r="W264" s="144" t="s">
        <v>24</v>
      </c>
      <c r="X264" s="144" t="s">
        <v>24</v>
      </c>
      <c r="Y264" s="144" t="s">
        <v>24</v>
      </c>
      <c r="Z264" s="144" t="s">
        <v>24</v>
      </c>
      <c r="AB264" s="152" t="s">
        <v>1412</v>
      </c>
      <c r="AC264" s="152" t="s">
        <v>1413</v>
      </c>
      <c r="AD264" s="152" t="s">
        <v>1414</v>
      </c>
      <c r="AE264" s="149" t="s">
        <v>108</v>
      </c>
      <c r="AF264" s="149" t="s">
        <v>4</v>
      </c>
      <c r="AG264" s="208">
        <v>20864.310000000001</v>
      </c>
      <c r="AH264" s="208">
        <v>50864.31</v>
      </c>
      <c r="AI264" s="214" t="s">
        <v>6</v>
      </c>
      <c r="AJ264" s="138" t="s">
        <v>109</v>
      </c>
      <c r="AK264" s="214"/>
      <c r="AL264" s="149" t="s">
        <v>110</v>
      </c>
      <c r="AM264" s="149" t="s">
        <v>110</v>
      </c>
      <c r="AN264" s="149" t="s">
        <v>111</v>
      </c>
      <c r="AP264" s="152" t="s">
        <v>1415</v>
      </c>
      <c r="AQ264" s="149" t="s">
        <v>110</v>
      </c>
      <c r="AR264" s="149" t="s">
        <v>110</v>
      </c>
      <c r="AS264" s="149" t="s">
        <v>110</v>
      </c>
      <c r="AT264" s="149" t="s">
        <v>110</v>
      </c>
      <c r="AU264" s="194">
        <v>45373</v>
      </c>
      <c r="AV264" s="149" t="s">
        <v>110</v>
      </c>
      <c r="AW264" s="149" t="s">
        <v>110</v>
      </c>
      <c r="AX264" s="194">
        <v>45385</v>
      </c>
      <c r="AY264" s="197">
        <v>45385</v>
      </c>
      <c r="AZ264" s="197" t="s">
        <v>33</v>
      </c>
      <c r="BA264" s="145" t="s">
        <v>113</v>
      </c>
      <c r="BB264" s="149" t="s">
        <v>110</v>
      </c>
      <c r="BC264" s="142">
        <f t="shared" si="12"/>
        <v>105</v>
      </c>
      <c r="BD264" s="134" t="str">
        <f t="shared" si="13"/>
        <v>INDENIZAÇÃO</v>
      </c>
      <c r="BE264" s="134" t="str">
        <f t="shared" si="14"/>
        <v>NÃO</v>
      </c>
      <c r="BF264" s="134" t="s">
        <v>24</v>
      </c>
      <c r="BG264" s="134" t="s">
        <v>24</v>
      </c>
      <c r="BH264" s="134" t="s">
        <v>24</v>
      </c>
      <c r="BI264" s="149" t="s">
        <v>110</v>
      </c>
      <c r="BJ264" s="149" t="s">
        <v>110</v>
      </c>
      <c r="BK264" s="194">
        <v>45510</v>
      </c>
      <c r="BL264" s="149" t="s">
        <v>110</v>
      </c>
      <c r="BM264" s="145" t="s">
        <v>33</v>
      </c>
      <c r="BN264" s="134"/>
      <c r="BO264" s="134"/>
      <c r="BP264" s="134"/>
      <c r="BQ264" s="134"/>
      <c r="BR264" s="134"/>
      <c r="BS264" s="134"/>
      <c r="BT264" s="134"/>
      <c r="BU264" s="134"/>
      <c r="BV264" s="134"/>
      <c r="BW264" s="134"/>
      <c r="BX264" s="134"/>
      <c r="BY264" s="134"/>
      <c r="BZ264" s="134"/>
      <c r="CA264" s="134"/>
      <c r="CB264" s="134"/>
      <c r="CC264" s="134"/>
      <c r="CD264" s="134"/>
      <c r="CE264" s="134"/>
      <c r="CF264" s="134"/>
      <c r="CG264" s="134"/>
      <c r="CH264" s="134"/>
      <c r="CI264" s="211"/>
      <c r="CJ264" s="134"/>
      <c r="CK264" s="134"/>
      <c r="CL264" s="134"/>
      <c r="CM264" s="134"/>
      <c r="CN264" s="134"/>
      <c r="CO264" s="134"/>
      <c r="CP264" s="134"/>
      <c r="CQ264" s="134"/>
      <c r="CR264" s="134"/>
      <c r="CS264" s="134"/>
      <c r="CT264" s="134"/>
      <c r="CU264" s="134"/>
      <c r="CV264" s="134"/>
      <c r="CW264" s="134"/>
      <c r="CX264" s="134"/>
      <c r="CY264" s="134"/>
    </row>
    <row r="265" spans="1:103" s="149" customFormat="1" ht="30" hidden="1" customHeight="1" x14ac:dyDescent="0.25">
      <c r="A265" s="134">
        <v>249</v>
      </c>
      <c r="B265" s="245" t="s">
        <v>99</v>
      </c>
      <c r="C265" s="245">
        <v>1</v>
      </c>
      <c r="D265" s="245" t="s">
        <v>100</v>
      </c>
      <c r="E265" s="245" t="s">
        <v>100</v>
      </c>
      <c r="F265" s="246" t="s">
        <v>1416</v>
      </c>
      <c r="G265" s="149" t="s">
        <v>1</v>
      </c>
      <c r="H265" s="149" t="s">
        <v>2</v>
      </c>
      <c r="I265" s="149" t="s">
        <v>108</v>
      </c>
      <c r="J265" s="152" t="s">
        <v>1417</v>
      </c>
      <c r="K265" s="152" t="s">
        <v>1418</v>
      </c>
      <c r="L265" s="152" t="s">
        <v>1419</v>
      </c>
      <c r="M265" s="245" t="s">
        <v>4</v>
      </c>
      <c r="N265" s="245" t="s">
        <v>5</v>
      </c>
      <c r="O265" s="256">
        <v>45299</v>
      </c>
      <c r="P265" s="249" t="s">
        <v>24</v>
      </c>
      <c r="Q265" s="249" t="s">
        <v>24</v>
      </c>
      <c r="R265" s="249" t="s">
        <v>24</v>
      </c>
      <c r="S265" s="249" t="s">
        <v>24</v>
      </c>
      <c r="T265" s="249" t="s">
        <v>24</v>
      </c>
      <c r="U265" s="249" t="s">
        <v>24</v>
      </c>
      <c r="V265" s="249" t="s">
        <v>24</v>
      </c>
      <c r="W265" s="249" t="s">
        <v>24</v>
      </c>
      <c r="X265" s="249" t="s">
        <v>24</v>
      </c>
      <c r="Y265" s="249" t="s">
        <v>24</v>
      </c>
      <c r="Z265" s="249" t="s">
        <v>24</v>
      </c>
      <c r="AA265" s="250"/>
      <c r="AB265" s="152" t="s">
        <v>1420</v>
      </c>
      <c r="AC265" s="152" t="s">
        <v>1418</v>
      </c>
      <c r="AD265" s="152" t="s">
        <v>1419</v>
      </c>
      <c r="AE265" s="149" t="s">
        <v>108</v>
      </c>
      <c r="AF265" s="250" t="s">
        <v>4</v>
      </c>
      <c r="AG265" s="208">
        <v>8327.6</v>
      </c>
      <c r="AH265" s="208">
        <v>38327.599999999999</v>
      </c>
      <c r="AI265" s="245" t="s">
        <v>6</v>
      </c>
      <c r="AJ265" s="246" t="s">
        <v>109</v>
      </c>
      <c r="AK265" s="245"/>
      <c r="AL265" s="250" t="s">
        <v>110</v>
      </c>
      <c r="AM265" s="250" t="s">
        <v>110</v>
      </c>
      <c r="AN265" s="250" t="s">
        <v>111</v>
      </c>
      <c r="AO265" s="250"/>
      <c r="AP265" s="253" t="s">
        <v>1421</v>
      </c>
      <c r="AQ265" s="250" t="s">
        <v>110</v>
      </c>
      <c r="AR265" s="250" t="s">
        <v>110</v>
      </c>
      <c r="AS265" s="250" t="s">
        <v>110</v>
      </c>
      <c r="AT265" s="250" t="s">
        <v>110</v>
      </c>
      <c r="AU265" s="256">
        <v>45373</v>
      </c>
      <c r="AV265" s="250" t="s">
        <v>110</v>
      </c>
      <c r="AW265" s="250" t="s">
        <v>110</v>
      </c>
      <c r="AX265" s="256">
        <v>45384</v>
      </c>
      <c r="AY265" s="249">
        <v>45384</v>
      </c>
      <c r="AZ265" s="245" t="s">
        <v>355</v>
      </c>
      <c r="BA265" s="245" t="s">
        <v>1</v>
      </c>
      <c r="BB265" s="250" t="s">
        <v>110</v>
      </c>
      <c r="BC265" s="142">
        <f t="shared" si="12"/>
        <v>85</v>
      </c>
      <c r="BD265" s="134" t="str">
        <f t="shared" si="13"/>
        <v>INDENIZAÇÃO</v>
      </c>
      <c r="BE265" s="134" t="str">
        <f t="shared" si="14"/>
        <v>NÃO</v>
      </c>
      <c r="BF265" s="245" t="s">
        <v>24</v>
      </c>
      <c r="BG265" s="245" t="s">
        <v>24</v>
      </c>
      <c r="BH265" s="245" t="s">
        <v>24</v>
      </c>
      <c r="BI265" s="250" t="s">
        <v>110</v>
      </c>
      <c r="BJ265" s="250" t="s">
        <v>110</v>
      </c>
      <c r="BK265" s="256">
        <v>45510</v>
      </c>
      <c r="BL265" s="250" t="s">
        <v>110</v>
      </c>
      <c r="BM265" s="250" t="s">
        <v>33</v>
      </c>
      <c r="BN265" s="134"/>
      <c r="BO265" s="134"/>
      <c r="BP265" s="134"/>
      <c r="BQ265" s="134"/>
      <c r="BR265" s="134"/>
      <c r="BS265" s="134"/>
      <c r="BT265" s="134"/>
      <c r="BU265" s="134"/>
      <c r="BV265" s="134"/>
      <c r="BW265" s="134"/>
      <c r="BX265" s="134"/>
      <c r="BY265" s="134"/>
      <c r="BZ265" s="134"/>
      <c r="CA265" s="134"/>
      <c r="CB265" s="134"/>
      <c r="CC265" s="134"/>
      <c r="CD265" s="134"/>
      <c r="CE265" s="134"/>
      <c r="CF265" s="134"/>
      <c r="CG265" s="134"/>
      <c r="CH265" s="134"/>
      <c r="CI265" s="211"/>
      <c r="CJ265" s="134"/>
      <c r="CK265" s="134"/>
      <c r="CL265" s="134"/>
      <c r="CM265" s="134"/>
      <c r="CN265" s="134"/>
      <c r="CO265" s="134"/>
      <c r="CP265" s="134"/>
      <c r="CQ265" s="134"/>
      <c r="CR265" s="134"/>
      <c r="CS265" s="134"/>
      <c r="CT265" s="134"/>
      <c r="CU265" s="134"/>
      <c r="CV265" s="134"/>
      <c r="CW265" s="134"/>
      <c r="CX265" s="134"/>
      <c r="CY265" s="134"/>
    </row>
    <row r="266" spans="1:103" s="149" customFormat="1" ht="30" hidden="1" customHeight="1" x14ac:dyDescent="0.25">
      <c r="A266" s="134">
        <v>250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1422</v>
      </c>
      <c r="G266" s="149" t="s">
        <v>1</v>
      </c>
      <c r="H266" s="149" t="s">
        <v>2</v>
      </c>
      <c r="I266" s="149" t="s">
        <v>108</v>
      </c>
      <c r="J266" s="152" t="s">
        <v>1423</v>
      </c>
      <c r="K266" s="152" t="s">
        <v>1424</v>
      </c>
      <c r="L266" s="152" t="s">
        <v>1425</v>
      </c>
      <c r="M266" s="134" t="s">
        <v>4</v>
      </c>
      <c r="N266" s="214" t="s">
        <v>14</v>
      </c>
      <c r="O266" s="194">
        <v>45356</v>
      </c>
      <c r="P266" s="144">
        <v>45246</v>
      </c>
      <c r="Q266" s="138" t="s">
        <v>386</v>
      </c>
      <c r="R266" s="144" t="s">
        <v>110</v>
      </c>
      <c r="S266" s="144" t="s">
        <v>110</v>
      </c>
      <c r="T266" s="144"/>
      <c r="U266" s="144"/>
      <c r="V266" s="144"/>
      <c r="W266" s="144"/>
      <c r="X266" s="144"/>
      <c r="Y266" s="144"/>
      <c r="Z266" s="144"/>
      <c r="AB266" s="152" t="s">
        <v>1423</v>
      </c>
      <c r="AC266" s="152" t="s">
        <v>1424</v>
      </c>
      <c r="AD266" s="152" t="s">
        <v>1425</v>
      </c>
      <c r="AE266" s="149" t="s">
        <v>108</v>
      </c>
      <c r="AG266" s="208" t="s">
        <v>366</v>
      </c>
      <c r="AH266" s="208" t="s">
        <v>366</v>
      </c>
      <c r="AI266" s="214" t="s">
        <v>366</v>
      </c>
      <c r="AJ266" s="214" t="s">
        <v>366</v>
      </c>
      <c r="AK266" s="214"/>
      <c r="AP266" s="152"/>
      <c r="BC266" s="142" t="str">
        <f t="shared" si="12"/>
        <v/>
      </c>
      <c r="BD266" s="134" t="str">
        <f t="shared" si="13"/>
        <v>INDENIZAÇÃO</v>
      </c>
      <c r="BE266" s="134" t="str">
        <f t="shared" si="14"/>
        <v>NÃO</v>
      </c>
      <c r="BG266" s="194"/>
      <c r="BH266" s="194"/>
      <c r="CI266" s="200"/>
    </row>
    <row r="267" spans="1:103" s="149" customFormat="1" ht="30" hidden="1" customHeight="1" x14ac:dyDescent="0.25">
      <c r="A267" s="134">
        <v>251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1426</v>
      </c>
      <c r="G267" s="149" t="s">
        <v>1</v>
      </c>
      <c r="H267" s="149" t="s">
        <v>2</v>
      </c>
      <c r="I267" s="149" t="s">
        <v>108</v>
      </c>
      <c r="J267" s="152" t="s">
        <v>1427</v>
      </c>
      <c r="K267" s="152" t="s">
        <v>1428</v>
      </c>
      <c r="L267" s="152" t="s">
        <v>1429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1427</v>
      </c>
      <c r="AC267" s="152" t="s">
        <v>1428</v>
      </c>
      <c r="AD267" s="152" t="s">
        <v>1429</v>
      </c>
      <c r="AE267" s="149" t="s">
        <v>108</v>
      </c>
      <c r="AF267" s="149" t="s">
        <v>4</v>
      </c>
      <c r="AG267" s="208">
        <v>62697.18</v>
      </c>
      <c r="AH267" s="208">
        <v>62697.18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1430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45441</v>
      </c>
      <c r="AV267" s="149" t="s">
        <v>110</v>
      </c>
      <c r="AW267" s="149" t="s">
        <v>110</v>
      </c>
      <c r="AX267" s="194">
        <v>45450</v>
      </c>
      <c r="AY267" s="217">
        <v>45450</v>
      </c>
      <c r="AZ267" s="217" t="s">
        <v>33</v>
      </c>
      <c r="BA267" s="145" t="s">
        <v>113</v>
      </c>
      <c r="BB267" s="149" t="s">
        <v>110</v>
      </c>
      <c r="BC267" s="142">
        <f t="shared" si="12"/>
        <v>182</v>
      </c>
      <c r="BD267" s="134" t="str">
        <f t="shared" si="13"/>
        <v>INDENIZAÇÃO</v>
      </c>
      <c r="BE267" s="134" t="str">
        <f t="shared" si="14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hidden="1" customHeight="1" x14ac:dyDescent="0.25">
      <c r="A268" s="134">
        <v>252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1431</v>
      </c>
      <c r="G268" s="149" t="s">
        <v>1</v>
      </c>
      <c r="H268" s="149" t="s">
        <v>2</v>
      </c>
      <c r="I268" s="149" t="s">
        <v>108</v>
      </c>
      <c r="J268" s="152" t="s">
        <v>1432</v>
      </c>
      <c r="K268" s="152" t="s">
        <v>1433</v>
      </c>
      <c r="L268" s="152" t="s">
        <v>1434</v>
      </c>
      <c r="M268" s="134" t="s">
        <v>4</v>
      </c>
      <c r="N268" s="214" t="s">
        <v>5</v>
      </c>
      <c r="O268" s="194">
        <v>45268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1432</v>
      </c>
      <c r="AC268" s="152" t="s">
        <v>1433</v>
      </c>
      <c r="AD268" s="152" t="s">
        <v>1434</v>
      </c>
      <c r="AE268" s="149" t="s">
        <v>108</v>
      </c>
      <c r="AF268" s="149" t="s">
        <v>4</v>
      </c>
      <c r="AG268" s="208">
        <v>61787.83</v>
      </c>
      <c r="AH268" s="208">
        <v>61787.83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P268" s="152" t="s">
        <v>1435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45397</v>
      </c>
      <c r="AV268" s="149" t="s">
        <v>110</v>
      </c>
      <c r="AW268" s="149" t="s">
        <v>110</v>
      </c>
      <c r="AX268" s="194">
        <v>45406</v>
      </c>
      <c r="AY268" s="197">
        <v>45406</v>
      </c>
      <c r="AZ268" s="145" t="s">
        <v>33</v>
      </c>
      <c r="BA268" s="145" t="s">
        <v>113</v>
      </c>
      <c r="BB268" s="149" t="s">
        <v>110</v>
      </c>
      <c r="BC268" s="142">
        <f t="shared" si="12"/>
        <v>138</v>
      </c>
      <c r="BD268" s="134" t="str">
        <f t="shared" si="13"/>
        <v>INDENIZAÇÃO</v>
      </c>
      <c r="BE268" s="134" t="str">
        <f t="shared" si="14"/>
        <v>NÃO</v>
      </c>
      <c r="BF268" s="134" t="s">
        <v>24</v>
      </c>
      <c r="BG268" s="134" t="s">
        <v>24</v>
      </c>
      <c r="BH268" s="134" t="s">
        <v>24</v>
      </c>
      <c r="BI268" s="198" t="s">
        <v>110</v>
      </c>
      <c r="BJ268" s="198" t="s">
        <v>110</v>
      </c>
      <c r="BK268" s="144">
        <v>45545</v>
      </c>
      <c r="BL268" s="198" t="s">
        <v>110</v>
      </c>
      <c r="BM268" s="145" t="s">
        <v>33</v>
      </c>
      <c r="CI268" s="200"/>
    </row>
    <row r="269" spans="1:103" s="149" customFormat="1" ht="30" hidden="1" customHeight="1" x14ac:dyDescent="0.25">
      <c r="A269" s="134">
        <v>253</v>
      </c>
      <c r="B269" s="134" t="s">
        <v>99</v>
      </c>
      <c r="C269" s="134">
        <v>1</v>
      </c>
      <c r="D269" s="134" t="s">
        <v>100</v>
      </c>
      <c r="E269" s="134" t="s">
        <v>100</v>
      </c>
      <c r="F269" s="138" t="s">
        <v>1436</v>
      </c>
      <c r="G269" s="149" t="s">
        <v>1</v>
      </c>
      <c r="H269" s="149" t="s">
        <v>2</v>
      </c>
      <c r="I269" s="149" t="s">
        <v>108</v>
      </c>
      <c r="J269" s="152" t="s">
        <v>1437</v>
      </c>
      <c r="K269" s="152" t="s">
        <v>1438</v>
      </c>
      <c r="L269" s="152" t="s">
        <v>1439</v>
      </c>
      <c r="M269" s="134" t="s">
        <v>4</v>
      </c>
      <c r="N269" s="214" t="s">
        <v>5</v>
      </c>
      <c r="O269" s="194">
        <v>45268</v>
      </c>
      <c r="P269" s="144" t="s">
        <v>24</v>
      </c>
      <c r="Q269" s="144" t="s">
        <v>24</v>
      </c>
      <c r="R269" s="144" t="s">
        <v>24</v>
      </c>
      <c r="S269" s="144" t="s">
        <v>24</v>
      </c>
      <c r="T269" s="144" t="s">
        <v>24</v>
      </c>
      <c r="U269" s="144" t="s">
        <v>24</v>
      </c>
      <c r="V269" s="144" t="s">
        <v>24</v>
      </c>
      <c r="W269" s="144" t="s">
        <v>24</v>
      </c>
      <c r="X269" s="144" t="s">
        <v>24</v>
      </c>
      <c r="Y269" s="144" t="s">
        <v>24</v>
      </c>
      <c r="Z269" s="144" t="s">
        <v>24</v>
      </c>
      <c r="AB269" s="152" t="s">
        <v>1437</v>
      </c>
      <c r="AC269" s="152" t="s">
        <v>1438</v>
      </c>
      <c r="AD269" s="152" t="s">
        <v>1439</v>
      </c>
      <c r="AE269" s="149" t="s">
        <v>108</v>
      </c>
      <c r="AF269" s="149" t="s">
        <v>4</v>
      </c>
      <c r="AG269" s="208">
        <v>7296.85</v>
      </c>
      <c r="AH269" s="208">
        <v>37296.85</v>
      </c>
      <c r="AI269" s="214" t="s">
        <v>6</v>
      </c>
      <c r="AJ269" s="138" t="s">
        <v>109</v>
      </c>
      <c r="AK269" s="214"/>
      <c r="AL269" s="149" t="s">
        <v>110</v>
      </c>
      <c r="AM269" s="198" t="s">
        <v>110</v>
      </c>
      <c r="AN269" s="198" t="s">
        <v>111</v>
      </c>
      <c r="AP269" s="152" t="s">
        <v>1440</v>
      </c>
      <c r="AQ269" s="149" t="s">
        <v>110</v>
      </c>
      <c r="AR269" s="149" t="s">
        <v>110</v>
      </c>
      <c r="AS269" s="149" t="s">
        <v>110</v>
      </c>
      <c r="AT269" s="149" t="s">
        <v>110</v>
      </c>
      <c r="AU269" s="194">
        <v>45373</v>
      </c>
      <c r="AV269" s="149" t="s">
        <v>110</v>
      </c>
      <c r="AW269" s="149" t="s">
        <v>110</v>
      </c>
      <c r="AX269" s="194">
        <v>45460</v>
      </c>
      <c r="AY269" s="197">
        <v>45460</v>
      </c>
      <c r="AZ269" s="145" t="s">
        <v>33</v>
      </c>
      <c r="BA269" s="145" t="s">
        <v>113</v>
      </c>
      <c r="BB269" s="149" t="s">
        <v>110</v>
      </c>
      <c r="BC269" s="142">
        <f t="shared" si="12"/>
        <v>192</v>
      </c>
      <c r="BD269" s="134" t="str">
        <f t="shared" si="13"/>
        <v>INDENIZAÇÃO</v>
      </c>
      <c r="BE269" s="134" t="str">
        <f t="shared" si="14"/>
        <v>NÃO</v>
      </c>
      <c r="BF269" s="134" t="s">
        <v>24</v>
      </c>
      <c r="BG269" s="134" t="s">
        <v>24</v>
      </c>
      <c r="BH269" s="134" t="s">
        <v>24</v>
      </c>
      <c r="BI269" s="198" t="s">
        <v>110</v>
      </c>
      <c r="BJ269" s="198" t="s">
        <v>110</v>
      </c>
      <c r="BK269" s="144">
        <v>45545</v>
      </c>
      <c r="BL269" s="198" t="s">
        <v>110</v>
      </c>
      <c r="BM269" s="145" t="s">
        <v>33</v>
      </c>
      <c r="CI269" s="200"/>
    </row>
    <row r="270" spans="1:103" s="149" customFormat="1" ht="30" hidden="1" customHeight="1" x14ac:dyDescent="0.25">
      <c r="A270" s="134">
        <v>254</v>
      </c>
      <c r="B270" s="134" t="s">
        <v>99</v>
      </c>
      <c r="C270" s="134">
        <v>1</v>
      </c>
      <c r="D270" s="134" t="s">
        <v>100</v>
      </c>
      <c r="E270" s="134" t="s">
        <v>100</v>
      </c>
      <c r="F270" s="138" t="s">
        <v>1441</v>
      </c>
      <c r="G270" s="149" t="s">
        <v>337</v>
      </c>
      <c r="H270" s="149" t="s">
        <v>2</v>
      </c>
      <c r="I270" s="149" t="s">
        <v>342</v>
      </c>
      <c r="J270" s="152" t="s">
        <v>1442</v>
      </c>
      <c r="K270" s="152" t="s">
        <v>1443</v>
      </c>
      <c r="L270" s="152" t="s">
        <v>1444</v>
      </c>
      <c r="M270" s="134" t="s">
        <v>4</v>
      </c>
      <c r="N270" s="134" t="s">
        <v>5</v>
      </c>
      <c r="O270" s="194">
        <v>45280</v>
      </c>
      <c r="P270" s="144" t="s">
        <v>24</v>
      </c>
      <c r="Q270" s="144" t="s">
        <v>24</v>
      </c>
      <c r="R270" s="144" t="s">
        <v>24</v>
      </c>
      <c r="S270" s="144" t="s">
        <v>24</v>
      </c>
      <c r="T270" s="144" t="s">
        <v>24</v>
      </c>
      <c r="U270" s="144" t="s">
        <v>24</v>
      </c>
      <c r="V270" s="144" t="s">
        <v>24</v>
      </c>
      <c r="W270" s="144" t="s">
        <v>24</v>
      </c>
      <c r="X270" s="144" t="s">
        <v>24</v>
      </c>
      <c r="Y270" s="144" t="s">
        <v>24</v>
      </c>
      <c r="Z270" s="144" t="s">
        <v>24</v>
      </c>
      <c r="AB270" s="152" t="s">
        <v>1442</v>
      </c>
      <c r="AC270" s="152" t="s">
        <v>1443</v>
      </c>
      <c r="AD270" s="152" t="s">
        <v>1444</v>
      </c>
      <c r="AE270" s="134" t="s">
        <v>342</v>
      </c>
      <c r="AF270" s="149" t="s">
        <v>4</v>
      </c>
      <c r="AG270" s="208">
        <v>14111.08</v>
      </c>
      <c r="AH270" s="208">
        <f>AG270+30000</f>
        <v>44111.08</v>
      </c>
      <c r="AI270" s="214" t="s">
        <v>6</v>
      </c>
      <c r="AJ270" s="138" t="s">
        <v>109</v>
      </c>
      <c r="AK270" s="214"/>
      <c r="AL270" s="149" t="s">
        <v>110</v>
      </c>
      <c r="AM270" s="149" t="s">
        <v>110</v>
      </c>
      <c r="AN270" s="149" t="s">
        <v>111</v>
      </c>
      <c r="AO270" s="149" t="s">
        <v>1445</v>
      </c>
      <c r="AP270" s="152" t="s">
        <v>1446</v>
      </c>
      <c r="AQ270" s="149" t="s">
        <v>110</v>
      </c>
      <c r="AR270" s="149" t="s">
        <v>110</v>
      </c>
      <c r="AS270" s="149" t="s">
        <v>110</v>
      </c>
      <c r="AT270" s="149" t="s">
        <v>110</v>
      </c>
      <c r="AU270" s="194">
        <v>45558</v>
      </c>
      <c r="AV270" s="149" t="s">
        <v>110</v>
      </c>
      <c r="AW270" s="149" t="s">
        <v>110</v>
      </c>
      <c r="AX270" s="194">
        <v>45562</v>
      </c>
      <c r="AY270" s="197">
        <v>45562</v>
      </c>
      <c r="AZ270" s="145" t="s">
        <v>33</v>
      </c>
      <c r="BA270" s="145" t="s">
        <v>113</v>
      </c>
      <c r="BB270" s="149" t="s">
        <v>110</v>
      </c>
      <c r="BC270" s="142">
        <f t="shared" si="12"/>
        <v>282</v>
      </c>
      <c r="BD270" s="134" t="str">
        <f t="shared" si="13"/>
        <v>INDENIZAÇÃO</v>
      </c>
      <c r="BE270" s="134" t="str">
        <f t="shared" si="14"/>
        <v>NÃO</v>
      </c>
      <c r="BF270" s="149" t="s">
        <v>24</v>
      </c>
      <c r="BG270" s="149" t="s">
        <v>24</v>
      </c>
      <c r="BH270" s="149" t="s">
        <v>24</v>
      </c>
      <c r="BI270" s="198" t="s">
        <v>110</v>
      </c>
      <c r="BJ270" s="198" t="s">
        <v>110</v>
      </c>
      <c r="BK270" s="194">
        <v>45621</v>
      </c>
      <c r="BL270" s="198" t="s">
        <v>110</v>
      </c>
      <c r="BM270" s="145" t="s">
        <v>33</v>
      </c>
      <c r="CI270" s="200"/>
    </row>
    <row r="271" spans="1:103" s="149" customFormat="1" ht="30" hidden="1" customHeight="1" x14ac:dyDescent="0.25">
      <c r="A271" s="134">
        <v>255</v>
      </c>
      <c r="B271" s="245" t="s">
        <v>99</v>
      </c>
      <c r="C271" s="245">
        <v>1</v>
      </c>
      <c r="D271" s="245" t="s">
        <v>100</v>
      </c>
      <c r="E271" s="245" t="s">
        <v>100</v>
      </c>
      <c r="F271" s="246" t="s">
        <v>1447</v>
      </c>
      <c r="G271" s="149" t="s">
        <v>1</v>
      </c>
      <c r="H271" s="149" t="s">
        <v>2</v>
      </c>
      <c r="I271" s="149" t="s">
        <v>108</v>
      </c>
      <c r="J271" s="152" t="s">
        <v>1448</v>
      </c>
      <c r="K271" s="152" t="s">
        <v>1449</v>
      </c>
      <c r="L271" s="152" t="s">
        <v>1450</v>
      </c>
      <c r="M271" s="245" t="s">
        <v>4</v>
      </c>
      <c r="N271" s="245" t="s">
        <v>5</v>
      </c>
      <c r="O271" s="256">
        <v>45455</v>
      </c>
      <c r="P271" s="249" t="s">
        <v>24</v>
      </c>
      <c r="Q271" s="249" t="s">
        <v>24</v>
      </c>
      <c r="R271" s="249" t="s">
        <v>24</v>
      </c>
      <c r="S271" s="249" t="s">
        <v>24</v>
      </c>
      <c r="T271" s="249" t="s">
        <v>24</v>
      </c>
      <c r="U271" s="249" t="s">
        <v>24</v>
      </c>
      <c r="V271" s="249" t="s">
        <v>24</v>
      </c>
      <c r="W271" s="249" t="s">
        <v>24</v>
      </c>
      <c r="X271" s="249" t="s">
        <v>24</v>
      </c>
      <c r="Y271" s="249" t="s">
        <v>24</v>
      </c>
      <c r="Z271" s="249" t="s">
        <v>24</v>
      </c>
      <c r="AA271" s="250"/>
      <c r="AB271" s="152" t="s">
        <v>1448</v>
      </c>
      <c r="AC271" s="152" t="s">
        <v>1449</v>
      </c>
      <c r="AD271" s="152" t="s">
        <v>1450</v>
      </c>
      <c r="AE271" s="149" t="s">
        <v>108</v>
      </c>
      <c r="AF271" s="250" t="s">
        <v>4</v>
      </c>
      <c r="AG271" s="208">
        <v>40709.64</v>
      </c>
      <c r="AH271" s="208">
        <v>60000</v>
      </c>
      <c r="AI271" s="245" t="s">
        <v>6</v>
      </c>
      <c r="AJ271" s="246" t="s">
        <v>109</v>
      </c>
      <c r="AK271" s="245"/>
      <c r="AL271" s="250" t="s">
        <v>110</v>
      </c>
      <c r="AM271" s="250" t="s">
        <v>110</v>
      </c>
      <c r="AN271" s="250" t="s">
        <v>111</v>
      </c>
      <c r="AO271" s="250"/>
      <c r="AP271" s="253" t="s">
        <v>1451</v>
      </c>
      <c r="AQ271" s="250" t="s">
        <v>110</v>
      </c>
      <c r="AR271" s="250" t="s">
        <v>110</v>
      </c>
      <c r="AS271" s="250" t="s">
        <v>110</v>
      </c>
      <c r="AT271" s="250" t="s">
        <v>110</v>
      </c>
      <c r="AU271" s="256">
        <v>45525</v>
      </c>
      <c r="AV271" s="250" t="s">
        <v>110</v>
      </c>
      <c r="AW271" s="250" t="s">
        <v>110</v>
      </c>
      <c r="AX271" s="256">
        <v>45531</v>
      </c>
      <c r="AY271" s="249">
        <v>45531</v>
      </c>
      <c r="AZ271" s="245" t="s">
        <v>355</v>
      </c>
      <c r="BA271" s="245" t="s">
        <v>1</v>
      </c>
      <c r="BB271" s="250" t="s">
        <v>110</v>
      </c>
      <c r="BC271" s="142">
        <f t="shared" ref="BC271:BC317" si="15">IF(AY271-KD271=0,"",AY271-O271)</f>
        <v>76</v>
      </c>
      <c r="BD271" s="134" t="str">
        <f t="shared" ref="BD271:BD334" si="16">IF(AND(AI271&lt;&gt;"SIM",AI271="UH"),"AA","INDENIZAÇÃO")</f>
        <v>INDENIZAÇÃO</v>
      </c>
      <c r="BE271" s="134" t="str">
        <f t="shared" ref="BE271:BE288" si="17">IF(AND(AY271&lt;&gt;"AGUARDANDO",AY271&lt;&gt;"",N271="AUXÍLIO ALUGUEL ATÉ INDENIZAÇÃO"),"SIM","NÃO")</f>
        <v>NÃO</v>
      </c>
      <c r="BF271" s="245" t="s">
        <v>24</v>
      </c>
      <c r="BG271" s="245" t="s">
        <v>24</v>
      </c>
      <c r="BH271" s="245" t="s">
        <v>24</v>
      </c>
      <c r="BI271" s="250" t="s">
        <v>110</v>
      </c>
      <c r="BJ271" s="250" t="s">
        <v>110</v>
      </c>
      <c r="BK271" s="256">
        <v>45559</v>
      </c>
      <c r="BL271" s="250" t="s">
        <v>110</v>
      </c>
      <c r="BM271" s="250" t="s">
        <v>33</v>
      </c>
      <c r="CI271" s="200"/>
    </row>
    <row r="272" spans="1:103" s="149" customFormat="1" ht="30" hidden="1" customHeight="1" x14ac:dyDescent="0.25">
      <c r="A272" s="134">
        <v>256</v>
      </c>
      <c r="B272" s="245" t="s">
        <v>99</v>
      </c>
      <c r="C272" s="245">
        <v>1</v>
      </c>
      <c r="D272" s="245" t="s">
        <v>100</v>
      </c>
      <c r="E272" s="245" t="s">
        <v>100</v>
      </c>
      <c r="F272" s="246" t="s">
        <v>1452</v>
      </c>
      <c r="G272" s="149" t="s">
        <v>1</v>
      </c>
      <c r="H272" s="149" t="s">
        <v>2</v>
      </c>
      <c r="I272" s="149" t="s">
        <v>108</v>
      </c>
      <c r="J272" s="152" t="s">
        <v>1453</v>
      </c>
      <c r="K272" s="152" t="s">
        <v>1454</v>
      </c>
      <c r="L272" s="152" t="s">
        <v>1455</v>
      </c>
      <c r="M272" s="245" t="s">
        <v>4</v>
      </c>
      <c r="N272" s="245" t="s">
        <v>5</v>
      </c>
      <c r="O272" s="256">
        <v>45341</v>
      </c>
      <c r="P272" s="249" t="s">
        <v>24</v>
      </c>
      <c r="Q272" s="249" t="s">
        <v>24</v>
      </c>
      <c r="R272" s="249" t="s">
        <v>24</v>
      </c>
      <c r="S272" s="249" t="s">
        <v>24</v>
      </c>
      <c r="T272" s="249" t="s">
        <v>24</v>
      </c>
      <c r="U272" s="249" t="s">
        <v>24</v>
      </c>
      <c r="V272" s="249" t="s">
        <v>24</v>
      </c>
      <c r="W272" s="249" t="s">
        <v>24</v>
      </c>
      <c r="X272" s="249" t="s">
        <v>24</v>
      </c>
      <c r="Y272" s="249" t="s">
        <v>24</v>
      </c>
      <c r="Z272" s="249" t="s">
        <v>24</v>
      </c>
      <c r="AA272" s="250"/>
      <c r="AB272" s="152" t="s">
        <v>1453</v>
      </c>
      <c r="AC272" s="152" t="s">
        <v>1454</v>
      </c>
      <c r="AD272" s="152" t="s">
        <v>1455</v>
      </c>
      <c r="AE272" s="149" t="s">
        <v>108</v>
      </c>
      <c r="AF272" s="250" t="s">
        <v>4</v>
      </c>
      <c r="AG272" s="208">
        <v>106973.12</v>
      </c>
      <c r="AH272" s="208">
        <v>106973.12</v>
      </c>
      <c r="AI272" s="245" t="s">
        <v>6</v>
      </c>
      <c r="AJ272" s="246" t="s">
        <v>109</v>
      </c>
      <c r="AK272" s="245"/>
      <c r="AL272" s="250" t="s">
        <v>110</v>
      </c>
      <c r="AM272" s="250" t="s">
        <v>110</v>
      </c>
      <c r="AN272" s="250" t="s">
        <v>111</v>
      </c>
      <c r="AO272" s="250"/>
      <c r="AP272" s="253" t="s">
        <v>1456</v>
      </c>
      <c r="AQ272" s="250" t="s">
        <v>110</v>
      </c>
      <c r="AR272" s="250" t="s">
        <v>110</v>
      </c>
      <c r="AS272" s="250" t="s">
        <v>110</v>
      </c>
      <c r="AT272" s="250" t="s">
        <v>110</v>
      </c>
      <c r="AU272" s="256">
        <v>45397</v>
      </c>
      <c r="AV272" s="250" t="s">
        <v>110</v>
      </c>
      <c r="AW272" s="250" t="s">
        <v>110</v>
      </c>
      <c r="AX272" s="256">
        <v>45406</v>
      </c>
      <c r="AY272" s="249">
        <v>45406</v>
      </c>
      <c r="AZ272" s="245" t="s">
        <v>355</v>
      </c>
      <c r="BA272" s="245" t="s">
        <v>1</v>
      </c>
      <c r="BB272" s="250" t="s">
        <v>110</v>
      </c>
      <c r="BC272" s="142">
        <f t="shared" si="15"/>
        <v>65</v>
      </c>
      <c r="BD272" s="134" t="str">
        <f t="shared" si="16"/>
        <v>INDENIZAÇÃO</v>
      </c>
      <c r="BE272" s="134" t="str">
        <f t="shared" si="17"/>
        <v>NÃO</v>
      </c>
      <c r="BF272" s="245" t="s">
        <v>24</v>
      </c>
      <c r="BG272" s="245" t="s">
        <v>24</v>
      </c>
      <c r="BH272" s="245" t="s">
        <v>24</v>
      </c>
      <c r="BI272" s="250" t="s">
        <v>110</v>
      </c>
      <c r="BJ272" s="250" t="s">
        <v>110</v>
      </c>
      <c r="BK272" s="249">
        <v>45545</v>
      </c>
      <c r="BL272" s="250" t="s">
        <v>110</v>
      </c>
      <c r="BM272" s="250" t="s">
        <v>33</v>
      </c>
      <c r="CI272" s="200"/>
    </row>
    <row r="273" spans="1:92" s="149" customFormat="1" ht="30" hidden="1" customHeight="1" x14ac:dyDescent="0.25">
      <c r="A273" s="134">
        <v>257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1457</v>
      </c>
      <c r="G273" s="149" t="s">
        <v>1</v>
      </c>
      <c r="H273" s="149" t="s">
        <v>2</v>
      </c>
      <c r="I273" s="149" t="s">
        <v>382</v>
      </c>
      <c r="J273" s="152" t="s">
        <v>1458</v>
      </c>
      <c r="K273" s="152" t="s">
        <v>1459</v>
      </c>
      <c r="L273" s="152" t="s">
        <v>1460</v>
      </c>
      <c r="M273" s="134" t="s">
        <v>4</v>
      </c>
      <c r="N273" s="214" t="s">
        <v>14</v>
      </c>
      <c r="O273" s="194">
        <v>45852</v>
      </c>
      <c r="P273" s="197" t="s">
        <v>17</v>
      </c>
      <c r="Q273" s="264" t="s">
        <v>386</v>
      </c>
      <c r="R273" s="197"/>
      <c r="S273" s="197"/>
      <c r="T273" s="197"/>
      <c r="U273" s="197"/>
      <c r="V273" s="197"/>
      <c r="W273" s="197"/>
      <c r="X273" s="197"/>
      <c r="Y273" s="197"/>
      <c r="Z273" s="197"/>
      <c r="AB273" s="152" t="s">
        <v>1461</v>
      </c>
      <c r="AC273" s="152" t="s">
        <v>1462</v>
      </c>
      <c r="AD273" s="152" t="s">
        <v>1463</v>
      </c>
      <c r="AE273" s="134" t="s">
        <v>342</v>
      </c>
      <c r="AF273" s="149" t="s">
        <v>4</v>
      </c>
      <c r="AG273" s="208" t="s">
        <v>24</v>
      </c>
      <c r="AH273" s="208" t="s">
        <v>24</v>
      </c>
      <c r="AI273" s="214" t="s">
        <v>480</v>
      </c>
      <c r="AJ273" s="214" t="s">
        <v>24</v>
      </c>
      <c r="AK273" s="214" t="s">
        <v>24</v>
      </c>
      <c r="AL273" s="214" t="s">
        <v>24</v>
      </c>
      <c r="AM273" s="214" t="s">
        <v>24</v>
      </c>
      <c r="AN273" s="214" t="s">
        <v>24</v>
      </c>
      <c r="AO273" s="214" t="s">
        <v>1464</v>
      </c>
      <c r="AP273" s="214" t="s">
        <v>24</v>
      </c>
      <c r="AQ273" s="214" t="s">
        <v>24</v>
      </c>
      <c r="AR273" s="214" t="s">
        <v>24</v>
      </c>
      <c r="AS273" s="214" t="s">
        <v>24</v>
      </c>
      <c r="AT273" s="214" t="s">
        <v>24</v>
      </c>
      <c r="AU273" s="214" t="s">
        <v>24</v>
      </c>
      <c r="AV273" s="214" t="s">
        <v>24</v>
      </c>
      <c r="AW273" s="214" t="s">
        <v>24</v>
      </c>
      <c r="AX273" s="214" t="s">
        <v>24</v>
      </c>
      <c r="AY273" s="214" t="s">
        <v>24</v>
      </c>
      <c r="AZ273" s="145" t="s">
        <v>33</v>
      </c>
      <c r="BA273" s="145" t="s">
        <v>113</v>
      </c>
      <c r="BB273" s="250" t="s">
        <v>110</v>
      </c>
      <c r="BC273" s="142" t="e">
        <f t="shared" si="15"/>
        <v>#VALUE!</v>
      </c>
      <c r="BD273" s="134" t="str">
        <f t="shared" si="16"/>
        <v>INDENIZAÇÃO</v>
      </c>
      <c r="BE273" s="134" t="str">
        <f t="shared" si="17"/>
        <v>NÃO</v>
      </c>
      <c r="BF273" s="214" t="s">
        <v>24</v>
      </c>
      <c r="BG273" s="214" t="s">
        <v>24</v>
      </c>
      <c r="BH273" s="214" t="s">
        <v>24</v>
      </c>
      <c r="BI273" s="214" t="s">
        <v>24</v>
      </c>
      <c r="BJ273" s="214" t="s">
        <v>24</v>
      </c>
      <c r="BK273" s="214" t="s">
        <v>24</v>
      </c>
      <c r="BL273" s="214" t="s">
        <v>24</v>
      </c>
      <c r="BM273" s="250" t="s">
        <v>110</v>
      </c>
      <c r="CI273" s="200"/>
    </row>
    <row r="274" spans="1:92" s="149" customFormat="1" ht="30" hidden="1" customHeight="1" x14ac:dyDescent="0.25">
      <c r="A274" s="134">
        <v>258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1465</v>
      </c>
      <c r="G274" s="149" t="s">
        <v>337</v>
      </c>
      <c r="H274" s="149" t="s">
        <v>2</v>
      </c>
      <c r="I274" s="149" t="s">
        <v>342</v>
      </c>
      <c r="J274" s="152" t="s">
        <v>1461</v>
      </c>
      <c r="K274" s="152" t="s">
        <v>1462</v>
      </c>
      <c r="L274" s="152" t="s">
        <v>1463</v>
      </c>
      <c r="M274" s="134" t="s">
        <v>4</v>
      </c>
      <c r="N274" s="214" t="s">
        <v>5</v>
      </c>
      <c r="O274" s="194">
        <v>45852</v>
      </c>
      <c r="P274" s="144" t="s">
        <v>24</v>
      </c>
      <c r="Q274" s="144" t="s">
        <v>24</v>
      </c>
      <c r="R274" s="144" t="s">
        <v>24</v>
      </c>
      <c r="S274" s="144" t="s">
        <v>24</v>
      </c>
      <c r="T274" s="144" t="s">
        <v>24</v>
      </c>
      <c r="U274" s="144" t="s">
        <v>24</v>
      </c>
      <c r="V274" s="144" t="s">
        <v>24</v>
      </c>
      <c r="W274" s="144" t="s">
        <v>24</v>
      </c>
      <c r="X274" s="144" t="s">
        <v>24</v>
      </c>
      <c r="Y274" s="144" t="s">
        <v>24</v>
      </c>
      <c r="Z274" s="144" t="s">
        <v>24</v>
      </c>
      <c r="AB274" s="152" t="s">
        <v>1461</v>
      </c>
      <c r="AC274" s="152" t="s">
        <v>1462</v>
      </c>
      <c r="AD274" s="152" t="s">
        <v>1463</v>
      </c>
      <c r="AE274" s="134" t="s">
        <v>342</v>
      </c>
      <c r="AF274" s="149" t="s">
        <v>4</v>
      </c>
      <c r="AG274" s="208">
        <v>30045.21</v>
      </c>
      <c r="AH274" s="208">
        <v>60000</v>
      </c>
      <c r="AI274" s="214" t="s">
        <v>6</v>
      </c>
      <c r="AJ274" s="138" t="s">
        <v>109</v>
      </c>
      <c r="AK274" s="214">
        <v>110306818</v>
      </c>
      <c r="AL274" s="149" t="s">
        <v>110</v>
      </c>
      <c r="AM274" s="149" t="s">
        <v>110</v>
      </c>
      <c r="AN274" s="149" t="s">
        <v>111</v>
      </c>
      <c r="AP274" s="152" t="s">
        <v>1466</v>
      </c>
      <c r="AQ274" s="198" t="s">
        <v>110</v>
      </c>
      <c r="AR274" s="198" t="s">
        <v>110</v>
      </c>
      <c r="AS274" s="198" t="s">
        <v>110</v>
      </c>
      <c r="AT274" s="198" t="s">
        <v>110</v>
      </c>
      <c r="AU274" s="161">
        <v>45890</v>
      </c>
      <c r="AV274" s="198" t="s">
        <v>110</v>
      </c>
      <c r="AW274" s="198" t="s">
        <v>110</v>
      </c>
      <c r="AX274" s="161">
        <v>45902</v>
      </c>
      <c r="AY274" s="140">
        <v>45902</v>
      </c>
      <c r="AZ274" s="140" t="s">
        <v>33</v>
      </c>
      <c r="BA274" s="141" t="s">
        <v>113</v>
      </c>
      <c r="BB274" s="149" t="s">
        <v>110</v>
      </c>
      <c r="BC274" s="142">
        <f t="shared" si="15"/>
        <v>50</v>
      </c>
      <c r="BD274" s="134" t="str">
        <f t="shared" si="16"/>
        <v>INDENIZAÇÃO</v>
      </c>
      <c r="BE274" s="134" t="str">
        <f t="shared" si="17"/>
        <v>NÃO</v>
      </c>
      <c r="BF274" s="149" t="s">
        <v>24</v>
      </c>
      <c r="BG274" s="149" t="s">
        <v>24</v>
      </c>
      <c r="BH274" s="149" t="s">
        <v>24</v>
      </c>
      <c r="BI274" s="198" t="s">
        <v>110</v>
      </c>
      <c r="BJ274" s="198" t="s">
        <v>110</v>
      </c>
      <c r="BK274" s="161">
        <v>45923</v>
      </c>
      <c r="BL274" s="198" t="s">
        <v>110</v>
      </c>
      <c r="BM274" s="145" t="s">
        <v>33</v>
      </c>
      <c r="CI274" s="200"/>
    </row>
    <row r="275" spans="1:92" s="149" customFormat="1" ht="30" hidden="1" customHeight="1" x14ac:dyDescent="0.25">
      <c r="A275" s="134">
        <v>259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1467</v>
      </c>
      <c r="G275" s="149" t="s">
        <v>1</v>
      </c>
      <c r="H275" s="149" t="s">
        <v>2</v>
      </c>
      <c r="I275" s="149" t="s">
        <v>108</v>
      </c>
      <c r="J275" s="152" t="s">
        <v>1468</v>
      </c>
      <c r="K275" s="152" t="s">
        <v>1469</v>
      </c>
      <c r="L275" s="152" t="s">
        <v>1470</v>
      </c>
      <c r="M275" s="134" t="s">
        <v>4</v>
      </c>
      <c r="N275" s="214" t="s">
        <v>5</v>
      </c>
      <c r="O275" s="194">
        <v>45756</v>
      </c>
      <c r="P275" s="144" t="s">
        <v>24</v>
      </c>
      <c r="Q275" s="144" t="s">
        <v>24</v>
      </c>
      <c r="R275" s="144" t="s">
        <v>24</v>
      </c>
      <c r="S275" s="144" t="s">
        <v>24</v>
      </c>
      <c r="T275" s="144" t="s">
        <v>24</v>
      </c>
      <c r="U275" s="144" t="s">
        <v>24</v>
      </c>
      <c r="V275" s="144" t="s">
        <v>24</v>
      </c>
      <c r="W275" s="144" t="s">
        <v>24</v>
      </c>
      <c r="X275" s="144" t="s">
        <v>24</v>
      </c>
      <c r="Y275" s="144" t="s">
        <v>24</v>
      </c>
      <c r="Z275" s="144" t="s">
        <v>24</v>
      </c>
      <c r="AB275" s="152" t="s">
        <v>1468</v>
      </c>
      <c r="AC275" s="152" t="s">
        <v>1469</v>
      </c>
      <c r="AD275" s="152" t="s">
        <v>1470</v>
      </c>
      <c r="AE275" s="149" t="s">
        <v>108</v>
      </c>
      <c r="AF275" s="149" t="s">
        <v>4</v>
      </c>
      <c r="AG275" s="208">
        <v>16833.96</v>
      </c>
      <c r="AH275" s="208">
        <v>46833.96</v>
      </c>
      <c r="AI275" s="214" t="s">
        <v>6</v>
      </c>
      <c r="AJ275" s="138" t="s">
        <v>109</v>
      </c>
      <c r="AK275" s="214">
        <v>110306937</v>
      </c>
      <c r="AL275" s="134" t="s">
        <v>110</v>
      </c>
      <c r="AM275" s="134" t="s">
        <v>110</v>
      </c>
      <c r="AN275" s="134" t="s">
        <v>111</v>
      </c>
      <c r="AP275" s="152" t="s">
        <v>1471</v>
      </c>
      <c r="AQ275" s="198" t="s">
        <v>110</v>
      </c>
      <c r="AR275" s="149" t="s">
        <v>110</v>
      </c>
      <c r="AS275" s="198" t="s">
        <v>110</v>
      </c>
      <c r="AT275" s="198" t="s">
        <v>110</v>
      </c>
      <c r="AU275" s="194">
        <v>45806</v>
      </c>
      <c r="AV275" s="198" t="s">
        <v>110</v>
      </c>
      <c r="AW275" s="198" t="s">
        <v>110</v>
      </c>
      <c r="AX275" s="194">
        <v>45812</v>
      </c>
      <c r="AY275" s="197">
        <v>45812</v>
      </c>
      <c r="AZ275" s="145" t="s">
        <v>33</v>
      </c>
      <c r="BA275" s="145" t="s">
        <v>113</v>
      </c>
      <c r="BB275" s="149" t="s">
        <v>110</v>
      </c>
      <c r="BC275" s="142">
        <f t="shared" si="15"/>
        <v>56</v>
      </c>
      <c r="BD275" s="134" t="str">
        <f t="shared" si="16"/>
        <v>INDENIZAÇÃO</v>
      </c>
      <c r="BE275" s="134" t="str">
        <f t="shared" si="17"/>
        <v>NÃO</v>
      </c>
      <c r="BF275" s="134" t="s">
        <v>24</v>
      </c>
      <c r="BG275" s="134" t="s">
        <v>24</v>
      </c>
      <c r="BH275" s="134" t="s">
        <v>24</v>
      </c>
      <c r="BI275" s="198" t="s">
        <v>110</v>
      </c>
      <c r="BJ275" s="198" t="s">
        <v>110</v>
      </c>
      <c r="BK275" s="194">
        <v>45859</v>
      </c>
      <c r="BL275" s="149" t="s">
        <v>110</v>
      </c>
      <c r="BM275" s="141" t="s">
        <v>33</v>
      </c>
      <c r="CI275" s="200"/>
    </row>
    <row r="276" spans="1:92" s="149" customFormat="1" ht="30" hidden="1" customHeight="1" x14ac:dyDescent="0.25">
      <c r="A276" s="134">
        <v>260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1472</v>
      </c>
      <c r="G276" s="149" t="s">
        <v>337</v>
      </c>
      <c r="H276" s="149" t="s">
        <v>2</v>
      </c>
      <c r="I276" s="149" t="s">
        <v>342</v>
      </c>
      <c r="J276" s="152" t="s">
        <v>1473</v>
      </c>
      <c r="K276" s="152" t="s">
        <v>1474</v>
      </c>
      <c r="L276" s="152" t="s">
        <v>1475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1473</v>
      </c>
      <c r="AC276" s="152" t="s">
        <v>1474</v>
      </c>
      <c r="AD276" s="152" t="s">
        <v>1475</v>
      </c>
      <c r="AE276" s="134" t="s">
        <v>342</v>
      </c>
      <c r="AG276" s="208"/>
      <c r="AH276" s="208"/>
      <c r="AI276" s="232"/>
      <c r="AJ276" s="214"/>
      <c r="AK276" s="214"/>
      <c r="AP276" s="152"/>
      <c r="BC276" s="142" t="str">
        <f t="shared" si="15"/>
        <v/>
      </c>
      <c r="BD276" s="134" t="str">
        <f t="shared" si="16"/>
        <v>INDENIZAÇÃO</v>
      </c>
      <c r="BE276" s="134" t="str">
        <f t="shared" si="17"/>
        <v>NÃO</v>
      </c>
      <c r="BG276" s="194"/>
      <c r="BH276" s="194"/>
      <c r="CI276" s="200"/>
    </row>
    <row r="277" spans="1:92" s="149" customFormat="1" ht="30" hidden="1" customHeight="1" x14ac:dyDescent="0.25">
      <c r="A277" s="134">
        <v>261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1476</v>
      </c>
      <c r="G277" s="149" t="s">
        <v>337</v>
      </c>
      <c r="H277" s="149" t="s">
        <v>2</v>
      </c>
      <c r="I277" s="149" t="s">
        <v>342</v>
      </c>
      <c r="J277" s="152" t="s">
        <v>1473</v>
      </c>
      <c r="K277" s="152" t="s">
        <v>1477</v>
      </c>
      <c r="L277" s="152" t="s">
        <v>1478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1473</v>
      </c>
      <c r="AC277" s="152" t="s">
        <v>1474</v>
      </c>
      <c r="AD277" s="152" t="s">
        <v>1475</v>
      </c>
      <c r="AE277" s="134" t="s">
        <v>342</v>
      </c>
      <c r="AG277" s="208"/>
      <c r="AH277" s="208"/>
      <c r="AI277" s="214"/>
      <c r="AJ277" s="239"/>
      <c r="AK277" s="214"/>
      <c r="AP277" s="152"/>
      <c r="BC277" s="142" t="str">
        <f t="shared" si="15"/>
        <v/>
      </c>
      <c r="BD277" s="134" t="str">
        <f t="shared" si="16"/>
        <v>INDENIZAÇÃO</v>
      </c>
      <c r="BE277" s="134" t="str">
        <f t="shared" si="17"/>
        <v>NÃO</v>
      </c>
      <c r="BG277" s="194"/>
      <c r="BH277" s="194"/>
      <c r="CI277" s="200"/>
    </row>
    <row r="278" spans="1:92" s="149" customFormat="1" ht="30" hidden="1" customHeight="1" x14ac:dyDescent="0.25">
      <c r="A278" s="134">
        <v>262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1479</v>
      </c>
      <c r="G278" s="149" t="s">
        <v>337</v>
      </c>
      <c r="H278" s="149" t="s">
        <v>2</v>
      </c>
      <c r="I278" s="149" t="s">
        <v>342</v>
      </c>
      <c r="J278" s="152" t="s">
        <v>1473</v>
      </c>
      <c r="K278" s="152" t="s">
        <v>1480</v>
      </c>
      <c r="L278" s="152" t="s">
        <v>1478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1473</v>
      </c>
      <c r="AC278" s="152" t="s">
        <v>1474</v>
      </c>
      <c r="AD278" s="152" t="s">
        <v>1475</v>
      </c>
      <c r="AE278" s="134" t="s">
        <v>342</v>
      </c>
      <c r="AG278" s="208"/>
      <c r="AH278" s="208"/>
      <c r="AI278" s="214"/>
      <c r="AJ278" s="214"/>
      <c r="AK278" s="214"/>
      <c r="AP278" s="152"/>
      <c r="BC278" s="142" t="str">
        <f t="shared" si="15"/>
        <v/>
      </c>
      <c r="BD278" s="134" t="str">
        <f t="shared" si="16"/>
        <v>INDENIZAÇÃO</v>
      </c>
      <c r="BE278" s="134" t="str">
        <f t="shared" si="17"/>
        <v>NÃO</v>
      </c>
      <c r="BG278" s="194"/>
      <c r="BH278" s="194"/>
      <c r="CI278" s="200"/>
    </row>
    <row r="279" spans="1:92" s="149" customFormat="1" ht="30" hidden="1" customHeight="1" x14ac:dyDescent="0.25">
      <c r="A279" s="134">
        <v>263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1481</v>
      </c>
      <c r="G279" s="149" t="s">
        <v>337</v>
      </c>
      <c r="H279" s="149" t="s">
        <v>2</v>
      </c>
      <c r="I279" s="149" t="s">
        <v>342</v>
      </c>
      <c r="J279" s="152" t="s">
        <v>1473</v>
      </c>
      <c r="K279" s="152" t="s">
        <v>1480</v>
      </c>
      <c r="L279" s="152" t="s">
        <v>1478</v>
      </c>
      <c r="M279" s="134" t="s">
        <v>4</v>
      </c>
      <c r="N279" s="214"/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1473</v>
      </c>
      <c r="AC279" s="152" t="s">
        <v>1474</v>
      </c>
      <c r="AD279" s="152" t="s">
        <v>1475</v>
      </c>
      <c r="AE279" s="134" t="s">
        <v>342</v>
      </c>
      <c r="AG279" s="208"/>
      <c r="AH279" s="208"/>
      <c r="AI279" s="214"/>
      <c r="AJ279" s="214"/>
      <c r="AK279" s="214"/>
      <c r="AP279" s="152"/>
      <c r="BC279" s="142" t="str">
        <f t="shared" si="15"/>
        <v/>
      </c>
      <c r="BD279" s="134" t="str">
        <f t="shared" si="16"/>
        <v>INDENIZAÇÃO</v>
      </c>
      <c r="BE279" s="134" t="str">
        <f t="shared" si="17"/>
        <v>NÃO</v>
      </c>
      <c r="BG279" s="194"/>
      <c r="BH279" s="194"/>
      <c r="CI279" s="200"/>
    </row>
    <row r="280" spans="1:92" s="149" customFormat="1" ht="30" hidden="1" customHeight="1" x14ac:dyDescent="0.25">
      <c r="A280" s="134">
        <v>264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1482</v>
      </c>
      <c r="G280" s="149" t="s">
        <v>337</v>
      </c>
      <c r="H280" s="149" t="s">
        <v>2</v>
      </c>
      <c r="I280" s="149" t="s">
        <v>342</v>
      </c>
      <c r="J280" s="152" t="s">
        <v>1473</v>
      </c>
      <c r="K280" s="152" t="s">
        <v>1480</v>
      </c>
      <c r="L280" s="152" t="s">
        <v>1478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342</v>
      </c>
      <c r="AG280" s="208"/>
      <c r="AH280" s="208"/>
      <c r="AI280" s="214"/>
      <c r="AJ280" s="214"/>
      <c r="AK280" s="214"/>
      <c r="AP280" s="152"/>
      <c r="BC280" s="142" t="str">
        <f t="shared" si="15"/>
        <v/>
      </c>
      <c r="BD280" s="134" t="str">
        <f t="shared" si="16"/>
        <v>INDENIZAÇÃO</v>
      </c>
      <c r="BE280" s="134" t="str">
        <f t="shared" si="17"/>
        <v>NÃO</v>
      </c>
      <c r="BG280" s="194"/>
      <c r="BH280" s="194"/>
      <c r="CI280" s="210"/>
      <c r="CJ280" s="201"/>
      <c r="CK280" s="201"/>
      <c r="CL280" s="201"/>
      <c r="CM280" s="201"/>
    </row>
    <row r="281" spans="1:92" s="149" customFormat="1" ht="30" hidden="1" customHeight="1" x14ac:dyDescent="0.25">
      <c r="A281" s="134">
        <v>265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1483</v>
      </c>
      <c r="G281" s="149" t="s">
        <v>1</v>
      </c>
      <c r="H281" s="149" t="s">
        <v>2</v>
      </c>
      <c r="I281" s="149" t="s">
        <v>108</v>
      </c>
      <c r="J281" s="152" t="s">
        <v>1484</v>
      </c>
      <c r="K281" s="152" t="s">
        <v>1485</v>
      </c>
      <c r="L281" s="152" t="s">
        <v>1486</v>
      </c>
      <c r="M281" s="134" t="s">
        <v>4</v>
      </c>
      <c r="N281" s="214" t="s">
        <v>366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1484</v>
      </c>
      <c r="AC281" s="152" t="s">
        <v>1485</v>
      </c>
      <c r="AD281" s="152" t="s">
        <v>1486</v>
      </c>
      <c r="AE281" s="149" t="s">
        <v>108</v>
      </c>
      <c r="AG281" s="208" t="s">
        <v>366</v>
      </c>
      <c r="AH281" s="208" t="s">
        <v>366</v>
      </c>
      <c r="AI281" s="214" t="s">
        <v>366</v>
      </c>
      <c r="AJ281" s="214" t="s">
        <v>366</v>
      </c>
      <c r="AK281" s="214"/>
      <c r="AP281" s="152"/>
      <c r="BC281" s="142" t="str">
        <f t="shared" si="15"/>
        <v/>
      </c>
      <c r="BD281" s="134" t="str">
        <f t="shared" si="16"/>
        <v>INDENIZAÇÃO</v>
      </c>
      <c r="BE281" s="134" t="str">
        <f t="shared" si="17"/>
        <v>NÃO</v>
      </c>
      <c r="BG281" s="194"/>
      <c r="BH281" s="194"/>
      <c r="CI281" s="200"/>
      <c r="CN281" s="200"/>
    </row>
    <row r="282" spans="1:92" s="149" customFormat="1" ht="30" hidden="1" customHeight="1" x14ac:dyDescent="0.25">
      <c r="A282" s="134">
        <v>266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1487</v>
      </c>
      <c r="G282" s="149" t="s">
        <v>337</v>
      </c>
      <c r="H282" s="149" t="s">
        <v>2</v>
      </c>
      <c r="I282" s="149" t="s">
        <v>342</v>
      </c>
      <c r="J282" s="152" t="s">
        <v>1488</v>
      </c>
      <c r="K282" s="152" t="s">
        <v>1489</v>
      </c>
      <c r="L282" s="152" t="s">
        <v>1490</v>
      </c>
      <c r="M282" s="134" t="s">
        <v>4</v>
      </c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 t="s">
        <v>1488</v>
      </c>
      <c r="AC282" s="152" t="s">
        <v>1489</v>
      </c>
      <c r="AD282" s="152" t="s">
        <v>1490</v>
      </c>
      <c r="AE282" s="134" t="s">
        <v>342</v>
      </c>
      <c r="AG282" s="208"/>
      <c r="AH282" s="208"/>
      <c r="AI282" s="214"/>
      <c r="AJ282" s="214"/>
      <c r="AK282" s="214"/>
      <c r="AP282" s="152"/>
      <c r="BC282" s="142" t="str">
        <f t="shared" si="15"/>
        <v/>
      </c>
      <c r="BD282" s="134" t="str">
        <f t="shared" si="16"/>
        <v>INDENIZAÇÃO</v>
      </c>
      <c r="BE282" s="134" t="str">
        <f t="shared" si="17"/>
        <v>NÃO</v>
      </c>
      <c r="BG282" s="194"/>
      <c r="BH282" s="194"/>
      <c r="CI282" s="200"/>
      <c r="CN282" s="200"/>
    </row>
    <row r="283" spans="1:92" s="149" customFormat="1" ht="30" hidden="1" customHeight="1" x14ac:dyDescent="0.25">
      <c r="A283" s="134">
        <v>267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1491</v>
      </c>
      <c r="G283" s="149" t="s">
        <v>1</v>
      </c>
      <c r="H283" s="149" t="s">
        <v>2</v>
      </c>
      <c r="I283" s="149" t="s">
        <v>108</v>
      </c>
      <c r="J283" s="152" t="s">
        <v>1492</v>
      </c>
      <c r="K283" s="152" t="s">
        <v>1493</v>
      </c>
      <c r="L283" s="152" t="s">
        <v>1494</v>
      </c>
      <c r="M283" s="134" t="s">
        <v>4</v>
      </c>
      <c r="N283" s="214" t="s">
        <v>366</v>
      </c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 t="s">
        <v>1492</v>
      </c>
      <c r="AC283" s="152" t="s">
        <v>1493</v>
      </c>
      <c r="AD283" s="152" t="s">
        <v>1494</v>
      </c>
      <c r="AE283" s="149" t="s">
        <v>108</v>
      </c>
      <c r="AG283" s="208" t="s">
        <v>366</v>
      </c>
      <c r="AH283" s="208" t="s">
        <v>366</v>
      </c>
      <c r="AI283" s="214" t="s">
        <v>366</v>
      </c>
      <c r="AJ283" s="214" t="s">
        <v>366</v>
      </c>
      <c r="AK283" s="214"/>
      <c r="AP283" s="152"/>
      <c r="BC283" s="142" t="str">
        <f t="shared" si="15"/>
        <v/>
      </c>
      <c r="BD283" s="134" t="str">
        <f t="shared" si="16"/>
        <v>INDENIZAÇÃO</v>
      </c>
      <c r="BE283" s="134" t="str">
        <f t="shared" si="17"/>
        <v>NÃO</v>
      </c>
      <c r="BG283" s="194"/>
      <c r="BH283" s="194"/>
      <c r="CI283" s="212"/>
      <c r="CJ283" s="171"/>
      <c r="CK283" s="171"/>
      <c r="CL283" s="171"/>
      <c r="CM283" s="171"/>
    </row>
    <row r="284" spans="1:92" s="149" customFormat="1" ht="30" hidden="1" customHeight="1" x14ac:dyDescent="0.25">
      <c r="A284" s="134">
        <v>268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1495</v>
      </c>
      <c r="G284" s="149" t="s">
        <v>156</v>
      </c>
      <c r="H284" s="149" t="s">
        <v>156</v>
      </c>
      <c r="I284" s="149" t="s">
        <v>156</v>
      </c>
      <c r="J284" s="152" t="s">
        <v>1496</v>
      </c>
      <c r="K284" s="152" t="s">
        <v>156</v>
      </c>
      <c r="L284" s="152" t="s">
        <v>156</v>
      </c>
      <c r="M284" s="134"/>
      <c r="N284" s="214"/>
      <c r="O284" s="194"/>
      <c r="P284" s="144"/>
      <c r="Q284" s="263"/>
      <c r="R284" s="144"/>
      <c r="S284" s="144"/>
      <c r="T284" s="144"/>
      <c r="U284" s="144"/>
      <c r="V284" s="144"/>
      <c r="W284" s="144"/>
      <c r="X284" s="144"/>
      <c r="Y284" s="144"/>
      <c r="Z284" s="144"/>
      <c r="AB284" s="152"/>
      <c r="AC284" s="152"/>
      <c r="AD284" s="152"/>
      <c r="AE284" s="214"/>
      <c r="AG284" s="208"/>
      <c r="AH284" s="208"/>
      <c r="AI284" s="214"/>
      <c r="AJ284" s="238"/>
      <c r="AK284" s="214"/>
      <c r="AP284" s="152"/>
      <c r="BC284" s="142" t="str">
        <f t="shared" si="15"/>
        <v/>
      </c>
      <c r="BD284" s="134" t="str">
        <f t="shared" si="16"/>
        <v>INDENIZAÇÃO</v>
      </c>
      <c r="BE284" s="134" t="str">
        <f t="shared" si="17"/>
        <v>NÃO</v>
      </c>
      <c r="BG284" s="194"/>
      <c r="BH284" s="194"/>
      <c r="CI284" s="200"/>
    </row>
    <row r="285" spans="1:92" s="149" customFormat="1" ht="30" hidden="1" customHeight="1" x14ac:dyDescent="0.25">
      <c r="A285" s="134">
        <v>269</v>
      </c>
      <c r="B285" s="134" t="s">
        <v>99</v>
      </c>
      <c r="C285" s="134">
        <v>1</v>
      </c>
      <c r="D285" s="134" t="s">
        <v>100</v>
      </c>
      <c r="E285" s="134" t="s">
        <v>100</v>
      </c>
      <c r="F285" s="138" t="s">
        <v>1497</v>
      </c>
      <c r="G285" s="149" t="s">
        <v>156</v>
      </c>
      <c r="H285" s="149" t="s">
        <v>156</v>
      </c>
      <c r="I285" s="149" t="s">
        <v>156</v>
      </c>
      <c r="J285" s="152" t="s">
        <v>1498</v>
      </c>
      <c r="K285" s="152" t="s">
        <v>156</v>
      </c>
      <c r="L285" s="152" t="s">
        <v>156</v>
      </c>
      <c r="M285" s="134"/>
      <c r="N285" s="214"/>
      <c r="O285" s="194"/>
      <c r="P285" s="144"/>
      <c r="Q285" s="263"/>
      <c r="R285" s="144"/>
      <c r="S285" s="144"/>
      <c r="T285" s="144"/>
      <c r="U285" s="144"/>
      <c r="V285" s="144"/>
      <c r="W285" s="144"/>
      <c r="X285" s="144"/>
      <c r="Y285" s="144"/>
      <c r="Z285" s="144"/>
      <c r="AB285" s="152"/>
      <c r="AC285" s="152"/>
      <c r="AD285" s="152"/>
      <c r="AE285" s="214"/>
      <c r="AG285" s="208"/>
      <c r="AH285" s="208"/>
      <c r="AI285" s="232"/>
      <c r="AJ285" s="214"/>
      <c r="AK285" s="235"/>
      <c r="AP285" s="152"/>
      <c r="BC285" s="142" t="str">
        <f t="shared" si="15"/>
        <v/>
      </c>
      <c r="BD285" s="134" t="str">
        <f t="shared" si="16"/>
        <v>INDENIZAÇÃO</v>
      </c>
      <c r="BE285" s="134" t="str">
        <f t="shared" si="17"/>
        <v>NÃO</v>
      </c>
      <c r="BG285" s="194"/>
      <c r="BH285" s="194"/>
      <c r="CI285" s="200"/>
    </row>
    <row r="286" spans="1:92" ht="30" hidden="1" customHeight="1" x14ac:dyDescent="0.25">
      <c r="A286" s="134">
        <v>270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1499</v>
      </c>
      <c r="G286" s="149" t="s">
        <v>442</v>
      </c>
      <c r="H286" s="149" t="s">
        <v>443</v>
      </c>
      <c r="I286" s="149" t="s">
        <v>342</v>
      </c>
      <c r="J286" s="152" t="s">
        <v>1500</v>
      </c>
      <c r="K286" s="152" t="s">
        <v>1501</v>
      </c>
      <c r="L286" s="152" t="s">
        <v>1502</v>
      </c>
      <c r="M286" s="134" t="s">
        <v>4</v>
      </c>
      <c r="N286" s="214" t="s">
        <v>5</v>
      </c>
      <c r="O286" s="194">
        <v>45784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/>
      <c r="AB286" s="152" t="s">
        <v>1500</v>
      </c>
      <c r="AC286" s="152" t="s">
        <v>1501</v>
      </c>
      <c r="AD286" s="152" t="s">
        <v>1502</v>
      </c>
      <c r="AE286" s="134" t="s">
        <v>342</v>
      </c>
      <c r="AF286" s="149" t="s">
        <v>4</v>
      </c>
      <c r="AG286" s="208">
        <v>114889.41</v>
      </c>
      <c r="AH286" s="208">
        <v>114889.41</v>
      </c>
      <c r="AI286" s="232" t="s">
        <v>6</v>
      </c>
      <c r="AJ286" s="138" t="s">
        <v>109</v>
      </c>
      <c r="AK286" s="235">
        <v>102595169</v>
      </c>
      <c r="AL286" s="149" t="s">
        <v>110</v>
      </c>
      <c r="AM286" s="149" t="s">
        <v>110</v>
      </c>
      <c r="AN286" s="149" t="s">
        <v>111</v>
      </c>
      <c r="AO286" s="149" t="s">
        <v>1503</v>
      </c>
      <c r="AP286" s="152" t="s">
        <v>1504</v>
      </c>
      <c r="AQ286" s="149" t="s">
        <v>110</v>
      </c>
      <c r="AR286" s="149" t="s">
        <v>110</v>
      </c>
      <c r="AS286" s="198" t="s">
        <v>110</v>
      </c>
      <c r="AT286" s="198" t="s">
        <v>110</v>
      </c>
      <c r="AU286" s="161">
        <v>45890</v>
      </c>
      <c r="AV286" s="198" t="s">
        <v>110</v>
      </c>
      <c r="AW286" s="198" t="s">
        <v>110</v>
      </c>
      <c r="AX286" s="161">
        <v>45902</v>
      </c>
      <c r="AY286" s="140">
        <v>45902</v>
      </c>
      <c r="AZ286" s="140" t="s">
        <v>33</v>
      </c>
      <c r="BA286" s="141" t="s">
        <v>113</v>
      </c>
      <c r="BB286" s="149" t="s">
        <v>110</v>
      </c>
      <c r="BC286" s="142">
        <f t="shared" si="15"/>
        <v>118</v>
      </c>
      <c r="BD286" s="134" t="str">
        <f t="shared" si="16"/>
        <v>INDENIZAÇÃO</v>
      </c>
      <c r="BE286" s="134" t="str">
        <f t="shared" si="17"/>
        <v>NÃO</v>
      </c>
      <c r="BF286" s="149" t="s">
        <v>24</v>
      </c>
      <c r="BG286" s="149" t="s">
        <v>24</v>
      </c>
      <c r="BH286" s="149" t="s">
        <v>24</v>
      </c>
      <c r="BI286" s="198" t="s">
        <v>110</v>
      </c>
      <c r="BJ286" s="198" t="s">
        <v>110</v>
      </c>
      <c r="BK286" s="161">
        <v>45923</v>
      </c>
      <c r="BL286" s="198" t="s">
        <v>110</v>
      </c>
      <c r="BM286" s="145" t="s">
        <v>33</v>
      </c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hidden="1" customHeight="1" x14ac:dyDescent="0.25">
      <c r="A287" s="134">
        <v>271</v>
      </c>
      <c r="B287" s="245" t="s">
        <v>99</v>
      </c>
      <c r="C287" s="245">
        <v>1</v>
      </c>
      <c r="D287" s="245" t="s">
        <v>100</v>
      </c>
      <c r="E287" s="245" t="s">
        <v>100</v>
      </c>
      <c r="F287" s="246" t="s">
        <v>1505</v>
      </c>
      <c r="G287" s="149" t="s">
        <v>1</v>
      </c>
      <c r="H287" s="149" t="s">
        <v>2</v>
      </c>
      <c r="I287" s="149" t="s">
        <v>108</v>
      </c>
      <c r="J287" s="152" t="s">
        <v>1506</v>
      </c>
      <c r="K287" s="152" t="s">
        <v>1507</v>
      </c>
      <c r="L287" s="152" t="s">
        <v>1508</v>
      </c>
      <c r="M287" s="245" t="s">
        <v>4</v>
      </c>
      <c r="N287" s="245" t="s">
        <v>5</v>
      </c>
      <c r="O287" s="256">
        <v>45572</v>
      </c>
      <c r="P287" s="249" t="s">
        <v>24</v>
      </c>
      <c r="Q287" s="249" t="s">
        <v>24</v>
      </c>
      <c r="R287" s="249" t="s">
        <v>24</v>
      </c>
      <c r="S287" s="249" t="s">
        <v>24</v>
      </c>
      <c r="T287" s="249" t="s">
        <v>24</v>
      </c>
      <c r="U287" s="249" t="s">
        <v>24</v>
      </c>
      <c r="V287" s="249" t="s">
        <v>24</v>
      </c>
      <c r="W287" s="249" t="s">
        <v>24</v>
      </c>
      <c r="X287" s="249" t="s">
        <v>24</v>
      </c>
      <c r="Y287" s="249" t="s">
        <v>24</v>
      </c>
      <c r="Z287" s="249" t="s">
        <v>24</v>
      </c>
      <c r="AA287" s="250"/>
      <c r="AB287" s="152" t="s">
        <v>1506</v>
      </c>
      <c r="AC287" s="152" t="s">
        <v>1507</v>
      </c>
      <c r="AD287" s="152" t="s">
        <v>1508</v>
      </c>
      <c r="AE287" s="149" t="s">
        <v>108</v>
      </c>
      <c r="AF287" s="250" t="s">
        <v>4</v>
      </c>
      <c r="AG287" s="208">
        <v>53289.5</v>
      </c>
      <c r="AH287" s="208">
        <v>60000</v>
      </c>
      <c r="AI287" s="251" t="s">
        <v>6</v>
      </c>
      <c r="AJ287" s="246" t="s">
        <v>109</v>
      </c>
      <c r="AK287" s="252" t="s">
        <v>110</v>
      </c>
      <c r="AL287" s="250" t="s">
        <v>110</v>
      </c>
      <c r="AM287" s="250" t="s">
        <v>110</v>
      </c>
      <c r="AN287" s="250" t="s">
        <v>111</v>
      </c>
      <c r="AO287" s="250"/>
      <c r="AP287" s="253" t="s">
        <v>1509</v>
      </c>
      <c r="AQ287" s="250" t="s">
        <v>110</v>
      </c>
      <c r="AR287" s="250" t="s">
        <v>110</v>
      </c>
      <c r="AS287" s="250" t="s">
        <v>110</v>
      </c>
      <c r="AT287" s="250" t="s">
        <v>110</v>
      </c>
      <c r="AU287" s="256">
        <v>45614</v>
      </c>
      <c r="AV287" s="250" t="s">
        <v>110</v>
      </c>
      <c r="AW287" s="250" t="s">
        <v>110</v>
      </c>
      <c r="AX287" s="256">
        <v>45621</v>
      </c>
      <c r="AY287" s="249">
        <v>45621</v>
      </c>
      <c r="AZ287" s="245" t="s">
        <v>355</v>
      </c>
      <c r="BA287" s="245" t="s">
        <v>1</v>
      </c>
      <c r="BB287" s="250" t="s">
        <v>110</v>
      </c>
      <c r="BC287" s="142">
        <f t="shared" si="15"/>
        <v>49</v>
      </c>
      <c r="BD287" s="134" t="str">
        <f t="shared" si="16"/>
        <v>INDENIZAÇÃO</v>
      </c>
      <c r="BE287" s="134" t="str">
        <f t="shared" si="17"/>
        <v>NÃO</v>
      </c>
      <c r="BF287" s="245" t="s">
        <v>24</v>
      </c>
      <c r="BG287" s="245" t="s">
        <v>24</v>
      </c>
      <c r="BH287" s="245" t="s">
        <v>24</v>
      </c>
      <c r="BI287" s="250" t="s">
        <v>110</v>
      </c>
      <c r="BJ287" s="250" t="s">
        <v>110</v>
      </c>
      <c r="BK287" s="256">
        <v>45677</v>
      </c>
      <c r="BL287" s="250" t="s">
        <v>110</v>
      </c>
      <c r="BM287" s="249" t="s">
        <v>33</v>
      </c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hidden="1" customHeight="1" x14ac:dyDescent="0.25">
      <c r="A288" s="134">
        <v>272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1510</v>
      </c>
      <c r="G288" s="149" t="s">
        <v>1349</v>
      </c>
      <c r="H288" s="149" t="s">
        <v>2</v>
      </c>
      <c r="I288" s="149" t="s">
        <v>342</v>
      </c>
      <c r="J288" s="152" t="s">
        <v>1511</v>
      </c>
      <c r="K288" s="152" t="s">
        <v>1512</v>
      </c>
      <c r="L288" s="152" t="s">
        <v>1513</v>
      </c>
      <c r="M288" s="134" t="s">
        <v>4</v>
      </c>
      <c r="N288" s="134" t="s">
        <v>5</v>
      </c>
      <c r="O288" s="194">
        <v>46251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 t="s">
        <v>1514</v>
      </c>
      <c r="AB288" s="152" t="s">
        <v>1511</v>
      </c>
      <c r="AC288" s="152" t="s">
        <v>1512</v>
      </c>
      <c r="AD288" s="152" t="s">
        <v>1513</v>
      </c>
      <c r="AE288" s="149" t="s">
        <v>108</v>
      </c>
      <c r="AF288" s="149" t="s">
        <v>4</v>
      </c>
      <c r="AG288" s="208">
        <v>15641.12</v>
      </c>
      <c r="AH288" s="208">
        <v>45641.120000000003</v>
      </c>
      <c r="AI288" s="149" t="s">
        <v>1514</v>
      </c>
      <c r="AJ288" s="138" t="s">
        <v>109</v>
      </c>
      <c r="AK288" s="214">
        <v>161811823</v>
      </c>
      <c r="AL288" s="214" t="s">
        <v>24</v>
      </c>
      <c r="AM288" s="214" t="s">
        <v>24</v>
      </c>
      <c r="AN288" s="214" t="s">
        <v>24</v>
      </c>
      <c r="AO288" s="149" t="s">
        <v>1514</v>
      </c>
      <c r="AP288" s="152" t="s">
        <v>24</v>
      </c>
      <c r="AQ288" s="149" t="s">
        <v>24</v>
      </c>
      <c r="AR288" s="149" t="s">
        <v>24</v>
      </c>
      <c r="AS288" s="149" t="s">
        <v>24</v>
      </c>
      <c r="AT288" s="149" t="s">
        <v>24</v>
      </c>
      <c r="AU288" s="149" t="s">
        <v>24</v>
      </c>
      <c r="AV288" s="149" t="s">
        <v>24</v>
      </c>
      <c r="AW288" s="149" t="s">
        <v>24</v>
      </c>
      <c r="AX288" s="149" t="s">
        <v>24</v>
      </c>
      <c r="AY288" s="149" t="s">
        <v>24</v>
      </c>
      <c r="AZ288" s="145" t="s">
        <v>33</v>
      </c>
      <c r="BA288" s="145"/>
      <c r="BB288" s="149"/>
      <c r="BC288" s="142" t="e">
        <f t="shared" si="15"/>
        <v>#VALUE!</v>
      </c>
      <c r="BD288" s="134" t="str">
        <f t="shared" si="16"/>
        <v>INDENIZAÇÃO</v>
      </c>
      <c r="BE288" s="134" t="str">
        <f t="shared" si="17"/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hidden="1" customHeight="1" x14ac:dyDescent="0.25">
      <c r="A289" s="134">
        <v>273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1515</v>
      </c>
      <c r="G289" s="149" t="s">
        <v>1</v>
      </c>
      <c r="H289" s="149" t="s">
        <v>2</v>
      </c>
      <c r="I289" s="149" t="s">
        <v>108</v>
      </c>
      <c r="J289" s="152" t="s">
        <v>1516</v>
      </c>
      <c r="K289" s="152" t="s">
        <v>1517</v>
      </c>
      <c r="L289" s="152" t="s">
        <v>1518</v>
      </c>
      <c r="M289" s="134" t="s">
        <v>4</v>
      </c>
      <c r="N289" s="134" t="s">
        <v>5</v>
      </c>
      <c r="O289" s="194">
        <v>46251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1516</v>
      </c>
      <c r="AC289" s="152" t="s">
        <v>1517</v>
      </c>
      <c r="AD289" s="152" t="s">
        <v>1518</v>
      </c>
      <c r="AE289" s="149" t="s">
        <v>108</v>
      </c>
      <c r="AF289" s="149" t="s">
        <v>4</v>
      </c>
      <c r="AG289" s="208">
        <v>31135.39</v>
      </c>
      <c r="AH289" s="208">
        <v>60000</v>
      </c>
      <c r="AI289" s="214" t="s">
        <v>6</v>
      </c>
      <c r="AJ289" s="138" t="s">
        <v>109</v>
      </c>
      <c r="AK289" s="323">
        <v>161812165</v>
      </c>
      <c r="AL289" s="272" t="s">
        <v>1519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5"/>
        <v/>
      </c>
      <c r="BD289" s="134" t="str">
        <f t="shared" si="16"/>
        <v>INDENIZAÇÃO</v>
      </c>
      <c r="BE289" s="134" t="e">
        <f>IF(AND(AY289&lt;&gt;"AGUARDANDO",AY289&lt;&gt;"",#REF!="AUXÍLIO ALUGUEL ATÉ INDENIZAÇÃO"),"SIM","NÃO")</f>
        <v>#REF!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hidden="1" customHeight="1" x14ac:dyDescent="0.25">
      <c r="A290" s="134">
        <v>274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1520</v>
      </c>
      <c r="G290" s="149" t="s">
        <v>1</v>
      </c>
      <c r="H290" s="149" t="s">
        <v>2</v>
      </c>
      <c r="I290" s="149" t="s">
        <v>108</v>
      </c>
      <c r="J290" s="152" t="s">
        <v>1521</v>
      </c>
      <c r="K290" s="152" t="s">
        <v>1522</v>
      </c>
      <c r="L290" s="152" t="s">
        <v>1523</v>
      </c>
      <c r="M290" s="134" t="s">
        <v>4</v>
      </c>
      <c r="N290" s="134" t="s">
        <v>5</v>
      </c>
      <c r="O290" s="194">
        <v>46251</v>
      </c>
      <c r="P290" s="144" t="s">
        <v>24</v>
      </c>
      <c r="Q290" s="144" t="s">
        <v>24</v>
      </c>
      <c r="R290" s="144" t="s">
        <v>24</v>
      </c>
      <c r="S290" s="144" t="s">
        <v>24</v>
      </c>
      <c r="T290" s="144" t="s">
        <v>24</v>
      </c>
      <c r="U290" s="144" t="s">
        <v>24</v>
      </c>
      <c r="V290" s="144" t="s">
        <v>24</v>
      </c>
      <c r="W290" s="144" t="s">
        <v>24</v>
      </c>
      <c r="X290" s="144" t="s">
        <v>24</v>
      </c>
      <c r="Y290" s="144" t="s">
        <v>24</v>
      </c>
      <c r="Z290" s="144" t="s">
        <v>24</v>
      </c>
      <c r="AA290" s="149"/>
      <c r="AB290" s="152" t="s">
        <v>1521</v>
      </c>
      <c r="AC290" s="152" t="s">
        <v>1522</v>
      </c>
      <c r="AD290" s="152" t="s">
        <v>1523</v>
      </c>
      <c r="AE290" s="149" t="s">
        <v>108</v>
      </c>
      <c r="AF290" s="149" t="s">
        <v>4</v>
      </c>
      <c r="AG290" s="208">
        <v>31466.54</v>
      </c>
      <c r="AH290" s="208">
        <v>60000</v>
      </c>
      <c r="AI290" s="214" t="s">
        <v>6</v>
      </c>
      <c r="AJ290" s="138" t="s">
        <v>109</v>
      </c>
      <c r="AK290" s="323">
        <v>161812247</v>
      </c>
      <c r="AL290" s="272" t="s">
        <v>1524</v>
      </c>
      <c r="AM290" s="149"/>
      <c r="AN290" s="149"/>
      <c r="AO290" s="149"/>
      <c r="AP290" s="152"/>
      <c r="AQ290" s="149"/>
      <c r="AR290" s="149"/>
      <c r="AS290" s="149"/>
      <c r="AT290" s="149"/>
      <c r="AU290" s="149"/>
      <c r="AV290" s="149"/>
      <c r="AW290" s="149"/>
      <c r="AX290" s="149"/>
      <c r="AY290" s="149"/>
      <c r="AZ290" s="149"/>
      <c r="BA290" s="149"/>
      <c r="BB290" s="149"/>
      <c r="BC290" s="142" t="str">
        <f t="shared" si="15"/>
        <v/>
      </c>
      <c r="BD290" s="134" t="str">
        <f t="shared" si="16"/>
        <v>INDENIZAÇÃO</v>
      </c>
      <c r="BE290" s="134" t="str">
        <f t="shared" ref="BE290:BE334" si="18">IF(AND(AY290&lt;&gt;"AGUARDANDO",AY290&lt;&gt;"",N290="AUXÍLIO ALUGUEL ATÉ INDENIZAÇÃO"),"SIM","NÃO")</f>
        <v>NÃO</v>
      </c>
      <c r="BF290" s="149"/>
      <c r="BG290" s="194"/>
      <c r="BH290" s="194"/>
      <c r="BI290" s="149"/>
      <c r="BJ290" s="149"/>
      <c r="BK290" s="149"/>
      <c r="BL290" s="149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hidden="1" customHeight="1" x14ac:dyDescent="0.25">
      <c r="A291" s="134">
        <v>275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1525</v>
      </c>
      <c r="G291" s="149" t="s">
        <v>1</v>
      </c>
      <c r="H291" s="149" t="s">
        <v>2</v>
      </c>
      <c r="I291" s="149" t="s">
        <v>108</v>
      </c>
      <c r="J291" s="152" t="s">
        <v>1526</v>
      </c>
      <c r="K291" s="152" t="s">
        <v>1527</v>
      </c>
      <c r="L291" s="152" t="s">
        <v>1528</v>
      </c>
      <c r="M291" s="134" t="s">
        <v>4</v>
      </c>
      <c r="N291" s="134" t="s">
        <v>5</v>
      </c>
      <c r="O291" s="194">
        <v>46251</v>
      </c>
      <c r="P291" s="144" t="s">
        <v>24</v>
      </c>
      <c r="Q291" s="144" t="s">
        <v>24</v>
      </c>
      <c r="R291" s="144" t="s">
        <v>24</v>
      </c>
      <c r="S291" s="144" t="s">
        <v>24</v>
      </c>
      <c r="T291" s="144" t="s">
        <v>24</v>
      </c>
      <c r="U291" s="144" t="s">
        <v>24</v>
      </c>
      <c r="V291" s="144" t="s">
        <v>24</v>
      </c>
      <c r="W291" s="144" t="s">
        <v>24</v>
      </c>
      <c r="X291" s="144" t="s">
        <v>24</v>
      </c>
      <c r="Y291" s="144" t="s">
        <v>24</v>
      </c>
      <c r="Z291" s="144" t="s">
        <v>24</v>
      </c>
      <c r="AA291" s="149"/>
      <c r="AB291" s="152" t="s">
        <v>1526</v>
      </c>
      <c r="AC291" s="152" t="s">
        <v>1527</v>
      </c>
      <c r="AD291" s="152" t="s">
        <v>1528</v>
      </c>
      <c r="AE291" s="149" t="s">
        <v>108</v>
      </c>
      <c r="AF291" s="149" t="s">
        <v>4</v>
      </c>
      <c r="AG291" s="208">
        <v>31449.02</v>
      </c>
      <c r="AH291" s="208">
        <v>60000</v>
      </c>
      <c r="AI291" s="214" t="s">
        <v>6</v>
      </c>
      <c r="AJ291" s="138" t="s">
        <v>109</v>
      </c>
      <c r="AK291" s="323">
        <v>161812334</v>
      </c>
      <c r="AL291" s="272" t="s">
        <v>1529</v>
      </c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5"/>
        <v/>
      </c>
      <c r="BD291" s="134" t="str">
        <f t="shared" si="16"/>
        <v>INDENIZAÇÃO</v>
      </c>
      <c r="BE291" s="134" t="str">
        <f t="shared" si="18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</row>
    <row r="292" spans="1:91" ht="30" hidden="1" customHeight="1" x14ac:dyDescent="0.25">
      <c r="A292" s="134">
        <v>276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1530</v>
      </c>
      <c r="G292" s="149" t="s">
        <v>1</v>
      </c>
      <c r="H292" s="149" t="s">
        <v>2</v>
      </c>
      <c r="I292" s="149" t="s">
        <v>108</v>
      </c>
      <c r="J292" s="152" t="s">
        <v>1531</v>
      </c>
      <c r="K292" s="152" t="s">
        <v>1532</v>
      </c>
      <c r="L292" s="152" t="s">
        <v>1533</v>
      </c>
      <c r="M292" s="134" t="s">
        <v>4</v>
      </c>
      <c r="N292" s="214" t="s">
        <v>366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1531</v>
      </c>
      <c r="AC292" s="152" t="s">
        <v>1532</v>
      </c>
      <c r="AD292" s="152" t="s">
        <v>1533</v>
      </c>
      <c r="AE292" s="149" t="s">
        <v>108</v>
      </c>
      <c r="AF292" s="149" t="s">
        <v>4</v>
      </c>
      <c r="AG292" s="208" t="s">
        <v>366</v>
      </c>
      <c r="AH292" s="208" t="s">
        <v>366</v>
      </c>
      <c r="AI292" s="214" t="s">
        <v>366</v>
      </c>
      <c r="AJ292" s="138" t="s">
        <v>109</v>
      </c>
      <c r="AK292" s="239">
        <v>161812458</v>
      </c>
      <c r="AL292" s="171"/>
      <c r="AM292" s="171"/>
      <c r="AN292" s="171"/>
      <c r="AO292" s="149"/>
      <c r="AP292" s="203"/>
      <c r="AQ292" s="171"/>
      <c r="AR292" s="171"/>
      <c r="AS292" s="171"/>
      <c r="AT292" s="171"/>
      <c r="AU292" s="171"/>
      <c r="AV292" s="171"/>
      <c r="AW292" s="171"/>
      <c r="AX292" s="171"/>
      <c r="AY292" s="171"/>
      <c r="AZ292" s="149"/>
      <c r="BA292" s="149"/>
      <c r="BB292" s="149"/>
      <c r="BC292" s="142" t="str">
        <f t="shared" si="15"/>
        <v/>
      </c>
      <c r="BD292" s="134" t="str">
        <f t="shared" si="16"/>
        <v>INDENIZAÇÃO</v>
      </c>
      <c r="BE292" s="134" t="str">
        <f t="shared" si="18"/>
        <v>NÃO</v>
      </c>
      <c r="BF292" s="171"/>
      <c r="BG292" s="202"/>
      <c r="BH292" s="202"/>
      <c r="BI292" s="171"/>
      <c r="BJ292" s="171"/>
      <c r="BK292" s="171"/>
      <c r="BL292" s="171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hidden="1" customHeight="1" x14ac:dyDescent="0.25">
      <c r="A293" s="134">
        <v>277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1534</v>
      </c>
      <c r="G293" s="149" t="s">
        <v>1</v>
      </c>
      <c r="H293" s="149" t="s">
        <v>1535</v>
      </c>
      <c r="I293" s="149" t="s">
        <v>108</v>
      </c>
      <c r="J293" s="152" t="s">
        <v>1536</v>
      </c>
      <c r="K293" s="152" t="s">
        <v>1537</v>
      </c>
      <c r="L293" s="152" t="s">
        <v>1538</v>
      </c>
      <c r="M293" s="134" t="s">
        <v>4</v>
      </c>
      <c r="N293" s="214" t="s">
        <v>366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1536</v>
      </c>
      <c r="AC293" s="152" t="s">
        <v>1537</v>
      </c>
      <c r="AD293" s="152" t="s">
        <v>1538</v>
      </c>
      <c r="AE293" s="149" t="s">
        <v>108</v>
      </c>
      <c r="AF293" s="149"/>
      <c r="AG293" s="208" t="s">
        <v>366</v>
      </c>
      <c r="AH293" s="208" t="s">
        <v>366</v>
      </c>
      <c r="AI293" s="232" t="s">
        <v>366</v>
      </c>
      <c r="AJ293" s="214" t="s">
        <v>366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5"/>
        <v/>
      </c>
      <c r="BD293" s="134" t="str">
        <f t="shared" si="16"/>
        <v>INDENIZAÇÃO</v>
      </c>
      <c r="BE293" s="134" t="str">
        <f t="shared" si="18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  <c r="CI293" s="200"/>
      <c r="CJ293" s="149"/>
      <c r="CK293" s="149"/>
      <c r="CL293" s="149"/>
      <c r="CM293" s="149"/>
    </row>
    <row r="294" spans="1:91" ht="30" hidden="1" customHeight="1" x14ac:dyDescent="0.25">
      <c r="A294" s="134">
        <v>278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1539</v>
      </c>
      <c r="G294" s="149" t="s">
        <v>10</v>
      </c>
      <c r="H294" s="149" t="s">
        <v>2</v>
      </c>
      <c r="I294" s="149" t="s">
        <v>342</v>
      </c>
      <c r="J294" s="152" t="s">
        <v>1540</v>
      </c>
      <c r="K294" s="152" t="s">
        <v>1541</v>
      </c>
      <c r="L294" s="152" t="s">
        <v>1542</v>
      </c>
      <c r="M294" s="134" t="s">
        <v>4</v>
      </c>
      <c r="N294" s="214" t="s">
        <v>366</v>
      </c>
      <c r="O294" s="194"/>
      <c r="P294" s="144"/>
      <c r="Q294" s="263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9"/>
      <c r="AB294" s="152" t="s">
        <v>1540</v>
      </c>
      <c r="AC294" s="152" t="s">
        <v>1541</v>
      </c>
      <c r="AD294" s="152" t="s">
        <v>1542</v>
      </c>
      <c r="AE294" s="134" t="s">
        <v>342</v>
      </c>
      <c r="AF294" s="149"/>
      <c r="AG294" s="208" t="s">
        <v>366</v>
      </c>
      <c r="AH294" s="208" t="s">
        <v>366</v>
      </c>
      <c r="AI294" s="214" t="s">
        <v>366</v>
      </c>
      <c r="AJ294" s="214" t="s">
        <v>366</v>
      </c>
      <c r="AK294" s="214"/>
      <c r="AL294" s="149"/>
      <c r="AM294" s="149"/>
      <c r="AN294" s="149"/>
      <c r="AO294" s="149"/>
      <c r="AP294" s="152"/>
      <c r="AQ294" s="149"/>
      <c r="AR294" s="149"/>
      <c r="AS294" s="149"/>
      <c r="AT294" s="149"/>
      <c r="AU294" s="149"/>
      <c r="AV294" s="149"/>
      <c r="AW294" s="149"/>
      <c r="AX294" s="149"/>
      <c r="AY294" s="149"/>
      <c r="AZ294" s="149"/>
      <c r="BA294" s="149"/>
      <c r="BB294" s="149"/>
      <c r="BC294" s="142" t="str">
        <f t="shared" si="15"/>
        <v/>
      </c>
      <c r="BD294" s="134" t="str">
        <f t="shared" si="16"/>
        <v>INDENIZAÇÃO</v>
      </c>
      <c r="BE294" s="134" t="str">
        <f t="shared" si="18"/>
        <v>NÃO</v>
      </c>
      <c r="BF294" s="149"/>
      <c r="BG294" s="194"/>
      <c r="BH294" s="194"/>
      <c r="BI294" s="149"/>
      <c r="BJ294" s="149"/>
      <c r="BK294" s="149"/>
      <c r="BL294" s="149"/>
      <c r="BM294" s="149"/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hidden="1" customHeight="1" x14ac:dyDescent="0.25">
      <c r="A295" s="134">
        <v>279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1543</v>
      </c>
      <c r="G295" s="149" t="s">
        <v>26</v>
      </c>
      <c r="H295" s="149" t="s">
        <v>2</v>
      </c>
      <c r="I295" s="149" t="s">
        <v>342</v>
      </c>
      <c r="J295" s="152" t="s">
        <v>1544</v>
      </c>
      <c r="K295" s="152" t="s">
        <v>1545</v>
      </c>
      <c r="L295" s="152" t="s">
        <v>1546</v>
      </c>
      <c r="M295" s="134" t="s">
        <v>4</v>
      </c>
      <c r="N295" s="214" t="s">
        <v>366</v>
      </c>
      <c r="O295" s="194"/>
      <c r="P295" s="144"/>
      <c r="Q295" s="263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9"/>
      <c r="AB295" s="152" t="s">
        <v>1544</v>
      </c>
      <c r="AC295" s="152" t="s">
        <v>1545</v>
      </c>
      <c r="AD295" s="152" t="s">
        <v>1546</v>
      </c>
      <c r="AE295" s="134" t="s">
        <v>342</v>
      </c>
      <c r="AF295" s="149"/>
      <c r="AG295" s="208" t="s">
        <v>366</v>
      </c>
      <c r="AH295" s="208" t="s">
        <v>366</v>
      </c>
      <c r="AI295" s="214" t="s">
        <v>366</v>
      </c>
      <c r="AJ295" s="238" t="s">
        <v>366</v>
      </c>
      <c r="AK295" s="214"/>
      <c r="AL295" s="149"/>
      <c r="AM295" s="149"/>
      <c r="AN295" s="149"/>
      <c r="AO295" s="149"/>
      <c r="AP295" s="152"/>
      <c r="AQ295" s="149"/>
      <c r="AR295" s="149"/>
      <c r="AS295" s="149"/>
      <c r="AT295" s="149"/>
      <c r="AU295" s="149"/>
      <c r="AV295" s="149"/>
      <c r="AW295" s="149"/>
      <c r="AX295" s="149"/>
      <c r="AY295" s="149"/>
      <c r="AZ295" s="149"/>
      <c r="BA295" s="149"/>
      <c r="BB295" s="149"/>
      <c r="BC295" s="142" t="str">
        <f t="shared" si="15"/>
        <v/>
      </c>
      <c r="BD295" s="134" t="str">
        <f t="shared" si="16"/>
        <v>INDENIZAÇÃO</v>
      </c>
      <c r="BE295" s="134" t="str">
        <f t="shared" si="18"/>
        <v>NÃO</v>
      </c>
      <c r="BF295" s="149"/>
      <c r="BG295" s="194"/>
      <c r="BH295" s="194"/>
      <c r="BI295" s="149"/>
      <c r="BJ295" s="149"/>
      <c r="BK295" s="149"/>
      <c r="BL295" s="149"/>
      <c r="BM295" s="149"/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</row>
    <row r="296" spans="1:91" ht="30" hidden="1" customHeight="1" x14ac:dyDescent="0.25">
      <c r="A296" s="134">
        <v>280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1547</v>
      </c>
      <c r="G296" s="149" t="s">
        <v>1</v>
      </c>
      <c r="H296" s="149" t="s">
        <v>2</v>
      </c>
      <c r="I296" s="149" t="s">
        <v>108</v>
      </c>
      <c r="J296" s="152" t="s">
        <v>1548</v>
      </c>
      <c r="K296" s="152" t="s">
        <v>1549</v>
      </c>
      <c r="L296" s="152" t="s">
        <v>1550</v>
      </c>
      <c r="M296" s="134" t="s">
        <v>4</v>
      </c>
      <c r="N296" s="214" t="s">
        <v>5</v>
      </c>
      <c r="O296" s="194">
        <v>45702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1548</v>
      </c>
      <c r="AC296" s="152" t="s">
        <v>1549</v>
      </c>
      <c r="AD296" s="152" t="s">
        <v>1550</v>
      </c>
      <c r="AE296" s="149" t="s">
        <v>108</v>
      </c>
      <c r="AF296" s="149" t="s">
        <v>4</v>
      </c>
      <c r="AG296" s="208">
        <v>114488.2</v>
      </c>
      <c r="AH296" s="208">
        <v>114488.2</v>
      </c>
      <c r="AI296" s="232" t="s">
        <v>6</v>
      </c>
      <c r="AJ296" s="138" t="s">
        <v>109</v>
      </c>
      <c r="AK296" s="235">
        <v>116608676</v>
      </c>
      <c r="AL296" s="149" t="s">
        <v>110</v>
      </c>
      <c r="AM296" s="149" t="s">
        <v>110</v>
      </c>
      <c r="AN296" s="149" t="s">
        <v>111</v>
      </c>
      <c r="AO296" s="149"/>
      <c r="AP296" s="152" t="s">
        <v>1551</v>
      </c>
      <c r="AQ296" s="149" t="s">
        <v>110</v>
      </c>
      <c r="AR296" s="149" t="s">
        <v>110</v>
      </c>
      <c r="AS296" s="149" t="s">
        <v>110</v>
      </c>
      <c r="AT296" s="198" t="s">
        <v>110</v>
      </c>
      <c r="AU296" s="194">
        <v>45806</v>
      </c>
      <c r="AV296" s="198" t="s">
        <v>110</v>
      </c>
      <c r="AW296" s="198" t="s">
        <v>110</v>
      </c>
      <c r="AX296" s="194">
        <v>45819</v>
      </c>
      <c r="AY296" s="197">
        <v>45819</v>
      </c>
      <c r="AZ296" s="145" t="s">
        <v>33</v>
      </c>
      <c r="BA296" s="145" t="s">
        <v>113</v>
      </c>
      <c r="BB296" s="149" t="s">
        <v>110</v>
      </c>
      <c r="BC296" s="142">
        <f t="shared" si="15"/>
        <v>117</v>
      </c>
      <c r="BD296" s="134" t="str">
        <f t="shared" si="16"/>
        <v>INDENIZAÇÃO</v>
      </c>
      <c r="BE296" s="134" t="str">
        <f t="shared" si="18"/>
        <v>NÃO</v>
      </c>
      <c r="BF296" s="149" t="s">
        <v>24</v>
      </c>
      <c r="BG296" s="149" t="s">
        <v>24</v>
      </c>
      <c r="BH296" s="149" t="s">
        <v>24</v>
      </c>
      <c r="BI296" s="198" t="s">
        <v>110</v>
      </c>
      <c r="BJ296" s="198" t="s">
        <v>110</v>
      </c>
      <c r="BK296" s="194">
        <v>45859</v>
      </c>
      <c r="BL296" s="149" t="s">
        <v>110</v>
      </c>
      <c r="BM296" s="141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</row>
    <row r="297" spans="1:91" ht="30" hidden="1" customHeight="1" x14ac:dyDescent="0.25">
      <c r="A297" s="134">
        <v>281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1552</v>
      </c>
      <c r="G297" s="149" t="s">
        <v>10</v>
      </c>
      <c r="H297" s="149" t="s">
        <v>2</v>
      </c>
      <c r="I297" s="149" t="s">
        <v>342</v>
      </c>
      <c r="J297" s="152" t="s">
        <v>1553</v>
      </c>
      <c r="K297" s="152" t="s">
        <v>1554</v>
      </c>
      <c r="L297" s="152" t="s">
        <v>1555</v>
      </c>
      <c r="M297" s="134" t="s">
        <v>4</v>
      </c>
      <c r="N297" s="214" t="s">
        <v>5</v>
      </c>
      <c r="O297" s="194">
        <v>45546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1553</v>
      </c>
      <c r="AC297" s="152" t="s">
        <v>1554</v>
      </c>
      <c r="AD297" s="152" t="s">
        <v>1555</v>
      </c>
      <c r="AE297" s="134" t="s">
        <v>342</v>
      </c>
      <c r="AF297" s="149" t="s">
        <v>4</v>
      </c>
      <c r="AG297" s="208">
        <v>4335.71</v>
      </c>
      <c r="AH297" s="208">
        <f>AG297+30000</f>
        <v>34335.71</v>
      </c>
      <c r="AI297" s="232" t="s">
        <v>6</v>
      </c>
      <c r="AJ297" s="138" t="s">
        <v>109</v>
      </c>
      <c r="AK297" s="235"/>
      <c r="AL297" s="149" t="s">
        <v>110</v>
      </c>
      <c r="AM297" s="149" t="s">
        <v>110</v>
      </c>
      <c r="AN297" s="149" t="s">
        <v>111</v>
      </c>
      <c r="AO297" s="149"/>
      <c r="AP297" s="152" t="s">
        <v>1556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45587</v>
      </c>
      <c r="AV297" s="198" t="s">
        <v>110</v>
      </c>
      <c r="AW297" s="198" t="s">
        <v>110</v>
      </c>
      <c r="AX297" s="194">
        <v>45600</v>
      </c>
      <c r="AY297" s="197">
        <v>45600</v>
      </c>
      <c r="AZ297" s="197" t="s">
        <v>33</v>
      </c>
      <c r="BA297" s="145" t="s">
        <v>113</v>
      </c>
      <c r="BB297" s="149" t="s">
        <v>110</v>
      </c>
      <c r="BC297" s="142">
        <f t="shared" si="15"/>
        <v>54</v>
      </c>
      <c r="BD297" s="134" t="str">
        <f t="shared" si="16"/>
        <v>INDENIZAÇÃO</v>
      </c>
      <c r="BE297" s="134" t="str">
        <f t="shared" si="18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45621</v>
      </c>
      <c r="BL297" s="198" t="s">
        <v>110</v>
      </c>
      <c r="BM297" s="145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hidden="1" customHeight="1" x14ac:dyDescent="0.25">
      <c r="A298" s="134">
        <v>282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1557</v>
      </c>
      <c r="G298" s="149" t="s">
        <v>1</v>
      </c>
      <c r="H298" s="149" t="s">
        <v>2</v>
      </c>
      <c r="I298" s="149" t="s">
        <v>108</v>
      </c>
      <c r="J298" s="152" t="s">
        <v>1558</v>
      </c>
      <c r="K298" s="152" t="s">
        <v>1559</v>
      </c>
      <c r="L298" s="152" t="s">
        <v>1560</v>
      </c>
      <c r="M298" s="134" t="s">
        <v>4</v>
      </c>
      <c r="N298" s="214" t="s">
        <v>5</v>
      </c>
      <c r="O298" s="194">
        <v>45280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1558</v>
      </c>
      <c r="AC298" s="152" t="s">
        <v>1559</v>
      </c>
      <c r="AD298" s="152" t="s">
        <v>1560</v>
      </c>
      <c r="AE298" s="149" t="s">
        <v>108</v>
      </c>
      <c r="AF298" s="149" t="s">
        <v>4</v>
      </c>
      <c r="AG298" s="208">
        <v>58003.95</v>
      </c>
      <c r="AH298" s="208">
        <v>60000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1561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5"/>
        <v>104</v>
      </c>
      <c r="BD298" s="134" t="str">
        <f t="shared" si="16"/>
        <v>INDENIZAÇÃO</v>
      </c>
      <c r="BE298" s="134" t="str">
        <f t="shared" si="18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hidden="1" customHeight="1" x14ac:dyDescent="0.25">
      <c r="A299" s="134">
        <v>283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1562</v>
      </c>
      <c r="G299" s="149" t="s">
        <v>1</v>
      </c>
      <c r="H299" s="149" t="s">
        <v>2</v>
      </c>
      <c r="I299" s="149" t="s">
        <v>108</v>
      </c>
      <c r="J299" s="152" t="s">
        <v>1563</v>
      </c>
      <c r="K299" s="152" t="s">
        <v>1564</v>
      </c>
      <c r="L299" s="152" t="s">
        <v>1565</v>
      </c>
      <c r="M299" s="134" t="s">
        <v>4</v>
      </c>
      <c r="N299" s="214" t="s">
        <v>5</v>
      </c>
      <c r="O299" s="194">
        <v>45756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1563</v>
      </c>
      <c r="AC299" s="152" t="s">
        <v>1564</v>
      </c>
      <c r="AD299" s="152" t="s">
        <v>1565</v>
      </c>
      <c r="AE299" s="149" t="s">
        <v>108</v>
      </c>
      <c r="AF299" s="149" t="s">
        <v>4</v>
      </c>
      <c r="AG299" s="208">
        <v>18850.150000000001</v>
      </c>
      <c r="AH299" s="208">
        <v>48850.15</v>
      </c>
      <c r="AI299" s="232" t="s">
        <v>6</v>
      </c>
      <c r="AJ299" s="138" t="s">
        <v>109</v>
      </c>
      <c r="AK299" s="235">
        <v>95001169</v>
      </c>
      <c r="AL299" s="134" t="s">
        <v>110</v>
      </c>
      <c r="AM299" s="134" t="s">
        <v>110</v>
      </c>
      <c r="AN299" s="134" t="s">
        <v>111</v>
      </c>
      <c r="AO299" s="149"/>
      <c r="AP299" s="152" t="s">
        <v>1566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5"/>
        <v>56</v>
      </c>
      <c r="BD299" s="134" t="str">
        <f t="shared" si="16"/>
        <v>INDENIZAÇÃO</v>
      </c>
      <c r="BE299" s="134" t="str">
        <f t="shared" si="18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hidden="1" customHeight="1" x14ac:dyDescent="0.25">
      <c r="A300" s="134">
        <v>284</v>
      </c>
      <c r="B300" s="134" t="s">
        <v>99</v>
      </c>
      <c r="C300" s="134">
        <v>1</v>
      </c>
      <c r="D300" s="134" t="s">
        <v>100</v>
      </c>
      <c r="E300" s="134" t="s">
        <v>100</v>
      </c>
      <c r="F300" s="138" t="s">
        <v>1567</v>
      </c>
      <c r="G300" s="149" t="s">
        <v>1</v>
      </c>
      <c r="H300" s="149" t="s">
        <v>2</v>
      </c>
      <c r="I300" s="149" t="s">
        <v>108</v>
      </c>
      <c r="J300" s="152" t="s">
        <v>1568</v>
      </c>
      <c r="K300" s="152" t="s">
        <v>1569</v>
      </c>
      <c r="L300" s="152" t="s">
        <v>1570</v>
      </c>
      <c r="M300" s="134" t="s">
        <v>4</v>
      </c>
      <c r="N300" s="214" t="s">
        <v>5</v>
      </c>
      <c r="O300" s="194">
        <v>45299</v>
      </c>
      <c r="P300" s="144" t="s">
        <v>24</v>
      </c>
      <c r="Q300" s="144" t="s">
        <v>24</v>
      </c>
      <c r="R300" s="144" t="s">
        <v>24</v>
      </c>
      <c r="S300" s="144" t="s">
        <v>24</v>
      </c>
      <c r="T300" s="144" t="s">
        <v>24</v>
      </c>
      <c r="U300" s="144" t="s">
        <v>24</v>
      </c>
      <c r="V300" s="144" t="s">
        <v>24</v>
      </c>
      <c r="W300" s="144" t="s">
        <v>24</v>
      </c>
      <c r="X300" s="144" t="s">
        <v>24</v>
      </c>
      <c r="Y300" s="144" t="s">
        <v>24</v>
      </c>
      <c r="Z300" s="144" t="s">
        <v>24</v>
      </c>
      <c r="AA300" s="149"/>
      <c r="AB300" s="152" t="s">
        <v>1568</v>
      </c>
      <c r="AC300" s="152" t="s">
        <v>1569</v>
      </c>
      <c r="AD300" s="152" t="s">
        <v>1570</v>
      </c>
      <c r="AE300" s="149" t="s">
        <v>108</v>
      </c>
      <c r="AF300" s="149" t="s">
        <v>4</v>
      </c>
      <c r="AG300" s="208">
        <v>9980.2000000000007</v>
      </c>
      <c r="AH300" s="208">
        <f>AG300+30000</f>
        <v>39980.199999999997</v>
      </c>
      <c r="AI300" s="232" t="s">
        <v>6</v>
      </c>
      <c r="AJ300" s="138" t="s">
        <v>109</v>
      </c>
      <c r="AK300" s="235"/>
      <c r="AL300" s="149" t="s">
        <v>110</v>
      </c>
      <c r="AM300" s="149" t="s">
        <v>110</v>
      </c>
      <c r="AN300" s="149" t="s">
        <v>111</v>
      </c>
      <c r="AO300" s="149"/>
      <c r="AP300" s="152" t="s">
        <v>1571</v>
      </c>
      <c r="AQ300" s="149" t="s">
        <v>110</v>
      </c>
      <c r="AR300" s="149" t="s">
        <v>110</v>
      </c>
      <c r="AS300" s="149" t="s">
        <v>110</v>
      </c>
      <c r="AT300" s="149" t="s">
        <v>110</v>
      </c>
      <c r="AU300" s="194">
        <v>45373</v>
      </c>
      <c r="AV300" s="149" t="s">
        <v>110</v>
      </c>
      <c r="AW300" s="149" t="s">
        <v>110</v>
      </c>
      <c r="AX300" s="194">
        <v>45384</v>
      </c>
      <c r="AY300" s="197">
        <v>45384</v>
      </c>
      <c r="AZ300" s="197" t="s">
        <v>33</v>
      </c>
      <c r="BA300" s="145" t="s">
        <v>113</v>
      </c>
      <c r="BB300" s="149" t="s">
        <v>110</v>
      </c>
      <c r="BC300" s="142">
        <f t="shared" si="15"/>
        <v>85</v>
      </c>
      <c r="BD300" s="134" t="str">
        <f t="shared" si="16"/>
        <v>INDENIZAÇÃO</v>
      </c>
      <c r="BE300" s="134" t="str">
        <f t="shared" si="18"/>
        <v>NÃO</v>
      </c>
      <c r="BF300" s="134" t="s">
        <v>24</v>
      </c>
      <c r="BG300" s="134" t="s">
        <v>24</v>
      </c>
      <c r="BH300" s="134" t="s">
        <v>24</v>
      </c>
      <c r="BI300" s="149" t="s">
        <v>110</v>
      </c>
      <c r="BJ300" s="149" t="s">
        <v>110</v>
      </c>
      <c r="BK300" s="194">
        <v>45510</v>
      </c>
      <c r="BL300" s="149" t="s">
        <v>110</v>
      </c>
      <c r="BM300" s="145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hidden="1" customHeight="1" x14ac:dyDescent="0.25">
      <c r="A301" s="134">
        <v>285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1572</v>
      </c>
      <c r="G301" s="149" t="s">
        <v>337</v>
      </c>
      <c r="H301" s="149" t="s">
        <v>103</v>
      </c>
      <c r="I301" s="149" t="s">
        <v>342</v>
      </c>
      <c r="J301" s="152" t="s">
        <v>1573</v>
      </c>
      <c r="K301" s="152" t="s">
        <v>1574</v>
      </c>
      <c r="L301" s="152" t="s">
        <v>1575</v>
      </c>
      <c r="M301" s="134" t="s">
        <v>4</v>
      </c>
      <c r="N301" s="214" t="s">
        <v>5</v>
      </c>
      <c r="O301" s="194">
        <v>45702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/>
      <c r="AB301" s="152" t="s">
        <v>1573</v>
      </c>
      <c r="AC301" s="152" t="s">
        <v>1574</v>
      </c>
      <c r="AD301" s="152" t="s">
        <v>1575</v>
      </c>
      <c r="AE301" s="134" t="s">
        <v>342</v>
      </c>
      <c r="AF301" s="149" t="s">
        <v>4</v>
      </c>
      <c r="AG301" s="208">
        <v>16485.37</v>
      </c>
      <c r="AH301" s="208">
        <v>46485.37</v>
      </c>
      <c r="AI301" s="232" t="s">
        <v>6</v>
      </c>
      <c r="AJ301" s="138" t="s">
        <v>109</v>
      </c>
      <c r="AK301" s="235">
        <v>95001315</v>
      </c>
      <c r="AL301" s="149" t="s">
        <v>110</v>
      </c>
      <c r="AM301" s="149" t="s">
        <v>110</v>
      </c>
      <c r="AN301" s="149" t="s">
        <v>111</v>
      </c>
      <c r="AO301" s="224" t="s">
        <v>1576</v>
      </c>
      <c r="AP301" s="152" t="s">
        <v>1577</v>
      </c>
      <c r="AQ301" s="149" t="s">
        <v>110</v>
      </c>
      <c r="AR301" s="149" t="s">
        <v>110</v>
      </c>
      <c r="AS301" s="198" t="s">
        <v>110</v>
      </c>
      <c r="AT301" s="198" t="s">
        <v>110</v>
      </c>
      <c r="AU301" s="194">
        <v>45806</v>
      </c>
      <c r="AV301" s="198" t="s">
        <v>110</v>
      </c>
      <c r="AW301" s="198" t="s">
        <v>110</v>
      </c>
      <c r="AX301" s="194">
        <v>45812</v>
      </c>
      <c r="AY301" s="197">
        <v>45812</v>
      </c>
      <c r="AZ301" s="145" t="s">
        <v>33</v>
      </c>
      <c r="BA301" s="145" t="s">
        <v>113</v>
      </c>
      <c r="BB301" s="149" t="s">
        <v>110</v>
      </c>
      <c r="BC301" s="142">
        <f t="shared" si="15"/>
        <v>110</v>
      </c>
      <c r="BD301" s="134" t="str">
        <f t="shared" si="16"/>
        <v>INDENIZAÇÃO</v>
      </c>
      <c r="BE301" s="134" t="str">
        <f t="shared" si="18"/>
        <v>NÃO</v>
      </c>
      <c r="BF301" s="134" t="s">
        <v>24</v>
      </c>
      <c r="BG301" s="134" t="s">
        <v>24</v>
      </c>
      <c r="BH301" s="134" t="s">
        <v>24</v>
      </c>
      <c r="BI301" s="198" t="s">
        <v>110</v>
      </c>
      <c r="BJ301" s="198" t="s">
        <v>110</v>
      </c>
      <c r="BK301" s="194">
        <v>45859</v>
      </c>
      <c r="BL301" s="149" t="s">
        <v>110</v>
      </c>
      <c r="BM301" s="141" t="s">
        <v>33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hidden="1" customHeight="1" x14ac:dyDescent="0.25">
      <c r="A302" s="134">
        <v>286</v>
      </c>
      <c r="B302" s="245" t="s">
        <v>99</v>
      </c>
      <c r="C302" s="245">
        <v>1</v>
      </c>
      <c r="D302" s="245" t="s">
        <v>100</v>
      </c>
      <c r="E302" s="245" t="s">
        <v>100</v>
      </c>
      <c r="F302" s="246" t="s">
        <v>1578</v>
      </c>
      <c r="G302" s="149" t="s">
        <v>337</v>
      </c>
      <c r="H302" s="149" t="s">
        <v>103</v>
      </c>
      <c r="I302" s="149" t="s">
        <v>342</v>
      </c>
      <c r="J302" s="152" t="s">
        <v>1579</v>
      </c>
      <c r="K302" s="152" t="s">
        <v>1580</v>
      </c>
      <c r="L302" s="152" t="s">
        <v>1581</v>
      </c>
      <c r="M302" s="245" t="s">
        <v>4</v>
      </c>
      <c r="N302" s="245" t="s">
        <v>5</v>
      </c>
      <c r="O302" s="256">
        <v>45455</v>
      </c>
      <c r="P302" s="249" t="s">
        <v>24</v>
      </c>
      <c r="Q302" s="249" t="s">
        <v>24</v>
      </c>
      <c r="R302" s="249" t="s">
        <v>24</v>
      </c>
      <c r="S302" s="249" t="s">
        <v>24</v>
      </c>
      <c r="T302" s="249" t="s">
        <v>24</v>
      </c>
      <c r="U302" s="249" t="s">
        <v>24</v>
      </c>
      <c r="V302" s="249" t="s">
        <v>24</v>
      </c>
      <c r="W302" s="249" t="s">
        <v>24</v>
      </c>
      <c r="X302" s="249" t="s">
        <v>24</v>
      </c>
      <c r="Y302" s="249" t="s">
        <v>24</v>
      </c>
      <c r="Z302" s="249" t="s">
        <v>24</v>
      </c>
      <c r="AA302" s="250"/>
      <c r="AB302" s="152" t="s">
        <v>1579</v>
      </c>
      <c r="AC302" s="152" t="s">
        <v>1580</v>
      </c>
      <c r="AD302" s="152" t="s">
        <v>1581</v>
      </c>
      <c r="AE302" s="134" t="s">
        <v>342</v>
      </c>
      <c r="AF302" s="250" t="s">
        <v>4</v>
      </c>
      <c r="AG302" s="208">
        <v>11633.01</v>
      </c>
      <c r="AH302" s="208">
        <f>AG302+30000</f>
        <v>41633.01</v>
      </c>
      <c r="AI302" s="245" t="s">
        <v>6</v>
      </c>
      <c r="AJ302" s="312" t="s">
        <v>109</v>
      </c>
      <c r="AK302" s="245"/>
      <c r="AL302" s="250" t="s">
        <v>110</v>
      </c>
      <c r="AM302" s="250" t="s">
        <v>110</v>
      </c>
      <c r="AN302" s="250" t="s">
        <v>111</v>
      </c>
      <c r="AO302" s="250"/>
      <c r="AP302" s="253" t="s">
        <v>1582</v>
      </c>
      <c r="AQ302" s="250" t="s">
        <v>110</v>
      </c>
      <c r="AR302" s="250" t="s">
        <v>110</v>
      </c>
      <c r="AS302" s="250" t="s">
        <v>110</v>
      </c>
      <c r="AT302" s="250" t="s">
        <v>110</v>
      </c>
      <c r="AU302" s="256">
        <v>45573</v>
      </c>
      <c r="AV302" s="250" t="s">
        <v>110</v>
      </c>
      <c r="AW302" s="250" t="s">
        <v>110</v>
      </c>
      <c r="AX302" s="256">
        <v>45582</v>
      </c>
      <c r="AY302" s="249">
        <v>45582</v>
      </c>
      <c r="AZ302" s="245" t="s">
        <v>355</v>
      </c>
      <c r="BA302" s="245" t="s">
        <v>1</v>
      </c>
      <c r="BB302" s="250" t="s">
        <v>110</v>
      </c>
      <c r="BC302" s="142">
        <f t="shared" si="15"/>
        <v>127</v>
      </c>
      <c r="BD302" s="134" t="str">
        <f t="shared" si="16"/>
        <v>INDENIZAÇÃO</v>
      </c>
      <c r="BE302" s="134" t="str">
        <f t="shared" si="18"/>
        <v>NÃO</v>
      </c>
      <c r="BF302" s="245" t="s">
        <v>24</v>
      </c>
      <c r="BG302" s="245" t="s">
        <v>24</v>
      </c>
      <c r="BH302" s="245" t="s">
        <v>24</v>
      </c>
      <c r="BI302" s="250" t="s">
        <v>110</v>
      </c>
      <c r="BJ302" s="250" t="s">
        <v>110</v>
      </c>
      <c r="BK302" s="256">
        <v>45621</v>
      </c>
      <c r="BL302" s="250" t="s">
        <v>110</v>
      </c>
      <c r="BM302" s="250" t="s">
        <v>33</v>
      </c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hidden="1" customHeight="1" x14ac:dyDescent="0.25">
      <c r="A303" s="134">
        <v>287</v>
      </c>
      <c r="B303" s="134" t="s">
        <v>99</v>
      </c>
      <c r="C303" s="134">
        <v>1</v>
      </c>
      <c r="D303" s="134" t="s">
        <v>100</v>
      </c>
      <c r="E303" s="134" t="s">
        <v>100</v>
      </c>
      <c r="F303" s="138" t="s">
        <v>1583</v>
      </c>
      <c r="G303" s="149" t="s">
        <v>1</v>
      </c>
      <c r="H303" s="149" t="s">
        <v>2</v>
      </c>
      <c r="I303" s="149" t="s">
        <v>108</v>
      </c>
      <c r="J303" s="152" t="s">
        <v>1584</v>
      </c>
      <c r="K303" s="152" t="s">
        <v>1585</v>
      </c>
      <c r="L303" s="152" t="s">
        <v>1586</v>
      </c>
      <c r="M303" s="134" t="s">
        <v>4</v>
      </c>
      <c r="N303" s="214" t="s">
        <v>480</v>
      </c>
      <c r="O303" s="194">
        <v>45856</v>
      </c>
      <c r="P303" s="144" t="s">
        <v>24</v>
      </c>
      <c r="Q303" s="144" t="s">
        <v>24</v>
      </c>
      <c r="R303" s="144" t="s">
        <v>24</v>
      </c>
      <c r="S303" s="144" t="s">
        <v>24</v>
      </c>
      <c r="T303" s="144" t="s">
        <v>24</v>
      </c>
      <c r="U303" s="144" t="s">
        <v>24</v>
      </c>
      <c r="V303" s="144" t="s">
        <v>24</v>
      </c>
      <c r="W303" s="144" t="s">
        <v>24</v>
      </c>
      <c r="X303" s="144" t="s">
        <v>24</v>
      </c>
      <c r="Y303" s="144" t="s">
        <v>24</v>
      </c>
      <c r="Z303" s="144" t="s">
        <v>24</v>
      </c>
      <c r="AA303" s="149" t="s">
        <v>1587</v>
      </c>
      <c r="AB303" s="152" t="s">
        <v>1584</v>
      </c>
      <c r="AC303" s="152" t="s">
        <v>1588</v>
      </c>
      <c r="AD303" s="152" t="s">
        <v>1586</v>
      </c>
      <c r="AE303" s="149" t="s">
        <v>108</v>
      </c>
      <c r="AF303" s="149" t="s">
        <v>4</v>
      </c>
      <c r="AG303" s="208">
        <v>0</v>
      </c>
      <c r="AH303" s="208">
        <v>0</v>
      </c>
      <c r="AI303" s="234" t="s">
        <v>1587</v>
      </c>
      <c r="AJ303" s="214" t="s">
        <v>24</v>
      </c>
      <c r="AK303" s="235" t="s">
        <v>24</v>
      </c>
      <c r="AL303" s="214" t="s">
        <v>24</v>
      </c>
      <c r="AM303" s="214" t="s">
        <v>24</v>
      </c>
      <c r="AN303" s="214" t="s">
        <v>24</v>
      </c>
      <c r="AO303" s="149" t="s">
        <v>1587</v>
      </c>
      <c r="AP303" s="214" t="s">
        <v>24</v>
      </c>
      <c r="AQ303" s="214" t="s">
        <v>24</v>
      </c>
      <c r="AR303" s="214" t="s">
        <v>24</v>
      </c>
      <c r="AS303" s="214" t="s">
        <v>24</v>
      </c>
      <c r="AT303" s="214" t="s">
        <v>24</v>
      </c>
      <c r="AU303" s="214" t="s">
        <v>24</v>
      </c>
      <c r="AV303" s="214" t="s">
        <v>24</v>
      </c>
      <c r="AW303" s="214" t="s">
        <v>24</v>
      </c>
      <c r="AX303" s="214" t="s">
        <v>24</v>
      </c>
      <c r="AY303" s="214" t="s">
        <v>24</v>
      </c>
      <c r="AZ303" s="145" t="s">
        <v>33</v>
      </c>
      <c r="BA303" s="145" t="s">
        <v>113</v>
      </c>
      <c r="BB303" s="250" t="s">
        <v>110</v>
      </c>
      <c r="BC303" s="142" t="e">
        <f t="shared" si="15"/>
        <v>#VALUE!</v>
      </c>
      <c r="BD303" s="134" t="str">
        <f t="shared" si="16"/>
        <v>INDENIZAÇÃO</v>
      </c>
      <c r="BE303" s="134" t="str">
        <f t="shared" si="18"/>
        <v>NÃO</v>
      </c>
      <c r="BF303" s="214" t="s">
        <v>24</v>
      </c>
      <c r="BG303" s="214" t="s">
        <v>24</v>
      </c>
      <c r="BH303" s="214" t="s">
        <v>24</v>
      </c>
      <c r="BI303" s="214" t="s">
        <v>24</v>
      </c>
      <c r="BJ303" s="214" t="s">
        <v>24</v>
      </c>
      <c r="BK303" s="214" t="s">
        <v>24</v>
      </c>
      <c r="BL303" s="214" t="s">
        <v>24</v>
      </c>
      <c r="BM303" s="145" t="s">
        <v>110</v>
      </c>
      <c r="BN303" s="149"/>
      <c r="BO303" s="149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  <c r="CI303" s="200"/>
      <c r="CJ303" s="149"/>
      <c r="CK303" s="149"/>
      <c r="CL303" s="149"/>
      <c r="CM303" s="149"/>
    </row>
    <row r="304" spans="1:91" ht="30" customHeight="1" x14ac:dyDescent="0.25">
      <c r="A304" s="134">
        <v>288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1589</v>
      </c>
      <c r="G304" s="149" t="s">
        <v>1</v>
      </c>
      <c r="H304" s="149" t="s">
        <v>2</v>
      </c>
      <c r="I304" s="149" t="s">
        <v>382</v>
      </c>
      <c r="J304" s="152" t="s">
        <v>1590</v>
      </c>
      <c r="K304" s="152" t="s">
        <v>1591</v>
      </c>
      <c r="L304" s="152" t="s">
        <v>1592</v>
      </c>
      <c r="M304" s="134" t="s">
        <v>4</v>
      </c>
      <c r="N304" s="134" t="s">
        <v>14</v>
      </c>
      <c r="O304" s="194">
        <v>45856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1584</v>
      </c>
      <c r="AC304" s="152" t="s">
        <v>1585</v>
      </c>
      <c r="AD304" s="152" t="s">
        <v>1586</v>
      </c>
      <c r="AE304" s="134" t="s">
        <v>342</v>
      </c>
      <c r="AF304" s="149" t="s">
        <v>4</v>
      </c>
      <c r="AG304" s="208">
        <v>35033.160000000003</v>
      </c>
      <c r="AH304" s="208">
        <v>35033.160000000003</v>
      </c>
      <c r="AI304" s="232" t="s">
        <v>6</v>
      </c>
      <c r="AJ304" s="138" t="s">
        <v>109</v>
      </c>
      <c r="AK304" s="235">
        <v>130628307</v>
      </c>
      <c r="AL304" s="149" t="s">
        <v>110</v>
      </c>
      <c r="AM304" s="149" t="s">
        <v>110</v>
      </c>
      <c r="AN304" s="149" t="s">
        <v>111</v>
      </c>
      <c r="AO304" s="272"/>
      <c r="AP304" s="152" t="s">
        <v>1593</v>
      </c>
      <c r="AQ304" s="198" t="s">
        <v>110</v>
      </c>
      <c r="AR304" s="198" t="s">
        <v>110</v>
      </c>
      <c r="AS304" s="198" t="s">
        <v>110</v>
      </c>
      <c r="AT304" s="198" t="s">
        <v>110</v>
      </c>
      <c r="AU304" s="194">
        <v>45908</v>
      </c>
      <c r="AV304" s="198" t="s">
        <v>110</v>
      </c>
      <c r="AW304" s="198" t="s">
        <v>110</v>
      </c>
      <c r="AX304" s="194">
        <v>45952</v>
      </c>
      <c r="AY304" s="197">
        <v>45952</v>
      </c>
      <c r="AZ304" s="145" t="s">
        <v>33</v>
      </c>
      <c r="BA304" s="141" t="s">
        <v>113</v>
      </c>
      <c r="BB304" s="149" t="s">
        <v>110</v>
      </c>
      <c r="BC304" s="142">
        <f t="shared" si="15"/>
        <v>96</v>
      </c>
      <c r="BD304" s="134" t="str">
        <f t="shared" si="16"/>
        <v>INDENIZAÇÃO</v>
      </c>
      <c r="BE304" s="134" t="str">
        <f t="shared" si="18"/>
        <v>NÃO</v>
      </c>
      <c r="BF304" s="134" t="s">
        <v>24</v>
      </c>
      <c r="BG304" s="134" t="s">
        <v>24</v>
      </c>
      <c r="BH304" s="134" t="s">
        <v>24</v>
      </c>
      <c r="BI304" s="198" t="s">
        <v>110</v>
      </c>
      <c r="BJ304" s="145" t="s">
        <v>33</v>
      </c>
      <c r="BK304" s="145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  <c r="CI304" s="200"/>
      <c r="CJ304" s="149"/>
      <c r="CK304" s="149"/>
      <c r="CL304" s="149"/>
      <c r="CM304" s="149"/>
    </row>
    <row r="305" spans="1:91" ht="30" customHeight="1" x14ac:dyDescent="0.25">
      <c r="A305" s="134">
        <v>41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1594</v>
      </c>
      <c r="G305" s="149" t="s">
        <v>1</v>
      </c>
      <c r="H305" s="149" t="s">
        <v>2</v>
      </c>
      <c r="I305" s="149" t="s">
        <v>108</v>
      </c>
      <c r="J305" s="152" t="s">
        <v>1595</v>
      </c>
      <c r="K305" s="152" t="s">
        <v>1596</v>
      </c>
      <c r="L305" s="152" t="s">
        <v>1597</v>
      </c>
      <c r="M305" s="134" t="s">
        <v>4</v>
      </c>
      <c r="N305" s="134" t="s">
        <v>5</v>
      </c>
      <c r="O305" s="194">
        <v>46100</v>
      </c>
      <c r="P305" s="144" t="s">
        <v>24</v>
      </c>
      <c r="Q305" s="144" t="s">
        <v>24</v>
      </c>
      <c r="R305" s="144" t="s">
        <v>24</v>
      </c>
      <c r="S305" s="144" t="s">
        <v>24</v>
      </c>
      <c r="T305" s="144" t="s">
        <v>24</v>
      </c>
      <c r="U305" s="144" t="s">
        <v>24</v>
      </c>
      <c r="V305" s="144" t="s">
        <v>24</v>
      </c>
      <c r="W305" s="144" t="s">
        <v>24</v>
      </c>
      <c r="X305" s="144" t="s">
        <v>24</v>
      </c>
      <c r="Y305" s="144" t="s">
        <v>24</v>
      </c>
      <c r="Z305" s="144" t="s">
        <v>24</v>
      </c>
      <c r="AA305" s="149"/>
      <c r="AB305" s="152" t="s">
        <v>1595</v>
      </c>
      <c r="AC305" s="152" t="s">
        <v>1596</v>
      </c>
      <c r="AD305" s="152" t="s">
        <v>1597</v>
      </c>
      <c r="AE305" s="149" t="s">
        <v>108</v>
      </c>
      <c r="AF305" s="149" t="s">
        <v>4</v>
      </c>
      <c r="AG305" s="208">
        <v>48561.54</v>
      </c>
      <c r="AH305" s="208">
        <v>60000</v>
      </c>
      <c r="AI305" s="232" t="s">
        <v>6</v>
      </c>
      <c r="AJ305" s="138" t="s">
        <v>109</v>
      </c>
      <c r="AK305" s="235">
        <v>108769893</v>
      </c>
      <c r="AL305" s="149" t="s">
        <v>110</v>
      </c>
      <c r="AM305" s="149" t="s">
        <v>110</v>
      </c>
      <c r="AN305" s="149" t="s">
        <v>111</v>
      </c>
      <c r="AO305" s="149"/>
      <c r="AP305" s="152" t="s">
        <v>1598</v>
      </c>
      <c r="AQ305" s="149" t="s">
        <v>110</v>
      </c>
      <c r="AR305" s="149" t="s">
        <v>110</v>
      </c>
      <c r="AS305" s="149" t="s">
        <v>110</v>
      </c>
      <c r="AT305" s="149" t="s">
        <v>110</v>
      </c>
      <c r="AU305" s="194">
        <v>46182</v>
      </c>
      <c r="AV305" s="149" t="s">
        <v>110</v>
      </c>
      <c r="AW305" s="149" t="s">
        <v>110</v>
      </c>
      <c r="AX305" s="194">
        <v>46189</v>
      </c>
      <c r="AY305" s="197">
        <v>46189</v>
      </c>
      <c r="AZ305" s="145" t="s">
        <v>33</v>
      </c>
      <c r="BA305" s="145" t="s">
        <v>113</v>
      </c>
      <c r="BB305" s="149" t="s">
        <v>110</v>
      </c>
      <c r="BC305" s="142">
        <f t="shared" si="15"/>
        <v>89</v>
      </c>
      <c r="BD305" s="134" t="str">
        <f t="shared" si="16"/>
        <v>INDENIZAÇÃO</v>
      </c>
      <c r="BE305" s="134" t="str">
        <f t="shared" si="18"/>
        <v>NÃO</v>
      </c>
      <c r="BF305" s="149" t="s">
        <v>24</v>
      </c>
      <c r="BG305" s="149" t="s">
        <v>24</v>
      </c>
      <c r="BH305" s="149" t="s">
        <v>24</v>
      </c>
      <c r="BI305" s="198" t="s">
        <v>110</v>
      </c>
      <c r="BJ305" s="145" t="s">
        <v>33</v>
      </c>
      <c r="BK305" s="145"/>
      <c r="BL305" s="145"/>
      <c r="BM305" s="145"/>
      <c r="BN305" s="276"/>
      <c r="BO305" s="276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</row>
    <row r="306" spans="1:91" ht="30" customHeight="1" x14ac:dyDescent="0.25">
      <c r="A306" s="134">
        <v>290</v>
      </c>
      <c r="B306" s="134" t="s">
        <v>99</v>
      </c>
      <c r="C306" s="134">
        <v>1</v>
      </c>
      <c r="D306" s="134" t="s">
        <v>100</v>
      </c>
      <c r="E306" s="134" t="s">
        <v>100</v>
      </c>
      <c r="F306" s="138" t="s">
        <v>1599</v>
      </c>
      <c r="G306" s="149" t="s">
        <v>1</v>
      </c>
      <c r="H306" s="149" t="s">
        <v>2</v>
      </c>
      <c r="I306" s="149" t="s">
        <v>108</v>
      </c>
      <c r="J306" s="152" t="s">
        <v>1600</v>
      </c>
      <c r="K306" s="152" t="s">
        <v>1601</v>
      </c>
      <c r="L306" s="152" t="s">
        <v>1602</v>
      </c>
      <c r="M306" s="134" t="s">
        <v>4</v>
      </c>
      <c r="N306" s="214" t="s">
        <v>5</v>
      </c>
      <c r="O306" s="194">
        <v>45959</v>
      </c>
      <c r="P306" s="144" t="s">
        <v>24</v>
      </c>
      <c r="Q306" s="144" t="s">
        <v>24</v>
      </c>
      <c r="R306" s="144" t="s">
        <v>24</v>
      </c>
      <c r="S306" s="144" t="s">
        <v>24</v>
      </c>
      <c r="T306" s="144" t="s">
        <v>24</v>
      </c>
      <c r="U306" s="144" t="s">
        <v>24</v>
      </c>
      <c r="V306" s="144" t="s">
        <v>24</v>
      </c>
      <c r="W306" s="144" t="s">
        <v>24</v>
      </c>
      <c r="X306" s="144" t="s">
        <v>24</v>
      </c>
      <c r="Y306" s="144" t="s">
        <v>24</v>
      </c>
      <c r="Z306" s="144" t="s">
        <v>24</v>
      </c>
      <c r="AA306" s="149"/>
      <c r="AB306" s="152" t="s">
        <v>1600</v>
      </c>
      <c r="AC306" s="152" t="s">
        <v>1601</v>
      </c>
      <c r="AD306" s="152" t="s">
        <v>1602</v>
      </c>
      <c r="AE306" s="149" t="s">
        <v>108</v>
      </c>
      <c r="AF306" s="149" t="s">
        <v>4</v>
      </c>
      <c r="AG306" s="208">
        <v>92174.05</v>
      </c>
      <c r="AH306" s="208">
        <v>92174.05</v>
      </c>
      <c r="AI306" s="232" t="s">
        <v>6</v>
      </c>
      <c r="AJ306" s="138" t="s">
        <v>109</v>
      </c>
      <c r="AK306" s="235">
        <v>96453147</v>
      </c>
      <c r="AL306" s="198" t="s">
        <v>110</v>
      </c>
      <c r="AM306" s="198" t="s">
        <v>110</v>
      </c>
      <c r="AN306" s="273" t="s">
        <v>111</v>
      </c>
      <c r="AO306" s="149" t="s">
        <v>1603</v>
      </c>
      <c r="AP306" s="152" t="s">
        <v>1604</v>
      </c>
      <c r="AQ306" s="149" t="s">
        <v>110</v>
      </c>
      <c r="AR306" s="149" t="s">
        <v>110</v>
      </c>
      <c r="AS306" s="149" t="s">
        <v>110</v>
      </c>
      <c r="AT306" s="149" t="s">
        <v>110</v>
      </c>
      <c r="AU306" s="144">
        <v>46090</v>
      </c>
      <c r="AV306" s="149" t="s">
        <v>110</v>
      </c>
      <c r="AW306" s="149" t="s">
        <v>110</v>
      </c>
      <c r="AX306" s="274">
        <v>46097</v>
      </c>
      <c r="AY306" s="197">
        <v>46097</v>
      </c>
      <c r="AZ306" s="145" t="s">
        <v>33</v>
      </c>
      <c r="BA306" s="145" t="s">
        <v>113</v>
      </c>
      <c r="BB306" s="198" t="s">
        <v>110</v>
      </c>
      <c r="BC306" s="142">
        <f t="shared" si="15"/>
        <v>138</v>
      </c>
      <c r="BD306" s="134" t="str">
        <f t="shared" si="16"/>
        <v>INDENIZAÇÃO</v>
      </c>
      <c r="BE306" s="134" t="str">
        <f t="shared" si="18"/>
        <v>NÃO</v>
      </c>
      <c r="BF306" s="198" t="s">
        <v>24</v>
      </c>
      <c r="BG306" s="198" t="s">
        <v>24</v>
      </c>
      <c r="BH306" s="198" t="s">
        <v>24</v>
      </c>
      <c r="BI306" s="198" t="s">
        <v>110</v>
      </c>
      <c r="BJ306" s="145" t="s">
        <v>33</v>
      </c>
      <c r="BK306" s="279"/>
      <c r="BL306" s="145"/>
      <c r="BM306" s="145"/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hidden="1" customHeight="1" x14ac:dyDescent="0.25">
      <c r="A307" s="134">
        <v>291</v>
      </c>
      <c r="B307" s="134" t="s">
        <v>99</v>
      </c>
      <c r="C307" s="134">
        <v>1</v>
      </c>
      <c r="D307" s="134" t="s">
        <v>100</v>
      </c>
      <c r="E307" s="134" t="s">
        <v>100</v>
      </c>
      <c r="F307" s="138" t="s">
        <v>1605</v>
      </c>
      <c r="G307" s="149" t="s">
        <v>1</v>
      </c>
      <c r="H307" s="149" t="s">
        <v>2</v>
      </c>
      <c r="I307" s="149" t="s">
        <v>382</v>
      </c>
      <c r="J307" s="152" t="s">
        <v>1606</v>
      </c>
      <c r="K307" s="152" t="s">
        <v>1607</v>
      </c>
      <c r="L307" s="152" t="s">
        <v>1608</v>
      </c>
      <c r="M307" s="134" t="s">
        <v>4</v>
      </c>
      <c r="N307" s="134" t="s">
        <v>14</v>
      </c>
      <c r="O307" s="194">
        <v>45652</v>
      </c>
      <c r="P307" s="197" t="s">
        <v>17</v>
      </c>
      <c r="Q307" s="264" t="s">
        <v>386</v>
      </c>
      <c r="R307" s="197"/>
      <c r="S307" s="197"/>
      <c r="T307" s="197"/>
      <c r="U307" s="197"/>
      <c r="V307" s="197"/>
      <c r="W307" s="197"/>
      <c r="X307" s="197"/>
      <c r="Y307" s="197"/>
      <c r="Z307" s="197"/>
      <c r="AA307" s="149"/>
      <c r="AB307" s="152" t="s">
        <v>1609</v>
      </c>
      <c r="AC307" s="152" t="s">
        <v>1610</v>
      </c>
      <c r="AD307" s="152" t="s">
        <v>1611</v>
      </c>
      <c r="AE307" s="134" t="s">
        <v>342</v>
      </c>
      <c r="AF307" s="149" t="s">
        <v>4</v>
      </c>
      <c r="AG307" s="208">
        <v>64785.45</v>
      </c>
      <c r="AH307" s="208">
        <v>64785.45</v>
      </c>
      <c r="AI307" s="214" t="s">
        <v>6</v>
      </c>
      <c r="AJ307" s="310" t="s">
        <v>109</v>
      </c>
      <c r="AK307" s="134">
        <v>105664783</v>
      </c>
      <c r="AL307" s="149" t="s">
        <v>110</v>
      </c>
      <c r="AM307" s="149" t="s">
        <v>110</v>
      </c>
      <c r="AN307" s="149" t="s">
        <v>111</v>
      </c>
      <c r="AO307" s="134" t="s">
        <v>1050</v>
      </c>
      <c r="AP307" s="152" t="s">
        <v>1612</v>
      </c>
      <c r="AQ307" s="198" t="s">
        <v>110</v>
      </c>
      <c r="AR307" s="198" t="s">
        <v>110</v>
      </c>
      <c r="AS307" s="149" t="s">
        <v>110</v>
      </c>
      <c r="AT307" s="198" t="s">
        <v>110</v>
      </c>
      <c r="AU307" s="194">
        <v>45806</v>
      </c>
      <c r="AV307" s="198" t="s">
        <v>110</v>
      </c>
      <c r="AW307" s="198" t="s">
        <v>110</v>
      </c>
      <c r="AX307" s="194">
        <v>45812</v>
      </c>
      <c r="AY307" s="197">
        <v>45812</v>
      </c>
      <c r="AZ307" s="145" t="s">
        <v>33</v>
      </c>
      <c r="BA307" s="145" t="s">
        <v>113</v>
      </c>
      <c r="BB307" s="149" t="s">
        <v>110</v>
      </c>
      <c r="BC307" s="142">
        <f t="shared" si="15"/>
        <v>160</v>
      </c>
      <c r="BD307" s="134" t="str">
        <f t="shared" si="16"/>
        <v>INDENIZAÇÃO</v>
      </c>
      <c r="BE307" s="134" t="str">
        <f t="shared" si="18"/>
        <v>NÃO</v>
      </c>
      <c r="BF307" s="134" t="s">
        <v>24</v>
      </c>
      <c r="BG307" s="134" t="s">
        <v>24</v>
      </c>
      <c r="BH307" s="134" t="s">
        <v>24</v>
      </c>
      <c r="BI307" s="198" t="s">
        <v>110</v>
      </c>
      <c r="BJ307" s="198" t="s">
        <v>110</v>
      </c>
      <c r="BK307" s="194">
        <v>45859</v>
      </c>
      <c r="BL307" s="149" t="s">
        <v>110</v>
      </c>
      <c r="BM307" s="141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  <c r="CI307" s="200"/>
      <c r="CJ307" s="149"/>
      <c r="CK307" s="149"/>
      <c r="CL307" s="149"/>
      <c r="CM307" s="149"/>
    </row>
    <row r="308" spans="1:91" ht="30" hidden="1" customHeight="1" x14ac:dyDescent="0.25">
      <c r="A308" s="134">
        <v>292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1613</v>
      </c>
      <c r="G308" s="149" t="s">
        <v>1</v>
      </c>
      <c r="H308" s="149" t="s">
        <v>2</v>
      </c>
      <c r="I308" s="149" t="s">
        <v>382</v>
      </c>
      <c r="J308" s="152" t="s">
        <v>1614</v>
      </c>
      <c r="K308" s="152" t="s">
        <v>1615</v>
      </c>
      <c r="L308" s="152" t="s">
        <v>1616</v>
      </c>
      <c r="M308" s="245" t="s">
        <v>4</v>
      </c>
      <c r="N308" s="245" t="s">
        <v>14</v>
      </c>
      <c r="O308" s="256">
        <v>45455</v>
      </c>
      <c r="P308" s="249" t="s">
        <v>17</v>
      </c>
      <c r="Q308" s="246" t="s">
        <v>386</v>
      </c>
      <c r="R308" s="249"/>
      <c r="S308" s="249"/>
      <c r="T308" s="249"/>
      <c r="U308" s="249"/>
      <c r="V308" s="249"/>
      <c r="W308" s="249"/>
      <c r="X308" s="249"/>
      <c r="Y308" s="249"/>
      <c r="Z308" s="249"/>
      <c r="AA308" s="250"/>
      <c r="AB308" s="152" t="s">
        <v>1617</v>
      </c>
      <c r="AC308" s="152" t="s">
        <v>1618</v>
      </c>
      <c r="AD308" s="152" t="s">
        <v>1619</v>
      </c>
      <c r="AE308" s="134" t="s">
        <v>342</v>
      </c>
      <c r="AF308" s="250" t="s">
        <v>4</v>
      </c>
      <c r="AG308" s="208">
        <v>191631.42</v>
      </c>
      <c r="AH308" s="208">
        <f>AG308</f>
        <v>191631.42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1620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56">
        <v>45560</v>
      </c>
      <c r="AY308" s="249">
        <v>45560</v>
      </c>
      <c r="AZ308" s="245" t="s">
        <v>355</v>
      </c>
      <c r="BA308" s="245" t="s">
        <v>1</v>
      </c>
      <c r="BB308" s="250" t="s">
        <v>110</v>
      </c>
      <c r="BC308" s="142">
        <f t="shared" si="15"/>
        <v>105</v>
      </c>
      <c r="BD308" s="134" t="str">
        <f t="shared" si="16"/>
        <v>INDENIZAÇÃO</v>
      </c>
      <c r="BE308" s="134" t="str">
        <f t="shared" si="18"/>
        <v>NÃO</v>
      </c>
      <c r="BF308" s="250" t="s">
        <v>24</v>
      </c>
      <c r="BG308" s="250" t="s">
        <v>24</v>
      </c>
      <c r="BH308" s="250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hidden="1" customHeight="1" x14ac:dyDescent="0.25">
      <c r="A309" s="134">
        <v>293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1621</v>
      </c>
      <c r="G309" s="149" t="s">
        <v>1</v>
      </c>
      <c r="H309" s="149" t="s">
        <v>2</v>
      </c>
      <c r="I309" s="149" t="s">
        <v>382</v>
      </c>
      <c r="J309" s="152" t="s">
        <v>1622</v>
      </c>
      <c r="K309" s="152" t="s">
        <v>1623</v>
      </c>
      <c r="L309" s="152" t="s">
        <v>1624</v>
      </c>
      <c r="M309" s="245" t="s">
        <v>4</v>
      </c>
      <c r="N309" s="245" t="s">
        <v>14</v>
      </c>
      <c r="O309" s="256">
        <v>45455</v>
      </c>
      <c r="P309" s="249" t="s">
        <v>17</v>
      </c>
      <c r="Q309" s="246" t="s">
        <v>386</v>
      </c>
      <c r="R309" s="249"/>
      <c r="S309" s="249"/>
      <c r="T309" s="249"/>
      <c r="U309" s="249"/>
      <c r="V309" s="249"/>
      <c r="W309" s="249"/>
      <c r="X309" s="249"/>
      <c r="Y309" s="249"/>
      <c r="Z309" s="249"/>
      <c r="AA309" s="250"/>
      <c r="AB309" s="152" t="s">
        <v>1625</v>
      </c>
      <c r="AC309" s="152" t="s">
        <v>1626</v>
      </c>
      <c r="AD309" s="152" t="s">
        <v>1627</v>
      </c>
      <c r="AE309" s="134" t="s">
        <v>342</v>
      </c>
      <c r="AF309" s="250" t="s">
        <v>4</v>
      </c>
      <c r="AG309" s="208">
        <v>127455.59</v>
      </c>
      <c r="AH309" s="208">
        <f>AG309</f>
        <v>127455.59</v>
      </c>
      <c r="AI309" s="245" t="s">
        <v>6</v>
      </c>
      <c r="AJ309" s="312" t="s">
        <v>109</v>
      </c>
      <c r="AK309" s="245"/>
      <c r="AL309" s="250" t="s">
        <v>110</v>
      </c>
      <c r="AM309" s="250" t="s">
        <v>110</v>
      </c>
      <c r="AN309" s="250" t="s">
        <v>111</v>
      </c>
      <c r="AO309" s="250"/>
      <c r="AP309" s="253" t="s">
        <v>1628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45601</v>
      </c>
      <c r="AV309" s="250" t="s">
        <v>110</v>
      </c>
      <c r="AW309" s="250" t="s">
        <v>110</v>
      </c>
      <c r="AX309" s="256">
        <v>45617</v>
      </c>
      <c r="AY309" s="249">
        <v>45617</v>
      </c>
      <c r="AZ309" s="245" t="s">
        <v>355</v>
      </c>
      <c r="BA309" s="245" t="s">
        <v>1</v>
      </c>
      <c r="BB309" s="250" t="s">
        <v>110</v>
      </c>
      <c r="BC309" s="142">
        <f t="shared" si="15"/>
        <v>162</v>
      </c>
      <c r="BD309" s="134" t="str">
        <f t="shared" si="16"/>
        <v>INDENIZAÇÃO</v>
      </c>
      <c r="BE309" s="134" t="str">
        <f t="shared" si="18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hidden="1" customHeight="1" x14ac:dyDescent="0.25">
      <c r="A310" s="134">
        <v>294</v>
      </c>
      <c r="B310" s="245" t="s">
        <v>99</v>
      </c>
      <c r="C310" s="245">
        <v>1</v>
      </c>
      <c r="D310" s="245" t="s">
        <v>100</v>
      </c>
      <c r="E310" s="245" t="s">
        <v>100</v>
      </c>
      <c r="F310" s="246" t="s">
        <v>1629</v>
      </c>
      <c r="G310" s="149" t="s">
        <v>1</v>
      </c>
      <c r="H310" s="149" t="s">
        <v>2</v>
      </c>
      <c r="I310" s="149" t="s">
        <v>108</v>
      </c>
      <c r="J310" s="152" t="s">
        <v>1630</v>
      </c>
      <c r="K310" s="152" t="s">
        <v>1631</v>
      </c>
      <c r="L310" s="152" t="s">
        <v>1632</v>
      </c>
      <c r="M310" s="245" t="s">
        <v>4</v>
      </c>
      <c r="N310" s="245" t="s">
        <v>5</v>
      </c>
      <c r="O310" s="256">
        <v>45455</v>
      </c>
      <c r="P310" s="249" t="s">
        <v>24</v>
      </c>
      <c r="Q310" s="249" t="s">
        <v>24</v>
      </c>
      <c r="R310" s="249" t="s">
        <v>24</v>
      </c>
      <c r="S310" s="249" t="s">
        <v>24</v>
      </c>
      <c r="T310" s="249" t="s">
        <v>24</v>
      </c>
      <c r="U310" s="249" t="s">
        <v>24</v>
      </c>
      <c r="V310" s="249" t="s">
        <v>24</v>
      </c>
      <c r="W310" s="249" t="s">
        <v>24</v>
      </c>
      <c r="X310" s="249" t="s">
        <v>24</v>
      </c>
      <c r="Y310" s="249" t="s">
        <v>24</v>
      </c>
      <c r="Z310" s="249" t="s">
        <v>24</v>
      </c>
      <c r="AA310" s="250"/>
      <c r="AB310" s="152" t="s">
        <v>1630</v>
      </c>
      <c r="AC310" s="152" t="s">
        <v>1631</v>
      </c>
      <c r="AD310" s="152" t="s">
        <v>1632</v>
      </c>
      <c r="AE310" s="149" t="s">
        <v>108</v>
      </c>
      <c r="AF310" s="250" t="s">
        <v>4</v>
      </c>
      <c r="AG310" s="208">
        <v>106351.3</v>
      </c>
      <c r="AH310" s="208">
        <v>106351.3</v>
      </c>
      <c r="AI310" s="251" t="s">
        <v>6</v>
      </c>
      <c r="AJ310" s="246" t="s">
        <v>109</v>
      </c>
      <c r="AK310" s="257"/>
      <c r="AL310" s="250" t="s">
        <v>110</v>
      </c>
      <c r="AM310" s="250" t="s">
        <v>110</v>
      </c>
      <c r="AN310" s="250" t="s">
        <v>111</v>
      </c>
      <c r="AO310" s="250"/>
      <c r="AP310" s="253" t="s">
        <v>1633</v>
      </c>
      <c r="AQ310" s="250" t="s">
        <v>110</v>
      </c>
      <c r="AR310" s="250" t="s">
        <v>110</v>
      </c>
      <c r="AS310" s="250" t="s">
        <v>110</v>
      </c>
      <c r="AT310" s="250" t="s">
        <v>110</v>
      </c>
      <c r="AU310" s="256">
        <v>45538</v>
      </c>
      <c r="AV310" s="250" t="s">
        <v>110</v>
      </c>
      <c r="AW310" s="250" t="s">
        <v>110</v>
      </c>
      <c r="AX310" s="249">
        <v>45546</v>
      </c>
      <c r="AY310" s="249">
        <v>45546</v>
      </c>
      <c r="AZ310" s="245" t="s">
        <v>355</v>
      </c>
      <c r="BA310" s="245" t="s">
        <v>1</v>
      </c>
      <c r="BB310" s="250" t="s">
        <v>110</v>
      </c>
      <c r="BC310" s="142">
        <f t="shared" si="15"/>
        <v>91</v>
      </c>
      <c r="BD310" s="134" t="str">
        <f t="shared" si="16"/>
        <v>INDENIZAÇÃO</v>
      </c>
      <c r="BE310" s="134" t="str">
        <f t="shared" si="18"/>
        <v>NÃO</v>
      </c>
      <c r="BF310" s="245" t="s">
        <v>24</v>
      </c>
      <c r="BG310" s="245" t="s">
        <v>24</v>
      </c>
      <c r="BH310" s="245" t="s">
        <v>24</v>
      </c>
      <c r="BI310" s="250" t="s">
        <v>110</v>
      </c>
      <c r="BJ310" s="250" t="s">
        <v>110</v>
      </c>
      <c r="BK310" s="256">
        <v>45621</v>
      </c>
      <c r="BL310" s="250" t="s">
        <v>110</v>
      </c>
      <c r="BM310" s="250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hidden="1" customHeight="1" x14ac:dyDescent="0.25">
      <c r="A311" s="134">
        <v>295</v>
      </c>
      <c r="B311" s="245" t="s">
        <v>99</v>
      </c>
      <c r="C311" s="245">
        <v>1</v>
      </c>
      <c r="D311" s="245" t="s">
        <v>100</v>
      </c>
      <c r="E311" s="245" t="s">
        <v>100</v>
      </c>
      <c r="F311" s="246" t="s">
        <v>1634</v>
      </c>
      <c r="G311" s="149" t="s">
        <v>10</v>
      </c>
      <c r="H311" s="149" t="s">
        <v>1081</v>
      </c>
      <c r="I311" s="149" t="s">
        <v>342</v>
      </c>
      <c r="J311" s="152" t="s">
        <v>1635</v>
      </c>
      <c r="K311" s="152" t="s">
        <v>1636</v>
      </c>
      <c r="L311" s="152" t="s">
        <v>1637</v>
      </c>
      <c r="M311" s="245" t="s">
        <v>4</v>
      </c>
      <c r="N311" s="245" t="s">
        <v>1085</v>
      </c>
      <c r="O311" s="256">
        <v>45455</v>
      </c>
      <c r="P311" s="249" t="s">
        <v>24</v>
      </c>
      <c r="Q311" s="249" t="s">
        <v>24</v>
      </c>
      <c r="R311" s="249" t="s">
        <v>24</v>
      </c>
      <c r="S311" s="249" t="s">
        <v>24</v>
      </c>
      <c r="T311" s="249" t="s">
        <v>24</v>
      </c>
      <c r="U311" s="249" t="s">
        <v>24</v>
      </c>
      <c r="V311" s="249" t="s">
        <v>24</v>
      </c>
      <c r="W311" s="249" t="s">
        <v>24</v>
      </c>
      <c r="X311" s="249" t="s">
        <v>24</v>
      </c>
      <c r="Y311" s="249" t="s">
        <v>24</v>
      </c>
      <c r="Z311" s="249" t="s">
        <v>24</v>
      </c>
      <c r="AA311" s="250"/>
      <c r="AB311" s="152" t="s">
        <v>1635</v>
      </c>
      <c r="AC311" s="152" t="s">
        <v>1636</v>
      </c>
      <c r="AD311" s="152" t="s">
        <v>1637</v>
      </c>
      <c r="AE311" s="134" t="s">
        <v>342</v>
      </c>
      <c r="AF311" s="250" t="s">
        <v>4</v>
      </c>
      <c r="AG311" s="208">
        <v>777.66</v>
      </c>
      <c r="AH311" s="208">
        <f>AG311+30000</f>
        <v>30777.66</v>
      </c>
      <c r="AI311" s="251" t="s">
        <v>6</v>
      </c>
      <c r="AJ311" s="246" t="s">
        <v>109</v>
      </c>
      <c r="AK311" s="257"/>
      <c r="AL311" s="250" t="s">
        <v>110</v>
      </c>
      <c r="AM311" s="250" t="s">
        <v>110</v>
      </c>
      <c r="AN311" s="250" t="s">
        <v>111</v>
      </c>
      <c r="AO311" s="250"/>
      <c r="AP311" s="253" t="s">
        <v>1638</v>
      </c>
      <c r="AQ311" s="250" t="s">
        <v>110</v>
      </c>
      <c r="AR311" s="250" t="s">
        <v>110</v>
      </c>
      <c r="AS311" s="250" t="s">
        <v>110</v>
      </c>
      <c r="AT311" s="250" t="s">
        <v>110</v>
      </c>
      <c r="AU311" s="256">
        <v>45614</v>
      </c>
      <c r="AV311" s="250" t="s">
        <v>110</v>
      </c>
      <c r="AW311" s="250" t="s">
        <v>110</v>
      </c>
      <c r="AX311" s="256">
        <v>45621</v>
      </c>
      <c r="AY311" s="249">
        <v>45621</v>
      </c>
      <c r="AZ311" s="245" t="s">
        <v>355</v>
      </c>
      <c r="BA311" s="245" t="s">
        <v>1</v>
      </c>
      <c r="BB311" s="250" t="s">
        <v>110</v>
      </c>
      <c r="BC311" s="142">
        <f t="shared" si="15"/>
        <v>166</v>
      </c>
      <c r="BD311" s="134" t="str">
        <f t="shared" si="16"/>
        <v>INDENIZAÇÃO</v>
      </c>
      <c r="BE311" s="134" t="str">
        <f t="shared" si="18"/>
        <v>NÃO</v>
      </c>
      <c r="BF311" s="245" t="s">
        <v>24</v>
      </c>
      <c r="BG311" s="245" t="s">
        <v>24</v>
      </c>
      <c r="BH311" s="245" t="s">
        <v>24</v>
      </c>
      <c r="BI311" s="250" t="s">
        <v>110</v>
      </c>
      <c r="BJ311" s="250" t="s">
        <v>110</v>
      </c>
      <c r="BK311" s="256">
        <v>45677</v>
      </c>
      <c r="BL311" s="250" t="s">
        <v>110</v>
      </c>
      <c r="BM311" s="249" t="s">
        <v>33</v>
      </c>
      <c r="BN311" s="149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</row>
    <row r="312" spans="1:91" ht="30" hidden="1" customHeight="1" x14ac:dyDescent="0.25">
      <c r="A312" s="134">
        <v>296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1639</v>
      </c>
      <c r="G312" s="149" t="s">
        <v>1</v>
      </c>
      <c r="H312" s="149" t="s">
        <v>2</v>
      </c>
      <c r="I312" s="149" t="s">
        <v>108</v>
      </c>
      <c r="J312" s="152" t="s">
        <v>1640</v>
      </c>
      <c r="K312" s="152" t="s">
        <v>1641</v>
      </c>
      <c r="L312" s="152" t="s">
        <v>1642</v>
      </c>
      <c r="M312" s="134" t="s">
        <v>4</v>
      </c>
      <c r="N312" s="214" t="s">
        <v>5</v>
      </c>
      <c r="O312" s="194">
        <v>45280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1640</v>
      </c>
      <c r="AC312" s="152" t="s">
        <v>1641</v>
      </c>
      <c r="AD312" s="152" t="s">
        <v>1642</v>
      </c>
      <c r="AE312" s="149" t="s">
        <v>108</v>
      </c>
      <c r="AF312" s="149" t="s">
        <v>4</v>
      </c>
      <c r="AG312" s="208">
        <v>33870.81</v>
      </c>
      <c r="AH312" s="208">
        <v>60000</v>
      </c>
      <c r="AI312" s="232" t="s">
        <v>6</v>
      </c>
      <c r="AJ312" s="138" t="s">
        <v>109</v>
      </c>
      <c r="AK312" s="235"/>
      <c r="AL312" s="149" t="s">
        <v>110</v>
      </c>
      <c r="AM312" s="149" t="s">
        <v>110</v>
      </c>
      <c r="AN312" s="149" t="s">
        <v>111</v>
      </c>
      <c r="AO312" s="149"/>
      <c r="AP312" s="152" t="s">
        <v>1643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45397</v>
      </c>
      <c r="AV312" s="149" t="s">
        <v>110</v>
      </c>
      <c r="AW312" s="149" t="s">
        <v>110</v>
      </c>
      <c r="AX312" s="194">
        <v>45408</v>
      </c>
      <c r="AY312" s="197">
        <v>45408</v>
      </c>
      <c r="AZ312" s="145" t="s">
        <v>33</v>
      </c>
      <c r="BA312" s="145" t="s">
        <v>113</v>
      </c>
      <c r="BB312" s="149" t="s">
        <v>110</v>
      </c>
      <c r="BC312" s="142">
        <f t="shared" si="15"/>
        <v>128</v>
      </c>
      <c r="BD312" s="134" t="str">
        <f t="shared" si="16"/>
        <v>INDENIZAÇÃO</v>
      </c>
      <c r="BE312" s="134" t="str">
        <f t="shared" si="18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44">
        <v>45545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 x14ac:dyDescent="0.25">
      <c r="A313" s="134">
        <v>42</v>
      </c>
      <c r="B313" s="134" t="s">
        <v>99</v>
      </c>
      <c r="C313" s="134">
        <v>1</v>
      </c>
      <c r="D313" s="134" t="s">
        <v>100</v>
      </c>
      <c r="E313" s="134" t="s">
        <v>100</v>
      </c>
      <c r="F313" s="138" t="s">
        <v>1644</v>
      </c>
      <c r="G313" s="149" t="s">
        <v>10</v>
      </c>
      <c r="H313" s="149" t="s">
        <v>26</v>
      </c>
      <c r="I313" s="149" t="s">
        <v>342</v>
      </c>
      <c r="J313" s="152" t="s">
        <v>1645</v>
      </c>
      <c r="K313" s="152" t="s">
        <v>1646</v>
      </c>
      <c r="L313" s="152" t="s">
        <v>1647</v>
      </c>
      <c r="M313" s="134" t="s">
        <v>4</v>
      </c>
      <c r="N313" s="214" t="s">
        <v>5</v>
      </c>
      <c r="O313" s="194">
        <v>46100</v>
      </c>
      <c r="P313" s="144" t="s">
        <v>24</v>
      </c>
      <c r="Q313" s="144" t="s">
        <v>24</v>
      </c>
      <c r="R313" s="144" t="s">
        <v>24</v>
      </c>
      <c r="S313" s="144" t="s">
        <v>24</v>
      </c>
      <c r="T313" s="144" t="s">
        <v>24</v>
      </c>
      <c r="U313" s="144" t="s">
        <v>24</v>
      </c>
      <c r="V313" s="144" t="s">
        <v>24</v>
      </c>
      <c r="W313" s="144" t="s">
        <v>24</v>
      </c>
      <c r="X313" s="144" t="s">
        <v>24</v>
      </c>
      <c r="Y313" s="144" t="s">
        <v>24</v>
      </c>
      <c r="Z313" s="144" t="s">
        <v>24</v>
      </c>
      <c r="AA313" s="149"/>
      <c r="AB313" s="152" t="s">
        <v>1645</v>
      </c>
      <c r="AC313" s="152" t="s">
        <v>1646</v>
      </c>
      <c r="AD313" s="152" t="s">
        <v>1647</v>
      </c>
      <c r="AE313" s="134" t="s">
        <v>342</v>
      </c>
      <c r="AF313" s="149" t="s">
        <v>4</v>
      </c>
      <c r="AG313" s="208">
        <v>5164.21</v>
      </c>
      <c r="AH313" s="208">
        <f>AG313+30000</f>
        <v>35164.21</v>
      </c>
      <c r="AI313" s="214" t="s">
        <v>6</v>
      </c>
      <c r="AJ313" s="160" t="s">
        <v>109</v>
      </c>
      <c r="AK313" s="214">
        <v>94134502</v>
      </c>
      <c r="AL313" s="149" t="s">
        <v>110</v>
      </c>
      <c r="AM313" s="149" t="s">
        <v>110</v>
      </c>
      <c r="AN313" s="149" t="s">
        <v>111</v>
      </c>
      <c r="AO313" s="149"/>
      <c r="AP313" s="152" t="s">
        <v>1648</v>
      </c>
      <c r="AQ313" s="149" t="s">
        <v>110</v>
      </c>
      <c r="AR313" s="149" t="s">
        <v>110</v>
      </c>
      <c r="AS313" s="149" t="s">
        <v>110</v>
      </c>
      <c r="AT313" s="149" t="s">
        <v>110</v>
      </c>
      <c r="AU313" s="194">
        <v>46182</v>
      </c>
      <c r="AV313" s="149" t="s">
        <v>110</v>
      </c>
      <c r="AW313" s="149" t="s">
        <v>110</v>
      </c>
      <c r="AX313" s="194">
        <v>46189</v>
      </c>
      <c r="AY313" s="197">
        <v>46189</v>
      </c>
      <c r="AZ313" s="145" t="s">
        <v>33</v>
      </c>
      <c r="BA313" s="145" t="s">
        <v>113</v>
      </c>
      <c r="BB313" s="149" t="s">
        <v>110</v>
      </c>
      <c r="BC313" s="142">
        <f t="shared" si="15"/>
        <v>89</v>
      </c>
      <c r="BD313" s="134" t="str">
        <f t="shared" si="16"/>
        <v>INDENIZAÇÃO</v>
      </c>
      <c r="BE313" s="134" t="str">
        <f t="shared" si="18"/>
        <v>NÃO</v>
      </c>
      <c r="BF313" s="149" t="s">
        <v>24</v>
      </c>
      <c r="BG313" s="149" t="s">
        <v>24</v>
      </c>
      <c r="BH313" s="149" t="s">
        <v>24</v>
      </c>
      <c r="BI313" s="198" t="s">
        <v>110</v>
      </c>
      <c r="BJ313" s="145" t="s">
        <v>33</v>
      </c>
      <c r="BK313" s="145"/>
      <c r="BL313" s="145"/>
      <c r="BM313" s="145"/>
      <c r="BN313" s="276"/>
      <c r="BO313" s="19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  <c r="CI313" s="200"/>
      <c r="CJ313" s="149"/>
      <c r="CK313" s="149"/>
      <c r="CL313" s="149"/>
      <c r="CM313" s="149"/>
    </row>
    <row r="314" spans="1:91" ht="30" hidden="1" customHeight="1" x14ac:dyDescent="0.25">
      <c r="A314" s="134">
        <v>298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1649</v>
      </c>
      <c r="G314" s="149" t="s">
        <v>10</v>
      </c>
      <c r="H314" s="149" t="s">
        <v>2</v>
      </c>
      <c r="I314" s="149" t="s">
        <v>342</v>
      </c>
      <c r="J314" s="152" t="s">
        <v>1650</v>
      </c>
      <c r="K314" s="152" t="s">
        <v>1651</v>
      </c>
      <c r="L314" s="152" t="s">
        <v>1652</v>
      </c>
      <c r="M314" s="134" t="s">
        <v>4</v>
      </c>
      <c r="N314" s="214" t="s">
        <v>5</v>
      </c>
      <c r="O314" s="194">
        <v>45471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1650</v>
      </c>
      <c r="AC314" s="152" t="s">
        <v>1651</v>
      </c>
      <c r="AD314" s="152" t="s">
        <v>1652</v>
      </c>
      <c r="AE314" s="134" t="s">
        <v>342</v>
      </c>
      <c r="AF314" s="149" t="s">
        <v>4</v>
      </c>
      <c r="AG314" s="208">
        <v>29533.96</v>
      </c>
      <c r="AH314" s="208">
        <f>AG314+30000</f>
        <v>59533.96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 t="s">
        <v>1653</v>
      </c>
      <c r="AP314" s="152" t="s">
        <v>1654</v>
      </c>
      <c r="AQ314" s="149" t="s">
        <v>110</v>
      </c>
      <c r="AR314" s="198" t="s">
        <v>110</v>
      </c>
      <c r="AS314" s="149" t="s">
        <v>110</v>
      </c>
      <c r="AT314" s="149" t="s">
        <v>110</v>
      </c>
      <c r="AU314" s="194">
        <v>45538</v>
      </c>
      <c r="AV314" s="149" t="s">
        <v>110</v>
      </c>
      <c r="AW314" s="149" t="s">
        <v>110</v>
      </c>
      <c r="AX314" s="144">
        <v>45546</v>
      </c>
      <c r="AY314" s="197">
        <v>45546</v>
      </c>
      <c r="AZ314" s="145" t="s">
        <v>33</v>
      </c>
      <c r="BA314" s="145" t="s">
        <v>113</v>
      </c>
      <c r="BB314" s="149" t="s">
        <v>110</v>
      </c>
      <c r="BC314" s="142">
        <f t="shared" si="15"/>
        <v>75</v>
      </c>
      <c r="BD314" s="134" t="str">
        <f t="shared" si="16"/>
        <v>INDENIZAÇÃO</v>
      </c>
      <c r="BE314" s="134" t="str">
        <f t="shared" si="18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94">
        <v>45621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</row>
    <row r="315" spans="1:91" ht="30" hidden="1" customHeight="1" x14ac:dyDescent="0.25">
      <c r="A315" s="134">
        <v>299</v>
      </c>
      <c r="B315" s="245" t="s">
        <v>99</v>
      </c>
      <c r="C315" s="245">
        <v>1</v>
      </c>
      <c r="D315" s="245" t="s">
        <v>100</v>
      </c>
      <c r="E315" s="245" t="s">
        <v>100</v>
      </c>
      <c r="F315" s="247" t="s">
        <v>1655</v>
      </c>
      <c r="G315" s="149" t="s">
        <v>10</v>
      </c>
      <c r="H315" s="149" t="s">
        <v>2</v>
      </c>
      <c r="I315" s="149" t="s">
        <v>342</v>
      </c>
      <c r="J315" s="152" t="s">
        <v>1656</v>
      </c>
      <c r="K315" s="152" t="s">
        <v>1657</v>
      </c>
      <c r="L315" s="152" t="s">
        <v>1658</v>
      </c>
      <c r="M315" s="245" t="s">
        <v>4</v>
      </c>
      <c r="N315" s="245" t="s">
        <v>5</v>
      </c>
      <c r="O315" s="256">
        <v>45614</v>
      </c>
      <c r="P315" s="249" t="s">
        <v>24</v>
      </c>
      <c r="Q315" s="249" t="s">
        <v>24</v>
      </c>
      <c r="R315" s="249" t="s">
        <v>24</v>
      </c>
      <c r="S315" s="249" t="s">
        <v>24</v>
      </c>
      <c r="T315" s="249" t="s">
        <v>24</v>
      </c>
      <c r="U315" s="249" t="s">
        <v>24</v>
      </c>
      <c r="V315" s="249" t="s">
        <v>24</v>
      </c>
      <c r="W315" s="249" t="s">
        <v>24</v>
      </c>
      <c r="X315" s="249" t="s">
        <v>24</v>
      </c>
      <c r="Y315" s="249" t="s">
        <v>24</v>
      </c>
      <c r="Z315" s="249" t="s">
        <v>24</v>
      </c>
      <c r="AA315" s="250"/>
      <c r="AB315" s="152" t="s">
        <v>1656</v>
      </c>
      <c r="AC315" s="152" t="s">
        <v>1657</v>
      </c>
      <c r="AD315" s="152" t="s">
        <v>1658</v>
      </c>
      <c r="AE315" s="134" t="s">
        <v>342</v>
      </c>
      <c r="AF315" s="250" t="s">
        <v>4</v>
      </c>
      <c r="AG315" s="208">
        <v>900.92</v>
      </c>
      <c r="AH315" s="208">
        <v>30900.92</v>
      </c>
      <c r="AI315" s="251" t="s">
        <v>6</v>
      </c>
      <c r="AJ315" s="246" t="s">
        <v>109</v>
      </c>
      <c r="AK315" s="257" t="s">
        <v>100</v>
      </c>
      <c r="AL315" s="245" t="s">
        <v>110</v>
      </c>
      <c r="AM315" s="250" t="s">
        <v>110</v>
      </c>
      <c r="AN315" s="245" t="s">
        <v>111</v>
      </c>
      <c r="AO315" s="250"/>
      <c r="AP315" s="253" t="s">
        <v>1659</v>
      </c>
      <c r="AQ315" s="250" t="s">
        <v>110</v>
      </c>
      <c r="AR315" s="250" t="s">
        <v>110</v>
      </c>
      <c r="AS315" s="250" t="s">
        <v>110</v>
      </c>
      <c r="AT315" s="250" t="s">
        <v>110</v>
      </c>
      <c r="AU315" s="249">
        <v>45750</v>
      </c>
      <c r="AV315" s="250" t="s">
        <v>110</v>
      </c>
      <c r="AW315" s="250" t="s">
        <v>110</v>
      </c>
      <c r="AX315" s="249">
        <v>45756</v>
      </c>
      <c r="AY315" s="254">
        <v>45756</v>
      </c>
      <c r="AZ315" s="245" t="s">
        <v>355</v>
      </c>
      <c r="BA315" s="245" t="s">
        <v>1</v>
      </c>
      <c r="BB315" s="250" t="s">
        <v>110</v>
      </c>
      <c r="BC315" s="142">
        <f t="shared" si="15"/>
        <v>142</v>
      </c>
      <c r="BD315" s="134" t="str">
        <f t="shared" si="16"/>
        <v>INDENIZAÇÃO</v>
      </c>
      <c r="BE315" s="134" t="str">
        <f t="shared" si="18"/>
        <v>NÃO</v>
      </c>
      <c r="BF315" s="250" t="s">
        <v>24</v>
      </c>
      <c r="BG315" s="250" t="s">
        <v>24</v>
      </c>
      <c r="BH315" s="250" t="s">
        <v>24</v>
      </c>
      <c r="BI315" s="250" t="s">
        <v>110</v>
      </c>
      <c r="BJ315" s="250" t="s">
        <v>110</v>
      </c>
      <c r="BK315" s="248">
        <v>45783</v>
      </c>
      <c r="BL315" s="250" t="s">
        <v>110</v>
      </c>
      <c r="BM315" s="250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</row>
    <row r="316" spans="1:91" ht="30" hidden="1" customHeight="1" x14ac:dyDescent="0.25">
      <c r="A316" s="134">
        <v>300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1660</v>
      </c>
      <c r="G316" s="149" t="s">
        <v>1</v>
      </c>
      <c r="H316" s="149" t="s">
        <v>2</v>
      </c>
      <c r="I316" s="149" t="s">
        <v>108</v>
      </c>
      <c r="J316" s="152" t="s">
        <v>1661</v>
      </c>
      <c r="K316" s="152" t="s">
        <v>1662</v>
      </c>
      <c r="L316" s="152" t="s">
        <v>1663</v>
      </c>
      <c r="M316" s="134" t="s">
        <v>4</v>
      </c>
      <c r="N316" s="214" t="s">
        <v>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/>
      <c r="AB316" s="152" t="s">
        <v>1661</v>
      </c>
      <c r="AC316" s="152" t="s">
        <v>1662</v>
      </c>
      <c r="AD316" s="152" t="s">
        <v>1663</v>
      </c>
      <c r="AE316" s="149" t="s">
        <v>108</v>
      </c>
      <c r="AF316" s="149" t="s">
        <v>4</v>
      </c>
      <c r="AG316" s="208">
        <v>36877.42</v>
      </c>
      <c r="AH316" s="208">
        <v>60000</v>
      </c>
      <c r="AI316" s="214" t="s">
        <v>6</v>
      </c>
      <c r="AJ316" s="160" t="s">
        <v>109</v>
      </c>
      <c r="AK316" s="214"/>
      <c r="AL316" s="149" t="s">
        <v>110</v>
      </c>
      <c r="AM316" s="149" t="s">
        <v>110</v>
      </c>
      <c r="AN316" s="149" t="s">
        <v>111</v>
      </c>
      <c r="AO316" s="149"/>
      <c r="AP316" s="152" t="s">
        <v>1664</v>
      </c>
      <c r="AQ316" s="149" t="s">
        <v>110</v>
      </c>
      <c r="AR316" s="149" t="s">
        <v>110</v>
      </c>
      <c r="AS316" s="149" t="s">
        <v>110</v>
      </c>
      <c r="AT316" s="149" t="s">
        <v>110</v>
      </c>
      <c r="AU316" s="194">
        <v>45373</v>
      </c>
      <c r="AV316" s="149" t="s">
        <v>110</v>
      </c>
      <c r="AW316" s="149" t="s">
        <v>110</v>
      </c>
      <c r="AX316" s="194">
        <v>45393</v>
      </c>
      <c r="AY316" s="197">
        <v>45393</v>
      </c>
      <c r="AZ316" s="197" t="s">
        <v>33</v>
      </c>
      <c r="BA316" s="145" t="s">
        <v>113</v>
      </c>
      <c r="BB316" s="149" t="s">
        <v>110</v>
      </c>
      <c r="BC316" s="142">
        <f t="shared" si="15"/>
        <v>113</v>
      </c>
      <c r="BD316" s="134" t="str">
        <f t="shared" si="16"/>
        <v>INDENIZAÇÃO</v>
      </c>
      <c r="BE316" s="134" t="str">
        <f t="shared" si="18"/>
        <v>NÃO</v>
      </c>
      <c r="BF316" s="134" t="s">
        <v>24</v>
      </c>
      <c r="BG316" s="134" t="s">
        <v>24</v>
      </c>
      <c r="BH316" s="134" t="s">
        <v>24</v>
      </c>
      <c r="BI316" s="198" t="s">
        <v>110</v>
      </c>
      <c r="BJ316" s="198" t="s">
        <v>110</v>
      </c>
      <c r="BK316" s="144">
        <v>45545</v>
      </c>
      <c r="BL316" s="198" t="s">
        <v>110</v>
      </c>
      <c r="BM316" s="145" t="s">
        <v>33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hidden="1" customHeight="1" x14ac:dyDescent="0.25">
      <c r="A317" s="134">
        <v>301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1665</v>
      </c>
      <c r="G317" s="149" t="s">
        <v>1</v>
      </c>
      <c r="H317" s="149" t="s">
        <v>2</v>
      </c>
      <c r="I317" s="149" t="s">
        <v>108</v>
      </c>
      <c r="J317" s="152" t="s">
        <v>1666</v>
      </c>
      <c r="K317" s="152" t="s">
        <v>1667</v>
      </c>
      <c r="L317" s="152" t="s">
        <v>1668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1666</v>
      </c>
      <c r="AC317" s="152" t="s">
        <v>1667</v>
      </c>
      <c r="AD317" s="152" t="s">
        <v>1668</v>
      </c>
      <c r="AE317" s="149" t="s">
        <v>108</v>
      </c>
      <c r="AF317" s="149" t="s">
        <v>4</v>
      </c>
      <c r="AG317" s="208">
        <v>54948.09</v>
      </c>
      <c r="AH317" s="208">
        <v>60000</v>
      </c>
      <c r="AI317" s="214" t="s">
        <v>6</v>
      </c>
      <c r="AJ317" s="138" t="s">
        <v>109</v>
      </c>
      <c r="AK317" s="214"/>
      <c r="AL317" s="149" t="s">
        <v>110</v>
      </c>
      <c r="AM317" s="149" t="s">
        <v>110</v>
      </c>
      <c r="AN317" s="149" t="s">
        <v>111</v>
      </c>
      <c r="AO317" s="149"/>
      <c r="AP317" s="152" t="s">
        <v>1669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 t="shared" si="15"/>
        <v>104</v>
      </c>
      <c r="BD317" s="134" t="str">
        <f t="shared" si="16"/>
        <v>INDENIZAÇÃO</v>
      </c>
      <c r="BE317" s="134" t="str">
        <f t="shared" si="18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hidden="1" customHeight="1" x14ac:dyDescent="0.25">
      <c r="A318" s="134">
        <v>302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1670</v>
      </c>
      <c r="G318" s="149" t="s">
        <v>10</v>
      </c>
      <c r="H318" s="149" t="s">
        <v>2</v>
      </c>
      <c r="I318" s="149" t="s">
        <v>342</v>
      </c>
      <c r="J318" s="152" t="s">
        <v>1671</v>
      </c>
      <c r="K318" s="152" t="s">
        <v>1672</v>
      </c>
      <c r="L318" s="152" t="s">
        <v>1673</v>
      </c>
      <c r="M318" s="134" t="s">
        <v>4</v>
      </c>
      <c r="N318" s="214" t="s">
        <v>480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1674</v>
      </c>
      <c r="AB318" s="152" t="s">
        <v>1671</v>
      </c>
      <c r="AC318" s="152" t="s">
        <v>1672</v>
      </c>
      <c r="AD318" s="152" t="s">
        <v>1673</v>
      </c>
      <c r="AE318" s="134" t="s">
        <v>342</v>
      </c>
      <c r="AF318" s="149" t="s">
        <v>4</v>
      </c>
      <c r="AG318" s="208" t="s">
        <v>100</v>
      </c>
      <c r="AH318" s="208" t="s">
        <v>100</v>
      </c>
      <c r="AI318" s="149" t="s">
        <v>1674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1674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16"/>
        <v>INDENIZAÇÃO</v>
      </c>
      <c r="BE318" s="134" t="str">
        <f t="shared" si="18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hidden="1" customHeight="1" x14ac:dyDescent="0.25">
      <c r="A319" s="134">
        <v>303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1675</v>
      </c>
      <c r="G319" s="149" t="s">
        <v>1</v>
      </c>
      <c r="H319" s="149" t="s">
        <v>2</v>
      </c>
      <c r="I319" s="149" t="s">
        <v>108</v>
      </c>
      <c r="J319" s="152" t="s">
        <v>1671</v>
      </c>
      <c r="K319" s="152" t="s">
        <v>1672</v>
      </c>
      <c r="L319" s="152" t="s">
        <v>1673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1671</v>
      </c>
      <c r="AC319" s="152" t="s">
        <v>1672</v>
      </c>
      <c r="AD319" s="152" t="s">
        <v>1673</v>
      </c>
      <c r="AE319" s="149" t="s">
        <v>108</v>
      </c>
      <c r="AF319" s="149" t="s">
        <v>4</v>
      </c>
      <c r="AG319" s="208">
        <v>143623</v>
      </c>
      <c r="AH319" s="208">
        <v>143623</v>
      </c>
      <c r="AI319" s="149" t="s">
        <v>6</v>
      </c>
      <c r="AJ319" s="138" t="s">
        <v>109</v>
      </c>
      <c r="AK319" s="324" t="s">
        <v>100</v>
      </c>
      <c r="AL319" s="149" t="s">
        <v>110</v>
      </c>
      <c r="AM319" s="149" t="s">
        <v>110</v>
      </c>
      <c r="AN319" s="149" t="s">
        <v>111</v>
      </c>
      <c r="AO319" s="149"/>
      <c r="AP319" s="152" t="s">
        <v>1676</v>
      </c>
      <c r="AQ319" s="149" t="s">
        <v>110</v>
      </c>
      <c r="AR319" s="149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>IF(AY319-KD319=0,"",AY319-O319)</f>
        <v>104</v>
      </c>
      <c r="BD319" s="134" t="str">
        <f t="shared" si="16"/>
        <v>INDENIZAÇÃO</v>
      </c>
      <c r="BE319" s="134" t="str">
        <f t="shared" si="18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hidden="1" customHeight="1" x14ac:dyDescent="0.25">
      <c r="A320" s="134">
        <v>304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1677</v>
      </c>
      <c r="G320" s="149" t="s">
        <v>10</v>
      </c>
      <c r="H320" s="149" t="s">
        <v>2</v>
      </c>
      <c r="I320" s="149" t="s">
        <v>342</v>
      </c>
      <c r="J320" s="152" t="s">
        <v>1671</v>
      </c>
      <c r="K320" s="152" t="s">
        <v>1672</v>
      </c>
      <c r="L320" s="152" t="s">
        <v>1673</v>
      </c>
      <c r="M320" s="134" t="s">
        <v>4</v>
      </c>
      <c r="N320" s="214" t="s">
        <v>480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 t="s">
        <v>1674</v>
      </c>
      <c r="AB320" s="152" t="s">
        <v>1671</v>
      </c>
      <c r="AC320" s="152" t="s">
        <v>1672</v>
      </c>
      <c r="AD320" s="152" t="s">
        <v>1673</v>
      </c>
      <c r="AE320" s="134" t="s">
        <v>342</v>
      </c>
      <c r="AF320" s="149" t="s">
        <v>4</v>
      </c>
      <c r="AG320" s="208" t="s">
        <v>100</v>
      </c>
      <c r="AH320" s="208" t="s">
        <v>100</v>
      </c>
      <c r="AI320" s="149" t="s">
        <v>1674</v>
      </c>
      <c r="AJ320" s="138" t="s">
        <v>109</v>
      </c>
      <c r="AK320" s="324" t="s">
        <v>100</v>
      </c>
      <c r="AL320" s="149" t="s">
        <v>24</v>
      </c>
      <c r="AM320" s="149" t="s">
        <v>24</v>
      </c>
      <c r="AN320" s="149" t="s">
        <v>24</v>
      </c>
      <c r="AO320" s="149" t="s">
        <v>1674</v>
      </c>
      <c r="AP320" s="149" t="s">
        <v>24</v>
      </c>
      <c r="AQ320" s="149" t="s">
        <v>24</v>
      </c>
      <c r="AR320" s="149" t="s">
        <v>24</v>
      </c>
      <c r="AS320" s="149" t="s">
        <v>24</v>
      </c>
      <c r="AT320" s="149" t="s">
        <v>24</v>
      </c>
      <c r="AU320" s="149" t="s">
        <v>24</v>
      </c>
      <c r="AV320" s="149" t="s">
        <v>24</v>
      </c>
      <c r="AW320" s="149" t="s">
        <v>24</v>
      </c>
      <c r="AX320" s="149" t="s">
        <v>24</v>
      </c>
      <c r="AY320" s="149" t="s">
        <v>24</v>
      </c>
      <c r="AZ320" s="197" t="s">
        <v>33</v>
      </c>
      <c r="BA320" s="145" t="s">
        <v>113</v>
      </c>
      <c r="BB320" s="149" t="s">
        <v>110</v>
      </c>
      <c r="BC320" s="325" t="s">
        <v>100</v>
      </c>
      <c r="BD320" s="134" t="str">
        <f t="shared" si="16"/>
        <v>INDENIZAÇÃO</v>
      </c>
      <c r="BE320" s="134" t="str">
        <f t="shared" si="18"/>
        <v>NÃO</v>
      </c>
      <c r="BF320" s="134" t="s">
        <v>24</v>
      </c>
      <c r="BG320" s="134" t="s">
        <v>24</v>
      </c>
      <c r="BH320" s="134" t="s">
        <v>24</v>
      </c>
      <c r="BI320" s="134" t="s">
        <v>24</v>
      </c>
      <c r="BJ320" s="134" t="s">
        <v>24</v>
      </c>
      <c r="BK320" s="134" t="s">
        <v>24</v>
      </c>
      <c r="BL320" s="134" t="s">
        <v>24</v>
      </c>
      <c r="BM320" s="145" t="s">
        <v>110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hidden="1" customHeight="1" x14ac:dyDescent="0.25">
      <c r="A321" s="134">
        <v>305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1678</v>
      </c>
      <c r="G321" s="149" t="s">
        <v>1</v>
      </c>
      <c r="H321" s="149" t="s">
        <v>2</v>
      </c>
      <c r="I321" s="149" t="s">
        <v>108</v>
      </c>
      <c r="J321" s="152" t="s">
        <v>1679</v>
      </c>
      <c r="K321" s="152" t="s">
        <v>1680</v>
      </c>
      <c r="L321" s="152" t="s">
        <v>1681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1679</v>
      </c>
      <c r="AC321" s="152" t="s">
        <v>1680</v>
      </c>
      <c r="AD321" s="152" t="s">
        <v>1681</v>
      </c>
      <c r="AE321" s="149" t="s">
        <v>108</v>
      </c>
      <c r="AF321" s="149" t="s">
        <v>4</v>
      </c>
      <c r="AG321" s="208">
        <v>32370.06</v>
      </c>
      <c r="AH321" s="208">
        <v>60000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1682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ref="BC321:BC334" si="19">IF(AY321-KD321=0,"",AY321-O321)</f>
        <v>104</v>
      </c>
      <c r="BD321" s="134" t="str">
        <f t="shared" si="16"/>
        <v>INDENIZAÇÃO</v>
      </c>
      <c r="BE321" s="134" t="str">
        <f t="shared" si="18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hidden="1" customHeight="1" x14ac:dyDescent="0.25">
      <c r="A322" s="134">
        <v>306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1683</v>
      </c>
      <c r="G322" s="149" t="s">
        <v>1</v>
      </c>
      <c r="H322" s="149" t="s">
        <v>2</v>
      </c>
      <c r="I322" s="149" t="s">
        <v>108</v>
      </c>
      <c r="J322" s="152" t="s">
        <v>1684</v>
      </c>
      <c r="K322" s="152" t="s">
        <v>1685</v>
      </c>
      <c r="L322" s="152" t="s">
        <v>1686</v>
      </c>
      <c r="M322" s="134" t="s">
        <v>4</v>
      </c>
      <c r="N322" s="214" t="s">
        <v>5</v>
      </c>
      <c r="O322" s="194">
        <v>45280</v>
      </c>
      <c r="P322" s="144" t="s">
        <v>24</v>
      </c>
      <c r="Q322" s="144" t="s">
        <v>24</v>
      </c>
      <c r="R322" s="144" t="s">
        <v>24</v>
      </c>
      <c r="S322" s="144" t="s">
        <v>24</v>
      </c>
      <c r="T322" s="144" t="s">
        <v>24</v>
      </c>
      <c r="U322" s="144" t="s">
        <v>24</v>
      </c>
      <c r="V322" s="144" t="s">
        <v>24</v>
      </c>
      <c r="W322" s="144" t="s">
        <v>24</v>
      </c>
      <c r="X322" s="144" t="s">
        <v>24</v>
      </c>
      <c r="Y322" s="144" t="s">
        <v>24</v>
      </c>
      <c r="Z322" s="144" t="s">
        <v>24</v>
      </c>
      <c r="AA322" s="149"/>
      <c r="AB322" s="152" t="s">
        <v>1684</v>
      </c>
      <c r="AC322" s="152" t="s">
        <v>1685</v>
      </c>
      <c r="AD322" s="152" t="s">
        <v>1686</v>
      </c>
      <c r="AE322" s="149" t="s">
        <v>108</v>
      </c>
      <c r="AF322" s="149" t="s">
        <v>4</v>
      </c>
      <c r="AG322" s="208">
        <v>110082.66</v>
      </c>
      <c r="AH322" s="208">
        <v>110082.66</v>
      </c>
      <c r="AI322" s="214" t="s">
        <v>6</v>
      </c>
      <c r="AJ322" s="138" t="s">
        <v>109</v>
      </c>
      <c r="AK322" s="214"/>
      <c r="AL322" s="149" t="s">
        <v>110</v>
      </c>
      <c r="AM322" s="149" t="s">
        <v>110</v>
      </c>
      <c r="AN322" s="149" t="s">
        <v>111</v>
      </c>
      <c r="AO322" s="149"/>
      <c r="AP322" s="152" t="s">
        <v>1687</v>
      </c>
      <c r="AQ322" s="149" t="s">
        <v>110</v>
      </c>
      <c r="AR322" s="198" t="s">
        <v>110</v>
      </c>
      <c r="AS322" s="198" t="s">
        <v>110</v>
      </c>
      <c r="AT322" s="198" t="s">
        <v>110</v>
      </c>
      <c r="AU322" s="194">
        <v>45495</v>
      </c>
      <c r="AV322" s="198" t="s">
        <v>110</v>
      </c>
      <c r="AW322" s="198" t="s">
        <v>110</v>
      </c>
      <c r="AX322" s="194">
        <v>45504</v>
      </c>
      <c r="AY322" s="197">
        <v>45504</v>
      </c>
      <c r="AZ322" s="145" t="s">
        <v>33</v>
      </c>
      <c r="BA322" s="145" t="s">
        <v>113</v>
      </c>
      <c r="BB322" s="149" t="s">
        <v>110</v>
      </c>
      <c r="BC322" s="142">
        <f t="shared" si="19"/>
        <v>224</v>
      </c>
      <c r="BD322" s="134" t="str">
        <f t="shared" si="16"/>
        <v>INDENIZAÇÃO</v>
      </c>
      <c r="BE322" s="134" t="str">
        <f t="shared" si="18"/>
        <v>NÃO</v>
      </c>
      <c r="BF322" s="134" t="s">
        <v>24</v>
      </c>
      <c r="BG322" s="134" t="s">
        <v>24</v>
      </c>
      <c r="BH322" s="134" t="s">
        <v>24</v>
      </c>
      <c r="BI322" s="198" t="s">
        <v>110</v>
      </c>
      <c r="BJ322" s="198" t="s">
        <v>110</v>
      </c>
      <c r="BK322" s="194">
        <v>45559</v>
      </c>
      <c r="BL322" s="198" t="s">
        <v>110</v>
      </c>
      <c r="BM322" s="145" t="s">
        <v>33</v>
      </c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hidden="1" customHeight="1" x14ac:dyDescent="0.25">
      <c r="A323" s="134">
        <v>307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1688</v>
      </c>
      <c r="G323" s="149" t="s">
        <v>1</v>
      </c>
      <c r="H323" s="149" t="s">
        <v>2</v>
      </c>
      <c r="I323" s="149" t="s">
        <v>108</v>
      </c>
      <c r="J323" s="152" t="s">
        <v>1689</v>
      </c>
      <c r="K323" s="152" t="s">
        <v>1690</v>
      </c>
      <c r="L323" s="152" t="s">
        <v>1691</v>
      </c>
      <c r="M323" s="134" t="s">
        <v>4</v>
      </c>
      <c r="N323" s="214" t="s">
        <v>5</v>
      </c>
      <c r="O323" s="194">
        <v>45280</v>
      </c>
      <c r="P323" s="144" t="s">
        <v>24</v>
      </c>
      <c r="Q323" s="144" t="s">
        <v>24</v>
      </c>
      <c r="R323" s="144" t="s">
        <v>24</v>
      </c>
      <c r="S323" s="144" t="s">
        <v>24</v>
      </c>
      <c r="T323" s="144" t="s">
        <v>24</v>
      </c>
      <c r="U323" s="144" t="s">
        <v>24</v>
      </c>
      <c r="V323" s="144" t="s">
        <v>24</v>
      </c>
      <c r="W323" s="144" t="s">
        <v>24</v>
      </c>
      <c r="X323" s="144" t="s">
        <v>24</v>
      </c>
      <c r="Y323" s="144" t="s">
        <v>24</v>
      </c>
      <c r="Z323" s="144" t="s">
        <v>24</v>
      </c>
      <c r="AA323" s="149"/>
      <c r="AB323" s="152" t="s">
        <v>1689</v>
      </c>
      <c r="AC323" s="152" t="s">
        <v>1690</v>
      </c>
      <c r="AD323" s="152" t="s">
        <v>1691</v>
      </c>
      <c r="AE323" s="149" t="s">
        <v>108</v>
      </c>
      <c r="AF323" s="149" t="s">
        <v>4</v>
      </c>
      <c r="AG323" s="208">
        <v>61878.57</v>
      </c>
      <c r="AH323" s="208">
        <v>61878.57</v>
      </c>
      <c r="AI323" s="214" t="s">
        <v>6</v>
      </c>
      <c r="AJ323" s="138" t="s">
        <v>109</v>
      </c>
      <c r="AK323" s="214"/>
      <c r="AL323" s="149" t="s">
        <v>110</v>
      </c>
      <c r="AM323" s="149" t="s">
        <v>110</v>
      </c>
      <c r="AN323" s="149" t="s">
        <v>111</v>
      </c>
      <c r="AO323" s="149"/>
      <c r="AP323" s="152" t="s">
        <v>1692</v>
      </c>
      <c r="AQ323" s="149" t="s">
        <v>110</v>
      </c>
      <c r="AR323" s="198" t="s">
        <v>110</v>
      </c>
      <c r="AS323" s="149" t="s">
        <v>110</v>
      </c>
      <c r="AT323" s="149" t="s">
        <v>110</v>
      </c>
      <c r="AU323" s="194">
        <v>45373</v>
      </c>
      <c r="AV323" s="149" t="s">
        <v>110</v>
      </c>
      <c r="AW323" s="149" t="s">
        <v>110</v>
      </c>
      <c r="AX323" s="194">
        <v>45384</v>
      </c>
      <c r="AY323" s="197">
        <v>45384</v>
      </c>
      <c r="AZ323" s="197" t="s">
        <v>33</v>
      </c>
      <c r="BA323" s="145" t="s">
        <v>113</v>
      </c>
      <c r="BB323" s="149" t="s">
        <v>110</v>
      </c>
      <c r="BC323" s="142">
        <f t="shared" si="19"/>
        <v>104</v>
      </c>
      <c r="BD323" s="134" t="str">
        <f t="shared" si="16"/>
        <v>INDENIZAÇÃO</v>
      </c>
      <c r="BE323" s="134" t="str">
        <f t="shared" si="18"/>
        <v>NÃO</v>
      </c>
      <c r="BF323" s="134" t="s">
        <v>24</v>
      </c>
      <c r="BG323" s="134" t="s">
        <v>24</v>
      </c>
      <c r="BH323" s="134" t="s">
        <v>24</v>
      </c>
      <c r="BI323" s="149" t="s">
        <v>110</v>
      </c>
      <c r="BJ323" s="149" t="s">
        <v>110</v>
      </c>
      <c r="BK323" s="194">
        <v>45510</v>
      </c>
      <c r="BL323" s="149" t="s">
        <v>110</v>
      </c>
      <c r="BM323" s="145" t="s">
        <v>33</v>
      </c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hidden="1" customHeight="1" x14ac:dyDescent="0.25">
      <c r="A324" s="134">
        <v>308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1693</v>
      </c>
      <c r="G324" s="149" t="s">
        <v>1</v>
      </c>
      <c r="H324" s="149" t="s">
        <v>2</v>
      </c>
      <c r="I324" s="149" t="s">
        <v>108</v>
      </c>
      <c r="J324" s="152" t="s">
        <v>1694</v>
      </c>
      <c r="K324" s="152" t="s">
        <v>1695</v>
      </c>
      <c r="L324" s="152" t="s">
        <v>1696</v>
      </c>
      <c r="M324" s="134" t="s">
        <v>4</v>
      </c>
      <c r="N324" s="214" t="s">
        <v>14</v>
      </c>
      <c r="O324" s="194">
        <v>45356</v>
      </c>
      <c r="P324" s="144">
        <v>45272</v>
      </c>
      <c r="Q324" s="138" t="s">
        <v>386</v>
      </c>
      <c r="R324" s="144" t="s">
        <v>110</v>
      </c>
      <c r="S324" s="144" t="s">
        <v>110</v>
      </c>
      <c r="T324" s="144"/>
      <c r="U324" s="144"/>
      <c r="V324" s="144"/>
      <c r="W324" s="144"/>
      <c r="X324" s="144"/>
      <c r="Y324" s="144"/>
      <c r="Z324" s="144"/>
      <c r="AA324" s="149"/>
      <c r="AB324" s="152" t="s">
        <v>1694</v>
      </c>
      <c r="AC324" s="152" t="s">
        <v>1695</v>
      </c>
      <c r="AD324" s="152" t="s">
        <v>1696</v>
      </c>
      <c r="AE324" s="149" t="s">
        <v>108</v>
      </c>
      <c r="AF324" s="149"/>
      <c r="AG324" s="208" t="s">
        <v>366</v>
      </c>
      <c r="AH324" s="208" t="s">
        <v>366</v>
      </c>
      <c r="AI324" s="214" t="s">
        <v>366</v>
      </c>
      <c r="AJ324" s="238" t="s">
        <v>366</v>
      </c>
      <c r="AK324" s="214"/>
      <c r="AL324" s="149"/>
      <c r="AM324" s="149"/>
      <c r="AN324" s="149"/>
      <c r="AO324" s="149"/>
      <c r="AP324" s="152"/>
      <c r="AQ324" s="149"/>
      <c r="AR324" s="149"/>
      <c r="AS324" s="149"/>
      <c r="AT324" s="149"/>
      <c r="AU324" s="149"/>
      <c r="AV324" s="149"/>
      <c r="AW324" s="149"/>
      <c r="AX324" s="149"/>
      <c r="AY324" s="149"/>
      <c r="AZ324" s="149"/>
      <c r="BA324" s="149"/>
      <c r="BB324" s="149"/>
      <c r="BC324" s="142" t="str">
        <f t="shared" si="19"/>
        <v/>
      </c>
      <c r="BD324" s="134" t="str">
        <f t="shared" si="16"/>
        <v>INDENIZAÇÃO</v>
      </c>
      <c r="BE324" s="134" t="str">
        <f t="shared" si="18"/>
        <v>NÃO</v>
      </c>
      <c r="BF324" s="149"/>
      <c r="BG324" s="194"/>
      <c r="BH324" s="194"/>
      <c r="BI324" s="149"/>
      <c r="BJ324" s="149"/>
      <c r="BK324" s="149"/>
      <c r="BL324" s="149"/>
      <c r="BM324" s="149"/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hidden="1" customHeight="1" x14ac:dyDescent="0.25">
      <c r="A325" s="134">
        <v>309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1697</v>
      </c>
      <c r="G325" s="149" t="s">
        <v>10</v>
      </c>
      <c r="H325" s="149" t="s">
        <v>2</v>
      </c>
      <c r="I325" s="149" t="s">
        <v>342</v>
      </c>
      <c r="J325" s="152" t="s">
        <v>1698</v>
      </c>
      <c r="K325" s="152" t="s">
        <v>1699</v>
      </c>
      <c r="L325" s="152" t="s">
        <v>1700</v>
      </c>
      <c r="M325" s="134" t="s">
        <v>4</v>
      </c>
      <c r="N325" s="214" t="s">
        <v>5</v>
      </c>
      <c r="O325" s="194"/>
      <c r="P325" s="144"/>
      <c r="Q325" s="265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9"/>
      <c r="AB325" s="152" t="s">
        <v>1698</v>
      </c>
      <c r="AC325" s="152" t="s">
        <v>1699</v>
      </c>
      <c r="AD325" s="152" t="s">
        <v>1700</v>
      </c>
      <c r="AE325" s="134" t="s">
        <v>342</v>
      </c>
      <c r="AF325" s="149"/>
      <c r="AG325" s="208"/>
      <c r="AH325" s="208"/>
      <c r="AI325" s="232"/>
      <c r="AJ325" s="238"/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9"/>
        <v/>
      </c>
      <c r="BD325" s="134" t="str">
        <f t="shared" si="16"/>
        <v>INDENIZAÇÃO</v>
      </c>
      <c r="BE325" s="134" t="str">
        <f t="shared" si="18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hidden="1" customHeight="1" x14ac:dyDescent="0.25">
      <c r="A326" s="134">
        <v>310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1701</v>
      </c>
      <c r="G326" s="149" t="s">
        <v>1</v>
      </c>
      <c r="H326" s="149" t="s">
        <v>2</v>
      </c>
      <c r="I326" s="149" t="s">
        <v>108</v>
      </c>
      <c r="J326" s="152" t="s">
        <v>1702</v>
      </c>
      <c r="K326" s="152" t="s">
        <v>1699</v>
      </c>
      <c r="L326" s="152" t="s">
        <v>1700</v>
      </c>
      <c r="M326" s="134" t="s">
        <v>4</v>
      </c>
      <c r="N326" s="214" t="s">
        <v>5</v>
      </c>
      <c r="O326" s="194">
        <v>45455</v>
      </c>
      <c r="P326" s="144" t="s">
        <v>24</v>
      </c>
      <c r="Q326" s="144" t="s">
        <v>24</v>
      </c>
      <c r="R326" s="144" t="s">
        <v>24</v>
      </c>
      <c r="S326" s="144" t="s">
        <v>24</v>
      </c>
      <c r="T326" s="144" t="s">
        <v>24</v>
      </c>
      <c r="U326" s="144" t="s">
        <v>24</v>
      </c>
      <c r="V326" s="144" t="s">
        <v>24</v>
      </c>
      <c r="W326" s="144" t="s">
        <v>24</v>
      </c>
      <c r="X326" s="144" t="s">
        <v>24</v>
      </c>
      <c r="Y326" s="144" t="s">
        <v>24</v>
      </c>
      <c r="Z326" s="144" t="s">
        <v>24</v>
      </c>
      <c r="AA326" s="149"/>
      <c r="AB326" s="152" t="s">
        <v>1702</v>
      </c>
      <c r="AC326" s="152" t="s">
        <v>1699</v>
      </c>
      <c r="AD326" s="152" t="s">
        <v>1700</v>
      </c>
      <c r="AE326" s="149" t="s">
        <v>108</v>
      </c>
      <c r="AF326" s="149" t="s">
        <v>4</v>
      </c>
      <c r="AG326" s="208">
        <v>7707.73</v>
      </c>
      <c r="AH326" s="208">
        <f>AG326+30000</f>
        <v>37707.729999999996</v>
      </c>
      <c r="AI326" s="232" t="s">
        <v>6</v>
      </c>
      <c r="AJ326" s="138" t="s">
        <v>109</v>
      </c>
      <c r="AK326" s="235"/>
      <c r="AL326" s="149" t="s">
        <v>110</v>
      </c>
      <c r="AM326" s="149" t="s">
        <v>110</v>
      </c>
      <c r="AN326" s="149" t="s">
        <v>111</v>
      </c>
      <c r="AO326" s="149"/>
      <c r="AP326" s="152" t="s">
        <v>1703</v>
      </c>
      <c r="AQ326" s="198" t="s">
        <v>110</v>
      </c>
      <c r="AR326" s="198" t="s">
        <v>110</v>
      </c>
      <c r="AS326" s="149" t="s">
        <v>110</v>
      </c>
      <c r="AT326" s="149" t="s">
        <v>110</v>
      </c>
      <c r="AU326" s="194">
        <v>45525</v>
      </c>
      <c r="AV326" s="149" t="s">
        <v>110</v>
      </c>
      <c r="AW326" s="149" t="s">
        <v>110</v>
      </c>
      <c r="AX326" s="194">
        <v>45538</v>
      </c>
      <c r="AY326" s="197">
        <v>45538</v>
      </c>
      <c r="AZ326" s="145" t="s">
        <v>33</v>
      </c>
      <c r="BA326" s="145" t="s">
        <v>113</v>
      </c>
      <c r="BB326" s="149" t="s">
        <v>110</v>
      </c>
      <c r="BC326" s="142">
        <f t="shared" si="19"/>
        <v>83</v>
      </c>
      <c r="BD326" s="134" t="str">
        <f t="shared" si="16"/>
        <v>INDENIZAÇÃO</v>
      </c>
      <c r="BE326" s="134" t="str">
        <f t="shared" si="18"/>
        <v>NÃO</v>
      </c>
      <c r="BF326" s="134" t="s">
        <v>24</v>
      </c>
      <c r="BG326" s="134" t="s">
        <v>24</v>
      </c>
      <c r="BH326" s="134" t="s">
        <v>24</v>
      </c>
      <c r="BI326" s="198" t="s">
        <v>110</v>
      </c>
      <c r="BJ326" s="198" t="s">
        <v>110</v>
      </c>
      <c r="BK326" s="194">
        <v>45559</v>
      </c>
      <c r="BL326" s="198" t="s">
        <v>110</v>
      </c>
      <c r="BM326" s="145" t="s">
        <v>33</v>
      </c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hidden="1" customHeight="1" x14ac:dyDescent="0.25">
      <c r="A327" s="134">
        <v>311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138" t="s">
        <v>1704</v>
      </c>
      <c r="G327" s="149" t="s">
        <v>1</v>
      </c>
      <c r="H327" s="149" t="s">
        <v>2</v>
      </c>
      <c r="I327" s="149" t="s">
        <v>108</v>
      </c>
      <c r="J327" s="152" t="s">
        <v>1705</v>
      </c>
      <c r="K327" s="152" t="s">
        <v>1706</v>
      </c>
      <c r="L327" s="152" t="s">
        <v>1707</v>
      </c>
      <c r="M327" s="134" t="s">
        <v>4</v>
      </c>
      <c r="N327" s="214" t="s">
        <v>14</v>
      </c>
      <c r="O327" s="194">
        <v>45356</v>
      </c>
      <c r="P327" s="144">
        <v>45281</v>
      </c>
      <c r="Q327" s="138" t="s">
        <v>386</v>
      </c>
      <c r="R327" s="144" t="s">
        <v>110</v>
      </c>
      <c r="S327" s="144" t="s">
        <v>110</v>
      </c>
      <c r="T327" s="144"/>
      <c r="U327" s="144"/>
      <c r="V327" s="144"/>
      <c r="W327" s="144"/>
      <c r="X327" s="144"/>
      <c r="Y327" s="144"/>
      <c r="Z327" s="144"/>
      <c r="AA327" s="149"/>
      <c r="AB327" s="152" t="s">
        <v>1705</v>
      </c>
      <c r="AC327" s="152" t="s">
        <v>1706</v>
      </c>
      <c r="AD327" s="152" t="s">
        <v>1707</v>
      </c>
      <c r="AE327" s="149" t="s">
        <v>108</v>
      </c>
      <c r="AF327" s="149"/>
      <c r="AG327" s="208" t="s">
        <v>366</v>
      </c>
      <c r="AH327" s="208" t="s">
        <v>366</v>
      </c>
      <c r="AI327" s="232" t="s">
        <v>366</v>
      </c>
      <c r="AJ327" s="214" t="s">
        <v>366</v>
      </c>
      <c r="AK327" s="235"/>
      <c r="AL327" s="149"/>
      <c r="AM327" s="149"/>
      <c r="AN327" s="149"/>
      <c r="AO327" s="149"/>
      <c r="AP327" s="152"/>
      <c r="AQ327" s="149"/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9"/>
        <v/>
      </c>
      <c r="BD327" s="134" t="str">
        <f t="shared" si="16"/>
        <v>INDENIZAÇÃO</v>
      </c>
      <c r="BE327" s="134" t="str">
        <f t="shared" si="18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hidden="1" customHeight="1" x14ac:dyDescent="0.25">
      <c r="A328" s="134">
        <v>312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38" t="s">
        <v>1708</v>
      </c>
      <c r="G328" s="149" t="s">
        <v>1</v>
      </c>
      <c r="H328" s="149" t="s">
        <v>2</v>
      </c>
      <c r="I328" s="149" t="s">
        <v>108</v>
      </c>
      <c r="J328" s="152" t="s">
        <v>1709</v>
      </c>
      <c r="K328" s="152" t="s">
        <v>1710</v>
      </c>
      <c r="L328" s="152" t="s">
        <v>1711</v>
      </c>
      <c r="M328" s="134" t="s">
        <v>4</v>
      </c>
      <c r="N328" s="214"/>
      <c r="O328" s="194"/>
      <c r="P328" s="144"/>
      <c r="Q328" s="263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9"/>
      <c r="AB328" s="152" t="s">
        <v>1712</v>
      </c>
      <c r="AC328" s="152" t="s">
        <v>1710</v>
      </c>
      <c r="AD328" s="152" t="s">
        <v>1711</v>
      </c>
      <c r="AE328" s="149" t="s">
        <v>108</v>
      </c>
      <c r="AF328" s="149"/>
      <c r="AG328" s="208"/>
      <c r="AH328" s="208"/>
      <c r="AI328" s="232"/>
      <c r="AJ328" s="214"/>
      <c r="AK328" s="235"/>
      <c r="AL328" s="149"/>
      <c r="AM328" s="149"/>
      <c r="AN328" s="149"/>
      <c r="AO328" s="149"/>
      <c r="AP328" s="152"/>
      <c r="AQ328" s="149"/>
      <c r="AR328" s="149"/>
      <c r="AS328" s="149"/>
      <c r="AT328" s="149"/>
      <c r="AU328" s="149"/>
      <c r="AV328" s="149"/>
      <c r="AW328" s="149"/>
      <c r="AX328" s="149"/>
      <c r="AY328" s="149"/>
      <c r="AZ328" s="149"/>
      <c r="BA328" s="149"/>
      <c r="BB328" s="149"/>
      <c r="BC328" s="142" t="str">
        <f t="shared" si="19"/>
        <v/>
      </c>
      <c r="BD328" s="134" t="str">
        <f t="shared" si="16"/>
        <v>INDENIZAÇÃO</v>
      </c>
      <c r="BE328" s="134" t="str">
        <f t="shared" si="18"/>
        <v>NÃO</v>
      </c>
      <c r="BF328" s="149"/>
      <c r="BG328" s="194"/>
      <c r="BH328" s="194"/>
      <c r="BI328" s="149"/>
      <c r="BJ328" s="149"/>
      <c r="BK328" s="149"/>
      <c r="BL328" s="149"/>
      <c r="BM328" s="149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 x14ac:dyDescent="0.25">
      <c r="A329" s="134">
        <v>313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216" t="s">
        <v>1713</v>
      </c>
      <c r="G329" s="149" t="s">
        <v>102</v>
      </c>
      <c r="H329" s="149" t="s">
        <v>2</v>
      </c>
      <c r="I329" s="149" t="s">
        <v>104</v>
      </c>
      <c r="J329" s="152" t="s">
        <v>1714</v>
      </c>
      <c r="K329" s="152" t="s">
        <v>1715</v>
      </c>
      <c r="L329" s="152" t="s">
        <v>1716</v>
      </c>
      <c r="M329" s="134" t="s">
        <v>4</v>
      </c>
      <c r="N329" s="214"/>
      <c r="O329" s="194">
        <v>46168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1714</v>
      </c>
      <c r="AC329" s="152" t="s">
        <v>1715</v>
      </c>
      <c r="AD329" s="152" t="s">
        <v>1716</v>
      </c>
      <c r="AE329" s="149" t="s">
        <v>108</v>
      </c>
      <c r="AF329" s="134" t="s">
        <v>4</v>
      </c>
      <c r="AG329" s="208">
        <v>7498.78</v>
      </c>
      <c r="AH329" s="208">
        <v>37498.78</v>
      </c>
      <c r="AI329" s="232" t="s">
        <v>6</v>
      </c>
      <c r="AJ329" s="138" t="s">
        <v>109</v>
      </c>
      <c r="AK329" s="235">
        <v>155557938</v>
      </c>
      <c r="AL329" s="134" t="s">
        <v>110</v>
      </c>
      <c r="AM329" s="134" t="s">
        <v>110</v>
      </c>
      <c r="AN329" s="149" t="s">
        <v>111</v>
      </c>
      <c r="AO329" s="273"/>
      <c r="AP329" s="199" t="s">
        <v>1717</v>
      </c>
      <c r="AQ329" s="198" t="s">
        <v>110</v>
      </c>
      <c r="AR329" s="198" t="s">
        <v>110</v>
      </c>
      <c r="AS329" s="198" t="s">
        <v>110</v>
      </c>
      <c r="AT329" s="198" t="s">
        <v>110</v>
      </c>
      <c r="AU329" s="194">
        <v>46254</v>
      </c>
      <c r="AV329" s="198" t="s">
        <v>110</v>
      </c>
      <c r="AW329" s="198" t="s">
        <v>110</v>
      </c>
      <c r="AX329" s="194">
        <v>46260</v>
      </c>
      <c r="AY329" s="140">
        <v>46260</v>
      </c>
      <c r="AZ329" s="145" t="s">
        <v>33</v>
      </c>
      <c r="BA329" s="145" t="s">
        <v>1</v>
      </c>
      <c r="BB329" s="149" t="s">
        <v>110</v>
      </c>
      <c r="BC329" s="142">
        <f t="shared" si="19"/>
        <v>92</v>
      </c>
      <c r="BD329" s="134" t="str">
        <f t="shared" si="16"/>
        <v>INDENIZAÇÃO</v>
      </c>
      <c r="BE329" s="134" t="str">
        <f t="shared" si="18"/>
        <v>NÃO</v>
      </c>
      <c r="BF329" s="134" t="s">
        <v>24</v>
      </c>
      <c r="BG329" s="134" t="s">
        <v>24</v>
      </c>
      <c r="BH329" s="134" t="s">
        <v>24</v>
      </c>
      <c r="BI329" s="198" t="s">
        <v>110</v>
      </c>
      <c r="BJ329" s="145" t="s">
        <v>33</v>
      </c>
      <c r="BK329" s="145"/>
      <c r="BL329" s="145"/>
      <c r="BM329" s="145"/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 x14ac:dyDescent="0.25">
      <c r="A330" s="134">
        <v>314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52" t="s">
        <v>1718</v>
      </c>
      <c r="G330" s="149" t="s">
        <v>102</v>
      </c>
      <c r="H330" s="149" t="s">
        <v>103</v>
      </c>
      <c r="I330" s="149" t="s">
        <v>104</v>
      </c>
      <c r="J330" s="152" t="s">
        <v>1719</v>
      </c>
      <c r="K330" s="152" t="s">
        <v>1720</v>
      </c>
      <c r="L330" s="152" t="s">
        <v>1721</v>
      </c>
      <c r="M330" s="149" t="s">
        <v>4</v>
      </c>
      <c r="N330" s="149" t="s">
        <v>5</v>
      </c>
      <c r="O330" s="194">
        <v>45929</v>
      </c>
      <c r="P330" s="144" t="s">
        <v>24</v>
      </c>
      <c r="Q330" s="144" t="s">
        <v>24</v>
      </c>
      <c r="R330" s="144" t="s">
        <v>24</v>
      </c>
      <c r="S330" s="144" t="s">
        <v>24</v>
      </c>
      <c r="T330" s="144" t="s">
        <v>24</v>
      </c>
      <c r="U330" s="144" t="s">
        <v>24</v>
      </c>
      <c r="V330" s="144" t="s">
        <v>24</v>
      </c>
      <c r="W330" s="144" t="s">
        <v>24</v>
      </c>
      <c r="X330" s="144" t="s">
        <v>24</v>
      </c>
      <c r="Y330" s="144" t="s">
        <v>24</v>
      </c>
      <c r="Z330" s="144" t="s">
        <v>24</v>
      </c>
      <c r="AA330" s="149"/>
      <c r="AB330" s="152" t="s">
        <v>1719</v>
      </c>
      <c r="AC330" s="152" t="s">
        <v>1720</v>
      </c>
      <c r="AD330" s="152" t="s">
        <v>1721</v>
      </c>
      <c r="AE330" s="149" t="s">
        <v>108</v>
      </c>
      <c r="AF330" s="149" t="s">
        <v>4</v>
      </c>
      <c r="AG330" s="208">
        <v>12704.24</v>
      </c>
      <c r="AH330" s="208">
        <v>42704.24</v>
      </c>
      <c r="AI330" s="234" t="s">
        <v>6</v>
      </c>
      <c r="AJ330" s="138" t="s">
        <v>109</v>
      </c>
      <c r="AK330" s="200">
        <v>119673117</v>
      </c>
      <c r="AL330" s="134" t="s">
        <v>110</v>
      </c>
      <c r="AM330" s="149" t="s">
        <v>110</v>
      </c>
      <c r="AN330" s="149" t="s">
        <v>111</v>
      </c>
      <c r="AO330" s="149"/>
      <c r="AP330" s="152" t="s">
        <v>1722</v>
      </c>
      <c r="AQ330" s="198" t="s">
        <v>110</v>
      </c>
      <c r="AR330" s="198" t="s">
        <v>110</v>
      </c>
      <c r="AS330" s="198" t="s">
        <v>110</v>
      </c>
      <c r="AT330" s="198" t="s">
        <v>110</v>
      </c>
      <c r="AU330" s="194">
        <v>45960</v>
      </c>
      <c r="AV330" s="198" t="s">
        <v>110</v>
      </c>
      <c r="AW330" s="198" t="s">
        <v>110</v>
      </c>
      <c r="AX330" s="194">
        <v>45968</v>
      </c>
      <c r="AY330" s="140">
        <v>45968</v>
      </c>
      <c r="AZ330" s="145" t="s">
        <v>33</v>
      </c>
      <c r="BA330" s="145" t="s">
        <v>113</v>
      </c>
      <c r="BB330" s="149" t="s">
        <v>110</v>
      </c>
      <c r="BC330" s="142">
        <f t="shared" si="19"/>
        <v>39</v>
      </c>
      <c r="BD330" s="134" t="str">
        <f t="shared" si="16"/>
        <v>INDENIZAÇÃO</v>
      </c>
      <c r="BE330" s="134" t="str">
        <f t="shared" si="18"/>
        <v>NÃO</v>
      </c>
      <c r="BF330" s="149" t="s">
        <v>24</v>
      </c>
      <c r="BG330" s="149" t="s">
        <v>24</v>
      </c>
      <c r="BH330" s="149" t="s">
        <v>24</v>
      </c>
      <c r="BI330" s="198" t="s">
        <v>110</v>
      </c>
      <c r="BJ330" s="145" t="s">
        <v>33</v>
      </c>
      <c r="BK330" s="145"/>
      <c r="BL330" s="145"/>
      <c r="BM330" s="145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hidden="1" customHeight="1" x14ac:dyDescent="0.25">
      <c r="A331" s="134">
        <v>315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1723</v>
      </c>
      <c r="G331" s="149" t="s">
        <v>1</v>
      </c>
      <c r="H331" s="149" t="s">
        <v>2</v>
      </c>
      <c r="I331" s="149" t="s">
        <v>108</v>
      </c>
      <c r="J331" s="152" t="s">
        <v>1724</v>
      </c>
      <c r="K331" s="152" t="s">
        <v>1725</v>
      </c>
      <c r="L331" s="152" t="s">
        <v>1726</v>
      </c>
      <c r="M331" s="134" t="s">
        <v>4</v>
      </c>
      <c r="N331" s="214" t="s">
        <v>5</v>
      </c>
      <c r="O331" s="194">
        <v>45280</v>
      </c>
      <c r="P331" s="144" t="s">
        <v>24</v>
      </c>
      <c r="Q331" s="144" t="s">
        <v>24</v>
      </c>
      <c r="R331" s="144" t="s">
        <v>24</v>
      </c>
      <c r="S331" s="144" t="s">
        <v>24</v>
      </c>
      <c r="T331" s="144" t="s">
        <v>24</v>
      </c>
      <c r="U331" s="144" t="s">
        <v>24</v>
      </c>
      <c r="V331" s="144" t="s">
        <v>24</v>
      </c>
      <c r="W331" s="144" t="s">
        <v>24</v>
      </c>
      <c r="X331" s="144" t="s">
        <v>24</v>
      </c>
      <c r="Y331" s="144" t="s">
        <v>24</v>
      </c>
      <c r="Z331" s="144" t="s">
        <v>24</v>
      </c>
      <c r="AA331" s="149"/>
      <c r="AB331" s="152" t="s">
        <v>1724</v>
      </c>
      <c r="AC331" s="152" t="s">
        <v>1725</v>
      </c>
      <c r="AD331" s="152" t="s">
        <v>1726</v>
      </c>
      <c r="AE331" s="149" t="s">
        <v>108</v>
      </c>
      <c r="AF331" s="149" t="s">
        <v>4</v>
      </c>
      <c r="AG331" s="208">
        <v>0</v>
      </c>
      <c r="AH331" s="208">
        <v>60000</v>
      </c>
      <c r="AI331" s="232" t="s">
        <v>6</v>
      </c>
      <c r="AJ331" s="160" t="s">
        <v>109</v>
      </c>
      <c r="AK331" s="214"/>
      <c r="AL331" s="149" t="s">
        <v>110</v>
      </c>
      <c r="AM331" s="149" t="s">
        <v>110</v>
      </c>
      <c r="AN331" s="149" t="s">
        <v>111</v>
      </c>
      <c r="AO331" s="198"/>
      <c r="AP331" s="199" t="s">
        <v>1727</v>
      </c>
      <c r="AQ331" s="149" t="s">
        <v>110</v>
      </c>
      <c r="AR331" s="198" t="s">
        <v>110</v>
      </c>
      <c r="AS331" s="149" t="s">
        <v>110</v>
      </c>
      <c r="AT331" s="149" t="s">
        <v>110</v>
      </c>
      <c r="AU331" s="194">
        <v>45373</v>
      </c>
      <c r="AV331" s="149" t="s">
        <v>110</v>
      </c>
      <c r="AW331" s="149" t="s">
        <v>110</v>
      </c>
      <c r="AX331" s="194">
        <v>45384</v>
      </c>
      <c r="AY331" s="197">
        <v>45384</v>
      </c>
      <c r="AZ331" s="197" t="s">
        <v>33</v>
      </c>
      <c r="BA331" s="145" t="s">
        <v>113</v>
      </c>
      <c r="BB331" s="149" t="s">
        <v>110</v>
      </c>
      <c r="BC331" s="142">
        <f t="shared" si="19"/>
        <v>104</v>
      </c>
      <c r="BD331" s="134" t="str">
        <f t="shared" si="16"/>
        <v>INDENIZAÇÃO</v>
      </c>
      <c r="BE331" s="134" t="str">
        <f t="shared" si="18"/>
        <v>NÃO</v>
      </c>
      <c r="BF331" s="134" t="s">
        <v>24</v>
      </c>
      <c r="BG331" s="134" t="s">
        <v>24</v>
      </c>
      <c r="BH331" s="134" t="s">
        <v>24</v>
      </c>
      <c r="BI331" s="149" t="s">
        <v>110</v>
      </c>
      <c r="BJ331" s="149" t="s">
        <v>110</v>
      </c>
      <c r="BK331" s="194">
        <v>45510</v>
      </c>
      <c r="BL331" s="149" t="s">
        <v>110</v>
      </c>
      <c r="BM331" s="145" t="s">
        <v>33</v>
      </c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hidden="1" customHeight="1" x14ac:dyDescent="0.25">
      <c r="A332" s="134">
        <v>316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1728</v>
      </c>
      <c r="G332" s="149" t="s">
        <v>1</v>
      </c>
      <c r="H332" s="149" t="s">
        <v>2</v>
      </c>
      <c r="I332" s="149" t="s">
        <v>382</v>
      </c>
      <c r="J332" s="152" t="s">
        <v>1729</v>
      </c>
      <c r="K332" s="152" t="s">
        <v>1730</v>
      </c>
      <c r="L332" s="152" t="s">
        <v>1731</v>
      </c>
      <c r="M332" s="134" t="s">
        <v>4</v>
      </c>
      <c r="N332" s="134" t="s">
        <v>14</v>
      </c>
      <c r="O332" s="194">
        <v>45280</v>
      </c>
      <c r="P332" s="197" t="s">
        <v>17</v>
      </c>
      <c r="Q332" s="264" t="s">
        <v>386</v>
      </c>
      <c r="R332" s="197"/>
      <c r="S332" s="197"/>
      <c r="T332" s="197"/>
      <c r="U332" s="197"/>
      <c r="V332" s="197"/>
      <c r="W332" s="197"/>
      <c r="X332" s="197"/>
      <c r="Y332" s="197"/>
      <c r="Z332" s="197"/>
      <c r="AA332" s="149"/>
      <c r="AB332" s="152" t="s">
        <v>1724</v>
      </c>
      <c r="AC332" s="152" t="s">
        <v>1725</v>
      </c>
      <c r="AD332" s="152" t="s">
        <v>1726</v>
      </c>
      <c r="AE332" s="134" t="s">
        <v>342</v>
      </c>
      <c r="AF332" s="149"/>
      <c r="AG332" s="208" t="s">
        <v>366</v>
      </c>
      <c r="AH332" s="208" t="s">
        <v>366</v>
      </c>
      <c r="AI332" s="214" t="s">
        <v>366</v>
      </c>
      <c r="AJ332" s="214" t="s">
        <v>366</v>
      </c>
      <c r="AK332" s="214"/>
      <c r="AL332" s="149"/>
      <c r="AM332" s="149"/>
      <c r="AN332" s="149"/>
      <c r="AO332" s="149"/>
      <c r="AP332" s="152"/>
      <c r="AQ332" s="149"/>
      <c r="AR332" s="149"/>
      <c r="AS332" s="149"/>
      <c r="AT332" s="149"/>
      <c r="AU332" s="149"/>
      <c r="AV332" s="149"/>
      <c r="AW332" s="149"/>
      <c r="AX332" s="149"/>
      <c r="AY332" s="149"/>
      <c r="AZ332" s="149"/>
      <c r="BA332" s="149"/>
      <c r="BB332" s="149"/>
      <c r="BC332" s="142" t="str">
        <f t="shared" si="19"/>
        <v/>
      </c>
      <c r="BD332" s="134" t="str">
        <f t="shared" si="16"/>
        <v>INDENIZAÇÃO</v>
      </c>
      <c r="BE332" s="134" t="str">
        <f t="shared" si="18"/>
        <v>NÃO</v>
      </c>
      <c r="BF332" s="149"/>
      <c r="BG332" s="194"/>
      <c r="BH332" s="194"/>
      <c r="BI332" s="149"/>
      <c r="BJ332" s="149"/>
      <c r="BK332" s="149"/>
      <c r="BL332" s="149"/>
      <c r="BM332" s="149"/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hidden="1" customHeight="1" x14ac:dyDescent="0.25">
      <c r="A333" s="134">
        <v>317</v>
      </c>
      <c r="B333" s="134" t="s">
        <v>99</v>
      </c>
      <c r="C333" s="134">
        <v>1</v>
      </c>
      <c r="D333" s="134" t="s">
        <v>100</v>
      </c>
      <c r="E333" s="134" t="s">
        <v>100</v>
      </c>
      <c r="F333" s="138" t="s">
        <v>1732</v>
      </c>
      <c r="G333" s="149" t="s">
        <v>1</v>
      </c>
      <c r="H333" s="149" t="s">
        <v>2</v>
      </c>
      <c r="I333" s="149" t="s">
        <v>342</v>
      </c>
      <c r="J333" s="152" t="s">
        <v>1724</v>
      </c>
      <c r="K333" s="152" t="s">
        <v>1725</v>
      </c>
      <c r="L333" s="152" t="s">
        <v>1726</v>
      </c>
      <c r="M333" s="134" t="s">
        <v>4</v>
      </c>
      <c r="N333" s="134"/>
      <c r="O333" s="194"/>
      <c r="P333" s="144"/>
      <c r="Q333" s="263"/>
      <c r="R333" s="144"/>
      <c r="S333" s="144"/>
      <c r="T333" s="144"/>
      <c r="U333" s="144"/>
      <c r="V333" s="144"/>
      <c r="W333" s="144"/>
      <c r="X333" s="144"/>
      <c r="Y333" s="144"/>
      <c r="Z333" s="144"/>
      <c r="AA333" s="149"/>
      <c r="AB333" s="152" t="s">
        <v>1724</v>
      </c>
      <c r="AC333" s="152" t="s">
        <v>1725</v>
      </c>
      <c r="AD333" s="152" t="s">
        <v>1726</v>
      </c>
      <c r="AE333" s="134" t="s">
        <v>342</v>
      </c>
      <c r="AF333" s="149"/>
      <c r="AG333" s="208"/>
      <c r="AH333" s="208"/>
      <c r="AI333" s="214"/>
      <c r="AJ333" s="214"/>
      <c r="AK333" s="214"/>
      <c r="AL333" s="149"/>
      <c r="AM333" s="149"/>
      <c r="AN333" s="149"/>
      <c r="AO333" s="149"/>
      <c r="AP333" s="152"/>
      <c r="AQ333" s="149"/>
      <c r="AR333" s="149"/>
      <c r="AS333" s="149"/>
      <c r="AT333" s="149"/>
      <c r="AU333" s="149"/>
      <c r="AV333" s="149"/>
      <c r="AW333" s="149"/>
      <c r="AX333" s="149"/>
      <c r="AY333" s="149"/>
      <c r="AZ333" s="149"/>
      <c r="BA333" s="149"/>
      <c r="BB333" s="149"/>
      <c r="BC333" s="142" t="str">
        <f t="shared" si="19"/>
        <v/>
      </c>
      <c r="BD333" s="134" t="str">
        <f t="shared" si="16"/>
        <v>INDENIZAÇÃO</v>
      </c>
      <c r="BE333" s="134" t="str">
        <f t="shared" si="18"/>
        <v>NÃO</v>
      </c>
      <c r="BF333" s="149"/>
      <c r="BG333" s="194"/>
      <c r="BH333" s="194"/>
      <c r="BI333" s="149"/>
      <c r="BJ333" s="149"/>
      <c r="BK333" s="149"/>
      <c r="BL333" s="149"/>
      <c r="BM333" s="149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hidden="1" customHeight="1" x14ac:dyDescent="0.25">
      <c r="A334" s="134">
        <v>318</v>
      </c>
      <c r="B334" s="134" t="s">
        <v>99</v>
      </c>
      <c r="C334" s="134">
        <v>1</v>
      </c>
      <c r="D334" s="134" t="s">
        <v>100</v>
      </c>
      <c r="E334" s="134" t="s">
        <v>100</v>
      </c>
      <c r="F334" s="138" t="s">
        <v>1733</v>
      </c>
      <c r="G334" s="149" t="s">
        <v>10</v>
      </c>
      <c r="H334" s="149" t="s">
        <v>2</v>
      </c>
      <c r="I334" s="149" t="s">
        <v>342</v>
      </c>
      <c r="J334" s="152" t="s">
        <v>1734</v>
      </c>
      <c r="K334" s="152" t="s">
        <v>1735</v>
      </c>
      <c r="L334" s="152" t="s">
        <v>1736</v>
      </c>
      <c r="M334" s="134" t="s">
        <v>4</v>
      </c>
      <c r="N334" s="134" t="s">
        <v>5</v>
      </c>
      <c r="O334" s="194">
        <v>45770</v>
      </c>
      <c r="P334" s="144" t="s">
        <v>24</v>
      </c>
      <c r="Q334" s="144" t="s">
        <v>24</v>
      </c>
      <c r="R334" s="144" t="s">
        <v>24</v>
      </c>
      <c r="S334" s="144" t="s">
        <v>24</v>
      </c>
      <c r="T334" s="144" t="s">
        <v>24</v>
      </c>
      <c r="U334" s="144" t="s">
        <v>24</v>
      </c>
      <c r="V334" s="144" t="s">
        <v>24</v>
      </c>
      <c r="W334" s="144" t="s">
        <v>24</v>
      </c>
      <c r="X334" s="144" t="s">
        <v>24</v>
      </c>
      <c r="Y334" s="144" t="s">
        <v>24</v>
      </c>
      <c r="Z334" s="144" t="s">
        <v>24</v>
      </c>
      <c r="AA334" s="149"/>
      <c r="AB334" s="152" t="s">
        <v>1734</v>
      </c>
      <c r="AC334" s="152" t="s">
        <v>1735</v>
      </c>
      <c r="AD334" s="152" t="s">
        <v>1736</v>
      </c>
      <c r="AE334" s="134" t="s">
        <v>342</v>
      </c>
      <c r="AF334" s="149" t="s">
        <v>4</v>
      </c>
      <c r="AG334" s="208">
        <v>33721.47</v>
      </c>
      <c r="AH334" s="208">
        <v>60000</v>
      </c>
      <c r="AI334" s="214" t="s">
        <v>6</v>
      </c>
      <c r="AJ334" s="138" t="s">
        <v>109</v>
      </c>
      <c r="AK334" s="214">
        <v>114956533</v>
      </c>
      <c r="AL334" s="149" t="s">
        <v>110</v>
      </c>
      <c r="AM334" s="149" t="s">
        <v>110</v>
      </c>
      <c r="AN334" s="149" t="s">
        <v>111</v>
      </c>
      <c r="AO334" s="149"/>
      <c r="AP334" s="152" t="s">
        <v>1737</v>
      </c>
      <c r="AQ334" s="149" t="s">
        <v>110</v>
      </c>
      <c r="AR334" s="149" t="s">
        <v>110</v>
      </c>
      <c r="AS334" s="198" t="s">
        <v>110</v>
      </c>
      <c r="AT334" s="198" t="s">
        <v>110</v>
      </c>
      <c r="AU334" s="194">
        <v>45834</v>
      </c>
      <c r="AV334" s="198" t="s">
        <v>110</v>
      </c>
      <c r="AW334" s="198" t="s">
        <v>110</v>
      </c>
      <c r="AX334" s="194">
        <v>45842</v>
      </c>
      <c r="AY334" s="197">
        <v>45842</v>
      </c>
      <c r="AZ334" s="145" t="s">
        <v>33</v>
      </c>
      <c r="BA334" s="145" t="s">
        <v>113</v>
      </c>
      <c r="BB334" s="149" t="s">
        <v>110</v>
      </c>
      <c r="BC334" s="142">
        <f t="shared" si="19"/>
        <v>72</v>
      </c>
      <c r="BD334" s="134" t="str">
        <f t="shared" si="16"/>
        <v>INDENIZAÇÃO</v>
      </c>
      <c r="BE334" s="134" t="str">
        <f t="shared" si="18"/>
        <v>NÃO</v>
      </c>
      <c r="BF334" s="134" t="s">
        <v>24</v>
      </c>
      <c r="BG334" s="134" t="s">
        <v>24</v>
      </c>
      <c r="BH334" s="134" t="s">
        <v>24</v>
      </c>
      <c r="BI334" s="198" t="s">
        <v>110</v>
      </c>
      <c r="BJ334" s="198" t="s">
        <v>110</v>
      </c>
      <c r="BK334" s="194">
        <v>45859</v>
      </c>
      <c r="BL334" s="149" t="s">
        <v>110</v>
      </c>
      <c r="BM334" s="141" t="s">
        <v>33</v>
      </c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hidden="1" customHeight="1" x14ac:dyDescent="0.25">
      <c r="A335" s="134"/>
      <c r="B335" s="134" t="s">
        <v>99</v>
      </c>
      <c r="C335" s="134">
        <v>1</v>
      </c>
      <c r="D335" s="134" t="s">
        <v>100</v>
      </c>
      <c r="E335" s="134" t="s">
        <v>100</v>
      </c>
      <c r="F335" s="138" t="s">
        <v>1738</v>
      </c>
      <c r="G335" s="149" t="s">
        <v>1</v>
      </c>
      <c r="H335" s="149" t="s">
        <v>2</v>
      </c>
      <c r="I335" s="149" t="s">
        <v>104</v>
      </c>
      <c r="J335" s="152" t="s">
        <v>1739</v>
      </c>
      <c r="K335" s="152" t="s">
        <v>1740</v>
      </c>
      <c r="L335" s="152" t="s">
        <v>1741</v>
      </c>
      <c r="M335" s="134" t="s">
        <v>4</v>
      </c>
      <c r="N335" s="134" t="s">
        <v>5</v>
      </c>
      <c r="O335" s="194">
        <v>46267</v>
      </c>
      <c r="P335" s="139" t="s">
        <v>24</v>
      </c>
      <c r="Q335" s="139" t="s">
        <v>24</v>
      </c>
      <c r="R335" s="139" t="s">
        <v>24</v>
      </c>
      <c r="S335" s="139" t="s">
        <v>24</v>
      </c>
      <c r="T335" s="139" t="s">
        <v>24</v>
      </c>
      <c r="U335" s="139" t="s">
        <v>24</v>
      </c>
      <c r="V335" s="139" t="s">
        <v>24</v>
      </c>
      <c r="W335" s="139" t="s">
        <v>24</v>
      </c>
      <c r="X335" s="139" t="s">
        <v>24</v>
      </c>
      <c r="Y335" s="139" t="s">
        <v>24</v>
      </c>
      <c r="Z335" s="139" t="s">
        <v>24</v>
      </c>
      <c r="AA335" s="149"/>
      <c r="AB335" s="152" t="s">
        <v>1739</v>
      </c>
      <c r="AC335" s="152" t="s">
        <v>1740</v>
      </c>
      <c r="AD335" s="152" t="s">
        <v>1741</v>
      </c>
      <c r="AE335" s="149" t="s">
        <v>108</v>
      </c>
      <c r="AF335" s="149" t="s">
        <v>4</v>
      </c>
      <c r="AG335" s="208">
        <v>23944.21</v>
      </c>
      <c r="AH335" s="208">
        <v>53944.21</v>
      </c>
      <c r="AI335" s="214" t="s">
        <v>6</v>
      </c>
      <c r="AJ335" s="138" t="s">
        <v>109</v>
      </c>
      <c r="AK335" s="214">
        <v>159459423</v>
      </c>
      <c r="AL335" s="134" t="s">
        <v>279</v>
      </c>
      <c r="AM335" s="149" t="s">
        <v>110</v>
      </c>
      <c r="AN335" s="149" t="s">
        <v>280</v>
      </c>
      <c r="AO335" s="149"/>
      <c r="AP335" s="152"/>
      <c r="AQ335" s="149"/>
      <c r="AR335" s="149"/>
      <c r="AS335" s="198"/>
      <c r="AT335" s="198"/>
      <c r="AU335" s="194"/>
      <c r="AV335" s="198"/>
      <c r="AW335" s="198"/>
      <c r="AX335" s="194"/>
      <c r="AY335" s="197"/>
      <c r="AZ335" s="145"/>
      <c r="BA335" s="145"/>
      <c r="BB335" s="149"/>
      <c r="BC335" s="142"/>
      <c r="BD335" s="134"/>
      <c r="BE335" s="134"/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 x14ac:dyDescent="0.25">
      <c r="A336" s="134">
        <v>319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1742</v>
      </c>
      <c r="G336" s="149" t="s">
        <v>10</v>
      </c>
      <c r="H336" s="149" t="s">
        <v>2</v>
      </c>
      <c r="I336" s="149" t="s">
        <v>3</v>
      </c>
      <c r="J336" s="152" t="s">
        <v>1743</v>
      </c>
      <c r="K336" s="152" t="s">
        <v>1744</v>
      </c>
      <c r="L336" s="152" t="s">
        <v>1745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1743</v>
      </c>
      <c r="AC336" s="152" t="s">
        <v>1744</v>
      </c>
      <c r="AD336" s="152" t="s">
        <v>1745</v>
      </c>
      <c r="AE336" s="134" t="s">
        <v>342</v>
      </c>
      <c r="AF336" s="149" t="s">
        <v>4</v>
      </c>
      <c r="AG336" s="208">
        <v>45667.97</v>
      </c>
      <c r="AH336" s="208">
        <v>60000</v>
      </c>
      <c r="AI336" s="214" t="s">
        <v>6</v>
      </c>
      <c r="AJ336" s="138" t="s">
        <v>109</v>
      </c>
      <c r="AK336" s="214">
        <v>155558100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1746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98" t="s">
        <v>110</v>
      </c>
      <c r="AW336" s="198" t="s">
        <v>110</v>
      </c>
      <c r="AX336" s="194">
        <v>46260</v>
      </c>
      <c r="AY336" s="140">
        <v>46260</v>
      </c>
      <c r="AZ336" s="145" t="s">
        <v>33</v>
      </c>
      <c r="BA336" s="145" t="s">
        <v>1</v>
      </c>
      <c r="BB336" s="149" t="s">
        <v>110</v>
      </c>
      <c r="BC336" s="142">
        <f t="shared" ref="BC336:BC367" si="20">IF(AY336-KD336=0,"",AY336-O336)</f>
        <v>92</v>
      </c>
      <c r="BD336" s="134" t="str">
        <f t="shared" ref="BD336:BD367" si="21">IF(AND(AI336&lt;&gt;"SIM",AI336="UH"),"AA","INDENIZAÇÃO")</f>
        <v>INDENIZAÇÃO</v>
      </c>
      <c r="BE336" s="134" t="str">
        <f t="shared" ref="BE336:BE367" si="22">IF(AND(AY336&lt;&gt;"AGUARDANDO",AY336&lt;&gt;"",N336="AUXÍLIO ALUGUEL ATÉ INDENIZAÇÃO"),"SIM","NÃO")</f>
        <v>NÃO</v>
      </c>
      <c r="BF336" s="134" t="s">
        <v>24</v>
      </c>
      <c r="BG336" s="134" t="s">
        <v>24</v>
      </c>
      <c r="BH336" s="134" t="s">
        <v>24</v>
      </c>
      <c r="BI336" s="198" t="s">
        <v>110</v>
      </c>
      <c r="BJ336" s="145" t="s">
        <v>33</v>
      </c>
      <c r="BK336" s="145"/>
      <c r="BL336" s="145"/>
      <c r="BM336" s="145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 x14ac:dyDescent="0.25">
      <c r="A337" s="134">
        <v>46</v>
      </c>
      <c r="B337" s="134" t="s">
        <v>99</v>
      </c>
      <c r="C337" s="134">
        <v>2</v>
      </c>
      <c r="D337" s="134" t="s">
        <v>100</v>
      </c>
      <c r="E337" s="134" t="s">
        <v>100</v>
      </c>
      <c r="F337" s="138" t="s">
        <v>1747</v>
      </c>
      <c r="G337" s="149" t="s">
        <v>102</v>
      </c>
      <c r="H337" s="149" t="s">
        <v>2</v>
      </c>
      <c r="I337" s="149" t="s">
        <v>12</v>
      </c>
      <c r="J337" s="152" t="s">
        <v>1748</v>
      </c>
      <c r="K337" s="152" t="s">
        <v>1749</v>
      </c>
      <c r="L337" s="152" t="s">
        <v>1750</v>
      </c>
      <c r="M337" s="134" t="s">
        <v>4</v>
      </c>
      <c r="N337" s="134" t="s">
        <v>5</v>
      </c>
      <c r="O337" s="194">
        <v>46140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1748</v>
      </c>
      <c r="AC337" s="152" t="s">
        <v>1749</v>
      </c>
      <c r="AD337" s="152" t="s">
        <v>1750</v>
      </c>
      <c r="AE337" s="149" t="s">
        <v>108</v>
      </c>
      <c r="AF337" s="149" t="s">
        <v>4</v>
      </c>
      <c r="AG337" s="208">
        <v>71849.91</v>
      </c>
      <c r="AH337" s="208">
        <v>71849.91</v>
      </c>
      <c r="AI337" s="214" t="s">
        <v>6</v>
      </c>
      <c r="AJ337" s="138" t="s">
        <v>109</v>
      </c>
      <c r="AK337" s="308" t="s">
        <v>1751</v>
      </c>
      <c r="AL337" s="134" t="s">
        <v>110</v>
      </c>
      <c r="AM337" s="149" t="s">
        <v>110</v>
      </c>
      <c r="AN337" s="273" t="s">
        <v>111</v>
      </c>
      <c r="AO337" s="149"/>
      <c r="AP337" s="152" t="s">
        <v>1752</v>
      </c>
      <c r="AQ337" s="149" t="s">
        <v>110</v>
      </c>
      <c r="AR337" s="149" t="s">
        <v>110</v>
      </c>
      <c r="AS337" s="149" t="s">
        <v>110</v>
      </c>
      <c r="AT337" s="149" t="s">
        <v>110</v>
      </c>
      <c r="AU337" s="194">
        <v>46182</v>
      </c>
      <c r="AV337" s="149" t="s">
        <v>110</v>
      </c>
      <c r="AW337" s="149" t="s">
        <v>110</v>
      </c>
      <c r="AX337" s="194">
        <v>46189</v>
      </c>
      <c r="AY337" s="197">
        <v>46189</v>
      </c>
      <c r="AZ337" s="145" t="s">
        <v>33</v>
      </c>
      <c r="BA337" s="145" t="s">
        <v>113</v>
      </c>
      <c r="BB337" s="149" t="s">
        <v>110</v>
      </c>
      <c r="BC337" s="142">
        <f t="shared" si="20"/>
        <v>49</v>
      </c>
      <c r="BD337" s="134" t="str">
        <f t="shared" si="21"/>
        <v>INDENIZAÇÃO</v>
      </c>
      <c r="BE337" s="134" t="str">
        <f t="shared" si="22"/>
        <v>NÃO</v>
      </c>
      <c r="BF337" s="149" t="s">
        <v>24</v>
      </c>
      <c r="BG337" s="149" t="s">
        <v>24</v>
      </c>
      <c r="BH337" s="149" t="s">
        <v>24</v>
      </c>
      <c r="BI337" s="198" t="s">
        <v>110</v>
      </c>
      <c r="BJ337" s="145" t="s">
        <v>33</v>
      </c>
      <c r="BK337" s="145"/>
      <c r="BL337" s="145"/>
      <c r="BM337" s="145"/>
      <c r="BN337" s="199"/>
      <c r="BO337" s="19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 x14ac:dyDescent="0.25">
      <c r="A338" s="134">
        <v>321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216" t="s">
        <v>1753</v>
      </c>
      <c r="G338" s="149" t="s">
        <v>102</v>
      </c>
      <c r="H338" s="149" t="s">
        <v>103</v>
      </c>
      <c r="I338" s="149" t="s">
        <v>12</v>
      </c>
      <c r="J338" s="152" t="s">
        <v>1754</v>
      </c>
      <c r="K338" s="152" t="s">
        <v>1755</v>
      </c>
      <c r="L338" s="152" t="s">
        <v>1756</v>
      </c>
      <c r="M338" s="134" t="s">
        <v>4</v>
      </c>
      <c r="N338" s="134" t="s">
        <v>5</v>
      </c>
      <c r="O338" s="194">
        <v>46191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1754</v>
      </c>
      <c r="AC338" s="152" t="s">
        <v>1755</v>
      </c>
      <c r="AD338" s="152" t="s">
        <v>1756</v>
      </c>
      <c r="AE338" s="149" t="s">
        <v>108</v>
      </c>
      <c r="AF338" s="149" t="s">
        <v>4</v>
      </c>
      <c r="AG338" s="208">
        <v>21302.080000000002</v>
      </c>
      <c r="AH338" s="208">
        <v>51302.080000000002</v>
      </c>
      <c r="AI338" s="214" t="s">
        <v>6</v>
      </c>
      <c r="AJ338" s="138" t="s">
        <v>109</v>
      </c>
      <c r="AK338" s="308">
        <v>155558260</v>
      </c>
      <c r="AL338" s="134" t="s">
        <v>110</v>
      </c>
      <c r="AM338" s="134" t="s">
        <v>110</v>
      </c>
      <c r="AN338" s="149" t="s">
        <v>111</v>
      </c>
      <c r="AO338" s="273"/>
      <c r="AP338" s="199" t="s">
        <v>1757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194">
        <v>46254</v>
      </c>
      <c r="AV338" s="198" t="s">
        <v>110</v>
      </c>
      <c r="AW338" s="198" t="s">
        <v>110</v>
      </c>
      <c r="AX338" s="194">
        <v>46260</v>
      </c>
      <c r="AY338" s="140">
        <v>46260</v>
      </c>
      <c r="AZ338" s="145" t="s">
        <v>33</v>
      </c>
      <c r="BA338" s="145" t="s">
        <v>1</v>
      </c>
      <c r="BB338" s="149" t="s">
        <v>110</v>
      </c>
      <c r="BC338" s="142">
        <f t="shared" si="20"/>
        <v>69</v>
      </c>
      <c r="BD338" s="134" t="str">
        <f t="shared" si="21"/>
        <v>INDENIZAÇÃO</v>
      </c>
      <c r="BE338" s="134" t="str">
        <f t="shared" si="22"/>
        <v>NÃO</v>
      </c>
      <c r="BF338" s="134" t="s">
        <v>24</v>
      </c>
      <c r="BG338" s="134" t="s">
        <v>24</v>
      </c>
      <c r="BH338" s="134" t="s">
        <v>24</v>
      </c>
      <c r="BI338" s="198" t="s">
        <v>110</v>
      </c>
      <c r="BJ338" s="145" t="s">
        <v>33</v>
      </c>
      <c r="BK338" s="145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 x14ac:dyDescent="0.25">
      <c r="A339" s="134">
        <v>322</v>
      </c>
      <c r="B339" s="134" t="s">
        <v>99</v>
      </c>
      <c r="C339" s="134">
        <v>2</v>
      </c>
      <c r="D339" s="134" t="s">
        <v>100</v>
      </c>
      <c r="E339" s="134" t="s">
        <v>100</v>
      </c>
      <c r="F339" s="216" t="s">
        <v>1758</v>
      </c>
      <c r="G339" s="149" t="s">
        <v>102</v>
      </c>
      <c r="H339" s="149" t="s">
        <v>103</v>
      </c>
      <c r="I339" s="149" t="s">
        <v>12</v>
      </c>
      <c r="J339" s="152" t="s">
        <v>1759</v>
      </c>
      <c r="K339" s="152" t="s">
        <v>1760</v>
      </c>
      <c r="L339" s="152" t="s">
        <v>1761</v>
      </c>
      <c r="M339" s="134" t="s">
        <v>4</v>
      </c>
      <c r="N339" s="134" t="s">
        <v>5</v>
      </c>
      <c r="O339" s="194">
        <v>46168</v>
      </c>
      <c r="P339" s="144" t="s">
        <v>24</v>
      </c>
      <c r="Q339" s="144" t="s">
        <v>24</v>
      </c>
      <c r="R339" s="144" t="s">
        <v>24</v>
      </c>
      <c r="S339" s="144" t="s">
        <v>24</v>
      </c>
      <c r="T339" s="144" t="s">
        <v>24</v>
      </c>
      <c r="U339" s="144" t="s">
        <v>24</v>
      </c>
      <c r="V339" s="144" t="s">
        <v>24</v>
      </c>
      <c r="W339" s="144" t="s">
        <v>24</v>
      </c>
      <c r="X339" s="144" t="s">
        <v>24</v>
      </c>
      <c r="Y339" s="144" t="s">
        <v>24</v>
      </c>
      <c r="Z339" s="144" t="s">
        <v>24</v>
      </c>
      <c r="AA339" s="149"/>
      <c r="AB339" s="152" t="s">
        <v>1759</v>
      </c>
      <c r="AC339" s="152" t="s">
        <v>1760</v>
      </c>
      <c r="AD339" s="152" t="s">
        <v>1761</v>
      </c>
      <c r="AE339" s="149" t="s">
        <v>108</v>
      </c>
      <c r="AF339" s="149" t="s">
        <v>4</v>
      </c>
      <c r="AG339" s="208">
        <v>58113.919999999998</v>
      </c>
      <c r="AH339" s="208">
        <v>60000</v>
      </c>
      <c r="AI339" s="214" t="s">
        <v>6</v>
      </c>
      <c r="AJ339" s="138" t="s">
        <v>109</v>
      </c>
      <c r="AK339" s="308">
        <v>155558397</v>
      </c>
      <c r="AL339" s="134" t="s">
        <v>110</v>
      </c>
      <c r="AM339" s="134" t="s">
        <v>110</v>
      </c>
      <c r="AN339" s="149" t="s">
        <v>111</v>
      </c>
      <c r="AO339" s="273"/>
      <c r="AP339" s="199" t="s">
        <v>1762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46254</v>
      </c>
      <c r="AV339" s="328" t="s">
        <v>110</v>
      </c>
      <c r="AW339" s="328" t="s">
        <v>110</v>
      </c>
      <c r="AX339" s="194">
        <v>46273</v>
      </c>
      <c r="AY339" s="140">
        <v>46273</v>
      </c>
      <c r="AZ339" s="145" t="s">
        <v>33</v>
      </c>
      <c r="BA339" s="145" t="s">
        <v>113</v>
      </c>
      <c r="BB339" s="149" t="s">
        <v>110</v>
      </c>
      <c r="BC339" s="142">
        <f t="shared" si="20"/>
        <v>105</v>
      </c>
      <c r="BD339" s="134" t="str">
        <f t="shared" si="21"/>
        <v>INDENIZAÇÃO</v>
      </c>
      <c r="BE339" s="134" t="str">
        <f t="shared" si="22"/>
        <v>NÃO</v>
      </c>
      <c r="BF339" s="134" t="s">
        <v>24</v>
      </c>
      <c r="BG339" s="134" t="s">
        <v>24</v>
      </c>
      <c r="BH339" s="134" t="s">
        <v>24</v>
      </c>
      <c r="BI339" s="198" t="s">
        <v>110</v>
      </c>
      <c r="BJ339" s="145" t="s">
        <v>33</v>
      </c>
      <c r="BK339" s="302"/>
      <c r="BL339" s="145"/>
      <c r="BM339" s="141"/>
      <c r="BN339" s="149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 x14ac:dyDescent="0.25">
      <c r="A340" s="134">
        <v>323</v>
      </c>
      <c r="B340" s="134" t="s">
        <v>99</v>
      </c>
      <c r="C340" s="134">
        <v>1</v>
      </c>
      <c r="D340" s="134" t="s">
        <v>100</v>
      </c>
      <c r="E340" s="134" t="s">
        <v>100</v>
      </c>
      <c r="F340" s="138" t="s">
        <v>1763</v>
      </c>
      <c r="G340" s="149" t="s">
        <v>102</v>
      </c>
      <c r="H340" s="149" t="s">
        <v>103</v>
      </c>
      <c r="I340" s="149" t="s">
        <v>12</v>
      </c>
      <c r="J340" s="152" t="s">
        <v>1764</v>
      </c>
      <c r="K340" s="152" t="s">
        <v>1765</v>
      </c>
      <c r="L340" s="152" t="s">
        <v>1766</v>
      </c>
      <c r="M340" s="134" t="s">
        <v>4</v>
      </c>
      <c r="N340" s="134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1764</v>
      </c>
      <c r="AC340" s="152" t="s">
        <v>1765</v>
      </c>
      <c r="AD340" s="152" t="s">
        <v>1766</v>
      </c>
      <c r="AE340" s="149" t="s">
        <v>108</v>
      </c>
      <c r="AF340" s="149" t="s">
        <v>4</v>
      </c>
      <c r="AG340" s="208">
        <v>51041.06</v>
      </c>
      <c r="AH340" s="208">
        <v>60000</v>
      </c>
      <c r="AI340" s="214" t="s">
        <v>6</v>
      </c>
      <c r="AJ340" s="138" t="s">
        <v>109</v>
      </c>
      <c r="AK340" s="214">
        <v>130628377</v>
      </c>
      <c r="AL340" s="149" t="s">
        <v>110</v>
      </c>
      <c r="AM340" s="149" t="s">
        <v>110</v>
      </c>
      <c r="AN340" s="149" t="s">
        <v>111</v>
      </c>
      <c r="AO340" s="149"/>
      <c r="AP340" s="152" t="s">
        <v>1767</v>
      </c>
      <c r="AQ340" s="149" t="s">
        <v>110</v>
      </c>
      <c r="AR340" s="149" t="s">
        <v>110</v>
      </c>
      <c r="AS340" s="198" t="s">
        <v>110</v>
      </c>
      <c r="AT340" s="198" t="s">
        <v>110</v>
      </c>
      <c r="AU340" s="194">
        <v>46021</v>
      </c>
      <c r="AV340" s="198" t="s">
        <v>110</v>
      </c>
      <c r="AW340" s="198" t="s">
        <v>110</v>
      </c>
      <c r="AX340" s="194">
        <v>46041</v>
      </c>
      <c r="AY340" s="197">
        <v>46041</v>
      </c>
      <c r="AZ340" s="197" t="s">
        <v>33</v>
      </c>
      <c r="BA340" s="145" t="s">
        <v>113</v>
      </c>
      <c r="BB340" s="149" t="s">
        <v>110</v>
      </c>
      <c r="BC340" s="142">
        <f t="shared" si="20"/>
        <v>40</v>
      </c>
      <c r="BD340" s="134" t="str">
        <f t="shared" si="21"/>
        <v>INDENIZAÇÃO</v>
      </c>
      <c r="BE340" s="134" t="str">
        <f t="shared" si="22"/>
        <v>NÃO</v>
      </c>
      <c r="BF340" s="149" t="s">
        <v>24</v>
      </c>
      <c r="BG340" s="149" t="s">
        <v>24</v>
      </c>
      <c r="BH340" s="149" t="s">
        <v>24</v>
      </c>
      <c r="BI340" s="198" t="s">
        <v>110</v>
      </c>
      <c r="BJ340" s="145" t="s">
        <v>33</v>
      </c>
      <c r="BK340" s="145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 x14ac:dyDescent="0.25">
      <c r="A341" s="134">
        <v>324</v>
      </c>
      <c r="B341" s="134" t="s">
        <v>99</v>
      </c>
      <c r="C341" s="134">
        <v>2</v>
      </c>
      <c r="D341" s="134" t="s">
        <v>100</v>
      </c>
      <c r="E341" s="134" t="s">
        <v>100</v>
      </c>
      <c r="F341" s="152" t="s">
        <v>1768</v>
      </c>
      <c r="G341" s="149" t="s">
        <v>102</v>
      </c>
      <c r="H341" s="149" t="s">
        <v>103</v>
      </c>
      <c r="I341" s="149" t="s">
        <v>12</v>
      </c>
      <c r="J341" s="152" t="s">
        <v>1769</v>
      </c>
      <c r="K341" s="152" t="s">
        <v>1770</v>
      </c>
      <c r="L341" s="152" t="s">
        <v>1771</v>
      </c>
      <c r="M341" s="134" t="s">
        <v>4</v>
      </c>
      <c r="N341" s="134" t="s">
        <v>5</v>
      </c>
      <c r="O341" s="194">
        <v>45894</v>
      </c>
      <c r="P341" s="144" t="s">
        <v>24</v>
      </c>
      <c r="Q341" s="144" t="s">
        <v>24</v>
      </c>
      <c r="R341" s="144" t="s">
        <v>24</v>
      </c>
      <c r="S341" s="144" t="s">
        <v>24</v>
      </c>
      <c r="T341" s="144" t="s">
        <v>24</v>
      </c>
      <c r="U341" s="144" t="s">
        <v>24</v>
      </c>
      <c r="V341" s="144" t="s">
        <v>24</v>
      </c>
      <c r="W341" s="144" t="s">
        <v>24</v>
      </c>
      <c r="X341" s="144" t="s">
        <v>24</v>
      </c>
      <c r="Y341" s="144" t="s">
        <v>24</v>
      </c>
      <c r="Z341" s="144" t="s">
        <v>24</v>
      </c>
      <c r="AA341" s="149"/>
      <c r="AB341" s="152" t="s">
        <v>1769</v>
      </c>
      <c r="AC341" s="152" t="s">
        <v>1770</v>
      </c>
      <c r="AD341" s="152" t="s">
        <v>1771</v>
      </c>
      <c r="AE341" s="149" t="s">
        <v>108</v>
      </c>
      <c r="AF341" s="149" t="s">
        <v>4</v>
      </c>
      <c r="AG341" s="208">
        <v>120411.34</v>
      </c>
      <c r="AH341" s="208">
        <v>120411.34</v>
      </c>
      <c r="AI341" s="214" t="s">
        <v>6</v>
      </c>
      <c r="AJ341" s="138" t="s">
        <v>109</v>
      </c>
      <c r="AK341" s="214">
        <v>128822773</v>
      </c>
      <c r="AL341" s="134" t="s">
        <v>110</v>
      </c>
      <c r="AM341" s="134" t="s">
        <v>110</v>
      </c>
      <c r="AN341" s="273" t="s">
        <v>111</v>
      </c>
      <c r="AO341" s="149"/>
      <c r="AP341" s="199" t="s">
        <v>1772</v>
      </c>
      <c r="AQ341" s="198" t="s">
        <v>110</v>
      </c>
      <c r="AR341" s="198" t="s">
        <v>110</v>
      </c>
      <c r="AS341" s="198" t="s">
        <v>110</v>
      </c>
      <c r="AT341" s="198" t="s">
        <v>110</v>
      </c>
      <c r="AU341" s="274">
        <v>45937</v>
      </c>
      <c r="AV341" s="198" t="s">
        <v>110</v>
      </c>
      <c r="AW341" s="198" t="s">
        <v>110</v>
      </c>
      <c r="AX341" s="274">
        <v>45947</v>
      </c>
      <c r="AY341" s="197">
        <v>45947</v>
      </c>
      <c r="AZ341" s="140" t="s">
        <v>33</v>
      </c>
      <c r="BA341" s="145" t="s">
        <v>113</v>
      </c>
      <c r="BB341" s="198" t="s">
        <v>110</v>
      </c>
      <c r="BC341" s="142">
        <f t="shared" si="20"/>
        <v>53</v>
      </c>
      <c r="BD341" s="134" t="str">
        <f t="shared" si="21"/>
        <v>INDENIZAÇÃO</v>
      </c>
      <c r="BE341" s="134" t="str">
        <f t="shared" si="22"/>
        <v>NÃO</v>
      </c>
      <c r="BF341" s="198" t="s">
        <v>24</v>
      </c>
      <c r="BG341" s="198" t="s">
        <v>24</v>
      </c>
      <c r="BH341" s="198" t="s">
        <v>24</v>
      </c>
      <c r="BI341" s="198" t="s">
        <v>110</v>
      </c>
      <c r="BJ341" s="145" t="s">
        <v>33</v>
      </c>
      <c r="BK341" s="279"/>
      <c r="BL341" s="145"/>
      <c r="BM341" s="145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 x14ac:dyDescent="0.25">
      <c r="A342" s="134">
        <v>325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1773</v>
      </c>
      <c r="G342" s="149" t="s">
        <v>1</v>
      </c>
      <c r="H342" s="149" t="s">
        <v>2</v>
      </c>
      <c r="I342" s="149" t="s">
        <v>382</v>
      </c>
      <c r="J342" s="152" t="s">
        <v>1774</v>
      </c>
      <c r="K342" s="152" t="s">
        <v>1775</v>
      </c>
      <c r="L342" s="152" t="s">
        <v>1776</v>
      </c>
      <c r="M342" s="134" t="s">
        <v>4</v>
      </c>
      <c r="N342" s="149" t="s">
        <v>14</v>
      </c>
      <c r="O342" s="194">
        <v>46140</v>
      </c>
      <c r="P342" s="197" t="s">
        <v>17</v>
      </c>
      <c r="Q342" s="326"/>
      <c r="R342" s="197"/>
      <c r="S342" s="197"/>
      <c r="T342" s="197"/>
      <c r="U342" s="197"/>
      <c r="V342" s="197"/>
      <c r="W342" s="197"/>
      <c r="X342" s="197"/>
      <c r="Y342" s="197"/>
      <c r="Z342" s="197"/>
      <c r="AA342" s="149"/>
      <c r="AB342" s="152" t="s">
        <v>1777</v>
      </c>
      <c r="AC342" s="152" t="s">
        <v>1775</v>
      </c>
      <c r="AD342" s="152" t="s">
        <v>1776</v>
      </c>
      <c r="AE342" s="134" t="s">
        <v>342</v>
      </c>
      <c r="AF342" s="149" t="s">
        <v>4</v>
      </c>
      <c r="AG342" s="208">
        <v>69479.78</v>
      </c>
      <c r="AH342" s="208">
        <v>69479.78</v>
      </c>
      <c r="AI342" s="214" t="s">
        <v>6</v>
      </c>
      <c r="AJ342" s="138" t="s">
        <v>109</v>
      </c>
      <c r="AK342" s="149">
        <v>153152020</v>
      </c>
      <c r="AL342" s="134" t="s">
        <v>110</v>
      </c>
      <c r="AM342" s="149" t="s">
        <v>110</v>
      </c>
      <c r="AN342" s="273" t="s">
        <v>111</v>
      </c>
      <c r="AO342" s="149"/>
      <c r="AP342" s="152" t="s">
        <v>1778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94">
        <v>46195</v>
      </c>
      <c r="AV342" s="198" t="s">
        <v>110</v>
      </c>
      <c r="AW342" s="198" t="s">
        <v>110</v>
      </c>
      <c r="AX342" s="194">
        <v>46204</v>
      </c>
      <c r="AY342" s="197">
        <v>46204</v>
      </c>
      <c r="AZ342" s="145" t="s">
        <v>33</v>
      </c>
      <c r="BA342" s="145" t="s">
        <v>113</v>
      </c>
      <c r="BB342" s="149" t="s">
        <v>110</v>
      </c>
      <c r="BC342" s="142">
        <f t="shared" si="20"/>
        <v>64</v>
      </c>
      <c r="BD342" s="134" t="str">
        <f t="shared" si="21"/>
        <v>INDENIZAÇÃO</v>
      </c>
      <c r="BE342" s="134" t="str">
        <f t="shared" si="22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45" t="s">
        <v>33</v>
      </c>
      <c r="BK342" s="145"/>
      <c r="BL342" s="145"/>
      <c r="BM342" s="145"/>
      <c r="BN342" s="276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 x14ac:dyDescent="0.25">
      <c r="A343" s="134">
        <v>326</v>
      </c>
      <c r="B343" s="134" t="s">
        <v>99</v>
      </c>
      <c r="C343" s="134">
        <v>2</v>
      </c>
      <c r="D343" s="134" t="s">
        <v>100</v>
      </c>
      <c r="E343" s="134" t="s">
        <v>100</v>
      </c>
      <c r="F343" s="152" t="s">
        <v>1779</v>
      </c>
      <c r="G343" s="149" t="s">
        <v>102</v>
      </c>
      <c r="H343" s="149" t="s">
        <v>2</v>
      </c>
      <c r="I343" s="149" t="s">
        <v>108</v>
      </c>
      <c r="J343" s="152" t="s">
        <v>1780</v>
      </c>
      <c r="K343" s="152" t="s">
        <v>1781</v>
      </c>
      <c r="L343" s="152" t="s">
        <v>1782</v>
      </c>
      <c r="M343" s="134" t="s">
        <v>4</v>
      </c>
      <c r="N343" s="149" t="s">
        <v>5</v>
      </c>
      <c r="O343" s="194">
        <v>46001</v>
      </c>
      <c r="P343" s="144" t="s">
        <v>24</v>
      </c>
      <c r="Q343" s="144" t="s">
        <v>24</v>
      </c>
      <c r="R343" s="144" t="s">
        <v>24</v>
      </c>
      <c r="S343" s="144" t="s">
        <v>24</v>
      </c>
      <c r="T343" s="144" t="s">
        <v>24</v>
      </c>
      <c r="U343" s="144" t="s">
        <v>24</v>
      </c>
      <c r="V343" s="144" t="s">
        <v>24</v>
      </c>
      <c r="W343" s="144" t="s">
        <v>24</v>
      </c>
      <c r="X343" s="144" t="s">
        <v>24</v>
      </c>
      <c r="Y343" s="144" t="s">
        <v>24</v>
      </c>
      <c r="Z343" s="144" t="s">
        <v>24</v>
      </c>
      <c r="AA343" s="149"/>
      <c r="AB343" s="152" t="s">
        <v>1780</v>
      </c>
      <c r="AC343" s="152" t="s">
        <v>1781</v>
      </c>
      <c r="AD343" s="152" t="s">
        <v>1782</v>
      </c>
      <c r="AE343" s="149" t="s">
        <v>108</v>
      </c>
      <c r="AF343" s="149" t="s">
        <v>4</v>
      </c>
      <c r="AG343" s="208">
        <v>25452.85</v>
      </c>
      <c r="AH343" s="208">
        <v>55452.85</v>
      </c>
      <c r="AI343" s="232" t="s">
        <v>6</v>
      </c>
      <c r="AJ343" s="138" t="s">
        <v>109</v>
      </c>
      <c r="AK343" s="149">
        <v>144632409</v>
      </c>
      <c r="AL343" s="198" t="s">
        <v>110</v>
      </c>
      <c r="AM343" s="198" t="s">
        <v>110</v>
      </c>
      <c r="AN343" s="273" t="s">
        <v>111</v>
      </c>
      <c r="AO343" s="149"/>
      <c r="AP343" s="152" t="s">
        <v>1783</v>
      </c>
      <c r="AQ343" s="149" t="s">
        <v>110</v>
      </c>
      <c r="AR343" s="149" t="s">
        <v>110</v>
      </c>
      <c r="AS343" s="149" t="s">
        <v>110</v>
      </c>
      <c r="AT343" s="198" t="s">
        <v>110</v>
      </c>
      <c r="AU343" s="301">
        <v>46087</v>
      </c>
      <c r="AV343" s="149" t="s">
        <v>110</v>
      </c>
      <c r="AW343" s="149" t="s">
        <v>110</v>
      </c>
      <c r="AX343" s="274">
        <v>46097</v>
      </c>
      <c r="AY343" s="197">
        <v>46097</v>
      </c>
      <c r="AZ343" s="145" t="s">
        <v>33</v>
      </c>
      <c r="BA343" s="145" t="s">
        <v>113</v>
      </c>
      <c r="BB343" s="198" t="s">
        <v>110</v>
      </c>
      <c r="BC343" s="142">
        <f t="shared" si="20"/>
        <v>96</v>
      </c>
      <c r="BD343" s="134" t="str">
        <f t="shared" si="21"/>
        <v>INDENIZAÇÃO</v>
      </c>
      <c r="BE343" s="134" t="str">
        <f t="shared" si="22"/>
        <v>NÃO</v>
      </c>
      <c r="BF343" s="198" t="s">
        <v>24</v>
      </c>
      <c r="BG343" s="198" t="s">
        <v>24</v>
      </c>
      <c r="BH343" s="198" t="s">
        <v>24</v>
      </c>
      <c r="BI343" s="198" t="s">
        <v>110</v>
      </c>
      <c r="BJ343" s="145" t="s">
        <v>33</v>
      </c>
      <c r="BK343" s="279"/>
      <c r="BL343" s="145"/>
      <c r="BM343" s="145"/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hidden="1" customHeight="1" x14ac:dyDescent="0.25">
      <c r="A344" s="134">
        <v>327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1784</v>
      </c>
      <c r="G344" s="149" t="s">
        <v>102</v>
      </c>
      <c r="H344" s="149" t="s">
        <v>2</v>
      </c>
      <c r="I344" s="149" t="s">
        <v>108</v>
      </c>
      <c r="J344" s="152" t="s">
        <v>1785</v>
      </c>
      <c r="K344" s="152" t="s">
        <v>1786</v>
      </c>
      <c r="L344" s="152" t="s">
        <v>1787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 t="s">
        <v>1788</v>
      </c>
      <c r="AC344" s="152" t="s">
        <v>1786</v>
      </c>
      <c r="AD344" s="152" t="s">
        <v>1787</v>
      </c>
      <c r="AE344" s="149" t="s">
        <v>108</v>
      </c>
      <c r="AF344" s="149" t="s">
        <v>4</v>
      </c>
      <c r="AG344" s="208"/>
      <c r="AH344" s="208"/>
      <c r="AI344" s="149"/>
      <c r="AJ344" s="149"/>
      <c r="AK344" s="149"/>
      <c r="AL344" s="149"/>
      <c r="AM344" s="149"/>
      <c r="AN344" s="149"/>
      <c r="AO344" s="149"/>
      <c r="AP344" s="152"/>
      <c r="AQ344" s="149"/>
      <c r="AR344" s="149"/>
      <c r="AS344" s="149"/>
      <c r="AT344" s="149"/>
      <c r="AU344" s="149"/>
      <c r="AV344" s="149"/>
      <c r="AW344" s="149"/>
      <c r="AX344" s="149"/>
      <c r="AY344" s="144"/>
      <c r="AZ344" s="149"/>
      <c r="BA344" s="149"/>
      <c r="BB344" s="149"/>
      <c r="BC344" s="142" t="str">
        <f t="shared" si="20"/>
        <v/>
      </c>
      <c r="BD344" s="134" t="str">
        <f t="shared" si="21"/>
        <v>INDENIZAÇÃO</v>
      </c>
      <c r="BE344" s="134" t="str">
        <f t="shared" si="22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hidden="1" customHeight="1" x14ac:dyDescent="0.25">
      <c r="A345" s="134">
        <v>328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1789</v>
      </c>
      <c r="G345" s="149" t="s">
        <v>102</v>
      </c>
      <c r="H345" s="149" t="s">
        <v>2</v>
      </c>
      <c r="I345" s="149" t="s">
        <v>12</v>
      </c>
      <c r="J345" s="152" t="s">
        <v>1790</v>
      </c>
      <c r="K345" s="152" t="s">
        <v>1791</v>
      </c>
      <c r="L345" s="152" t="s">
        <v>1792</v>
      </c>
      <c r="M345" s="134" t="s">
        <v>4</v>
      </c>
      <c r="N345" s="134" t="s">
        <v>5</v>
      </c>
      <c r="O345" s="194">
        <v>45838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1790</v>
      </c>
      <c r="AC345" s="152" t="s">
        <v>1791</v>
      </c>
      <c r="AD345" s="152" t="s">
        <v>1792</v>
      </c>
      <c r="AE345" s="149" t="s">
        <v>108</v>
      </c>
      <c r="AF345" s="149" t="s">
        <v>4</v>
      </c>
      <c r="AG345" s="208">
        <v>16877.7</v>
      </c>
      <c r="AH345" s="208">
        <v>46877.7</v>
      </c>
      <c r="AI345" s="149" t="s">
        <v>6</v>
      </c>
      <c r="AJ345" s="138" t="s">
        <v>109</v>
      </c>
      <c r="AK345" s="149">
        <v>110364252</v>
      </c>
      <c r="AL345" s="149" t="s">
        <v>110</v>
      </c>
      <c r="AM345" s="149" t="s">
        <v>110</v>
      </c>
      <c r="AN345" s="149" t="s">
        <v>111</v>
      </c>
      <c r="AO345" s="149"/>
      <c r="AP345" s="138" t="s">
        <v>1793</v>
      </c>
      <c r="AQ345" s="198" t="s">
        <v>110</v>
      </c>
      <c r="AR345" s="198" t="s">
        <v>110</v>
      </c>
      <c r="AS345" s="198" t="s">
        <v>110</v>
      </c>
      <c r="AT345" s="198" t="s">
        <v>110</v>
      </c>
      <c r="AU345" s="161">
        <v>45890</v>
      </c>
      <c r="AV345" s="198" t="s">
        <v>110</v>
      </c>
      <c r="AW345" s="198" t="s">
        <v>110</v>
      </c>
      <c r="AX345" s="161">
        <v>45902</v>
      </c>
      <c r="AY345" s="140">
        <v>45902</v>
      </c>
      <c r="AZ345" s="140" t="s">
        <v>33</v>
      </c>
      <c r="BA345" s="141" t="s">
        <v>113</v>
      </c>
      <c r="BB345" s="149" t="s">
        <v>110</v>
      </c>
      <c r="BC345" s="142">
        <f t="shared" si="20"/>
        <v>64</v>
      </c>
      <c r="BD345" s="134" t="str">
        <f t="shared" si="21"/>
        <v>INDENIZAÇÃO</v>
      </c>
      <c r="BE345" s="134" t="str">
        <f t="shared" si="22"/>
        <v>NÃO</v>
      </c>
      <c r="BF345" s="149" t="s">
        <v>24</v>
      </c>
      <c r="BG345" s="149" t="s">
        <v>24</v>
      </c>
      <c r="BH345" s="149" t="s">
        <v>24</v>
      </c>
      <c r="BI345" s="198" t="s">
        <v>110</v>
      </c>
      <c r="BJ345" s="198" t="s">
        <v>110</v>
      </c>
      <c r="BK345" s="161">
        <v>45923</v>
      </c>
      <c r="BL345" s="198" t="s">
        <v>110</v>
      </c>
      <c r="BM345" s="145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hidden="1" customHeight="1" x14ac:dyDescent="0.25">
      <c r="A346" s="134">
        <v>329</v>
      </c>
      <c r="B346" s="245" t="s">
        <v>99</v>
      </c>
      <c r="C346" s="245">
        <v>1</v>
      </c>
      <c r="D346" s="245" t="s">
        <v>100</v>
      </c>
      <c r="E346" s="245" t="s">
        <v>100</v>
      </c>
      <c r="F346" s="253" t="s">
        <v>1794</v>
      </c>
      <c r="G346" s="149" t="s">
        <v>1</v>
      </c>
      <c r="H346" s="149" t="s">
        <v>2</v>
      </c>
      <c r="I346" s="149" t="s">
        <v>108</v>
      </c>
      <c r="J346" s="152" t="s">
        <v>1795</v>
      </c>
      <c r="K346" s="152" t="s">
        <v>1796</v>
      </c>
      <c r="L346" s="152" t="s">
        <v>1797</v>
      </c>
      <c r="M346" s="250" t="s">
        <v>4</v>
      </c>
      <c r="N346" s="250" t="s">
        <v>5</v>
      </c>
      <c r="O346" s="256">
        <v>45702</v>
      </c>
      <c r="P346" s="249" t="s">
        <v>24</v>
      </c>
      <c r="Q346" s="249" t="s">
        <v>24</v>
      </c>
      <c r="R346" s="249" t="s">
        <v>24</v>
      </c>
      <c r="S346" s="249" t="s">
        <v>24</v>
      </c>
      <c r="T346" s="249" t="s">
        <v>24</v>
      </c>
      <c r="U346" s="249" t="s">
        <v>24</v>
      </c>
      <c r="V346" s="249" t="s">
        <v>24</v>
      </c>
      <c r="W346" s="249" t="s">
        <v>24</v>
      </c>
      <c r="X346" s="249" t="s">
        <v>24</v>
      </c>
      <c r="Y346" s="249" t="s">
        <v>24</v>
      </c>
      <c r="Z346" s="249" t="s">
        <v>24</v>
      </c>
      <c r="AA346" s="250"/>
      <c r="AB346" s="152" t="s">
        <v>1798</v>
      </c>
      <c r="AC346" s="152" t="s">
        <v>1796</v>
      </c>
      <c r="AD346" s="152" t="s">
        <v>1797</v>
      </c>
      <c r="AE346" s="149" t="s">
        <v>108</v>
      </c>
      <c r="AF346" s="250" t="s">
        <v>4</v>
      </c>
      <c r="AG346" s="208">
        <v>25351.63</v>
      </c>
      <c r="AH346" s="208">
        <v>55351.63</v>
      </c>
      <c r="AI346" s="250" t="s">
        <v>6</v>
      </c>
      <c r="AJ346" s="246" t="s">
        <v>109</v>
      </c>
      <c r="AK346" s="245">
        <v>110364333</v>
      </c>
      <c r="AL346" s="250" t="s">
        <v>110</v>
      </c>
      <c r="AM346" s="250" t="s">
        <v>110</v>
      </c>
      <c r="AN346" s="250" t="s">
        <v>111</v>
      </c>
      <c r="AO346" s="250"/>
      <c r="AP346" s="253" t="s">
        <v>1799</v>
      </c>
      <c r="AQ346" s="250" t="s">
        <v>110</v>
      </c>
      <c r="AR346" s="250" t="s">
        <v>110</v>
      </c>
      <c r="AS346" s="250" t="s">
        <v>110</v>
      </c>
      <c r="AT346" s="250" t="s">
        <v>110</v>
      </c>
      <c r="AU346" s="256">
        <v>45775</v>
      </c>
      <c r="AV346" s="250" t="s">
        <v>110</v>
      </c>
      <c r="AW346" s="250" t="s">
        <v>110</v>
      </c>
      <c r="AX346" s="256">
        <v>45782</v>
      </c>
      <c r="AY346" s="249">
        <v>45782</v>
      </c>
      <c r="AZ346" s="245" t="s">
        <v>355</v>
      </c>
      <c r="BA346" s="245" t="s">
        <v>1</v>
      </c>
      <c r="BB346" s="250" t="s">
        <v>110</v>
      </c>
      <c r="BC346" s="142">
        <f t="shared" si="20"/>
        <v>80</v>
      </c>
      <c r="BD346" s="134" t="str">
        <f t="shared" si="21"/>
        <v>INDENIZAÇÃO</v>
      </c>
      <c r="BE346" s="134" t="str">
        <f t="shared" si="22"/>
        <v>NÃO</v>
      </c>
      <c r="BF346" s="245" t="s">
        <v>24</v>
      </c>
      <c r="BG346" s="245" t="s">
        <v>24</v>
      </c>
      <c r="BH346" s="245" t="s">
        <v>24</v>
      </c>
      <c r="BI346" s="250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hidden="1" customHeight="1" x14ac:dyDescent="0.25">
      <c r="A347" s="134">
        <v>330</v>
      </c>
      <c r="B347" s="134" t="s">
        <v>99</v>
      </c>
      <c r="C347" s="134">
        <v>1</v>
      </c>
      <c r="D347" s="134" t="s">
        <v>100</v>
      </c>
      <c r="E347" s="134" t="s">
        <v>100</v>
      </c>
      <c r="F347" s="152" t="s">
        <v>1800</v>
      </c>
      <c r="G347" s="149" t="s">
        <v>1</v>
      </c>
      <c r="H347" s="149" t="s">
        <v>2</v>
      </c>
      <c r="I347" s="149" t="s">
        <v>12</v>
      </c>
      <c r="J347" s="152" t="s">
        <v>1801</v>
      </c>
      <c r="K347" s="152" t="s">
        <v>1802</v>
      </c>
      <c r="L347" s="152" t="s">
        <v>1803</v>
      </c>
      <c r="M347" s="134" t="s">
        <v>4</v>
      </c>
      <c r="N347" s="134" t="s">
        <v>14</v>
      </c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34"/>
      <c r="AF347" s="149"/>
      <c r="AG347" s="208"/>
      <c r="AH347" s="208"/>
      <c r="AI347" s="149"/>
      <c r="AJ347" s="138"/>
      <c r="AK347" s="214"/>
      <c r="AL347" s="149"/>
      <c r="AM347" s="149"/>
      <c r="AN347" s="149"/>
      <c r="AO347" s="149"/>
      <c r="AP347" s="152"/>
      <c r="AQ347" s="149"/>
      <c r="AR347" s="198"/>
      <c r="AS347" s="149"/>
      <c r="AT347" s="145"/>
      <c r="AU347" s="145"/>
      <c r="AV347" s="145"/>
      <c r="AW347" s="145"/>
      <c r="AX347" s="145"/>
      <c r="AY347" s="145"/>
      <c r="AZ347" s="145"/>
      <c r="BA347" s="145"/>
      <c r="BB347" s="149"/>
      <c r="BC347" s="142" t="str">
        <f t="shared" si="20"/>
        <v/>
      </c>
      <c r="BD347" s="134" t="str">
        <f t="shared" si="21"/>
        <v>INDENIZAÇÃO</v>
      </c>
      <c r="BE347" s="134" t="str">
        <f t="shared" si="22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hidden="1" customHeight="1" x14ac:dyDescent="0.25">
      <c r="A348" s="134">
        <v>331</v>
      </c>
      <c r="B348" s="134" t="s">
        <v>99</v>
      </c>
      <c r="C348" s="134">
        <v>1</v>
      </c>
      <c r="D348" s="134" t="s">
        <v>100</v>
      </c>
      <c r="E348" s="134" t="s">
        <v>100</v>
      </c>
      <c r="F348" s="152" t="s">
        <v>1804</v>
      </c>
      <c r="G348" s="149" t="s">
        <v>1</v>
      </c>
      <c r="H348" s="149" t="s">
        <v>2</v>
      </c>
      <c r="I348" s="149" t="s">
        <v>108</v>
      </c>
      <c r="J348" s="152" t="s">
        <v>1805</v>
      </c>
      <c r="K348" s="152" t="s">
        <v>1806</v>
      </c>
      <c r="L348" s="152" t="s">
        <v>1807</v>
      </c>
      <c r="M348" s="149" t="s">
        <v>4</v>
      </c>
      <c r="N348" s="149" t="s">
        <v>5</v>
      </c>
      <c r="O348" s="194">
        <v>45702</v>
      </c>
      <c r="P348" s="144" t="s">
        <v>24</v>
      </c>
      <c r="Q348" s="144" t="s">
        <v>24</v>
      </c>
      <c r="R348" s="144" t="s">
        <v>24</v>
      </c>
      <c r="S348" s="144" t="s">
        <v>24</v>
      </c>
      <c r="T348" s="144" t="s">
        <v>24</v>
      </c>
      <c r="U348" s="144" t="s">
        <v>24</v>
      </c>
      <c r="V348" s="144" t="s">
        <v>24</v>
      </c>
      <c r="W348" s="144" t="s">
        <v>24</v>
      </c>
      <c r="X348" s="144" t="s">
        <v>24</v>
      </c>
      <c r="Y348" s="144" t="s">
        <v>24</v>
      </c>
      <c r="Z348" s="144" t="s">
        <v>24</v>
      </c>
      <c r="AA348" s="149"/>
      <c r="AB348" s="152" t="s">
        <v>1805</v>
      </c>
      <c r="AC348" s="152" t="s">
        <v>1806</v>
      </c>
      <c r="AD348" s="152" t="s">
        <v>1807</v>
      </c>
      <c r="AE348" s="149" t="s">
        <v>108</v>
      </c>
      <c r="AF348" s="149" t="s">
        <v>4</v>
      </c>
      <c r="AG348" s="208">
        <v>81374.960000000006</v>
      </c>
      <c r="AH348" s="208">
        <v>81374.960000000006</v>
      </c>
      <c r="AI348" s="149" t="s">
        <v>6</v>
      </c>
      <c r="AJ348" s="138" t="s">
        <v>109</v>
      </c>
      <c r="AK348" s="214">
        <v>110364456</v>
      </c>
      <c r="AL348" s="149" t="s">
        <v>110</v>
      </c>
      <c r="AM348" s="149" t="s">
        <v>110</v>
      </c>
      <c r="AN348" s="149" t="s">
        <v>111</v>
      </c>
      <c r="AO348" s="149"/>
      <c r="AP348" s="152" t="s">
        <v>1808</v>
      </c>
      <c r="AQ348" s="149" t="s">
        <v>110</v>
      </c>
      <c r="AR348" s="198" t="s">
        <v>110</v>
      </c>
      <c r="AS348" s="149" t="s">
        <v>110</v>
      </c>
      <c r="AT348" s="198" t="s">
        <v>110</v>
      </c>
      <c r="AU348" s="194">
        <v>45806</v>
      </c>
      <c r="AV348" s="198" t="s">
        <v>110</v>
      </c>
      <c r="AW348" s="198" t="s">
        <v>110</v>
      </c>
      <c r="AX348" s="194">
        <v>45812</v>
      </c>
      <c r="AY348" s="197">
        <v>45812</v>
      </c>
      <c r="AZ348" s="145" t="s">
        <v>33</v>
      </c>
      <c r="BA348" s="145" t="s">
        <v>113</v>
      </c>
      <c r="BB348" s="149" t="s">
        <v>110</v>
      </c>
      <c r="BC348" s="142">
        <f t="shared" si="20"/>
        <v>110</v>
      </c>
      <c r="BD348" s="134" t="str">
        <f t="shared" si="21"/>
        <v>INDENIZAÇÃO</v>
      </c>
      <c r="BE348" s="134" t="str">
        <f t="shared" si="22"/>
        <v>NÃO</v>
      </c>
      <c r="BF348" s="134" t="s">
        <v>24</v>
      </c>
      <c r="BG348" s="134" t="s">
        <v>24</v>
      </c>
      <c r="BH348" s="134" t="s">
        <v>24</v>
      </c>
      <c r="BI348" s="198" t="s">
        <v>110</v>
      </c>
      <c r="BJ348" s="198" t="s">
        <v>110</v>
      </c>
      <c r="BK348" s="194">
        <v>45859</v>
      </c>
      <c r="BL348" s="149" t="s">
        <v>110</v>
      </c>
      <c r="BM348" s="141" t="s">
        <v>33</v>
      </c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hidden="1" customHeight="1" x14ac:dyDescent="0.25">
      <c r="A349" s="134">
        <v>332</v>
      </c>
      <c r="B349" s="134" t="s">
        <v>99</v>
      </c>
      <c r="C349" s="134">
        <v>1</v>
      </c>
      <c r="D349" s="134" t="s">
        <v>100</v>
      </c>
      <c r="E349" s="134" t="s">
        <v>100</v>
      </c>
      <c r="F349" s="152" t="s">
        <v>1809</v>
      </c>
      <c r="G349" s="149" t="s">
        <v>1</v>
      </c>
      <c r="H349" s="149" t="s">
        <v>2</v>
      </c>
      <c r="I349" s="149" t="s">
        <v>108</v>
      </c>
      <c r="J349" s="152" t="s">
        <v>1810</v>
      </c>
      <c r="K349" s="152" t="s">
        <v>1811</v>
      </c>
      <c r="L349" s="152" t="s">
        <v>1812</v>
      </c>
      <c r="M349" s="149" t="s">
        <v>4</v>
      </c>
      <c r="N349" s="149" t="s">
        <v>5</v>
      </c>
      <c r="O349" s="194">
        <v>45702</v>
      </c>
      <c r="P349" s="144" t="s">
        <v>24</v>
      </c>
      <c r="Q349" s="144" t="s">
        <v>24</v>
      </c>
      <c r="R349" s="144" t="s">
        <v>24</v>
      </c>
      <c r="S349" s="144" t="s">
        <v>24</v>
      </c>
      <c r="T349" s="144" t="s">
        <v>24</v>
      </c>
      <c r="U349" s="144" t="s">
        <v>24</v>
      </c>
      <c r="V349" s="144" t="s">
        <v>24</v>
      </c>
      <c r="W349" s="144" t="s">
        <v>24</v>
      </c>
      <c r="X349" s="144" t="s">
        <v>24</v>
      </c>
      <c r="Y349" s="144" t="s">
        <v>24</v>
      </c>
      <c r="Z349" s="144" t="s">
        <v>24</v>
      </c>
      <c r="AA349" s="149"/>
      <c r="AB349" s="152" t="s">
        <v>1810</v>
      </c>
      <c r="AC349" s="152" t="s">
        <v>1811</v>
      </c>
      <c r="AD349" s="152" t="s">
        <v>1812</v>
      </c>
      <c r="AE349" s="149" t="s">
        <v>108</v>
      </c>
      <c r="AF349" s="149" t="s">
        <v>4</v>
      </c>
      <c r="AG349" s="208">
        <v>108045.38</v>
      </c>
      <c r="AH349" s="208">
        <v>108045.38</v>
      </c>
      <c r="AI349" s="234" t="s">
        <v>6</v>
      </c>
      <c r="AJ349" s="138" t="s">
        <v>109</v>
      </c>
      <c r="AK349" s="214">
        <v>110364527</v>
      </c>
      <c r="AL349" s="149" t="s">
        <v>110</v>
      </c>
      <c r="AM349" s="149" t="s">
        <v>110</v>
      </c>
      <c r="AN349" s="149" t="s">
        <v>111</v>
      </c>
      <c r="AO349" s="149"/>
      <c r="AP349" s="152" t="s">
        <v>1813</v>
      </c>
      <c r="AQ349" s="149" t="s">
        <v>110</v>
      </c>
      <c r="AR349" s="198" t="s">
        <v>110</v>
      </c>
      <c r="AS349" s="149" t="s">
        <v>110</v>
      </c>
      <c r="AT349" s="149" t="s">
        <v>110</v>
      </c>
      <c r="AU349" s="194">
        <v>45775</v>
      </c>
      <c r="AV349" s="149" t="s">
        <v>110</v>
      </c>
      <c r="AW349" s="149" t="s">
        <v>110</v>
      </c>
      <c r="AX349" s="194">
        <v>45825</v>
      </c>
      <c r="AY349" s="197">
        <v>45825</v>
      </c>
      <c r="AZ349" s="145" t="s">
        <v>33</v>
      </c>
      <c r="BA349" s="145" t="s">
        <v>113</v>
      </c>
      <c r="BB349" s="149" t="s">
        <v>110</v>
      </c>
      <c r="BC349" s="142">
        <f t="shared" si="20"/>
        <v>123</v>
      </c>
      <c r="BD349" s="134" t="str">
        <f t="shared" si="21"/>
        <v>INDENIZAÇÃO</v>
      </c>
      <c r="BE349" s="134" t="str">
        <f t="shared" si="22"/>
        <v>NÃO</v>
      </c>
      <c r="BF349" s="134" t="s">
        <v>24</v>
      </c>
      <c r="BG349" s="134" t="s">
        <v>24</v>
      </c>
      <c r="BH349" s="134" t="s">
        <v>24</v>
      </c>
      <c r="BI349" s="198" t="s">
        <v>110</v>
      </c>
      <c r="BJ349" s="198" t="s">
        <v>110</v>
      </c>
      <c r="BK349" s="194">
        <v>45859</v>
      </c>
      <c r="BL349" s="149" t="s">
        <v>110</v>
      </c>
      <c r="BM349" s="141" t="s">
        <v>33</v>
      </c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hidden="1" customHeight="1" x14ac:dyDescent="0.25">
      <c r="A350" s="134"/>
      <c r="B350" s="134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20"/>
        <v/>
      </c>
      <c r="BD350" s="134" t="str">
        <f t="shared" si="21"/>
        <v>INDENIZAÇÃO</v>
      </c>
      <c r="BE350" s="134" t="str">
        <f t="shared" si="22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hidden="1" customHeight="1" x14ac:dyDescent="0.25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si="20"/>
        <v/>
      </c>
      <c r="BD351" s="134" t="str">
        <f t="shared" si="21"/>
        <v>INDENIZAÇÃO</v>
      </c>
      <c r="BE351" s="134" t="str">
        <f t="shared" si="22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hidden="1" customHeight="1" x14ac:dyDescent="0.25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20"/>
        <v/>
      </c>
      <c r="BD352" s="134" t="str">
        <f t="shared" si="21"/>
        <v>INDENIZAÇÃO</v>
      </c>
      <c r="BE352" s="134" t="str">
        <f t="shared" si="22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hidden="1" customHeight="1" x14ac:dyDescent="0.25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20"/>
        <v/>
      </c>
      <c r="BD353" s="134" t="str">
        <f t="shared" si="21"/>
        <v>INDENIZAÇÃO</v>
      </c>
      <c r="BE353" s="134" t="str">
        <f t="shared" si="22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hidden="1" customHeight="1" x14ac:dyDescent="0.25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20"/>
        <v/>
      </c>
      <c r="BD354" s="134" t="str">
        <f t="shared" si="21"/>
        <v>INDENIZAÇÃO</v>
      </c>
      <c r="BE354" s="134" t="str">
        <f t="shared" si="22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hidden="1" customHeight="1" x14ac:dyDescent="0.25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20"/>
        <v/>
      </c>
      <c r="BD355" s="134" t="str">
        <f t="shared" si="21"/>
        <v>INDENIZAÇÃO</v>
      </c>
      <c r="BE355" s="134" t="str">
        <f t="shared" si="22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hidden="1" customHeight="1" x14ac:dyDescent="0.25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20"/>
        <v/>
      </c>
      <c r="BD356" s="134" t="str">
        <f t="shared" si="21"/>
        <v>INDENIZAÇÃO</v>
      </c>
      <c r="BE356" s="134" t="str">
        <f t="shared" si="22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hidden="1" customHeight="1" x14ac:dyDescent="0.25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20"/>
        <v/>
      </c>
      <c r="BD357" s="134" t="str">
        <f t="shared" si="21"/>
        <v>INDENIZAÇÃO</v>
      </c>
      <c r="BE357" s="134" t="str">
        <f t="shared" si="22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hidden="1" customHeight="1" x14ac:dyDescent="0.25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20"/>
        <v/>
      </c>
      <c r="BD358" s="134" t="str">
        <f t="shared" si="21"/>
        <v>INDENIZAÇÃO</v>
      </c>
      <c r="BE358" s="134" t="str">
        <f t="shared" si="22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hidden="1" customHeight="1" x14ac:dyDescent="0.25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20"/>
        <v/>
      </c>
      <c r="BD359" s="134" t="str">
        <f t="shared" si="21"/>
        <v>INDENIZAÇÃO</v>
      </c>
      <c r="BE359" s="134" t="str">
        <f t="shared" si="22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hidden="1" customHeight="1" x14ac:dyDescent="0.25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20"/>
        <v/>
      </c>
      <c r="BD360" s="134" t="str">
        <f t="shared" si="21"/>
        <v>INDENIZAÇÃO</v>
      </c>
      <c r="BE360" s="134" t="str">
        <f t="shared" si="22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hidden="1" customHeight="1" x14ac:dyDescent="0.25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20"/>
        <v/>
      </c>
      <c r="BD361" s="134" t="str">
        <f t="shared" si="21"/>
        <v>INDENIZAÇÃO</v>
      </c>
      <c r="BE361" s="134" t="str">
        <f t="shared" si="22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hidden="1" customHeight="1" x14ac:dyDescent="0.25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20"/>
        <v/>
      </c>
      <c r="BD362" s="134" t="str">
        <f t="shared" si="21"/>
        <v>INDENIZAÇÃO</v>
      </c>
      <c r="BE362" s="134" t="str">
        <f t="shared" si="22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hidden="1" customHeight="1" x14ac:dyDescent="0.25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20"/>
        <v/>
      </c>
      <c r="BD363" s="134" t="str">
        <f t="shared" si="21"/>
        <v>INDENIZAÇÃO</v>
      </c>
      <c r="BE363" s="134" t="str">
        <f t="shared" si="22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hidden="1" customHeight="1" x14ac:dyDescent="0.25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20"/>
        <v/>
      </c>
      <c r="BD364" s="134" t="str">
        <f t="shared" si="21"/>
        <v>INDENIZAÇÃO</v>
      </c>
      <c r="BE364" s="134" t="str">
        <f t="shared" si="22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hidden="1" customHeight="1" x14ac:dyDescent="0.25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20"/>
        <v/>
      </c>
      <c r="BD365" s="134" t="str">
        <f t="shared" si="21"/>
        <v>INDENIZAÇÃO</v>
      </c>
      <c r="BE365" s="134" t="str">
        <f t="shared" si="22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hidden="1" customHeight="1" x14ac:dyDescent="0.25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20"/>
        <v/>
      </c>
      <c r="BD366" s="134" t="str">
        <f t="shared" si="21"/>
        <v>INDENIZAÇÃO</v>
      </c>
      <c r="BE366" s="134" t="str">
        <f t="shared" si="22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hidden="1" customHeight="1" x14ac:dyDescent="0.25">
      <c r="A367" s="138"/>
      <c r="B367" s="138"/>
      <c r="C367" s="149"/>
      <c r="D367" s="149"/>
      <c r="E367" s="149"/>
      <c r="F367" s="152"/>
      <c r="G367" s="149"/>
      <c r="H367" s="149"/>
      <c r="I367" s="149"/>
      <c r="J367" s="152"/>
      <c r="K367" s="152"/>
      <c r="L367" s="152"/>
      <c r="M367" s="149"/>
      <c r="N367" s="149"/>
      <c r="O367" s="194"/>
      <c r="P367" s="144"/>
      <c r="Q367" s="263"/>
      <c r="R367" s="144"/>
      <c r="S367" s="144"/>
      <c r="T367" s="144"/>
      <c r="U367" s="144"/>
      <c r="V367" s="144"/>
      <c r="W367" s="144"/>
      <c r="X367" s="144"/>
      <c r="Y367" s="144"/>
      <c r="Z367" s="144"/>
      <c r="AA367" s="149"/>
      <c r="AB367" s="152"/>
      <c r="AC367" s="152"/>
      <c r="AD367" s="152"/>
      <c r="AE367" s="149"/>
      <c r="AF367" s="149"/>
      <c r="AG367" s="208"/>
      <c r="AH367" s="208"/>
      <c r="AI367" s="149"/>
      <c r="AJ367" s="149"/>
      <c r="AK367" s="149"/>
      <c r="AL367" s="149"/>
      <c r="AM367" s="149"/>
      <c r="AN367" s="149"/>
      <c r="AO367" s="149"/>
      <c r="AP367" s="152"/>
      <c r="AQ367" s="149"/>
      <c r="AR367" s="149"/>
      <c r="AS367" s="149"/>
      <c r="AT367" s="149"/>
      <c r="AU367" s="144"/>
      <c r="AV367" s="149"/>
      <c r="AW367" s="149"/>
      <c r="AX367" s="149"/>
      <c r="AY367" s="144"/>
      <c r="AZ367" s="149"/>
      <c r="BA367" s="149"/>
      <c r="BB367" s="149"/>
      <c r="BC367" s="142" t="str">
        <f t="shared" si="20"/>
        <v/>
      </c>
      <c r="BD367" s="134" t="str">
        <f t="shared" si="21"/>
        <v>INDENIZAÇÃO</v>
      </c>
      <c r="BE367" s="134" t="str">
        <f t="shared" si="22"/>
        <v>NÃO</v>
      </c>
      <c r="BF367" s="149"/>
      <c r="BG367" s="194"/>
      <c r="BH367" s="194"/>
      <c r="BI367" s="149"/>
      <c r="BJ367" s="149"/>
      <c r="BK367" s="149"/>
      <c r="BL367" s="149"/>
      <c r="BM367" s="149"/>
      <c r="BN367" s="149"/>
      <c r="BO367" s="149"/>
      <c r="BP367" s="149"/>
      <c r="BQ367" s="149"/>
      <c r="BR367" s="149"/>
      <c r="BS367" s="149"/>
      <c r="BT367" s="149"/>
      <c r="BU367" s="149"/>
      <c r="BV367" s="149"/>
      <c r="BW367" s="149"/>
      <c r="BX367" s="149"/>
      <c r="BY367" s="149"/>
      <c r="BZ367" s="149"/>
      <c r="CA367" s="149"/>
      <c r="CB367" s="149"/>
      <c r="CC367" s="149"/>
      <c r="CD367" s="149"/>
      <c r="CE367" s="149"/>
      <c r="CF367" s="149"/>
      <c r="CG367" s="149"/>
      <c r="CH367" s="149"/>
      <c r="CI367" s="200"/>
      <c r="CJ367" s="149"/>
      <c r="CK367" s="149"/>
      <c r="CL367" s="149"/>
      <c r="CM367" s="149"/>
    </row>
    <row r="368" spans="1:91" ht="30" hidden="1" customHeight="1" x14ac:dyDescent="0.25">
      <c r="A368" s="138"/>
      <c r="B368" s="138"/>
      <c r="C368" s="149"/>
      <c r="D368" s="149"/>
      <c r="E368" s="149"/>
      <c r="F368" s="152"/>
      <c r="G368" s="149"/>
      <c r="H368" s="149"/>
      <c r="I368" s="149"/>
      <c r="J368" s="152"/>
      <c r="K368" s="152"/>
      <c r="L368" s="152"/>
      <c r="M368" s="149"/>
      <c r="N368" s="149"/>
      <c r="O368" s="194"/>
      <c r="P368" s="144"/>
      <c r="Q368" s="263"/>
      <c r="R368" s="144"/>
      <c r="S368" s="144"/>
      <c r="T368" s="144"/>
      <c r="U368" s="144"/>
      <c r="V368" s="144"/>
      <c r="W368" s="144"/>
      <c r="X368" s="144"/>
      <c r="Y368" s="144"/>
      <c r="Z368" s="144"/>
      <c r="AA368" s="149"/>
      <c r="AB368" s="152"/>
      <c r="AC368" s="152"/>
      <c r="AD368" s="152"/>
      <c r="AE368" s="149"/>
      <c r="AF368" s="149"/>
      <c r="AG368" s="208"/>
      <c r="AH368" s="208"/>
      <c r="AI368" s="149"/>
      <c r="AJ368" s="149"/>
      <c r="AK368" s="149"/>
      <c r="AL368" s="149"/>
      <c r="AM368" s="149"/>
      <c r="AN368" s="149"/>
      <c r="AO368" s="149"/>
      <c r="AP368" s="152"/>
      <c r="AQ368" s="149"/>
      <c r="AR368" s="149"/>
      <c r="AS368" s="149"/>
      <c r="AT368" s="149"/>
      <c r="AU368" s="144"/>
      <c r="AV368" s="149"/>
      <c r="AW368" s="149"/>
      <c r="AX368" s="149"/>
      <c r="AY368" s="144"/>
      <c r="AZ368" s="149"/>
      <c r="BA368" s="149"/>
      <c r="BB368" s="149"/>
      <c r="BC368" s="142" t="str">
        <f t="shared" ref="BC368:BC399" si="23">IF(AY368-KD368=0,"",AY368-O368)</f>
        <v/>
      </c>
      <c r="BD368" s="134" t="str">
        <f t="shared" ref="BD368:BD399" si="24">IF(AND(AI368&lt;&gt;"SIM",AI368="UH"),"AA","INDENIZAÇÃO")</f>
        <v>INDENIZAÇÃO</v>
      </c>
      <c r="BE368" s="134" t="str">
        <f t="shared" ref="BE368:BE399" si="25">IF(AND(AY368&lt;&gt;"AGUARDANDO",AY368&lt;&gt;"",N368="AUXÍLIO ALUGUEL ATÉ INDENIZAÇÃO"),"SIM","NÃO")</f>
        <v>NÃO</v>
      </c>
      <c r="BF368" s="149"/>
      <c r="BG368" s="194"/>
      <c r="BH368" s="194"/>
      <c r="BI368" s="149"/>
      <c r="BJ368" s="149"/>
      <c r="BK368" s="149"/>
      <c r="BL368" s="149"/>
      <c r="BM368" s="149"/>
      <c r="BN368" s="149"/>
      <c r="BO368" s="149"/>
      <c r="BP368" s="149"/>
      <c r="BQ368" s="149"/>
      <c r="BR368" s="149"/>
      <c r="BS368" s="149"/>
      <c r="BT368" s="149"/>
      <c r="BU368" s="149"/>
      <c r="BV368" s="149"/>
      <c r="BW368" s="149"/>
      <c r="BX368" s="149"/>
      <c r="BY368" s="149"/>
      <c r="BZ368" s="149"/>
      <c r="CA368" s="149"/>
      <c r="CB368" s="149"/>
      <c r="CC368" s="149"/>
      <c r="CD368" s="149"/>
      <c r="CE368" s="149"/>
      <c r="CF368" s="149"/>
      <c r="CG368" s="149"/>
      <c r="CH368" s="149"/>
      <c r="CI368" s="200"/>
      <c r="CJ368" s="149"/>
      <c r="CK368" s="149"/>
      <c r="CL368" s="149"/>
      <c r="CM368" s="149"/>
    </row>
    <row r="369" spans="1:91" ht="30" hidden="1" customHeight="1" x14ac:dyDescent="0.25">
      <c r="A369" s="138"/>
      <c r="B369" s="138"/>
      <c r="C369" s="149"/>
      <c r="D369" s="149"/>
      <c r="E369" s="149"/>
      <c r="F369" s="152"/>
      <c r="G369" s="149"/>
      <c r="H369" s="149"/>
      <c r="I369" s="149"/>
      <c r="J369" s="152"/>
      <c r="K369" s="152"/>
      <c r="L369" s="152"/>
      <c r="M369" s="149"/>
      <c r="N369" s="149"/>
      <c r="O369" s="194"/>
      <c r="P369" s="144"/>
      <c r="Q369" s="263"/>
      <c r="R369" s="144"/>
      <c r="S369" s="144"/>
      <c r="T369" s="144"/>
      <c r="U369" s="144"/>
      <c r="V369" s="144"/>
      <c r="W369" s="144"/>
      <c r="X369" s="144"/>
      <c r="Y369" s="144"/>
      <c r="Z369" s="144"/>
      <c r="AA369" s="149"/>
      <c r="AB369" s="152"/>
      <c r="AC369" s="152"/>
      <c r="AD369" s="152"/>
      <c r="AE369" s="149"/>
      <c r="AF369" s="149"/>
      <c r="AG369" s="208"/>
      <c r="AH369" s="208"/>
      <c r="AI369" s="149"/>
      <c r="AJ369" s="149"/>
      <c r="AK369" s="149"/>
      <c r="AL369" s="149"/>
      <c r="AM369" s="149"/>
      <c r="AN369" s="149"/>
      <c r="AO369" s="149"/>
      <c r="AP369" s="152"/>
      <c r="AQ369" s="149"/>
      <c r="AR369" s="149"/>
      <c r="AS369" s="149"/>
      <c r="AT369" s="149"/>
      <c r="AU369" s="144"/>
      <c r="AV369" s="149"/>
      <c r="AW369" s="149"/>
      <c r="AX369" s="149"/>
      <c r="AY369" s="144"/>
      <c r="AZ369" s="149"/>
      <c r="BA369" s="149"/>
      <c r="BB369" s="149"/>
      <c r="BC369" s="142" t="str">
        <f t="shared" si="23"/>
        <v/>
      </c>
      <c r="BD369" s="134" t="str">
        <f t="shared" si="24"/>
        <v>INDENIZAÇÃO</v>
      </c>
      <c r="BE369" s="134" t="str">
        <f t="shared" si="25"/>
        <v>NÃO</v>
      </c>
      <c r="BF369" s="149"/>
      <c r="BG369" s="194"/>
      <c r="BH369" s="194"/>
      <c r="BI369" s="149"/>
      <c r="BJ369" s="149"/>
      <c r="BK369" s="149"/>
      <c r="BL369" s="149"/>
      <c r="BM369" s="149"/>
      <c r="BN369" s="149"/>
      <c r="BO369" s="149"/>
      <c r="BP369" s="149"/>
      <c r="BQ369" s="149"/>
      <c r="BR369" s="149"/>
      <c r="BS369" s="149"/>
      <c r="BT369" s="149"/>
      <c r="BU369" s="149"/>
      <c r="BV369" s="149"/>
      <c r="BW369" s="149"/>
      <c r="BX369" s="149"/>
      <c r="BY369" s="149"/>
      <c r="BZ369" s="149"/>
      <c r="CA369" s="149"/>
      <c r="CB369" s="149"/>
      <c r="CC369" s="149"/>
      <c r="CD369" s="149"/>
      <c r="CE369" s="149"/>
      <c r="CF369" s="149"/>
      <c r="CG369" s="149"/>
      <c r="CH369" s="149"/>
      <c r="CI369" s="200"/>
      <c r="CJ369" s="149"/>
      <c r="CK369" s="149"/>
      <c r="CL369" s="149"/>
      <c r="CM369" s="149"/>
    </row>
    <row r="370" spans="1:91" ht="30" hidden="1" customHeight="1" x14ac:dyDescent="0.25">
      <c r="A370" s="160"/>
      <c r="B370" s="160"/>
      <c r="C370" s="171"/>
      <c r="D370" s="171"/>
      <c r="E370" s="171"/>
      <c r="F370" s="203"/>
      <c r="G370" s="149"/>
      <c r="H370" s="149"/>
      <c r="I370" s="149"/>
      <c r="J370" s="152"/>
      <c r="K370" s="152"/>
      <c r="L370" s="152"/>
      <c r="M370" s="171"/>
      <c r="N370" s="171"/>
      <c r="O370" s="202"/>
      <c r="P370" s="172"/>
      <c r="Q370" s="266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1"/>
      <c r="AB370" s="203"/>
      <c r="AC370" s="203"/>
      <c r="AD370" s="203"/>
      <c r="AE370" s="171"/>
      <c r="AF370" s="171"/>
      <c r="AG370" s="208"/>
      <c r="AH370" s="208"/>
      <c r="AI370" s="171"/>
      <c r="AJ370" s="171"/>
      <c r="AK370" s="171"/>
      <c r="AL370" s="171"/>
      <c r="AM370" s="171"/>
      <c r="AN370" s="171"/>
      <c r="AO370" s="171"/>
      <c r="AP370" s="203"/>
      <c r="AQ370" s="171"/>
      <c r="AR370" s="171"/>
      <c r="AS370" s="171"/>
      <c r="AT370" s="171"/>
      <c r="AU370" s="172"/>
      <c r="AV370" s="171"/>
      <c r="AW370" s="171"/>
      <c r="AX370" s="171"/>
      <c r="AY370" s="172"/>
      <c r="AZ370" s="171"/>
      <c r="BA370" s="171"/>
      <c r="BB370" s="171"/>
      <c r="BC370" s="142" t="str">
        <f t="shared" si="23"/>
        <v/>
      </c>
      <c r="BD370" s="134" t="str">
        <f t="shared" si="24"/>
        <v>INDENIZAÇÃO</v>
      </c>
      <c r="BE370" s="134" t="str">
        <f t="shared" si="25"/>
        <v>NÃO</v>
      </c>
      <c r="BF370" s="171"/>
      <c r="BG370" s="202"/>
      <c r="BH370" s="202"/>
      <c r="BI370" s="171"/>
      <c r="BJ370" s="171"/>
      <c r="BK370" s="171"/>
      <c r="BL370" s="171"/>
      <c r="BM370" s="171"/>
      <c r="BN370" s="171"/>
      <c r="BO370" s="171"/>
      <c r="BP370" s="171"/>
      <c r="BQ370" s="171"/>
      <c r="BR370" s="171"/>
      <c r="BS370" s="171"/>
      <c r="BT370" s="171"/>
      <c r="BU370" s="171"/>
      <c r="BV370" s="171"/>
      <c r="BW370" s="171"/>
      <c r="BX370" s="171"/>
      <c r="BY370" s="171"/>
      <c r="BZ370" s="171"/>
      <c r="CA370" s="171"/>
      <c r="CB370" s="171"/>
      <c r="CC370" s="171"/>
      <c r="CD370" s="171"/>
      <c r="CE370" s="171"/>
      <c r="CF370" s="171"/>
      <c r="CG370" s="171"/>
      <c r="CH370" s="171"/>
      <c r="CI370" s="149"/>
      <c r="CJ370" s="149"/>
      <c r="CK370" s="149"/>
      <c r="CL370" s="149"/>
      <c r="CM370" s="149"/>
    </row>
    <row r="371" spans="1:91" ht="30" hidden="1" customHeight="1" x14ac:dyDescent="0.25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23"/>
        <v/>
      </c>
      <c r="BD371" s="134" t="str">
        <f t="shared" si="24"/>
        <v>INDENIZAÇÃO</v>
      </c>
      <c r="BE371" s="134" t="str">
        <f t="shared" si="25"/>
        <v>NÃO</v>
      </c>
    </row>
    <row r="372" spans="1:91" ht="30" hidden="1" customHeight="1" x14ac:dyDescent="0.25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23"/>
        <v/>
      </c>
      <c r="BD372" s="134" t="str">
        <f t="shared" si="24"/>
        <v>INDENIZAÇÃO</v>
      </c>
      <c r="BE372" s="134" t="str">
        <f t="shared" si="25"/>
        <v>NÃO</v>
      </c>
    </row>
    <row r="373" spans="1:91" ht="30" hidden="1" customHeight="1" x14ac:dyDescent="0.25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23"/>
        <v/>
      </c>
      <c r="BD373" s="134" t="str">
        <f t="shared" si="24"/>
        <v>INDENIZAÇÃO</v>
      </c>
      <c r="BE373" s="134" t="str">
        <f t="shared" si="25"/>
        <v>NÃO</v>
      </c>
    </row>
    <row r="374" spans="1:91" ht="30" hidden="1" customHeight="1" x14ac:dyDescent="0.25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23"/>
        <v/>
      </c>
      <c r="BD374" s="134" t="str">
        <f t="shared" si="24"/>
        <v>INDENIZAÇÃO</v>
      </c>
      <c r="BE374" s="134" t="str">
        <f t="shared" si="25"/>
        <v>NÃO</v>
      </c>
    </row>
    <row r="375" spans="1:91" ht="30" hidden="1" customHeight="1" x14ac:dyDescent="0.25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23"/>
        <v/>
      </c>
      <c r="BD375" s="134" t="str">
        <f t="shared" si="24"/>
        <v>INDENIZAÇÃO</v>
      </c>
      <c r="BE375" s="134" t="str">
        <f t="shared" si="25"/>
        <v>NÃO</v>
      </c>
    </row>
    <row r="376" spans="1:91" ht="30" hidden="1" customHeight="1" x14ac:dyDescent="0.25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23"/>
        <v/>
      </c>
      <c r="BD376" s="134" t="str">
        <f t="shared" si="24"/>
        <v>INDENIZAÇÃO</v>
      </c>
      <c r="BE376" s="134" t="str">
        <f t="shared" si="25"/>
        <v>NÃO</v>
      </c>
    </row>
    <row r="377" spans="1:91" ht="30" hidden="1" customHeight="1" x14ac:dyDescent="0.25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23"/>
        <v/>
      </c>
      <c r="BD377" s="134" t="str">
        <f t="shared" si="24"/>
        <v>INDENIZAÇÃO</v>
      </c>
      <c r="BE377" s="134" t="str">
        <f t="shared" si="25"/>
        <v>NÃO</v>
      </c>
    </row>
    <row r="378" spans="1:91" ht="30" hidden="1" customHeight="1" x14ac:dyDescent="0.25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23"/>
        <v/>
      </c>
      <c r="BD378" s="134" t="str">
        <f t="shared" si="24"/>
        <v>INDENIZAÇÃO</v>
      </c>
      <c r="BE378" s="134" t="str">
        <f t="shared" si="25"/>
        <v>NÃO</v>
      </c>
    </row>
    <row r="379" spans="1:91" ht="30" hidden="1" customHeight="1" x14ac:dyDescent="0.25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23"/>
        <v/>
      </c>
      <c r="BD379" s="134" t="str">
        <f t="shared" si="24"/>
        <v>INDENIZAÇÃO</v>
      </c>
      <c r="BE379" s="134" t="str">
        <f t="shared" si="25"/>
        <v>NÃO</v>
      </c>
    </row>
    <row r="380" spans="1:91" ht="30" hidden="1" customHeight="1" x14ac:dyDescent="0.25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23"/>
        <v/>
      </c>
      <c r="BD380" s="134" t="str">
        <f t="shared" si="24"/>
        <v>INDENIZAÇÃO</v>
      </c>
      <c r="BE380" s="134" t="str">
        <f t="shared" si="25"/>
        <v>NÃO</v>
      </c>
    </row>
    <row r="381" spans="1:91" ht="30" hidden="1" customHeight="1" x14ac:dyDescent="0.25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23"/>
        <v/>
      </c>
      <c r="BD381" s="134" t="str">
        <f t="shared" si="24"/>
        <v>INDENIZAÇÃO</v>
      </c>
      <c r="BE381" s="134" t="str">
        <f t="shared" si="25"/>
        <v>NÃO</v>
      </c>
    </row>
    <row r="382" spans="1:91" ht="30" hidden="1" customHeight="1" x14ac:dyDescent="0.25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23"/>
        <v/>
      </c>
      <c r="BD382" s="134" t="str">
        <f t="shared" si="24"/>
        <v>INDENIZAÇÃO</v>
      </c>
      <c r="BE382" s="134" t="str">
        <f t="shared" si="25"/>
        <v>NÃO</v>
      </c>
    </row>
    <row r="383" spans="1:91" ht="30" hidden="1" customHeight="1" x14ac:dyDescent="0.25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si="23"/>
        <v/>
      </c>
      <c r="BD383" s="134" t="str">
        <f t="shared" si="24"/>
        <v>INDENIZAÇÃO</v>
      </c>
      <c r="BE383" s="134" t="str">
        <f t="shared" si="25"/>
        <v>NÃO</v>
      </c>
    </row>
    <row r="384" spans="1:91" ht="30" hidden="1" customHeight="1" x14ac:dyDescent="0.25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3"/>
        <v/>
      </c>
      <c r="BD384" s="134" t="str">
        <f t="shared" si="24"/>
        <v>INDENIZAÇÃO</v>
      </c>
      <c r="BE384" s="134" t="str">
        <f t="shared" si="25"/>
        <v>NÃO</v>
      </c>
    </row>
    <row r="385" spans="7:57" ht="30" hidden="1" customHeight="1" x14ac:dyDescent="0.25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3"/>
        <v/>
      </c>
      <c r="BD385" s="134" t="str">
        <f t="shared" si="24"/>
        <v>INDENIZAÇÃO</v>
      </c>
      <c r="BE385" s="134" t="str">
        <f t="shared" si="25"/>
        <v>NÃO</v>
      </c>
    </row>
    <row r="386" spans="7:57" ht="30" hidden="1" customHeight="1" x14ac:dyDescent="0.25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3"/>
        <v/>
      </c>
      <c r="BD386" s="134" t="str">
        <f t="shared" si="24"/>
        <v>INDENIZAÇÃO</v>
      </c>
      <c r="BE386" s="134" t="str">
        <f t="shared" si="25"/>
        <v>NÃO</v>
      </c>
    </row>
    <row r="387" spans="7:57" ht="30" hidden="1" customHeight="1" x14ac:dyDescent="0.25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3"/>
        <v/>
      </c>
      <c r="BD387" s="134" t="str">
        <f t="shared" si="24"/>
        <v>INDENIZAÇÃO</v>
      </c>
      <c r="BE387" s="134" t="str">
        <f t="shared" si="25"/>
        <v>NÃO</v>
      </c>
    </row>
    <row r="388" spans="7:57" ht="30" hidden="1" customHeight="1" x14ac:dyDescent="0.25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3"/>
        <v/>
      </c>
      <c r="BD388" s="134" t="str">
        <f t="shared" si="24"/>
        <v>INDENIZAÇÃO</v>
      </c>
      <c r="BE388" s="134" t="str">
        <f t="shared" si="25"/>
        <v>NÃO</v>
      </c>
    </row>
    <row r="389" spans="7:57" ht="30" hidden="1" customHeight="1" x14ac:dyDescent="0.25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3"/>
        <v/>
      </c>
      <c r="BD389" s="134" t="str">
        <f t="shared" si="24"/>
        <v>INDENIZAÇÃO</v>
      </c>
      <c r="BE389" s="134" t="str">
        <f t="shared" si="25"/>
        <v>NÃO</v>
      </c>
    </row>
    <row r="390" spans="7:57" ht="30" hidden="1" customHeight="1" x14ac:dyDescent="0.25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3"/>
        <v/>
      </c>
      <c r="BD390" s="134" t="str">
        <f t="shared" si="24"/>
        <v>INDENIZAÇÃO</v>
      </c>
      <c r="BE390" s="134" t="str">
        <f t="shared" si="25"/>
        <v>NÃO</v>
      </c>
    </row>
    <row r="391" spans="7:57" ht="30" hidden="1" customHeight="1" x14ac:dyDescent="0.25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3"/>
        <v/>
      </c>
      <c r="BD391" s="134" t="str">
        <f t="shared" si="24"/>
        <v>INDENIZAÇÃO</v>
      </c>
      <c r="BE391" s="134" t="str">
        <f t="shared" si="25"/>
        <v>NÃO</v>
      </c>
    </row>
    <row r="392" spans="7:57" ht="30" hidden="1" customHeight="1" x14ac:dyDescent="0.25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3"/>
        <v/>
      </c>
      <c r="BD392" s="134" t="str">
        <f t="shared" si="24"/>
        <v>INDENIZAÇÃO</v>
      </c>
      <c r="BE392" s="134" t="str">
        <f t="shared" si="25"/>
        <v>NÃO</v>
      </c>
    </row>
    <row r="393" spans="7:57" ht="30" hidden="1" customHeight="1" x14ac:dyDescent="0.25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3"/>
        <v/>
      </c>
      <c r="BD393" s="134" t="str">
        <f t="shared" si="24"/>
        <v>INDENIZAÇÃO</v>
      </c>
      <c r="BE393" s="134" t="str">
        <f t="shared" si="25"/>
        <v>NÃO</v>
      </c>
    </row>
    <row r="394" spans="7:57" ht="30" hidden="1" customHeight="1" x14ac:dyDescent="0.25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3"/>
        <v/>
      </c>
      <c r="BD394" s="134" t="str">
        <f t="shared" si="24"/>
        <v>INDENIZAÇÃO</v>
      </c>
      <c r="BE394" s="134" t="str">
        <f t="shared" si="25"/>
        <v>NÃO</v>
      </c>
    </row>
    <row r="395" spans="7:57" ht="30" hidden="1" customHeight="1" x14ac:dyDescent="0.25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3"/>
        <v/>
      </c>
      <c r="BD395" s="134" t="str">
        <f t="shared" si="24"/>
        <v>INDENIZAÇÃO</v>
      </c>
      <c r="BE395" s="134" t="str">
        <f t="shared" si="25"/>
        <v>NÃO</v>
      </c>
    </row>
    <row r="396" spans="7:57" ht="30" hidden="1" customHeight="1" x14ac:dyDescent="0.25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3"/>
        <v/>
      </c>
      <c r="BD396" s="134" t="str">
        <f t="shared" si="24"/>
        <v>INDENIZAÇÃO</v>
      </c>
      <c r="BE396" s="134" t="str">
        <f t="shared" si="25"/>
        <v>NÃO</v>
      </c>
    </row>
    <row r="397" spans="7:57" ht="30" hidden="1" customHeight="1" x14ac:dyDescent="0.25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3"/>
        <v/>
      </c>
      <c r="BD397" s="134" t="str">
        <f t="shared" si="24"/>
        <v>INDENIZAÇÃO</v>
      </c>
      <c r="BE397" s="134" t="str">
        <f t="shared" si="25"/>
        <v>NÃO</v>
      </c>
    </row>
    <row r="398" spans="7:57" ht="30" hidden="1" customHeight="1" x14ac:dyDescent="0.25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3"/>
        <v/>
      </c>
      <c r="BD398" s="134" t="str">
        <f t="shared" si="24"/>
        <v>INDENIZAÇÃO</v>
      </c>
      <c r="BE398" s="134" t="str">
        <f t="shared" si="25"/>
        <v>NÃO</v>
      </c>
    </row>
    <row r="399" spans="7:57" ht="30" hidden="1" customHeight="1" x14ac:dyDescent="0.25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3"/>
        <v/>
      </c>
      <c r="BD399" s="134" t="str">
        <f t="shared" si="24"/>
        <v>INDENIZAÇÃO</v>
      </c>
      <c r="BE399" s="134" t="str">
        <f t="shared" si="25"/>
        <v>NÃO</v>
      </c>
    </row>
    <row r="400" spans="7:57" ht="30" hidden="1" customHeight="1" x14ac:dyDescent="0.25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ref="BC400:BC419" si="26">IF(AY400-KD400=0,"",AY400-O400)</f>
        <v/>
      </c>
      <c r="BD400" s="134" t="str">
        <f t="shared" ref="BD400:BD419" si="27">IF(AND(AI400&lt;&gt;"SIM",AI400="UH"),"AA","INDENIZAÇÃO")</f>
        <v>INDENIZAÇÃO</v>
      </c>
      <c r="BE400" s="134" t="str">
        <f t="shared" ref="BE400:BE419" si="28">IF(AND(AY400&lt;&gt;"AGUARDANDO",AY400&lt;&gt;"",N400="AUXÍLIO ALUGUEL ATÉ INDENIZAÇÃO"),"SIM","NÃO")</f>
        <v>NÃO</v>
      </c>
    </row>
    <row r="401" spans="7:57" ht="30" hidden="1" customHeight="1" x14ac:dyDescent="0.25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6"/>
        <v/>
      </c>
      <c r="BD401" s="134" t="str">
        <f t="shared" si="27"/>
        <v>INDENIZAÇÃO</v>
      </c>
      <c r="BE401" s="134" t="str">
        <f t="shared" si="28"/>
        <v>NÃO</v>
      </c>
    </row>
    <row r="402" spans="7:57" ht="30" hidden="1" customHeight="1" x14ac:dyDescent="0.25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6"/>
        <v/>
      </c>
      <c r="BD402" s="134" t="str">
        <f t="shared" si="27"/>
        <v>INDENIZAÇÃO</v>
      </c>
      <c r="BE402" s="134" t="str">
        <f t="shared" si="28"/>
        <v>NÃO</v>
      </c>
    </row>
    <row r="403" spans="7:57" ht="30" hidden="1" customHeight="1" x14ac:dyDescent="0.25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6"/>
        <v/>
      </c>
      <c r="BD403" s="134" t="str">
        <f t="shared" si="27"/>
        <v>INDENIZAÇÃO</v>
      </c>
      <c r="BE403" s="134" t="str">
        <f t="shared" si="28"/>
        <v>NÃO</v>
      </c>
    </row>
    <row r="404" spans="7:57" ht="30" hidden="1" customHeight="1" x14ac:dyDescent="0.25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6"/>
        <v/>
      </c>
      <c r="BD404" s="134" t="str">
        <f t="shared" si="27"/>
        <v>INDENIZAÇÃO</v>
      </c>
      <c r="BE404" s="134" t="str">
        <f t="shared" si="28"/>
        <v>NÃO</v>
      </c>
    </row>
    <row r="405" spans="7:57" ht="30" hidden="1" customHeight="1" x14ac:dyDescent="0.25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6"/>
        <v/>
      </c>
      <c r="BD405" s="134" t="str">
        <f t="shared" si="27"/>
        <v>INDENIZAÇÃO</v>
      </c>
      <c r="BE405" s="134" t="str">
        <f t="shared" si="28"/>
        <v>NÃO</v>
      </c>
    </row>
    <row r="406" spans="7:57" ht="30" hidden="1" customHeight="1" x14ac:dyDescent="0.25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6"/>
        <v/>
      </c>
      <c r="BD406" s="134" t="str">
        <f t="shared" si="27"/>
        <v>INDENIZAÇÃO</v>
      </c>
      <c r="BE406" s="134" t="str">
        <f t="shared" si="28"/>
        <v>NÃO</v>
      </c>
    </row>
    <row r="407" spans="7:57" ht="30" hidden="1" customHeight="1" x14ac:dyDescent="0.25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6"/>
        <v/>
      </c>
      <c r="BD407" s="134" t="str">
        <f t="shared" si="27"/>
        <v>INDENIZAÇÃO</v>
      </c>
      <c r="BE407" s="134" t="str">
        <f t="shared" si="28"/>
        <v>NÃO</v>
      </c>
    </row>
    <row r="408" spans="7:57" ht="30" hidden="1" customHeight="1" x14ac:dyDescent="0.25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6"/>
        <v/>
      </c>
      <c r="BD408" s="134" t="str">
        <f t="shared" si="27"/>
        <v>INDENIZAÇÃO</v>
      </c>
      <c r="BE408" s="134" t="str">
        <f t="shared" si="28"/>
        <v>NÃO</v>
      </c>
    </row>
    <row r="409" spans="7:57" ht="30" hidden="1" customHeight="1" x14ac:dyDescent="0.25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6"/>
        <v/>
      </c>
      <c r="BD409" s="134" t="str">
        <f t="shared" si="27"/>
        <v>INDENIZAÇÃO</v>
      </c>
      <c r="BE409" s="134" t="str">
        <f t="shared" si="28"/>
        <v>NÃO</v>
      </c>
    </row>
    <row r="410" spans="7:57" ht="30" hidden="1" customHeight="1" x14ac:dyDescent="0.25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6"/>
        <v/>
      </c>
      <c r="BD410" s="134" t="str">
        <f t="shared" si="27"/>
        <v>INDENIZAÇÃO</v>
      </c>
      <c r="BE410" s="134" t="str">
        <f t="shared" si="28"/>
        <v>NÃO</v>
      </c>
    </row>
    <row r="411" spans="7:57" ht="30" hidden="1" customHeight="1" x14ac:dyDescent="0.25">
      <c r="G411" s="149"/>
      <c r="H411" s="149"/>
      <c r="I411" s="149"/>
      <c r="J411" s="152"/>
      <c r="K411" s="152"/>
      <c r="L411" s="152"/>
      <c r="AG411" s="208"/>
      <c r="AH411" s="208"/>
      <c r="BC411" s="142" t="str">
        <f t="shared" si="26"/>
        <v/>
      </c>
      <c r="BD411" s="134" t="str">
        <f t="shared" si="27"/>
        <v>INDENIZAÇÃO</v>
      </c>
      <c r="BE411" s="134" t="str">
        <f t="shared" si="28"/>
        <v>NÃO</v>
      </c>
    </row>
    <row r="412" spans="7:57" ht="30" hidden="1" customHeight="1" x14ac:dyDescent="0.25">
      <c r="G412" s="149"/>
      <c r="H412" s="149"/>
      <c r="I412" s="149"/>
      <c r="J412" s="152"/>
      <c r="K412" s="152"/>
      <c r="L412" s="152"/>
      <c r="AG412" s="208"/>
      <c r="AH412" s="208"/>
      <c r="BC412" s="142" t="str">
        <f t="shared" si="26"/>
        <v/>
      </c>
      <c r="BD412" s="134" t="str">
        <f t="shared" si="27"/>
        <v>INDENIZAÇÃO</v>
      </c>
      <c r="BE412" s="134" t="str">
        <f t="shared" si="28"/>
        <v>NÃO</v>
      </c>
    </row>
    <row r="413" spans="7:57" ht="30" hidden="1" customHeight="1" x14ac:dyDescent="0.25">
      <c r="G413" s="149"/>
      <c r="H413" s="149"/>
      <c r="I413" s="149"/>
      <c r="J413" s="152"/>
      <c r="K413" s="152"/>
      <c r="L413" s="152"/>
      <c r="AG413" s="208"/>
      <c r="AH413" s="208"/>
      <c r="BC413" s="142" t="str">
        <f t="shared" si="26"/>
        <v/>
      </c>
      <c r="BD413" s="134" t="str">
        <f t="shared" si="27"/>
        <v>INDENIZAÇÃO</v>
      </c>
      <c r="BE413" s="134" t="str">
        <f t="shared" si="28"/>
        <v>NÃO</v>
      </c>
    </row>
    <row r="414" spans="7:57" ht="30" hidden="1" customHeight="1" x14ac:dyDescent="0.25">
      <c r="AG414" s="208"/>
      <c r="AH414" s="208"/>
      <c r="BC414" s="142" t="str">
        <f t="shared" si="26"/>
        <v/>
      </c>
      <c r="BD414" s="134" t="str">
        <f t="shared" si="27"/>
        <v>INDENIZAÇÃO</v>
      </c>
      <c r="BE414" s="134" t="str">
        <f t="shared" si="28"/>
        <v>NÃO</v>
      </c>
    </row>
    <row r="415" spans="7:57" ht="30" hidden="1" customHeight="1" x14ac:dyDescent="0.25">
      <c r="AG415" s="208"/>
      <c r="AH415" s="208"/>
      <c r="BC415" s="142" t="str">
        <f t="shared" si="26"/>
        <v/>
      </c>
      <c r="BD415" s="134" t="str">
        <f t="shared" si="27"/>
        <v>INDENIZAÇÃO</v>
      </c>
      <c r="BE415" s="134" t="str">
        <f t="shared" si="28"/>
        <v>NÃO</v>
      </c>
    </row>
    <row r="416" spans="7:57" ht="30" hidden="1" customHeight="1" x14ac:dyDescent="0.25">
      <c r="AG416" s="208"/>
      <c r="AH416" s="208"/>
      <c r="BC416" s="142" t="str">
        <f t="shared" si="26"/>
        <v/>
      </c>
      <c r="BD416" s="134" t="str">
        <f t="shared" si="27"/>
        <v>INDENIZAÇÃO</v>
      </c>
      <c r="BE416" s="134" t="str">
        <f t="shared" si="28"/>
        <v>NÃO</v>
      </c>
    </row>
    <row r="417" spans="33:57" ht="30" hidden="1" customHeight="1" x14ac:dyDescent="0.25">
      <c r="AG417" s="208"/>
      <c r="AH417" s="208"/>
      <c r="BC417" s="142" t="str">
        <f t="shared" si="26"/>
        <v/>
      </c>
      <c r="BD417" s="134" t="str">
        <f t="shared" si="27"/>
        <v>INDENIZAÇÃO</v>
      </c>
      <c r="BE417" s="134" t="str">
        <f t="shared" si="28"/>
        <v>NÃO</v>
      </c>
    </row>
    <row r="418" spans="33:57" ht="30" hidden="1" customHeight="1" x14ac:dyDescent="0.25">
      <c r="AG418" s="208"/>
      <c r="AH418" s="208"/>
      <c r="BC418" s="142" t="str">
        <f t="shared" si="26"/>
        <v/>
      </c>
      <c r="BD418" s="134" t="str">
        <f t="shared" si="27"/>
        <v>INDENIZAÇÃO</v>
      </c>
      <c r="BE418" s="134" t="str">
        <f t="shared" si="28"/>
        <v>NÃO</v>
      </c>
    </row>
    <row r="419" spans="33:57" ht="30" hidden="1" customHeight="1" x14ac:dyDescent="0.25">
      <c r="AG419" s="208"/>
      <c r="AH419" s="208"/>
      <c r="BC419" s="142" t="str">
        <f t="shared" si="26"/>
        <v/>
      </c>
      <c r="BD419" s="134" t="str">
        <f t="shared" si="27"/>
        <v>INDENIZAÇÃO</v>
      </c>
      <c r="BE419" s="134" t="str">
        <f t="shared" si="28"/>
        <v>NÃO</v>
      </c>
    </row>
    <row r="424" spans="33:57" ht="30" customHeight="1" x14ac:dyDescent="0.25">
      <c r="AM424" s="120" t="s">
        <v>1091</v>
      </c>
    </row>
    <row r="37846" ht="29.25" customHeight="1" x14ac:dyDescent="0.25"/>
  </sheetData>
  <autoFilter ref="A13:CY419" xr:uid="{00000000-0001-0000-0000-000000000000}">
    <filterColumn colId="60">
      <filters>
        <filter val="FINALIZADO"/>
      </filters>
    </filterColumn>
    <filterColumn colId="61">
      <filters>
        <filter val="AGUARDANDO"/>
      </filters>
    </filterColumn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82" priority="759"/>
  </conditionalFormatting>
  <conditionalFormatting sqref="J1:J1048576">
    <cfRule type="duplicateValues" dxfId="181" priority="822"/>
  </conditionalFormatting>
  <conditionalFormatting sqref="AB335">
    <cfRule type="duplicateValues" dxfId="180" priority="7"/>
  </conditionalFormatting>
  <conditionalFormatting sqref="AB336:AB351 AB14:AB334">
    <cfRule type="duplicateValues" dxfId="179" priority="282"/>
  </conditionalFormatting>
  <conditionalFormatting sqref="AB336:AB1048576 AB1:AB334">
    <cfRule type="duplicateValues" dxfId="178" priority="247"/>
  </conditionalFormatting>
  <conditionalFormatting sqref="AB352:AB1048576 AB1:AB13">
    <cfRule type="duplicateValues" dxfId="177" priority="673"/>
    <cfRule type="duplicateValues" dxfId="176" priority="824"/>
  </conditionalFormatting>
  <conditionalFormatting sqref="AD336:AD1048576 AD1:AD334">
    <cfRule type="duplicateValues" dxfId="175" priority="9"/>
  </conditionalFormatting>
  <conditionalFormatting sqref="AE1:AE37846 AE37847:AF1048576">
    <cfRule type="containsText" dxfId="174" priority="825" operator="containsText" text="NÃO RESIDENTE">
      <formula>NOT(ISERROR(SEARCH("NÃO RESIDENTE",AE1)))</formula>
    </cfRule>
  </conditionalFormatting>
  <conditionalFormatting sqref="AP319 AP51:AP56 AP321:AP1048576 AP1:AP34 AP58:AP317">
    <cfRule type="duplicateValues" dxfId="173" priority="331"/>
  </conditionalFormatting>
  <conditionalFormatting sqref="AQ288">
    <cfRule type="duplicateValues" dxfId="172" priority="18"/>
  </conditionalFormatting>
  <conditionalFormatting sqref="AR288">
    <cfRule type="duplicateValues" dxfId="171" priority="17"/>
  </conditionalFormatting>
  <conditionalFormatting sqref="AS288">
    <cfRule type="duplicateValues" dxfId="170" priority="16"/>
  </conditionalFormatting>
  <conditionalFormatting sqref="AT288">
    <cfRule type="duplicateValues" dxfId="169" priority="15"/>
  </conditionalFormatting>
  <conditionalFormatting sqref="AU288">
    <cfRule type="duplicateValues" dxfId="168" priority="14"/>
  </conditionalFormatting>
  <conditionalFormatting sqref="AV288">
    <cfRule type="duplicateValues" dxfId="167" priority="13"/>
  </conditionalFormatting>
  <conditionalFormatting sqref="AV111:AW111">
    <cfRule type="cellIs" dxfId="166" priority="320" operator="between">
      <formula>36526</formula>
      <formula>"31/12/3000"</formula>
    </cfRule>
  </conditionalFormatting>
  <conditionalFormatting sqref="AV162:AW162">
    <cfRule type="cellIs" dxfId="165" priority="293" operator="between">
      <formula>36526</formula>
      <formula>"31/12/3000"</formula>
    </cfRule>
  </conditionalFormatting>
  <conditionalFormatting sqref="AW223">
    <cfRule type="cellIs" dxfId="164" priority="872" operator="between">
      <formula>36526</formula>
      <formula>"31/12/3000"</formula>
    </cfRule>
    <cfRule type="cellIs" dxfId="163" priority="873" operator="between">
      <formula>36526</formula>
      <formula>402133</formula>
    </cfRule>
  </conditionalFormatting>
  <conditionalFormatting sqref="AW288">
    <cfRule type="duplicateValues" dxfId="162" priority="12"/>
  </conditionalFormatting>
  <conditionalFormatting sqref="AX288">
    <cfRule type="duplicateValues" dxfId="161" priority="11"/>
  </conditionalFormatting>
  <conditionalFormatting sqref="AY1:AY13 AY61:AY65 AY70 AY76:AY90 AY92:AY93 AY95 AY97:AY105 AY108 AY110:AY113 AY115:AY116 AY118:AY119 AY121:AY126 AY131:AY136 AY139:AY144 AY147 AY150 AY152:AY158 AY160:AY162 AY164:AY171 AY173:AY177 AY179:AY180 AY182:AY185 AY187 AY191:AY192 AY195:AY206 AY208:AY210 AY212:AY215 AY218 AY220:AY228 AY230:AY232 AZ249:AZ250 AY294:AY302 AY307:AY312 AY314:AY317 AY319 AY321:AY328 AY330:AY335 AY337 AY341 AY344:AY1048576">
    <cfRule type="cellIs" dxfId="160" priority="897" operator="between">
      <formula>36526</formula>
      <formula>"31/12/3000"</formula>
    </cfRule>
  </conditionalFormatting>
  <conditionalFormatting sqref="AY1:AY16">
    <cfRule type="cellIs" dxfId="159" priority="6" operator="between">
      <formula>36526</formula>
      <formula>402133</formula>
    </cfRule>
  </conditionalFormatting>
  <conditionalFormatting sqref="AY18:AY27 AY30:AY45 AY48:AY54 AY57:AY58 AY61:AY64">
    <cfRule type="cellIs" dxfId="158" priority="218" operator="between">
      <formula>36526</formula>
      <formula>402133</formula>
    </cfRule>
  </conditionalFormatting>
  <conditionalFormatting sqref="AY28:AY67 AY69:AY70 AY76:AY129 AY131:AY144 AY146:AY313 AY342">
    <cfRule type="cellIs" dxfId="157" priority="8" operator="greaterThan">
      <formula>0</formula>
    </cfRule>
  </conditionalFormatting>
  <conditionalFormatting sqref="AY66:AY70 AY76:AY110">
    <cfRule type="cellIs" dxfId="156" priority="5" operator="between">
      <formula>36526</formula>
      <formula>402133</formula>
    </cfRule>
  </conditionalFormatting>
  <conditionalFormatting sqref="AY112:AY161">
    <cfRule type="cellIs" dxfId="155" priority="3" operator="between">
      <formula>36526</formula>
      <formula>402133</formula>
    </cfRule>
  </conditionalFormatting>
  <conditionalFormatting sqref="AY163:AY171 AY173:AY190">
    <cfRule type="cellIs" dxfId="154" priority="255" operator="between">
      <formula>36526</formula>
      <formula>402133</formula>
    </cfRule>
  </conditionalFormatting>
  <conditionalFormatting sqref="AY192 AY195:AY274">
    <cfRule type="cellIs" dxfId="153" priority="42" operator="between">
      <formula>36526</formula>
      <formula>402133</formula>
    </cfRule>
  </conditionalFormatting>
  <conditionalFormatting sqref="AY234:AY287 AY289:AY291">
    <cfRule type="cellIs" dxfId="152" priority="478" operator="between">
      <formula>36526</formula>
      <formula>"31/12/3000"</formula>
    </cfRule>
  </conditionalFormatting>
  <conditionalFormatting sqref="AY276:AY287 AY289:AY291">
    <cfRule type="cellIs" dxfId="151" priority="370" operator="between">
      <formula>36526</formula>
      <formula>402133</formula>
    </cfRule>
  </conditionalFormatting>
  <conditionalFormatting sqref="AY288">
    <cfRule type="duplicateValues" dxfId="150" priority="10"/>
  </conditionalFormatting>
  <conditionalFormatting sqref="AY294:AY304 AY306:AY312 AY314:AY317 AY319 AY321:AY325">
    <cfRule type="cellIs" dxfId="149" priority="43" operator="between">
      <formula>36526</formula>
      <formula>402133</formula>
    </cfRule>
  </conditionalFormatting>
  <conditionalFormatting sqref="AY327:AY341">
    <cfRule type="cellIs" dxfId="148" priority="1" operator="between">
      <formula>36526</formula>
      <formula>402133</formula>
    </cfRule>
  </conditionalFormatting>
  <conditionalFormatting sqref="AY343:AY1048576">
    <cfRule type="cellIs" dxfId="147" priority="212" operator="between">
      <formula>36526</formula>
      <formula>402133</formula>
    </cfRule>
  </conditionalFormatting>
  <conditionalFormatting sqref="AY17:AZ17">
    <cfRule type="cellIs" dxfId="146" priority="269" operator="between">
      <formula>36526</formula>
      <formula>402133</formula>
    </cfRule>
  </conditionalFormatting>
  <conditionalFormatting sqref="AZ34 AZ36:AZ38">
    <cfRule type="cellIs" dxfId="145" priority="264" operator="between">
      <formula>36526</formula>
      <formula>402133</formula>
    </cfRule>
  </conditionalFormatting>
  <conditionalFormatting sqref="AZ65">
    <cfRule type="cellIs" dxfId="144" priority="318" operator="between">
      <formula>36526</formula>
      <formula>"31/12/3000"</formula>
    </cfRule>
  </conditionalFormatting>
  <conditionalFormatting sqref="AZ71">
    <cfRule type="cellIs" dxfId="143" priority="317" operator="between">
      <formula>36526</formula>
      <formula>"31/12/3000"</formula>
    </cfRule>
  </conditionalFormatting>
  <conditionalFormatting sqref="AZ84">
    <cfRule type="cellIs" dxfId="142" priority="530" operator="between">
      <formula>36526</formula>
      <formula>"31/12/3000"</formula>
    </cfRule>
    <cfRule type="cellIs" dxfId="141" priority="531" operator="between">
      <formula>36526</formula>
      <formula>402133</formula>
    </cfRule>
  </conditionalFormatting>
  <conditionalFormatting sqref="AZ92">
    <cfRule type="cellIs" dxfId="140" priority="521" operator="between">
      <formula>36526</formula>
      <formula>"31/12/3000"</formula>
    </cfRule>
    <cfRule type="cellIs" dxfId="139" priority="522" operator="between">
      <formula>36526</formula>
      <formula>402133</formula>
    </cfRule>
  </conditionalFormatting>
  <conditionalFormatting sqref="AZ104">
    <cfRule type="cellIs" dxfId="138" priority="519" operator="between">
      <formula>36526</formula>
      <formula>"31/12/3000"</formula>
    </cfRule>
    <cfRule type="cellIs" dxfId="137" priority="520" operator="between">
      <formula>36526</formula>
      <formula>402133</formula>
    </cfRule>
  </conditionalFormatting>
  <conditionalFormatting sqref="AZ109">
    <cfRule type="cellIs" dxfId="136" priority="261" operator="between">
      <formula>36526</formula>
      <formula>402133</formula>
    </cfRule>
  </conditionalFormatting>
  <conditionalFormatting sqref="AZ111">
    <cfRule type="cellIs" dxfId="135" priority="316" operator="between">
      <formula>36526</formula>
      <formula>"31/12/3000"</formula>
    </cfRule>
  </conditionalFormatting>
  <conditionalFormatting sqref="AZ124:AZ126">
    <cfRule type="cellIs" dxfId="134" priority="509" operator="between">
      <formula>36526</formula>
      <formula>"31/12/3000"</formula>
    </cfRule>
    <cfRule type="cellIs" dxfId="133" priority="510" operator="between">
      <formula>36526</formula>
      <formula>402133</formula>
    </cfRule>
  </conditionalFormatting>
  <conditionalFormatting sqref="AZ143">
    <cfRule type="cellIs" dxfId="132" priority="507" operator="between">
      <formula>36526</formula>
      <formula>"31/12/3000"</formula>
    </cfRule>
    <cfRule type="cellIs" dxfId="131" priority="508" operator="between">
      <formula>36526</formula>
      <formula>402133</formula>
    </cfRule>
  </conditionalFormatting>
  <conditionalFormatting sqref="AZ154">
    <cfRule type="cellIs" dxfId="130" priority="505" operator="between">
      <formula>36526</formula>
      <formula>"31/12/3000"</formula>
    </cfRule>
    <cfRule type="cellIs" dxfId="129" priority="506" operator="between">
      <formula>36526</formula>
      <formula>402133</formula>
    </cfRule>
  </conditionalFormatting>
  <conditionalFormatting sqref="AZ157:AZ158">
    <cfRule type="cellIs" dxfId="128" priority="536" operator="between">
      <formula>36526</formula>
      <formula>"31/12/3000"</formula>
    </cfRule>
    <cfRule type="cellIs" dxfId="127" priority="537" operator="between">
      <formula>36526</formula>
      <formula>402133</formula>
    </cfRule>
  </conditionalFormatting>
  <conditionalFormatting sqref="AZ160">
    <cfRule type="cellIs" dxfId="126" priority="755" operator="between">
      <formula>36526</formula>
      <formula>"31/12/3000"</formula>
    </cfRule>
    <cfRule type="cellIs" dxfId="125" priority="756" operator="between">
      <formula>36526</formula>
      <formula>402133</formula>
    </cfRule>
  </conditionalFormatting>
  <conditionalFormatting sqref="AZ162">
    <cfRule type="cellIs" dxfId="124" priority="315" operator="between">
      <formula>36526</formula>
      <formula>"31/12/3000"</formula>
    </cfRule>
  </conditionalFormatting>
  <conditionalFormatting sqref="AZ164">
    <cfRule type="cellIs" dxfId="123" priority="581" operator="between">
      <formula>36526</formula>
      <formula>"31/12/3000"</formula>
    </cfRule>
    <cfRule type="cellIs" dxfId="122" priority="582" operator="between">
      <formula>36526</formula>
      <formula>402133</formula>
    </cfRule>
  </conditionalFormatting>
  <conditionalFormatting sqref="AZ191">
    <cfRule type="cellIs" dxfId="121" priority="314" operator="between">
      <formula>36526</formula>
      <formula>"31/12/3000"</formula>
    </cfRule>
  </conditionalFormatting>
  <conditionalFormatting sqref="AZ199">
    <cfRule type="cellIs" dxfId="120" priority="753" operator="between">
      <formula>36526</formula>
      <formula>"31/12/3000"</formula>
    </cfRule>
    <cfRule type="cellIs" dxfId="119" priority="754" operator="between">
      <formula>36526</formula>
      <formula>402133</formula>
    </cfRule>
  </conditionalFormatting>
  <conditionalFormatting sqref="AZ204">
    <cfRule type="cellIs" dxfId="118" priority="751" operator="between">
      <formula>36526</formula>
      <formula>"31/12/3000"</formula>
    </cfRule>
    <cfRule type="cellIs" dxfId="117" priority="752" operator="between">
      <formula>36526</formula>
      <formula>402133</formula>
    </cfRule>
  </conditionalFormatting>
  <conditionalFormatting sqref="AZ210">
    <cfRule type="cellIs" dxfId="116" priority="747" operator="between">
      <formula>36526</formula>
      <formula>"31/12/3000"</formula>
    </cfRule>
    <cfRule type="cellIs" dxfId="115" priority="748" operator="between">
      <formula>36526</formula>
      <formula>402133</formula>
    </cfRule>
  </conditionalFormatting>
  <conditionalFormatting sqref="AZ224:AZ225">
    <cfRule type="cellIs" dxfId="114" priority="502" operator="between">
      <formula>36526</formula>
      <formula>402133</formula>
    </cfRule>
    <cfRule type="cellIs" dxfId="113" priority="501" operator="between">
      <formula>36526</formula>
      <formula>"31/12/3000"</formula>
    </cfRule>
  </conditionalFormatting>
  <conditionalFormatting sqref="AZ227">
    <cfRule type="cellIs" dxfId="112" priority="862" operator="between">
      <formula>36526</formula>
      <formula>"31/12/3000"</formula>
    </cfRule>
    <cfRule type="cellIs" dxfId="111" priority="863" operator="between">
      <formula>36526</formula>
      <formula>402133</formula>
    </cfRule>
  </conditionalFormatting>
  <conditionalFormatting sqref="AZ231">
    <cfRule type="cellIs" dxfId="110" priority="749" operator="between">
      <formula>36526</formula>
      <formula>"31/12/3000"</formula>
    </cfRule>
    <cfRule type="cellIs" dxfId="109" priority="750" operator="between">
      <formula>36526</formula>
      <formula>402133</formula>
    </cfRule>
  </conditionalFormatting>
  <conditionalFormatting sqref="AZ236">
    <cfRule type="cellIs" dxfId="108" priority="854" operator="between">
      <formula>36526</formula>
      <formula>"31/12/3000"</formula>
    </cfRule>
    <cfRule type="cellIs" dxfId="107" priority="855" operator="between">
      <formula>36526</formula>
      <formula>402133</formula>
    </cfRule>
  </conditionalFormatting>
  <conditionalFormatting sqref="AZ246">
    <cfRule type="cellIs" dxfId="106" priority="846" operator="between">
      <formula>36526</formula>
      <formula>"31/12/3000"</formula>
    </cfRule>
    <cfRule type="cellIs" dxfId="105" priority="847" operator="between">
      <formula>36526</formula>
      <formula>402133</formula>
    </cfRule>
  </conditionalFormatting>
  <conditionalFormatting sqref="AZ249:AZ250">
    <cfRule type="cellIs" dxfId="104" priority="1009" operator="between">
      <formula>36526</formula>
      <formula>402133</formula>
    </cfRule>
  </conditionalFormatting>
  <conditionalFormatting sqref="AZ253">
    <cfRule type="cellIs" dxfId="103" priority="839" operator="between">
      <formula>36526</formula>
      <formula>402133</formula>
    </cfRule>
    <cfRule type="cellIs" dxfId="102" priority="838" operator="between">
      <formula>36526</formula>
      <formula>"31/12/3000"</formula>
    </cfRule>
  </conditionalFormatting>
  <conditionalFormatting sqref="AZ255:AZ256">
    <cfRule type="cellIs" dxfId="101" priority="741" operator="between">
      <formula>36526</formula>
      <formula>"31/12/3000"</formula>
    </cfRule>
    <cfRule type="cellIs" dxfId="100" priority="742" operator="between">
      <formula>36526</formula>
      <formula>402133</formula>
    </cfRule>
  </conditionalFormatting>
  <conditionalFormatting sqref="AZ263">
    <cfRule type="cellIs" dxfId="99" priority="313" operator="between">
      <formula>36526</formula>
      <formula>"31/12/3000"</formula>
    </cfRule>
  </conditionalFormatting>
  <conditionalFormatting sqref="AZ282:AZ283">
    <cfRule type="cellIs" dxfId="98" priority="832" operator="between">
      <formula>36526</formula>
      <formula>"31/12/3000"</formula>
    </cfRule>
    <cfRule type="cellIs" dxfId="97" priority="833" operator="between">
      <formula>36526</formula>
      <formula>402133</formula>
    </cfRule>
  </conditionalFormatting>
  <conditionalFormatting sqref="AZ286">
    <cfRule type="cellIs" dxfId="96" priority="540" operator="between">
      <formula>36526</formula>
      <formula>"31/12/3000"</formula>
    </cfRule>
    <cfRule type="cellIs" dxfId="95" priority="541" operator="between">
      <formula>36526</formula>
      <formula>402133</formula>
    </cfRule>
  </conditionalFormatting>
  <conditionalFormatting sqref="AZ301">
    <cfRule type="cellIs" dxfId="94" priority="831" operator="between">
      <formula>36526</formula>
      <formula>402133</formula>
    </cfRule>
    <cfRule type="cellIs" dxfId="93" priority="830" operator="between">
      <formula>36526</formula>
      <formula>"31/12/3000"</formula>
    </cfRule>
  </conditionalFormatting>
  <conditionalFormatting sqref="AZ303">
    <cfRule type="cellIs" dxfId="92" priority="251" operator="between">
      <formula>36526</formula>
      <formula>402133</formula>
    </cfRule>
  </conditionalFormatting>
  <conditionalFormatting sqref="AZ309:AZ310">
    <cfRule type="cellIs" dxfId="91" priority="828" operator="between">
      <formula>36526</formula>
      <formula>"31/12/3000"</formula>
    </cfRule>
    <cfRule type="cellIs" dxfId="90" priority="829" operator="between">
      <formula>36526</formula>
      <formula>402133</formula>
    </cfRule>
  </conditionalFormatting>
  <conditionalFormatting sqref="AZ314:AZ315">
    <cfRule type="cellIs" dxfId="89" priority="571" operator="between">
      <formula>36526</formula>
      <formula>402133</formula>
    </cfRule>
    <cfRule type="cellIs" dxfId="88" priority="570" operator="between">
      <formula>36526</formula>
      <formula>"31/12/3000"</formula>
    </cfRule>
  </conditionalFormatting>
  <conditionalFormatting sqref="BB1:BB1048576">
    <cfRule type="containsText" dxfId="87" priority="224" operator="containsText" text="FINALIZADO">
      <formula>NOT(ISERROR(SEARCH("FINALIZADO",BB1)))</formula>
    </cfRule>
  </conditionalFormatting>
  <conditionalFormatting sqref="BD1:BD1048576">
    <cfRule type="cellIs" dxfId="86" priority="19" operator="equal">
      <formula>"INDENIZAÇÃO"</formula>
    </cfRule>
    <cfRule type="cellIs" dxfId="85" priority="20" operator="equal">
      <formula>"AA"</formula>
    </cfRule>
  </conditionalFormatting>
  <conditionalFormatting sqref="BD14:BD419">
    <cfRule type="cellIs" dxfId="84" priority="21" operator="equal">
      <formula>"FINALIZADO"</formula>
    </cfRule>
  </conditionalFormatting>
  <conditionalFormatting sqref="BI111">
    <cfRule type="cellIs" dxfId="83" priority="299" operator="between">
      <formula>36526</formula>
      <formula>"31/12/3000"</formula>
    </cfRule>
  </conditionalFormatting>
  <conditionalFormatting sqref="BI162">
    <cfRule type="cellIs" dxfId="82" priority="298" operator="between">
      <formula>36526</formula>
      <formula>"31/12/3000"</formula>
    </cfRule>
  </conditionalFormatting>
  <conditionalFormatting sqref="BM92">
    <cfRule type="cellIs" dxfId="81" priority="474" operator="between">
      <formula>36526</formula>
      <formula>"31/12/3000"</formula>
    </cfRule>
    <cfRule type="cellIs" dxfId="80" priority="475" operator="between">
      <formula>36526</formula>
      <formula>402133</formula>
    </cfRule>
  </conditionalFormatting>
  <conditionalFormatting sqref="BM101">
    <cfRule type="cellIs" dxfId="79" priority="473" operator="between">
      <formula>36526</formula>
      <formula>402133</formula>
    </cfRule>
    <cfRule type="cellIs" dxfId="78" priority="472" operator="between">
      <formula>36526</formula>
      <formula>"31/12/3000"</formula>
    </cfRule>
  </conditionalFormatting>
  <conditionalFormatting sqref="BM104">
    <cfRule type="cellIs" dxfId="77" priority="470" operator="between">
      <formula>36526</formula>
      <formula>"31/12/3000"</formula>
    </cfRule>
    <cfRule type="cellIs" dxfId="76" priority="471" operator="between">
      <formula>36526</formula>
      <formula>402133</formula>
    </cfRule>
  </conditionalFormatting>
  <conditionalFormatting sqref="BM113">
    <cfRule type="cellIs" dxfId="75" priority="468" operator="between">
      <formula>36526</formula>
      <formula>"31/12/3000"</formula>
    </cfRule>
    <cfRule type="cellIs" dxfId="74" priority="469" operator="between">
      <formula>36526</formula>
      <formula>402133</formula>
    </cfRule>
  </conditionalFormatting>
  <conditionalFormatting sqref="BM116">
    <cfRule type="cellIs" dxfId="73" priority="467" operator="between">
      <formula>36526</formula>
      <formula>402133</formula>
    </cfRule>
    <cfRule type="cellIs" dxfId="72" priority="466" operator="between">
      <formula>36526</formula>
      <formula>"31/12/3000"</formula>
    </cfRule>
  </conditionalFormatting>
  <conditionalFormatting sqref="BM124:BM126">
    <cfRule type="cellIs" dxfId="71" priority="461" operator="between">
      <formula>36526</formula>
      <formula>402133</formula>
    </cfRule>
    <cfRule type="cellIs" dxfId="70" priority="460" operator="between">
      <formula>36526</formula>
      <formula>"31/12/3000"</formula>
    </cfRule>
  </conditionalFormatting>
  <conditionalFormatting sqref="BM143">
    <cfRule type="cellIs" dxfId="69" priority="459" operator="between">
      <formula>36526</formula>
      <formula>402133</formula>
    </cfRule>
    <cfRule type="cellIs" dxfId="68" priority="458" operator="between">
      <formula>36526</formula>
      <formula>"31/12/3000"</formula>
    </cfRule>
  </conditionalFormatting>
  <conditionalFormatting sqref="BM154">
    <cfRule type="cellIs" dxfId="67" priority="457" operator="between">
      <formula>36526</formula>
      <formula>402133</formula>
    </cfRule>
    <cfRule type="cellIs" dxfId="66" priority="456" operator="between">
      <formula>36526</formula>
      <formula>"31/12/3000"</formula>
    </cfRule>
  </conditionalFormatting>
  <conditionalFormatting sqref="BM218">
    <cfRule type="cellIs" dxfId="65" priority="455" operator="between">
      <formula>36526</formula>
      <formula>402133</formula>
    </cfRule>
    <cfRule type="cellIs" dxfId="64" priority="454" operator="between">
      <formula>36526</formula>
      <formula>"31/12/3000"</formula>
    </cfRule>
  </conditionalFormatting>
  <conditionalFormatting sqref="BM224">
    <cfRule type="cellIs" dxfId="63" priority="453" operator="between">
      <formula>36526</formula>
      <formula>402133</formula>
    </cfRule>
    <cfRule type="cellIs" dxfId="62" priority="452" operator="between">
      <formula>36526</formula>
      <formula>"31/12/3000"</formula>
    </cfRule>
  </conditionalFormatting>
  <conditionalFormatting sqref="BM249">
    <cfRule type="cellIs" dxfId="61" priority="451" operator="between">
      <formula>36526</formula>
      <formula>402133</formula>
    </cfRule>
    <cfRule type="cellIs" dxfId="60" priority="450" operator="between">
      <formula>36526</formula>
      <formula>"31/12/3000"</formula>
    </cfRule>
  </conditionalFormatting>
  <conditionalFormatting sqref="BM276">
    <cfRule type="cellIs" dxfId="59" priority="449" operator="between">
      <formula>36526</formula>
      <formula>402133</formula>
    </cfRule>
    <cfRule type="cellIs" dxfId="58" priority="448" operator="between">
      <formula>36526</formula>
      <formula>"31/12/3000"</formula>
    </cfRule>
  </conditionalFormatting>
  <conditionalFormatting sqref="BM298">
    <cfRule type="cellIs" dxfId="57" priority="447" operator="between">
      <formula>36526</formula>
      <formula>402133</formula>
    </cfRule>
    <cfRule type="cellIs" dxfId="56" priority="446" operator="between">
      <formula>36526</formula>
      <formula>"31/12/3000"</formula>
    </cfRule>
  </conditionalFormatting>
  <conditionalFormatting sqref="BM300">
    <cfRule type="cellIs" dxfId="55" priority="445" operator="between">
      <formula>36526</formula>
      <formula>402133</formula>
    </cfRule>
    <cfRule type="cellIs" dxfId="54" priority="444" operator="between">
      <formula>36526</formula>
      <formula>"31/12/3000"</formula>
    </cfRule>
  </conditionalFormatting>
  <dataValidations count="1">
    <dataValidation allowBlank="1" showInputMessage="1" showErrorMessage="1" sqref="AY159 AY207 AY304 AY186 AY188:AY190 AY181 AY178 AY137:AY138 AY117 AY114 AY106:AY107 AY91 AY69 AY66 BC14:BC419 AY148:AY149 AY163 AY229 AY233 AY94 AY219 AY211 AY96 AG28:AG29 C57:C61 AY127:AY129 AC329 C76:C78 D14:E349 B14:B349" xr:uid="{42DBC0A4-72CF-48C5-9B14-5B05F91E4FAB}"/>
  </dataValidations>
  <hyperlinks>
    <hyperlink ref="AK194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278" t="s">
        <v>96</v>
      </c>
    </row>
    <row r="3" spans="1:8" ht="20.25" customHeight="1" x14ac:dyDescent="0.25">
      <c r="E3" s="278" t="s">
        <v>61</v>
      </c>
      <c r="F3" s="99" t="s">
        <v>1814</v>
      </c>
      <c r="H3" s="15" t="s">
        <v>1815</v>
      </c>
    </row>
    <row r="4" spans="1:8" ht="20.25" customHeight="1" x14ac:dyDescent="0.25">
      <c r="A4" s="277" t="s">
        <v>39</v>
      </c>
      <c r="B4" s="277" t="s">
        <v>43</v>
      </c>
      <c r="C4" s="278" t="s">
        <v>47</v>
      </c>
      <c r="D4" s="278" t="s">
        <v>1816</v>
      </c>
      <c r="E4" s="278" t="s">
        <v>1816</v>
      </c>
      <c r="F4" s="100" t="s">
        <v>1817</v>
      </c>
      <c r="H4" s="15" t="s">
        <v>1818</v>
      </c>
    </row>
    <row r="5" spans="1:8" ht="20.25" customHeight="1" x14ac:dyDescent="0.25">
      <c r="A5" s="320" t="s">
        <v>99</v>
      </c>
      <c r="B5" s="327" t="s">
        <v>1758</v>
      </c>
      <c r="C5" s="321" t="s">
        <v>1759</v>
      </c>
      <c r="D5" s="322">
        <v>46273</v>
      </c>
      <c r="F5" s="99" t="s">
        <v>1819</v>
      </c>
      <c r="H5" s="15" t="s">
        <v>1820</v>
      </c>
    </row>
    <row r="6" spans="1:8" ht="20.25" customHeight="1" x14ac:dyDescent="0.25">
      <c r="A6" s="320"/>
      <c r="B6" s="320"/>
      <c r="C6" s="321"/>
      <c r="D6" s="322"/>
      <c r="F6" s="99" t="s">
        <v>1821</v>
      </c>
      <c r="H6" s="15" t="s">
        <v>1822</v>
      </c>
    </row>
    <row r="7" spans="1:8" ht="20.25" customHeight="1" x14ac:dyDescent="0.25">
      <c r="A7" s="320"/>
      <c r="B7" s="320"/>
      <c r="C7" s="321"/>
      <c r="D7" s="322"/>
      <c r="F7" s="99" t="s">
        <v>1823</v>
      </c>
      <c r="H7" s="15" t="s">
        <v>1824</v>
      </c>
    </row>
    <row r="8" spans="1:8" ht="20.25" customHeight="1" x14ac:dyDescent="0.25">
      <c r="A8" s="320"/>
      <c r="B8" s="327"/>
      <c r="C8" s="321"/>
      <c r="D8" s="322"/>
      <c r="F8" s="99" t="s">
        <v>1825</v>
      </c>
      <c r="H8" s="15" t="s">
        <v>1817</v>
      </c>
    </row>
    <row r="9" spans="1:8" ht="20.25" customHeight="1" x14ac:dyDescent="0.25">
      <c r="A9" s="320"/>
      <c r="B9" s="327"/>
      <c r="C9" s="321"/>
      <c r="D9" s="322"/>
      <c r="F9" s="99" t="s">
        <v>1826</v>
      </c>
      <c r="H9" s="15" t="s">
        <v>1827</v>
      </c>
    </row>
    <row r="10" spans="1:8" ht="20.25" customHeight="1" x14ac:dyDescent="0.25">
      <c r="A10" s="320"/>
      <c r="B10" s="327"/>
      <c r="C10" s="321"/>
      <c r="D10" s="322"/>
      <c r="F10" s="99" t="s">
        <v>1828</v>
      </c>
      <c r="H10" s="15" t="s">
        <v>1829</v>
      </c>
    </row>
    <row r="11" spans="1:8" ht="20.25" customHeight="1" x14ac:dyDescent="0.25">
      <c r="A11" s="320"/>
      <c r="B11" s="327"/>
      <c r="C11" s="321"/>
      <c r="D11" s="322"/>
      <c r="F11" s="99" t="s">
        <v>1820</v>
      </c>
      <c r="H11" s="15" t="s">
        <v>1830</v>
      </c>
    </row>
    <row r="12" spans="1:8" ht="20.25" customHeight="1" x14ac:dyDescent="0.25">
      <c r="A12" s="320"/>
      <c r="B12" s="327"/>
      <c r="C12" s="321"/>
      <c r="D12" s="322"/>
      <c r="F12" s="99" t="s">
        <v>1831</v>
      </c>
      <c r="H12" s="15" t="s">
        <v>1832</v>
      </c>
    </row>
    <row r="13" spans="1:8" ht="20.25" customHeight="1" x14ac:dyDescent="0.25">
      <c r="A13" s="164"/>
      <c r="B13" s="288"/>
      <c r="C13" s="288"/>
      <c r="D13" s="244"/>
      <c r="F13" s="99" t="s">
        <v>1822</v>
      </c>
      <c r="H13" s="15" t="s">
        <v>1833</v>
      </c>
    </row>
    <row r="14" spans="1:8" ht="20.25" customHeight="1" x14ac:dyDescent="0.25">
      <c r="A14" s="240"/>
      <c r="B14" s="240"/>
      <c r="C14" s="240"/>
      <c r="D14" s="242"/>
      <c r="F14" s="99" t="s">
        <v>1834</v>
      </c>
      <c r="H14" s="15" t="s">
        <v>1823</v>
      </c>
    </row>
    <row r="15" spans="1:8" ht="20.25" customHeight="1" x14ac:dyDescent="0.25">
      <c r="A15" s="240"/>
      <c r="B15" s="241"/>
      <c r="C15" s="240"/>
      <c r="D15" s="242"/>
      <c r="F15" s="99" t="s">
        <v>1835</v>
      </c>
      <c r="H15" s="105" t="s">
        <v>1836</v>
      </c>
    </row>
    <row r="16" spans="1:8" ht="20.25" customHeight="1" x14ac:dyDescent="0.25">
      <c r="A16" s="114"/>
      <c r="B16" s="114"/>
      <c r="C16" s="205"/>
      <c r="D16" s="243"/>
      <c r="F16" s="99" t="s">
        <v>1837</v>
      </c>
      <c r="H16" s="105" t="s">
        <v>1838</v>
      </c>
    </row>
    <row r="17" spans="1:8" ht="20.25" customHeight="1" x14ac:dyDescent="0.25">
      <c r="A17" s="113"/>
      <c r="B17" s="113"/>
      <c r="C17" s="115"/>
      <c r="D17" s="192"/>
      <c r="F17" s="99" t="s">
        <v>1839</v>
      </c>
      <c r="H17" s="105" t="s">
        <v>1840</v>
      </c>
    </row>
    <row r="18" spans="1:8" ht="20.25" customHeight="1" x14ac:dyDescent="0.25">
      <c r="A18" s="113"/>
      <c r="B18" s="113"/>
      <c r="C18" s="115"/>
      <c r="D18" s="192"/>
      <c r="F18" s="99" t="s">
        <v>1841</v>
      </c>
      <c r="H18" s="105" t="s">
        <v>1842</v>
      </c>
    </row>
    <row r="19" spans="1:8" ht="20.25" customHeight="1" x14ac:dyDescent="0.25">
      <c r="A19" s="113"/>
      <c r="B19" s="113"/>
      <c r="C19" s="115"/>
      <c r="D19" s="192"/>
      <c r="F19" s="99" t="s">
        <v>1843</v>
      </c>
      <c r="H19" s="105" t="s">
        <v>1844</v>
      </c>
    </row>
    <row r="20" spans="1:8" ht="20.25" customHeight="1" x14ac:dyDescent="0.25">
      <c r="A20" s="170"/>
      <c r="B20" s="114"/>
      <c r="C20" s="193"/>
      <c r="D20" s="191"/>
      <c r="F20" s="99" t="s">
        <v>1845</v>
      </c>
      <c r="H20" s="105" t="s">
        <v>1821</v>
      </c>
    </row>
    <row r="21" spans="1:8" ht="20.25" customHeight="1" x14ac:dyDescent="0.25">
      <c r="A21" s="134"/>
      <c r="B21" s="113"/>
      <c r="C21" s="146"/>
      <c r="D21" s="189"/>
      <c r="F21" s="99" t="s">
        <v>1846</v>
      </c>
      <c r="H21" s="105" t="s">
        <v>1847</v>
      </c>
    </row>
    <row r="22" spans="1:8" ht="20.25" customHeight="1" x14ac:dyDescent="0.25">
      <c r="A22" s="113"/>
      <c r="B22" s="113"/>
      <c r="C22" s="178"/>
      <c r="D22" s="189"/>
      <c r="F22" s="99" t="s">
        <v>1848</v>
      </c>
      <c r="H22" s="105" t="s">
        <v>1849</v>
      </c>
    </row>
    <row r="23" spans="1:8" ht="20.25" customHeight="1" x14ac:dyDescent="0.25">
      <c r="A23" s="113"/>
      <c r="B23" s="113"/>
      <c r="C23" s="182"/>
      <c r="D23" s="189"/>
      <c r="F23" s="99" t="s">
        <v>1850</v>
      </c>
      <c r="H23" s="105" t="s">
        <v>1814</v>
      </c>
    </row>
    <row r="24" spans="1:8" ht="20.25" customHeight="1" x14ac:dyDescent="0.25">
      <c r="A24" s="113"/>
      <c r="B24" s="113"/>
      <c r="C24" s="182"/>
      <c r="D24" s="189"/>
      <c r="F24" s="99" t="s">
        <v>1851</v>
      </c>
      <c r="H24" s="105" t="s">
        <v>1843</v>
      </c>
    </row>
    <row r="25" spans="1:8" ht="20.25" customHeight="1" x14ac:dyDescent="0.25">
      <c r="A25" s="113"/>
      <c r="B25" s="190"/>
      <c r="C25" s="138"/>
      <c r="D25" s="189"/>
      <c r="F25" s="99" t="s">
        <v>1852</v>
      </c>
      <c r="H25" s="105" t="s">
        <v>1848</v>
      </c>
    </row>
    <row r="26" spans="1:8" ht="20.25" customHeight="1" x14ac:dyDescent="0.25">
      <c r="A26" s="113"/>
      <c r="B26" s="113"/>
      <c r="C26" s="115"/>
      <c r="D26" s="189"/>
      <c r="F26" s="314" t="s">
        <v>1853</v>
      </c>
      <c r="H26" s="15" t="s">
        <v>1850</v>
      </c>
    </row>
    <row r="27" spans="1:8" ht="20.25" customHeight="1" x14ac:dyDescent="0.25">
      <c r="A27" s="113" t="s">
        <v>1854</v>
      </c>
      <c r="B27" s="113" t="s">
        <v>1855</v>
      </c>
      <c r="C27" s="115" t="s">
        <v>1856</v>
      </c>
      <c r="D27" s="189">
        <v>45224</v>
      </c>
      <c r="F27" s="99" t="s">
        <v>1857</v>
      </c>
      <c r="H27" s="15" t="s">
        <v>1858</v>
      </c>
    </row>
    <row r="28" spans="1:8" ht="20.25" customHeight="1" x14ac:dyDescent="0.25">
      <c r="A28" s="113" t="s">
        <v>1854</v>
      </c>
      <c r="B28" s="113" t="s">
        <v>1859</v>
      </c>
      <c r="C28" s="115" t="s">
        <v>1860</v>
      </c>
      <c r="D28" s="189">
        <v>45224</v>
      </c>
      <c r="F28" s="99" t="s">
        <v>1861</v>
      </c>
      <c r="H28" s="15" t="s">
        <v>1837</v>
      </c>
    </row>
    <row r="29" spans="1:8" ht="20.25" customHeight="1" x14ac:dyDescent="0.25">
      <c r="A29" s="113" t="s">
        <v>1854</v>
      </c>
      <c r="B29" s="113" t="s">
        <v>1862</v>
      </c>
      <c r="C29" s="115" t="s">
        <v>1863</v>
      </c>
      <c r="D29" s="189">
        <v>45224</v>
      </c>
      <c r="F29" s="314" t="s">
        <v>1847</v>
      </c>
      <c r="H29" s="15" t="s">
        <v>1864</v>
      </c>
    </row>
    <row r="30" spans="1:8" ht="20.25" customHeight="1" x14ac:dyDescent="0.25">
      <c r="A30" s="113" t="s">
        <v>1854</v>
      </c>
      <c r="B30" s="113" t="s">
        <v>1865</v>
      </c>
      <c r="C30" s="115" t="s">
        <v>1866</v>
      </c>
      <c r="D30" s="189">
        <v>45224</v>
      </c>
      <c r="F30" s="99" t="s">
        <v>1867</v>
      </c>
      <c r="H30" s="15" t="s">
        <v>1868</v>
      </c>
    </row>
    <row r="31" spans="1:8" ht="20.25" customHeight="1" x14ac:dyDescent="0.25">
      <c r="A31" s="113" t="s">
        <v>1854</v>
      </c>
      <c r="B31" s="113" t="s">
        <v>1869</v>
      </c>
      <c r="C31" s="115" t="s">
        <v>1870</v>
      </c>
      <c r="D31" s="189">
        <v>45224</v>
      </c>
      <c r="F31" s="99" t="s">
        <v>1842</v>
      </c>
      <c r="H31" s="15" t="s">
        <v>1871</v>
      </c>
    </row>
    <row r="32" spans="1:8" ht="20.25" customHeight="1" x14ac:dyDescent="0.25">
      <c r="A32" s="164"/>
      <c r="B32" s="164"/>
      <c r="C32" s="160"/>
      <c r="D32" s="172"/>
      <c r="F32" s="314" t="s">
        <v>1872</v>
      </c>
      <c r="H32" s="15" t="s">
        <v>1851</v>
      </c>
    </row>
    <row r="33" spans="1:8" ht="20.25" customHeight="1" x14ac:dyDescent="0.25">
      <c r="A33" s="162"/>
      <c r="B33" s="162"/>
      <c r="C33" s="138"/>
      <c r="D33" s="144"/>
      <c r="F33" s="99" t="s">
        <v>1864</v>
      </c>
      <c r="H33" s="15" t="s">
        <v>1873</v>
      </c>
    </row>
    <row r="34" spans="1:8" ht="20.25" customHeight="1" x14ac:dyDescent="0.25">
      <c r="A34" s="162"/>
      <c r="B34" s="162"/>
      <c r="C34" s="138"/>
      <c r="D34" s="144"/>
      <c r="F34" s="99" t="s">
        <v>1874</v>
      </c>
      <c r="H34" s="15" t="s">
        <v>1875</v>
      </c>
    </row>
    <row r="35" spans="1:8" ht="20.25" customHeight="1" x14ac:dyDescent="0.25">
      <c r="A35" s="162"/>
      <c r="B35" s="162"/>
      <c r="C35" s="146"/>
      <c r="D35" s="144"/>
      <c r="F35" s="102" t="s">
        <v>1876</v>
      </c>
      <c r="H35" s="15" t="s">
        <v>1852</v>
      </c>
    </row>
    <row r="36" spans="1:8" ht="20.25" customHeight="1" x14ac:dyDescent="0.25">
      <c r="A36" s="162"/>
      <c r="B36" s="162"/>
      <c r="C36" s="146"/>
      <c r="D36" s="144"/>
      <c r="F36" s="99" t="s">
        <v>1827</v>
      </c>
      <c r="H36" s="15" t="s">
        <v>1877</v>
      </c>
    </row>
    <row r="37" spans="1:8" ht="20.25" customHeight="1" x14ac:dyDescent="0.25">
      <c r="A37" s="162"/>
      <c r="B37" s="162"/>
      <c r="C37" s="146"/>
      <c r="D37" s="144"/>
      <c r="F37" s="99" t="s">
        <v>1877</v>
      </c>
      <c r="H37" s="15" t="s">
        <v>1845</v>
      </c>
    </row>
    <row r="38" spans="1:8" ht="20.25" customHeight="1" x14ac:dyDescent="0.25">
      <c r="A38" s="162"/>
      <c r="B38" s="162"/>
      <c r="C38" s="146"/>
      <c r="D38" s="144"/>
      <c r="F38" s="99" t="s">
        <v>1878</v>
      </c>
      <c r="H38" s="15" t="s">
        <v>1857</v>
      </c>
    </row>
    <row r="39" spans="1:8" ht="20.25" customHeight="1" x14ac:dyDescent="0.25">
      <c r="A39" s="162"/>
      <c r="B39" s="162"/>
      <c r="C39" s="146"/>
      <c r="D39" s="144"/>
      <c r="F39" s="101" t="s">
        <v>1836</v>
      </c>
      <c r="H39" s="15" t="s">
        <v>1828</v>
      </c>
    </row>
    <row r="40" spans="1:8" ht="20.25" customHeight="1" x14ac:dyDescent="0.25">
      <c r="A40" s="162"/>
      <c r="B40" s="162"/>
      <c r="C40" s="146"/>
      <c r="D40" s="144"/>
      <c r="F40" s="99" t="s">
        <v>1840</v>
      </c>
      <c r="H40" s="15" t="s">
        <v>1879</v>
      </c>
    </row>
    <row r="41" spans="1:8" ht="20.25" customHeight="1" x14ac:dyDescent="0.25">
      <c r="A41" s="162"/>
      <c r="B41" s="162"/>
      <c r="C41" s="146"/>
      <c r="D41" s="144"/>
      <c r="F41" s="99" t="s">
        <v>1829</v>
      </c>
      <c r="H41" s="15" t="s">
        <v>1880</v>
      </c>
    </row>
    <row r="42" spans="1:8" ht="20.25" customHeight="1" x14ac:dyDescent="0.25">
      <c r="A42" s="162"/>
      <c r="B42" s="162"/>
      <c r="C42" s="146"/>
      <c r="D42" s="144"/>
      <c r="F42" s="99" t="s">
        <v>1881</v>
      </c>
    </row>
    <row r="43" spans="1:8" ht="20.25" customHeight="1" x14ac:dyDescent="0.25">
      <c r="A43" s="162"/>
      <c r="B43" s="162"/>
      <c r="C43" s="146"/>
      <c r="D43" s="144"/>
      <c r="F43" s="103" t="s">
        <v>1858</v>
      </c>
    </row>
    <row r="44" spans="1:8" ht="20.25" customHeight="1" x14ac:dyDescent="0.25">
      <c r="A44" s="162"/>
      <c r="B44" s="162"/>
      <c r="C44" s="138"/>
      <c r="D44" s="144"/>
      <c r="F44" s="103" t="s">
        <v>1873</v>
      </c>
    </row>
    <row r="45" spans="1:8" ht="20.25" customHeight="1" x14ac:dyDescent="0.25">
      <c r="A45" s="162"/>
      <c r="B45" s="162"/>
      <c r="C45" s="146"/>
      <c r="D45" s="144"/>
    </row>
    <row r="46" spans="1:8" ht="20.25" customHeight="1" x14ac:dyDescent="0.25">
      <c r="A46" s="162"/>
      <c r="B46" s="162"/>
      <c r="C46" s="146"/>
      <c r="D46" s="144"/>
    </row>
    <row r="47" spans="1:8" ht="20.25" customHeight="1" x14ac:dyDescent="0.25">
      <c r="A47" s="162" t="s">
        <v>1854</v>
      </c>
      <c r="B47" s="162" t="s">
        <v>1882</v>
      </c>
      <c r="C47" s="146" t="s">
        <v>1883</v>
      </c>
      <c r="D47" s="144">
        <v>45224</v>
      </c>
    </row>
    <row r="48" spans="1:8" ht="20.25" customHeight="1" x14ac:dyDescent="0.25">
      <c r="A48" s="162" t="s">
        <v>1854</v>
      </c>
      <c r="B48" s="162" t="s">
        <v>1884</v>
      </c>
      <c r="C48" s="146" t="s">
        <v>1885</v>
      </c>
      <c r="D48" s="144">
        <v>45224</v>
      </c>
    </row>
    <row r="49" spans="1:4" ht="20.25" customHeight="1" x14ac:dyDescent="0.25">
      <c r="A49" s="162" t="s">
        <v>1854</v>
      </c>
      <c r="B49" s="162" t="s">
        <v>1886</v>
      </c>
      <c r="C49" s="146" t="s">
        <v>1887</v>
      </c>
      <c r="D49" s="144">
        <v>45224</v>
      </c>
    </row>
    <row r="50" spans="1:4" ht="20.25" customHeight="1" x14ac:dyDescent="0.25">
      <c r="A50" s="162" t="s">
        <v>1854</v>
      </c>
      <c r="B50" s="162" t="s">
        <v>1888</v>
      </c>
      <c r="C50" s="146" t="s">
        <v>1889</v>
      </c>
      <c r="D50" s="144">
        <v>45224</v>
      </c>
    </row>
    <row r="51" spans="1:4" ht="20.25" customHeight="1" x14ac:dyDescent="0.25">
      <c r="A51" s="162" t="s">
        <v>1854</v>
      </c>
      <c r="B51" s="162" t="s">
        <v>1890</v>
      </c>
      <c r="C51" s="146" t="s">
        <v>1891</v>
      </c>
      <c r="D51" s="144">
        <v>45224</v>
      </c>
    </row>
    <row r="52" spans="1:4" ht="20.25" customHeight="1" x14ac:dyDescent="0.25">
      <c r="A52" s="162" t="s">
        <v>1854</v>
      </c>
      <c r="B52" s="162" t="s">
        <v>1892</v>
      </c>
      <c r="C52" s="146" t="s">
        <v>1893</v>
      </c>
      <c r="D52" s="144">
        <v>45224</v>
      </c>
    </row>
    <row r="53" spans="1:4" ht="20.25" customHeight="1" x14ac:dyDescent="0.25">
      <c r="A53" s="162" t="s">
        <v>1854</v>
      </c>
      <c r="B53" s="162" t="s">
        <v>1894</v>
      </c>
      <c r="C53" s="146" t="s">
        <v>1895</v>
      </c>
      <c r="D53" s="144">
        <v>45224</v>
      </c>
    </row>
    <row r="54" spans="1:4" ht="20.25" customHeight="1" x14ac:dyDescent="0.25">
      <c r="A54" s="162" t="s">
        <v>1854</v>
      </c>
      <c r="B54" s="162" t="s">
        <v>1896</v>
      </c>
      <c r="C54" s="146" t="s">
        <v>1897</v>
      </c>
      <c r="D54" s="144">
        <v>45224</v>
      </c>
    </row>
    <row r="55" spans="1:4" ht="20.25" customHeight="1" x14ac:dyDescent="0.25">
      <c r="A55" s="162" t="s">
        <v>1854</v>
      </c>
      <c r="B55" s="162" t="s">
        <v>1898</v>
      </c>
      <c r="C55" s="146" t="s">
        <v>1899</v>
      </c>
      <c r="D55" s="144">
        <v>45224</v>
      </c>
    </row>
    <row r="56" spans="1:4" ht="20.25" customHeight="1" x14ac:dyDescent="0.25">
      <c r="A56" s="162" t="s">
        <v>1854</v>
      </c>
      <c r="B56" s="162" t="s">
        <v>1900</v>
      </c>
      <c r="C56" s="146" t="s">
        <v>1901</v>
      </c>
      <c r="D56" s="144">
        <v>45224</v>
      </c>
    </row>
    <row r="57" spans="1:4" ht="20.25" customHeight="1" x14ac:dyDescent="0.25">
      <c r="A57" s="162" t="s">
        <v>1854</v>
      </c>
      <c r="B57" s="162" t="s">
        <v>1902</v>
      </c>
      <c r="C57" s="146" t="s">
        <v>1903</v>
      </c>
      <c r="D57" s="144">
        <v>45224</v>
      </c>
    </row>
    <row r="58" spans="1:4" ht="20.25" customHeight="1" x14ac:dyDescent="0.25">
      <c r="A58" s="162" t="s">
        <v>1854</v>
      </c>
      <c r="B58" s="162" t="s">
        <v>1904</v>
      </c>
      <c r="C58" s="138" t="s">
        <v>1905</v>
      </c>
      <c r="D58" s="144">
        <v>45224</v>
      </c>
    </row>
    <row r="59" spans="1:4" ht="20.25" customHeight="1" x14ac:dyDescent="0.25">
      <c r="A59" s="162" t="s">
        <v>1854</v>
      </c>
      <c r="B59" s="162" t="s">
        <v>1906</v>
      </c>
      <c r="C59" s="138" t="s">
        <v>1907</v>
      </c>
      <c r="D59" s="144">
        <v>45224</v>
      </c>
    </row>
    <row r="60" spans="1:4" ht="20.25" customHeight="1" x14ac:dyDescent="0.25">
      <c r="A60" s="162" t="s">
        <v>1854</v>
      </c>
      <c r="B60" s="162" t="s">
        <v>1908</v>
      </c>
      <c r="C60" s="146" t="s">
        <v>1909</v>
      </c>
      <c r="D60" s="144">
        <v>45224</v>
      </c>
    </row>
    <row r="61" spans="1:4" ht="20.25" customHeight="1" x14ac:dyDescent="0.25">
      <c r="A61" s="162" t="s">
        <v>1854</v>
      </c>
      <c r="B61" s="162" t="s">
        <v>1910</v>
      </c>
      <c r="C61" s="138" t="s">
        <v>1911</v>
      </c>
      <c r="D61" s="144">
        <v>45224</v>
      </c>
    </row>
    <row r="62" spans="1:4" ht="20.25" customHeight="1" x14ac:dyDescent="0.25">
      <c r="A62" s="162" t="s">
        <v>1854</v>
      </c>
      <c r="B62" s="162" t="s">
        <v>1912</v>
      </c>
      <c r="C62" s="138" t="s">
        <v>1913</v>
      </c>
      <c r="D62" s="144">
        <v>45224</v>
      </c>
    </row>
    <row r="63" spans="1:4" ht="20.25" customHeight="1" x14ac:dyDescent="0.25">
      <c r="A63" s="162" t="s">
        <v>1854</v>
      </c>
      <c r="B63" s="162" t="s">
        <v>1914</v>
      </c>
      <c r="C63" s="146" t="s">
        <v>1915</v>
      </c>
      <c r="D63" s="144">
        <v>45224</v>
      </c>
    </row>
    <row r="64" spans="1:4" ht="20.25" customHeight="1" x14ac:dyDescent="0.25">
      <c r="A64" s="162" t="s">
        <v>1854</v>
      </c>
      <c r="B64" s="162" t="s">
        <v>1916</v>
      </c>
      <c r="C64" s="138" t="s">
        <v>1917</v>
      </c>
      <c r="D64" s="144">
        <v>45224</v>
      </c>
    </row>
    <row r="65" spans="1:4" ht="20.25" customHeight="1" x14ac:dyDescent="0.25">
      <c r="A65" s="162" t="s">
        <v>1854</v>
      </c>
      <c r="B65" s="162" t="s">
        <v>1918</v>
      </c>
      <c r="C65" s="138" t="s">
        <v>1917</v>
      </c>
      <c r="D65" s="144">
        <v>45224</v>
      </c>
    </row>
    <row r="66" spans="1:4" ht="20.25" customHeight="1" x14ac:dyDescent="0.25">
      <c r="A66" s="162" t="s">
        <v>1854</v>
      </c>
      <c r="B66" s="162" t="s">
        <v>1919</v>
      </c>
      <c r="C66" s="138" t="s">
        <v>1920</v>
      </c>
      <c r="D66" s="144">
        <v>45224</v>
      </c>
    </row>
    <row r="67" spans="1:4" ht="20.25" customHeight="1" x14ac:dyDescent="0.25">
      <c r="A67" s="162" t="s">
        <v>1854</v>
      </c>
      <c r="B67" s="162" t="s">
        <v>1921</v>
      </c>
      <c r="C67" s="138" t="s">
        <v>1922</v>
      </c>
      <c r="D67" s="144">
        <v>45224</v>
      </c>
    </row>
    <row r="68" spans="1:4" ht="20.25" customHeight="1" x14ac:dyDescent="0.25">
      <c r="A68" s="162" t="s">
        <v>1854</v>
      </c>
      <c r="B68" s="162" t="s">
        <v>1923</v>
      </c>
      <c r="C68" s="138" t="s">
        <v>1924</v>
      </c>
      <c r="D68" s="144">
        <v>45224</v>
      </c>
    </row>
    <row r="69" spans="1:4" ht="20.25" customHeight="1" x14ac:dyDescent="0.25">
      <c r="A69" s="162" t="s">
        <v>1854</v>
      </c>
      <c r="B69" s="162" t="s">
        <v>1925</v>
      </c>
      <c r="C69" s="138" t="s">
        <v>1926</v>
      </c>
      <c r="D69" s="144">
        <v>45224</v>
      </c>
    </row>
    <row r="70" spans="1:4" ht="20.25" customHeight="1" x14ac:dyDescent="0.25">
      <c r="A70" s="162" t="s">
        <v>1854</v>
      </c>
      <c r="B70" s="162" t="s">
        <v>1927</v>
      </c>
      <c r="C70" s="138" t="s">
        <v>1928</v>
      </c>
      <c r="D70" s="144">
        <v>45224</v>
      </c>
    </row>
    <row r="71" spans="1:4" ht="20.25" customHeight="1" x14ac:dyDescent="0.25">
      <c r="A71" s="162" t="s">
        <v>1854</v>
      </c>
      <c r="B71" s="162" t="s">
        <v>1929</v>
      </c>
      <c r="C71" s="138" t="s">
        <v>1930</v>
      </c>
      <c r="D71" s="144">
        <v>45224</v>
      </c>
    </row>
    <row r="72" spans="1:4" ht="20.25" customHeight="1" x14ac:dyDescent="0.25">
      <c r="A72" s="162" t="s">
        <v>1854</v>
      </c>
      <c r="B72" s="162" t="s">
        <v>1931</v>
      </c>
      <c r="C72" s="138" t="s">
        <v>1932</v>
      </c>
      <c r="D72" s="144">
        <v>45224</v>
      </c>
    </row>
    <row r="73" spans="1:4" ht="20.25" customHeight="1" x14ac:dyDescent="0.25">
      <c r="A73" s="162" t="s">
        <v>1854</v>
      </c>
      <c r="B73" s="162" t="s">
        <v>1933</v>
      </c>
      <c r="C73" s="138" t="s">
        <v>1934</v>
      </c>
      <c r="D73" s="144">
        <v>45224</v>
      </c>
    </row>
    <row r="74" spans="1:4" ht="20.25" customHeight="1" x14ac:dyDescent="0.25">
      <c r="A74" s="162" t="s">
        <v>1854</v>
      </c>
      <c r="B74" s="162" t="s">
        <v>1935</v>
      </c>
      <c r="C74" s="138" t="s">
        <v>1936</v>
      </c>
      <c r="D74" s="144">
        <v>45224</v>
      </c>
    </row>
    <row r="75" spans="1:4" ht="20.25" customHeight="1" x14ac:dyDescent="0.25">
      <c r="A75" s="162" t="s">
        <v>1854</v>
      </c>
      <c r="B75" s="162" t="s">
        <v>1937</v>
      </c>
      <c r="C75" s="138" t="s">
        <v>1938</v>
      </c>
      <c r="D75" s="144">
        <v>45224</v>
      </c>
    </row>
    <row r="76" spans="1:4" ht="20.25" customHeight="1" x14ac:dyDescent="0.25">
      <c r="A76" s="162" t="s">
        <v>1854</v>
      </c>
      <c r="B76" s="162" t="s">
        <v>1939</v>
      </c>
      <c r="C76" s="138" t="s">
        <v>366</v>
      </c>
      <c r="D76" s="144">
        <v>45224</v>
      </c>
    </row>
    <row r="77" spans="1:4" ht="20.25" customHeight="1" x14ac:dyDescent="0.25">
      <c r="A77" s="162" t="s">
        <v>1854</v>
      </c>
      <c r="B77" s="162" t="s">
        <v>1940</v>
      </c>
      <c r="C77" s="138" t="s">
        <v>1941</v>
      </c>
      <c r="D77" s="144">
        <v>45224</v>
      </c>
    </row>
    <row r="78" spans="1:4" ht="20.25" customHeight="1" x14ac:dyDescent="0.25">
      <c r="A78" s="162" t="s">
        <v>1854</v>
      </c>
      <c r="B78" s="162" t="s">
        <v>1942</v>
      </c>
      <c r="C78" s="146" t="s">
        <v>1943</v>
      </c>
      <c r="D78" s="144">
        <v>45224</v>
      </c>
    </row>
    <row r="79" spans="1:4" ht="20.25" customHeight="1" x14ac:dyDescent="0.25">
      <c r="A79" s="162" t="s">
        <v>1854</v>
      </c>
      <c r="B79" s="162" t="s">
        <v>1944</v>
      </c>
      <c r="C79" s="146" t="s">
        <v>1945</v>
      </c>
      <c r="D79" s="144">
        <v>45224</v>
      </c>
    </row>
    <row r="80" spans="1:4" ht="20.25" customHeight="1" x14ac:dyDescent="0.25">
      <c r="A80" s="162" t="s">
        <v>1854</v>
      </c>
      <c r="B80" s="162" t="s">
        <v>1946</v>
      </c>
      <c r="C80" s="138" t="s">
        <v>1947</v>
      </c>
      <c r="D80" s="144">
        <v>45224</v>
      </c>
    </row>
    <row r="81" spans="1:4" ht="20.25" customHeight="1" x14ac:dyDescent="0.25">
      <c r="A81" s="162" t="s">
        <v>1854</v>
      </c>
      <c r="B81" s="162" t="s">
        <v>1948</v>
      </c>
      <c r="C81" s="138" t="s">
        <v>1949</v>
      </c>
      <c r="D81" s="144">
        <v>45224</v>
      </c>
    </row>
    <row r="82" spans="1:4" ht="20.25" customHeight="1" x14ac:dyDescent="0.25">
      <c r="A82" s="162" t="s">
        <v>1854</v>
      </c>
      <c r="B82" s="162" t="s">
        <v>1950</v>
      </c>
      <c r="C82" s="138" t="s">
        <v>1951</v>
      </c>
      <c r="D82" s="134" t="s">
        <v>24</v>
      </c>
    </row>
    <row r="83" spans="1:4" ht="20.25" customHeight="1" x14ac:dyDescent="0.25">
      <c r="A83" s="162" t="s">
        <v>1854</v>
      </c>
      <c r="B83" s="162" t="s">
        <v>1952</v>
      </c>
      <c r="C83" s="138" t="s">
        <v>1953</v>
      </c>
      <c r="D83" s="144">
        <v>45049</v>
      </c>
    </row>
    <row r="84" spans="1:4" ht="20.25" customHeight="1" x14ac:dyDescent="0.25">
      <c r="A84" s="162" t="s">
        <v>1854</v>
      </c>
      <c r="B84" s="315" t="s">
        <v>1954</v>
      </c>
      <c r="C84" s="138" t="s">
        <v>1955</v>
      </c>
      <c r="D84" s="134" t="s">
        <v>24</v>
      </c>
    </row>
    <row r="85" spans="1:4" ht="20.25" customHeight="1" x14ac:dyDescent="0.25">
      <c r="A85" s="162" t="s">
        <v>1854</v>
      </c>
      <c r="B85" s="315" t="s">
        <v>1956</v>
      </c>
      <c r="C85" s="138" t="s">
        <v>1957</v>
      </c>
      <c r="D85" s="134" t="s">
        <v>24</v>
      </c>
    </row>
    <row r="86" spans="1:4" ht="20.25" customHeight="1" x14ac:dyDescent="0.25">
      <c r="B86" s="163"/>
      <c r="C86" s="138" t="s">
        <v>1958</v>
      </c>
      <c r="D86" s="134" t="s">
        <v>24</v>
      </c>
    </row>
    <row r="87" spans="1:4" ht="20.25" customHeight="1" x14ac:dyDescent="0.25">
      <c r="B87" s="108"/>
      <c r="C87" s="138" t="s">
        <v>1959</v>
      </c>
      <c r="D87" s="139">
        <v>44910</v>
      </c>
    </row>
    <row r="88" spans="1:4" ht="20.25" customHeight="1" x14ac:dyDescent="0.25">
      <c r="B88" s="108"/>
      <c r="C88" s="138" t="s">
        <v>1960</v>
      </c>
      <c r="D88" s="139">
        <v>44840</v>
      </c>
    </row>
    <row r="89" spans="1:4" ht="20.25" customHeight="1" x14ac:dyDescent="0.25">
      <c r="B89" s="108"/>
      <c r="C89" s="138" t="s">
        <v>1961</v>
      </c>
      <c r="D89" s="134" t="s">
        <v>24</v>
      </c>
    </row>
    <row r="90" spans="1:4" ht="20.25" customHeight="1" x14ac:dyDescent="0.25">
      <c r="B90" s="108"/>
      <c r="C90" s="138" t="s">
        <v>1962</v>
      </c>
      <c r="D90" s="134" t="s">
        <v>24</v>
      </c>
    </row>
    <row r="91" spans="1:4" ht="20.25" customHeight="1" x14ac:dyDescent="0.25">
      <c r="B91" s="108"/>
      <c r="C91" s="138" t="s">
        <v>1963</v>
      </c>
      <c r="D91" s="139">
        <v>44877</v>
      </c>
    </row>
    <row r="92" spans="1:4" ht="20.25" customHeight="1" x14ac:dyDescent="0.25">
      <c r="B92" s="108"/>
      <c r="C92" s="138" t="s">
        <v>1964</v>
      </c>
      <c r="D92" s="134" t="s">
        <v>24</v>
      </c>
    </row>
    <row r="93" spans="1:4" ht="20.25" customHeight="1" x14ac:dyDescent="0.25">
      <c r="B93" s="108"/>
      <c r="C93" s="146" t="s">
        <v>1965</v>
      </c>
      <c r="D93" s="134" t="s">
        <v>24</v>
      </c>
    </row>
    <row r="94" spans="1:4" ht="20.25" customHeight="1" x14ac:dyDescent="0.25">
      <c r="B94" s="108"/>
      <c r="C94" s="146" t="s">
        <v>1966</v>
      </c>
      <c r="D94" s="139">
        <v>44840</v>
      </c>
    </row>
    <row r="95" spans="1:4" ht="20.25" customHeight="1" x14ac:dyDescent="0.25">
      <c r="B95" s="108"/>
      <c r="C95" s="138" t="s">
        <v>1967</v>
      </c>
      <c r="D95" s="134" t="s">
        <v>24</v>
      </c>
    </row>
    <row r="96" spans="1:4" ht="20.25" customHeight="1" x14ac:dyDescent="0.25">
      <c r="B96" s="108"/>
      <c r="C96" s="146" t="s">
        <v>1968</v>
      </c>
      <c r="D96" s="134" t="s">
        <v>24</v>
      </c>
    </row>
    <row r="97" spans="2:4" ht="20.25" customHeight="1" x14ac:dyDescent="0.25">
      <c r="B97" s="108"/>
      <c r="C97" s="138" t="s">
        <v>1969</v>
      </c>
      <c r="D97" s="134" t="s">
        <v>24</v>
      </c>
    </row>
    <row r="98" spans="2:4" ht="20.25" customHeight="1" x14ac:dyDescent="0.25">
      <c r="B98" s="108"/>
      <c r="C98" s="138" t="s">
        <v>1970</v>
      </c>
      <c r="D98" s="134" t="s">
        <v>24</v>
      </c>
    </row>
    <row r="99" spans="2:4" ht="20.25" customHeight="1" x14ac:dyDescent="0.25">
      <c r="B99" s="119" t="s">
        <v>1971</v>
      </c>
      <c r="C99" s="146" t="s">
        <v>1972</v>
      </c>
      <c r="D99" s="134" t="s">
        <v>24</v>
      </c>
    </row>
    <row r="100" spans="2:4" ht="20.25" customHeight="1" x14ac:dyDescent="0.25">
      <c r="B100" s="119" t="s">
        <v>1973</v>
      </c>
      <c r="C100" s="138" t="s">
        <v>1974</v>
      </c>
      <c r="D100" s="134" t="s">
        <v>24</v>
      </c>
    </row>
    <row r="101" spans="2:4" ht="20.25" customHeight="1" x14ac:dyDescent="0.25">
      <c r="B101" s="108" t="s">
        <v>1975</v>
      </c>
      <c r="C101" s="138" t="s">
        <v>1976</v>
      </c>
      <c r="D101" s="134" t="s">
        <v>24</v>
      </c>
    </row>
    <row r="102" spans="2:4" ht="20.25" customHeight="1" x14ac:dyDescent="0.25">
      <c r="B102" s="108" t="s">
        <v>1977</v>
      </c>
      <c r="C102" s="146" t="s">
        <v>1978</v>
      </c>
      <c r="D102" s="134" t="s">
        <v>24</v>
      </c>
    </row>
    <row r="103" spans="2:4" ht="20.25" customHeight="1" x14ac:dyDescent="0.25">
      <c r="B103" s="108" t="s">
        <v>1979</v>
      </c>
      <c r="C103" s="146" t="s">
        <v>1922</v>
      </c>
      <c r="D103" s="134" t="s">
        <v>24</v>
      </c>
    </row>
    <row r="104" spans="2:4" ht="20.25" customHeight="1" x14ac:dyDescent="0.25">
      <c r="B104" s="108" t="s">
        <v>1980</v>
      </c>
      <c r="C104" s="138" t="s">
        <v>1981</v>
      </c>
      <c r="D104" s="134"/>
    </row>
    <row r="105" spans="2:4" ht="20.25" customHeight="1" x14ac:dyDescent="0.25">
      <c r="B105" s="108" t="s">
        <v>1982</v>
      </c>
      <c r="C105" s="138" t="s">
        <v>1983</v>
      </c>
      <c r="D105" s="134"/>
    </row>
    <row r="106" spans="2:4" ht="20.25" customHeight="1" x14ac:dyDescent="0.25">
      <c r="B106" s="108" t="s">
        <v>1984</v>
      </c>
      <c r="C106" s="138" t="s">
        <v>1985</v>
      </c>
      <c r="D106" s="161">
        <v>45013</v>
      </c>
    </row>
    <row r="107" spans="2:4" ht="20.25" customHeight="1" x14ac:dyDescent="0.25">
      <c r="B107" s="108" t="s">
        <v>1986</v>
      </c>
      <c r="C107" s="138" t="s">
        <v>1987</v>
      </c>
      <c r="D107" s="161">
        <v>45013</v>
      </c>
    </row>
    <row r="108" spans="2:4" ht="20.25" customHeight="1" x14ac:dyDescent="0.25">
      <c r="B108" s="108" t="s">
        <v>1988</v>
      </c>
      <c r="C108" s="146" t="s">
        <v>1989</v>
      </c>
      <c r="D108" s="134" t="s">
        <v>24</v>
      </c>
    </row>
    <row r="109" spans="2:4" ht="20.25" customHeight="1" x14ac:dyDescent="0.25">
      <c r="B109" s="119" t="s">
        <v>1990</v>
      </c>
      <c r="C109" s="146"/>
      <c r="D109" s="134" t="s">
        <v>24</v>
      </c>
    </row>
    <row r="110" spans="2:4" ht="20.25" customHeight="1" x14ac:dyDescent="0.25">
      <c r="B110" s="108" t="s">
        <v>1991</v>
      </c>
      <c r="C110" s="146" t="s">
        <v>1992</v>
      </c>
      <c r="D110" s="139">
        <v>44853</v>
      </c>
    </row>
    <row r="111" spans="2:4" ht="20.25" customHeight="1" x14ac:dyDescent="0.25">
      <c r="B111" s="108" t="s">
        <v>1993</v>
      </c>
      <c r="C111" s="138" t="s">
        <v>1994</v>
      </c>
      <c r="D111" s="139">
        <v>44840</v>
      </c>
    </row>
    <row r="112" spans="2:4" ht="20.25" customHeight="1" x14ac:dyDescent="0.25">
      <c r="B112" s="108" t="s">
        <v>1995</v>
      </c>
      <c r="C112" s="138" t="s">
        <v>1996</v>
      </c>
      <c r="D112" s="139">
        <v>44840</v>
      </c>
    </row>
    <row r="113" spans="2:4" ht="20.25" customHeight="1" x14ac:dyDescent="0.25">
      <c r="B113" s="108" t="s">
        <v>1997</v>
      </c>
      <c r="C113" s="138" t="s">
        <v>1998</v>
      </c>
      <c r="D113" s="140"/>
    </row>
    <row r="114" spans="2:4" ht="20.25" customHeight="1" x14ac:dyDescent="0.25">
      <c r="B114" s="119" t="s">
        <v>1999</v>
      </c>
      <c r="C114" s="146" t="s">
        <v>2000</v>
      </c>
      <c r="D114" s="139">
        <v>44910</v>
      </c>
    </row>
    <row r="115" spans="2:4" ht="20.25" customHeight="1" x14ac:dyDescent="0.25">
      <c r="B115" s="108" t="s">
        <v>2001</v>
      </c>
      <c r="C115" s="146" t="s">
        <v>2002</v>
      </c>
      <c r="D115" s="139">
        <v>44961</v>
      </c>
    </row>
    <row r="116" spans="2:4" ht="20.25" customHeight="1" x14ac:dyDescent="0.25">
      <c r="B116" s="108" t="s">
        <v>2003</v>
      </c>
      <c r="C116" s="146" t="s">
        <v>2004</v>
      </c>
      <c r="D116" s="134" t="s">
        <v>24</v>
      </c>
    </row>
    <row r="117" spans="2:4" ht="20.25" customHeight="1" x14ac:dyDescent="0.25">
      <c r="B117" s="108" t="s">
        <v>2005</v>
      </c>
      <c r="C117" s="146" t="s">
        <v>2006</v>
      </c>
      <c r="D117" s="134" t="s">
        <v>24</v>
      </c>
    </row>
    <row r="118" spans="2:4" ht="20.25" customHeight="1" x14ac:dyDescent="0.25">
      <c r="B118" s="119" t="s">
        <v>2007</v>
      </c>
      <c r="C118" s="146" t="s">
        <v>2008</v>
      </c>
      <c r="D118" s="139">
        <v>44862</v>
      </c>
    </row>
    <row r="119" spans="2:4" ht="20.25" customHeight="1" x14ac:dyDescent="0.25">
      <c r="B119" s="108" t="s">
        <v>2009</v>
      </c>
      <c r="C119" s="146" t="s">
        <v>2010</v>
      </c>
      <c r="D119" s="139">
        <v>44877</v>
      </c>
    </row>
    <row r="120" spans="2:4" ht="20.25" customHeight="1" x14ac:dyDescent="0.25">
      <c r="B120" s="108" t="s">
        <v>2011</v>
      </c>
      <c r="C120" s="146" t="s">
        <v>2012</v>
      </c>
      <c r="D120" s="139">
        <v>44840</v>
      </c>
    </row>
    <row r="121" spans="2:4" ht="20.25" customHeight="1" x14ac:dyDescent="0.25">
      <c r="B121" s="119" t="s">
        <v>2013</v>
      </c>
      <c r="C121" s="146" t="s">
        <v>2014</v>
      </c>
      <c r="D121" s="134" t="s">
        <v>24</v>
      </c>
    </row>
    <row r="122" spans="2:4" ht="20.25" customHeight="1" x14ac:dyDescent="0.25">
      <c r="B122" s="108" t="s">
        <v>2015</v>
      </c>
      <c r="C122" s="138" t="s">
        <v>2016</v>
      </c>
      <c r="D122" s="139">
        <v>44840</v>
      </c>
    </row>
    <row r="123" spans="2:4" ht="20.25" customHeight="1" x14ac:dyDescent="0.25">
      <c r="B123" s="108" t="s">
        <v>2017</v>
      </c>
      <c r="C123" s="146" t="s">
        <v>2018</v>
      </c>
      <c r="D123" s="134" t="s">
        <v>24</v>
      </c>
    </row>
    <row r="124" spans="2:4" ht="20.25" customHeight="1" x14ac:dyDescent="0.25">
      <c r="B124" s="108" t="s">
        <v>2019</v>
      </c>
      <c r="C124" s="146" t="s">
        <v>2020</v>
      </c>
      <c r="D124" s="134" t="s">
        <v>24</v>
      </c>
    </row>
    <row r="125" spans="2:4" ht="20.25" customHeight="1" x14ac:dyDescent="0.25">
      <c r="B125" s="108" t="s">
        <v>2021</v>
      </c>
      <c r="C125" s="146" t="s">
        <v>2022</v>
      </c>
      <c r="D125" s="139">
        <v>44840</v>
      </c>
    </row>
    <row r="126" spans="2:4" ht="20.25" customHeight="1" x14ac:dyDescent="0.25">
      <c r="B126" s="108" t="s">
        <v>2023</v>
      </c>
      <c r="C126" s="138" t="s">
        <v>2024</v>
      </c>
      <c r="D126" s="139">
        <v>44877</v>
      </c>
    </row>
    <row r="127" spans="2:4" ht="20.25" customHeight="1" x14ac:dyDescent="0.25">
      <c r="B127" s="108" t="s">
        <v>2025</v>
      </c>
      <c r="C127" s="146" t="s">
        <v>2026</v>
      </c>
      <c r="D127" s="139">
        <v>44890</v>
      </c>
    </row>
    <row r="128" spans="2:4" ht="20.25" customHeight="1" x14ac:dyDescent="0.25">
      <c r="B128" s="108" t="s">
        <v>2027</v>
      </c>
      <c r="C128" s="138" t="s">
        <v>2028</v>
      </c>
      <c r="D128" s="139">
        <v>45013</v>
      </c>
    </row>
    <row r="129" spans="2:4" ht="20.25" customHeight="1" x14ac:dyDescent="0.25">
      <c r="B129" s="108" t="s">
        <v>2029</v>
      </c>
      <c r="C129" s="138" t="s">
        <v>2030</v>
      </c>
      <c r="D129" s="139">
        <v>45013</v>
      </c>
    </row>
    <row r="130" spans="2:4" ht="20.25" customHeight="1" x14ac:dyDescent="0.25">
      <c r="B130" s="108" t="s">
        <v>2031</v>
      </c>
      <c r="C130" s="146" t="s">
        <v>2032</v>
      </c>
      <c r="D130" s="139"/>
    </row>
    <row r="131" spans="2:4" ht="20.25" customHeight="1" x14ac:dyDescent="0.25">
      <c r="B131" s="108" t="s">
        <v>2033</v>
      </c>
      <c r="C131" s="146" t="s">
        <v>2034</v>
      </c>
      <c r="D131" s="139"/>
    </row>
    <row r="132" spans="2:4" ht="20.25" customHeight="1" x14ac:dyDescent="0.25">
      <c r="B132" s="108" t="s">
        <v>2035</v>
      </c>
      <c r="C132" s="146" t="s">
        <v>2036</v>
      </c>
      <c r="D132" s="149"/>
    </row>
    <row r="133" spans="2:4" ht="20.25" customHeight="1" x14ac:dyDescent="0.25">
      <c r="B133" s="108" t="s">
        <v>2037</v>
      </c>
      <c r="C133" s="146" t="s">
        <v>2038</v>
      </c>
      <c r="D133" s="149"/>
    </row>
    <row r="134" spans="2:4" ht="20.25" customHeight="1" x14ac:dyDescent="0.25">
      <c r="B134" s="108" t="s">
        <v>2039</v>
      </c>
      <c r="C134" s="146" t="s">
        <v>2040</v>
      </c>
      <c r="D134" s="149"/>
    </row>
    <row r="135" spans="2:4" ht="20.25" customHeight="1" x14ac:dyDescent="0.25">
      <c r="B135" s="119" t="s">
        <v>2041</v>
      </c>
      <c r="C135" s="146" t="s">
        <v>2042</v>
      </c>
      <c r="D135" s="149"/>
    </row>
    <row r="136" spans="2:4" ht="20.25" customHeight="1" x14ac:dyDescent="0.25">
      <c r="B136" s="108" t="s">
        <v>2043</v>
      </c>
      <c r="C136" s="146" t="s">
        <v>2044</v>
      </c>
      <c r="D136" s="149"/>
    </row>
    <row r="137" spans="2:4" ht="20.25" customHeight="1" x14ac:dyDescent="0.25">
      <c r="B137" s="119" t="s">
        <v>2045</v>
      </c>
      <c r="C137" s="138" t="s">
        <v>366</v>
      </c>
      <c r="D137" s="149"/>
    </row>
    <row r="138" spans="2:4" ht="20.25" customHeight="1" x14ac:dyDescent="0.25">
      <c r="B138" s="108" t="s">
        <v>2046</v>
      </c>
      <c r="C138" s="138" t="s">
        <v>366</v>
      </c>
      <c r="D138" s="144">
        <v>45105</v>
      </c>
    </row>
    <row r="139" spans="2:4" ht="20.25" customHeight="1" x14ac:dyDescent="0.25">
      <c r="B139" s="108" t="s">
        <v>2047</v>
      </c>
      <c r="C139" s="138" t="s">
        <v>2048</v>
      </c>
      <c r="D139" s="145"/>
    </row>
    <row r="140" spans="2:4" ht="20.25" customHeight="1" x14ac:dyDescent="0.25">
      <c r="B140" s="108" t="s">
        <v>2049</v>
      </c>
      <c r="C140" s="138" t="s">
        <v>2050</v>
      </c>
      <c r="D140" s="149"/>
    </row>
    <row r="141" spans="2:4" ht="20.25" customHeight="1" x14ac:dyDescent="0.25">
      <c r="B141" s="108" t="s">
        <v>2051</v>
      </c>
      <c r="C141" s="138" t="s">
        <v>2052</v>
      </c>
      <c r="D141" s="149"/>
    </row>
    <row r="142" spans="2:4" ht="20.25" customHeight="1" x14ac:dyDescent="0.25">
      <c r="B142" s="108" t="s">
        <v>2053</v>
      </c>
      <c r="C142" s="138" t="s">
        <v>2054</v>
      </c>
      <c r="D142" s="149"/>
    </row>
    <row r="143" spans="2:4" ht="20.25" customHeight="1" x14ac:dyDescent="0.25">
      <c r="B143" s="108" t="s">
        <v>2055</v>
      </c>
      <c r="C143" s="146" t="s">
        <v>2056</v>
      </c>
      <c r="D143" s="144">
        <v>45105</v>
      </c>
    </row>
    <row r="144" spans="2:4" ht="20.25" customHeight="1" x14ac:dyDescent="0.25">
      <c r="B144" s="108" t="s">
        <v>2057</v>
      </c>
      <c r="C144" s="138" t="s">
        <v>2058</v>
      </c>
      <c r="D144" s="149"/>
    </row>
    <row r="145" spans="2:4" ht="20.25" customHeight="1" x14ac:dyDescent="0.25">
      <c r="B145" s="108" t="s">
        <v>2059</v>
      </c>
      <c r="C145" s="138" t="s">
        <v>366</v>
      </c>
      <c r="D145" s="149"/>
    </row>
    <row r="146" spans="2:4" ht="20.25" customHeight="1" x14ac:dyDescent="0.25">
      <c r="B146" s="108" t="s">
        <v>2060</v>
      </c>
      <c r="C146" s="138" t="s">
        <v>2061</v>
      </c>
      <c r="D146" s="144">
        <v>45049</v>
      </c>
    </row>
    <row r="147" spans="2:4" ht="20.25" customHeight="1" x14ac:dyDescent="0.25">
      <c r="B147" s="108" t="s">
        <v>2062</v>
      </c>
      <c r="C147" s="138" t="s">
        <v>2063</v>
      </c>
      <c r="D147" s="149"/>
    </row>
    <row r="148" spans="2:4" ht="20.25" customHeight="1" x14ac:dyDescent="0.25">
      <c r="B148" s="108" t="s">
        <v>2064</v>
      </c>
      <c r="C148" s="138" t="s">
        <v>2065</v>
      </c>
      <c r="D148" s="149"/>
    </row>
    <row r="149" spans="2:4" ht="20.25" customHeight="1" x14ac:dyDescent="0.25">
      <c r="B149" s="108" t="s">
        <v>2066</v>
      </c>
      <c r="C149" s="146" t="s">
        <v>2067</v>
      </c>
      <c r="D149" s="149"/>
    </row>
    <row r="150" spans="2:4" ht="20.25" customHeight="1" x14ac:dyDescent="0.25">
      <c r="B150" s="108" t="s">
        <v>2068</v>
      </c>
      <c r="C150" s="138" t="s">
        <v>2069</v>
      </c>
      <c r="D150" s="149"/>
    </row>
    <row r="151" spans="2:4" ht="20.25" customHeight="1" x14ac:dyDescent="0.25">
      <c r="B151" s="108" t="s">
        <v>2070</v>
      </c>
      <c r="C151" s="138" t="s">
        <v>2071</v>
      </c>
      <c r="D151" s="149"/>
    </row>
    <row r="152" spans="2:4" ht="20.25" customHeight="1" x14ac:dyDescent="0.25">
      <c r="B152" s="108" t="s">
        <v>2072</v>
      </c>
      <c r="C152" s="138" t="s">
        <v>366</v>
      </c>
      <c r="D152" s="139">
        <v>45056</v>
      </c>
    </row>
    <row r="153" spans="2:4" ht="20.25" customHeight="1" x14ac:dyDescent="0.25">
      <c r="B153" s="108" t="s">
        <v>2073</v>
      </c>
      <c r="C153" s="146" t="s">
        <v>2074</v>
      </c>
      <c r="D153" s="139">
        <v>45056</v>
      </c>
    </row>
    <row r="154" spans="2:4" ht="20.25" customHeight="1" x14ac:dyDescent="0.25">
      <c r="B154" s="107" t="s">
        <v>2075</v>
      </c>
      <c r="C154" s="138" t="s">
        <v>2076</v>
      </c>
      <c r="D154" s="139">
        <v>45056</v>
      </c>
    </row>
    <row r="155" spans="2:4" ht="20.25" customHeight="1" x14ac:dyDescent="0.25">
      <c r="B155" s="108" t="s">
        <v>2077</v>
      </c>
      <c r="C155" s="138" t="s">
        <v>366</v>
      </c>
      <c r="D155" s="149"/>
    </row>
    <row r="156" spans="2:4" ht="20.25" customHeight="1" x14ac:dyDescent="0.25">
      <c r="B156" s="108" t="s">
        <v>2078</v>
      </c>
      <c r="C156" s="138" t="s">
        <v>2079</v>
      </c>
      <c r="D156" s="149"/>
    </row>
    <row r="157" spans="2:4" ht="20.25" customHeight="1" x14ac:dyDescent="0.25">
      <c r="B157" s="108" t="s">
        <v>2080</v>
      </c>
      <c r="C157" s="138" t="s">
        <v>2081</v>
      </c>
      <c r="D157" s="149"/>
    </row>
    <row r="158" spans="2:4" ht="20.25" customHeight="1" x14ac:dyDescent="0.25">
      <c r="B158" s="108" t="s">
        <v>2082</v>
      </c>
      <c r="C158" s="146" t="s">
        <v>2083</v>
      </c>
      <c r="D158" s="149"/>
    </row>
    <row r="159" spans="2:4" ht="20.25" customHeight="1" x14ac:dyDescent="0.25">
      <c r="B159" s="108" t="s">
        <v>2084</v>
      </c>
      <c r="C159" s="138" t="s">
        <v>2085</v>
      </c>
      <c r="D159" s="149"/>
    </row>
    <row r="160" spans="2:4" ht="20.25" customHeight="1" x14ac:dyDescent="0.25">
      <c r="B160" s="108" t="s">
        <v>2086</v>
      </c>
      <c r="C160" s="138" t="s">
        <v>1922</v>
      </c>
      <c r="D160" s="149"/>
    </row>
    <row r="161" spans="2:4" ht="20.25" customHeight="1" x14ac:dyDescent="0.25">
      <c r="B161" s="119" t="s">
        <v>2087</v>
      </c>
      <c r="C161" s="138" t="s">
        <v>366</v>
      </c>
      <c r="D161" s="149"/>
    </row>
    <row r="162" spans="2:4" ht="20.25" customHeight="1" x14ac:dyDescent="0.25">
      <c r="B162" s="108" t="s">
        <v>2088</v>
      </c>
      <c r="C162" s="138" t="s">
        <v>366</v>
      </c>
      <c r="D162" s="149"/>
    </row>
    <row r="163" spans="2:4" ht="20.25" customHeight="1" x14ac:dyDescent="0.25">
      <c r="B163" s="108" t="s">
        <v>2089</v>
      </c>
      <c r="C163" s="138" t="s">
        <v>366</v>
      </c>
      <c r="D163" s="149"/>
    </row>
    <row r="164" spans="2:4" ht="20.25" customHeight="1" x14ac:dyDescent="0.25">
      <c r="B164" s="108" t="s">
        <v>2090</v>
      </c>
      <c r="C164" s="138" t="s">
        <v>2091</v>
      </c>
      <c r="D164" s="145"/>
    </row>
    <row r="165" spans="2:4" ht="20.25" customHeight="1" x14ac:dyDescent="0.25">
      <c r="B165" s="108" t="s">
        <v>2092</v>
      </c>
      <c r="C165" s="138" t="s">
        <v>366</v>
      </c>
      <c r="D165" s="139">
        <v>45056</v>
      </c>
    </row>
    <row r="166" spans="2:4" ht="20.25" customHeight="1" x14ac:dyDescent="0.25">
      <c r="B166" s="108" t="s">
        <v>2093</v>
      </c>
      <c r="C166" s="138" t="s">
        <v>366</v>
      </c>
      <c r="D166" s="144">
        <v>45148</v>
      </c>
    </row>
    <row r="167" spans="2:4" ht="20.25" customHeight="1" x14ac:dyDescent="0.25">
      <c r="B167" s="108" t="s">
        <v>2094</v>
      </c>
      <c r="C167" s="138" t="s">
        <v>366</v>
      </c>
      <c r="D167" s="141"/>
    </row>
    <row r="168" spans="2:4" ht="20.25" customHeight="1" x14ac:dyDescent="0.25">
      <c r="B168" s="108" t="s">
        <v>2095</v>
      </c>
      <c r="C168" s="146" t="s">
        <v>2096</v>
      </c>
      <c r="D168" s="141"/>
    </row>
    <row r="169" spans="2:4" ht="20.25" customHeight="1" x14ac:dyDescent="0.25">
      <c r="B169" s="108" t="s">
        <v>2097</v>
      </c>
      <c r="C169" s="138" t="s">
        <v>2098</v>
      </c>
      <c r="D169" s="141"/>
    </row>
    <row r="170" spans="2:4" ht="20.25" customHeight="1" x14ac:dyDescent="0.25">
      <c r="B170" s="108" t="s">
        <v>2099</v>
      </c>
      <c r="C170" s="146" t="s">
        <v>2100</v>
      </c>
      <c r="D170" s="141"/>
    </row>
    <row r="171" spans="2:4" ht="20.25" customHeight="1" x14ac:dyDescent="0.25">
      <c r="B171" s="108" t="s">
        <v>2101</v>
      </c>
      <c r="C171" s="138" t="s">
        <v>2102</v>
      </c>
      <c r="D171" s="141"/>
    </row>
    <row r="172" spans="2:4" ht="20.25" customHeight="1" x14ac:dyDescent="0.25">
      <c r="B172" s="108" t="s">
        <v>2103</v>
      </c>
      <c r="C172" s="146" t="s">
        <v>2104</v>
      </c>
      <c r="D172" s="141"/>
    </row>
    <row r="173" spans="2:4" ht="20.25" customHeight="1" x14ac:dyDescent="0.25">
      <c r="B173" s="108" t="s">
        <v>2105</v>
      </c>
      <c r="C173" s="138" t="s">
        <v>2106</v>
      </c>
      <c r="D173" s="141"/>
    </row>
    <row r="174" spans="2:4" ht="20.25" customHeight="1" x14ac:dyDescent="0.25">
      <c r="B174" s="108" t="s">
        <v>2107</v>
      </c>
      <c r="C174" s="146" t="s">
        <v>2108</v>
      </c>
      <c r="D174" s="141"/>
    </row>
    <row r="175" spans="2:4" ht="20.25" customHeight="1" x14ac:dyDescent="0.25">
      <c r="B175" s="108" t="s">
        <v>2109</v>
      </c>
      <c r="C175" s="146" t="s">
        <v>2110</v>
      </c>
      <c r="D175" s="141"/>
    </row>
    <row r="176" spans="2:4" ht="20.25" customHeight="1" x14ac:dyDescent="0.25">
      <c r="B176" s="108" t="s">
        <v>2111</v>
      </c>
      <c r="C176" s="146" t="s">
        <v>2112</v>
      </c>
      <c r="D176" s="141"/>
    </row>
    <row r="177" spans="2:4" ht="20.25" customHeight="1" x14ac:dyDescent="0.25">
      <c r="B177" s="108" t="s">
        <v>2113</v>
      </c>
      <c r="C177" s="138" t="s">
        <v>2114</v>
      </c>
      <c r="D177" s="141"/>
    </row>
    <row r="178" spans="2:4" ht="20.25" customHeight="1" x14ac:dyDescent="0.25">
      <c r="B178" s="108" t="s">
        <v>2115</v>
      </c>
      <c r="C178" s="138" t="s">
        <v>2116</v>
      </c>
      <c r="D178" s="141"/>
    </row>
    <row r="179" spans="2:4" ht="20.25" customHeight="1" x14ac:dyDescent="0.25">
      <c r="B179" s="108" t="s">
        <v>2117</v>
      </c>
      <c r="C179" s="146" t="s">
        <v>2118</v>
      </c>
      <c r="D179" s="141"/>
    </row>
    <row r="180" spans="2:4" ht="20.25" customHeight="1" x14ac:dyDescent="0.25">
      <c r="B180" s="119" t="s">
        <v>2119</v>
      </c>
      <c r="C180" s="138" t="s">
        <v>2120</v>
      </c>
      <c r="D180" s="141"/>
    </row>
    <row r="181" spans="2:4" ht="20.25" customHeight="1" x14ac:dyDescent="0.25">
      <c r="B181" s="108" t="s">
        <v>2121</v>
      </c>
      <c r="C181" s="146" t="s">
        <v>2122</v>
      </c>
      <c r="D181" s="141"/>
    </row>
    <row r="182" spans="2:4" ht="20.25" customHeight="1" x14ac:dyDescent="0.25">
      <c r="B182" s="108" t="s">
        <v>2123</v>
      </c>
      <c r="C182" s="146" t="s">
        <v>2124</v>
      </c>
      <c r="D182" s="141"/>
    </row>
    <row r="183" spans="2:4" ht="20.25" customHeight="1" x14ac:dyDescent="0.25">
      <c r="B183" s="108" t="s">
        <v>2125</v>
      </c>
      <c r="C183" s="138" t="s">
        <v>2126</v>
      </c>
      <c r="D183" s="141"/>
    </row>
    <row r="184" spans="2:4" ht="20.25" customHeight="1" x14ac:dyDescent="0.25">
      <c r="B184" s="108" t="s">
        <v>2127</v>
      </c>
      <c r="C184" s="146" t="s">
        <v>2128</v>
      </c>
      <c r="D184" s="141"/>
    </row>
    <row r="185" spans="2:4" ht="20.25" customHeight="1" x14ac:dyDescent="0.25">
      <c r="B185" s="108" t="s">
        <v>2129</v>
      </c>
      <c r="C185" s="146" t="s">
        <v>2130</v>
      </c>
      <c r="D185" s="141"/>
    </row>
    <row r="186" spans="2:4" ht="20.25" customHeight="1" x14ac:dyDescent="0.25">
      <c r="B186" s="108" t="s">
        <v>2131</v>
      </c>
      <c r="C186" s="138" t="s">
        <v>2132</v>
      </c>
      <c r="D186" s="144">
        <v>45105</v>
      </c>
    </row>
    <row r="187" spans="2:4" ht="20.25" customHeight="1" x14ac:dyDescent="0.25">
      <c r="B187" s="108" t="s">
        <v>2133</v>
      </c>
      <c r="C187" s="138"/>
      <c r="D187" s="139">
        <v>44992</v>
      </c>
    </row>
    <row r="188" spans="2:4" ht="20.25" customHeight="1" x14ac:dyDescent="0.25">
      <c r="B188" s="119" t="s">
        <v>2134</v>
      </c>
      <c r="C188" s="151" t="s">
        <v>2135</v>
      </c>
      <c r="D188" s="139">
        <v>45056</v>
      </c>
    </row>
    <row r="189" spans="2:4" ht="20.25" customHeight="1" x14ac:dyDescent="0.25">
      <c r="B189" s="108" t="s">
        <v>2136</v>
      </c>
      <c r="C189" s="138" t="s">
        <v>2137</v>
      </c>
      <c r="D189" s="139">
        <v>44992</v>
      </c>
    </row>
    <row r="190" spans="2:4" ht="20.25" customHeight="1" x14ac:dyDescent="0.25">
      <c r="B190" s="108" t="s">
        <v>2138</v>
      </c>
      <c r="C190" s="146" t="s">
        <v>2139</v>
      </c>
      <c r="D190" s="139">
        <v>45056</v>
      </c>
    </row>
    <row r="191" spans="2:4" ht="20.25" customHeight="1" x14ac:dyDescent="0.25">
      <c r="B191" s="108" t="s">
        <v>2140</v>
      </c>
      <c r="C191" s="138" t="s">
        <v>2141</v>
      </c>
      <c r="D191" s="148">
        <v>45111</v>
      </c>
    </row>
    <row r="192" spans="2:4" ht="20.25" customHeight="1" x14ac:dyDescent="0.25">
      <c r="B192" s="108" t="s">
        <v>2142</v>
      </c>
      <c r="C192" s="138" t="s">
        <v>2143</v>
      </c>
      <c r="D192" s="139">
        <v>45056</v>
      </c>
    </row>
    <row r="193" spans="2:4" ht="20.25" customHeight="1" x14ac:dyDescent="0.25">
      <c r="B193" s="119" t="s">
        <v>2144</v>
      </c>
      <c r="C193" s="138" t="s">
        <v>2145</v>
      </c>
      <c r="D193" s="141"/>
    </row>
    <row r="194" spans="2:4" ht="20.25" customHeight="1" x14ac:dyDescent="0.25">
      <c r="B194" s="108" t="s">
        <v>2146</v>
      </c>
      <c r="C194" s="138" t="s">
        <v>2147</v>
      </c>
      <c r="D194" s="141"/>
    </row>
    <row r="195" spans="2:4" ht="20.25" customHeight="1" x14ac:dyDescent="0.25">
      <c r="B195" s="108" t="s">
        <v>2148</v>
      </c>
      <c r="C195" s="138" t="s">
        <v>2149</v>
      </c>
      <c r="D195" s="139">
        <v>45056</v>
      </c>
    </row>
    <row r="196" spans="2:4" ht="20.25" customHeight="1" x14ac:dyDescent="0.25">
      <c r="B196" s="108" t="s">
        <v>2150</v>
      </c>
      <c r="C196" s="138" t="s">
        <v>2151</v>
      </c>
      <c r="D196" s="139">
        <v>45056</v>
      </c>
    </row>
    <row r="197" spans="2:4" ht="20.25" customHeight="1" x14ac:dyDescent="0.25">
      <c r="B197" s="108" t="s">
        <v>2152</v>
      </c>
      <c r="C197" s="138" t="s">
        <v>2153</v>
      </c>
      <c r="D197" s="139">
        <v>45056</v>
      </c>
    </row>
    <row r="198" spans="2:4" ht="20.25" customHeight="1" x14ac:dyDescent="0.25">
      <c r="B198" s="108" t="s">
        <v>2154</v>
      </c>
      <c r="C198" s="146" t="s">
        <v>2155</v>
      </c>
      <c r="D198" s="139">
        <v>45097</v>
      </c>
    </row>
    <row r="199" spans="2:4" ht="20.25" customHeight="1" x14ac:dyDescent="0.25">
      <c r="B199" s="108" t="s">
        <v>2156</v>
      </c>
      <c r="C199" s="146" t="s">
        <v>2157</v>
      </c>
      <c r="D199" s="148">
        <v>45111</v>
      </c>
    </row>
    <row r="200" spans="2:4" ht="20.25" customHeight="1" x14ac:dyDescent="0.25">
      <c r="B200" s="108" t="s">
        <v>2158</v>
      </c>
      <c r="C200" s="146" t="s">
        <v>2159</v>
      </c>
      <c r="D200" s="148">
        <v>45111</v>
      </c>
    </row>
    <row r="201" spans="2:4" ht="20.25" customHeight="1" x14ac:dyDescent="0.25">
      <c r="B201" s="108" t="s">
        <v>2160</v>
      </c>
      <c r="C201" s="138" t="s">
        <v>2161</v>
      </c>
      <c r="D201" s="148">
        <v>45111</v>
      </c>
    </row>
    <row r="202" spans="2:4" ht="20.25" customHeight="1" x14ac:dyDescent="0.25">
      <c r="B202" s="108" t="s">
        <v>2162</v>
      </c>
      <c r="C202" s="138" t="s">
        <v>2163</v>
      </c>
      <c r="D202" s="139">
        <v>45097</v>
      </c>
    </row>
    <row r="203" spans="2:4" ht="20.25" customHeight="1" x14ac:dyDescent="0.25">
      <c r="B203" s="108" t="s">
        <v>2164</v>
      </c>
      <c r="C203" s="138" t="s">
        <v>2165</v>
      </c>
      <c r="D203" s="148">
        <v>45111</v>
      </c>
    </row>
    <row r="204" spans="2:4" ht="20.25" customHeight="1" x14ac:dyDescent="0.25">
      <c r="B204" s="108" t="s">
        <v>2166</v>
      </c>
      <c r="C204" s="138" t="s">
        <v>2167</v>
      </c>
      <c r="D204" s="148">
        <v>45111</v>
      </c>
    </row>
    <row r="205" spans="2:4" ht="20.25" customHeight="1" x14ac:dyDescent="0.25">
      <c r="B205" s="108" t="s">
        <v>2168</v>
      </c>
      <c r="C205" s="138" t="s">
        <v>2169</v>
      </c>
      <c r="D205" s="139">
        <v>45097</v>
      </c>
    </row>
    <row r="206" spans="2:4" ht="20.25" customHeight="1" x14ac:dyDescent="0.25">
      <c r="B206" s="108" t="s">
        <v>2170</v>
      </c>
      <c r="C206" s="138" t="s">
        <v>2171</v>
      </c>
      <c r="D206" s="139">
        <v>45097</v>
      </c>
    </row>
    <row r="207" spans="2:4" ht="20.25" customHeight="1" x14ac:dyDescent="0.25">
      <c r="B207" s="108" t="s">
        <v>2172</v>
      </c>
      <c r="C207" s="146" t="s">
        <v>2173</v>
      </c>
      <c r="D207" s="139">
        <v>45097</v>
      </c>
    </row>
    <row r="208" spans="2:4" ht="20.25" customHeight="1" x14ac:dyDescent="0.25">
      <c r="B208" s="108" t="s">
        <v>2174</v>
      </c>
      <c r="C208" s="138" t="s">
        <v>2175</v>
      </c>
      <c r="D208" s="145"/>
    </row>
    <row r="209" spans="2:4" ht="20.25" customHeight="1" x14ac:dyDescent="0.25">
      <c r="B209" s="108" t="s">
        <v>2176</v>
      </c>
      <c r="C209" s="138" t="s">
        <v>2177</v>
      </c>
      <c r="D209" s="148">
        <v>45111</v>
      </c>
    </row>
    <row r="210" spans="2:4" ht="20.25" customHeight="1" x14ac:dyDescent="0.25">
      <c r="B210" s="108" t="s">
        <v>2178</v>
      </c>
      <c r="C210" s="138" t="s">
        <v>2179</v>
      </c>
      <c r="D210" s="139">
        <v>45097</v>
      </c>
    </row>
    <row r="211" spans="2:4" ht="20.25" customHeight="1" x14ac:dyDescent="0.25">
      <c r="B211" s="108" t="s">
        <v>2180</v>
      </c>
      <c r="C211" s="138" t="s">
        <v>2181</v>
      </c>
      <c r="D211" s="144">
        <v>45148</v>
      </c>
    </row>
    <row r="212" spans="2:4" ht="20.25" customHeight="1" x14ac:dyDescent="0.25">
      <c r="B212" s="108" t="s">
        <v>2182</v>
      </c>
      <c r="C212" s="138" t="s">
        <v>2183</v>
      </c>
      <c r="D212" s="148">
        <v>45111</v>
      </c>
    </row>
    <row r="213" spans="2:4" ht="20.25" customHeight="1" x14ac:dyDescent="0.25">
      <c r="B213" s="108" t="s">
        <v>2184</v>
      </c>
      <c r="C213" s="146" t="s">
        <v>2185</v>
      </c>
      <c r="D213" s="149"/>
    </row>
    <row r="214" spans="2:4" ht="20.25" customHeight="1" x14ac:dyDescent="0.25">
      <c r="B214" s="108" t="s">
        <v>2186</v>
      </c>
      <c r="C214" s="146" t="s">
        <v>2187</v>
      </c>
      <c r="D214" s="139">
        <v>44992</v>
      </c>
    </row>
    <row r="215" spans="2:4" ht="20.25" customHeight="1" x14ac:dyDescent="0.25">
      <c r="B215" s="108" t="s">
        <v>2188</v>
      </c>
      <c r="C215" s="138" t="s">
        <v>2189</v>
      </c>
      <c r="D215" s="139">
        <v>45097</v>
      </c>
    </row>
    <row r="216" spans="2:4" ht="20.25" customHeight="1" x14ac:dyDescent="0.25">
      <c r="B216" s="108" t="s">
        <v>2190</v>
      </c>
      <c r="C216" s="138" t="s">
        <v>2191</v>
      </c>
      <c r="D216" s="139">
        <v>45097</v>
      </c>
    </row>
    <row r="217" spans="2:4" ht="20.25" customHeight="1" x14ac:dyDescent="0.25">
      <c r="B217" s="108" t="s">
        <v>2192</v>
      </c>
      <c r="C217" s="146" t="s">
        <v>2193</v>
      </c>
      <c r="D217" s="139">
        <v>45097</v>
      </c>
    </row>
    <row r="218" spans="2:4" ht="20.25" customHeight="1" x14ac:dyDescent="0.25">
      <c r="B218" s="108" t="s">
        <v>2194</v>
      </c>
      <c r="C218" s="138" t="s">
        <v>2195</v>
      </c>
      <c r="D218" s="149"/>
    </row>
    <row r="219" spans="2:4" ht="20.25" customHeight="1" x14ac:dyDescent="0.25">
      <c r="B219" s="108" t="s">
        <v>2196</v>
      </c>
      <c r="C219" s="138" t="s">
        <v>2197</v>
      </c>
      <c r="D219" s="149"/>
    </row>
    <row r="220" spans="2:4" ht="20.25" customHeight="1" x14ac:dyDescent="0.25">
      <c r="B220" s="108" t="s">
        <v>2198</v>
      </c>
      <c r="C220" s="138" t="s">
        <v>2199</v>
      </c>
      <c r="D220" s="139">
        <v>45097</v>
      </c>
    </row>
    <row r="221" spans="2:4" ht="20.25" customHeight="1" x14ac:dyDescent="0.25">
      <c r="B221" s="108" t="s">
        <v>2200</v>
      </c>
      <c r="C221" s="138" t="s">
        <v>2201</v>
      </c>
      <c r="D221" s="139">
        <v>45097</v>
      </c>
    </row>
    <row r="222" spans="2:4" ht="20.25" customHeight="1" x14ac:dyDescent="0.25">
      <c r="B222" s="108" t="s">
        <v>2202</v>
      </c>
      <c r="C222" s="138" t="s">
        <v>2203</v>
      </c>
      <c r="D222" s="148">
        <v>45111</v>
      </c>
    </row>
    <row r="223" spans="2:4" ht="20.25" customHeight="1" x14ac:dyDescent="0.25">
      <c r="B223" s="108" t="s">
        <v>2204</v>
      </c>
      <c r="C223" s="138" t="s">
        <v>2205</v>
      </c>
      <c r="D223" s="139">
        <v>44961</v>
      </c>
    </row>
    <row r="224" spans="2:4" ht="20.25" customHeight="1" x14ac:dyDescent="0.25">
      <c r="B224" s="108" t="s">
        <v>2206</v>
      </c>
      <c r="C224" s="146" t="s">
        <v>2207</v>
      </c>
      <c r="D224" s="139">
        <v>45097</v>
      </c>
    </row>
    <row r="225" spans="2:4" ht="20.25" customHeight="1" x14ac:dyDescent="0.25">
      <c r="B225" s="108" t="s">
        <v>2208</v>
      </c>
      <c r="C225" s="138" t="s">
        <v>2209</v>
      </c>
      <c r="D225" s="144">
        <v>45148</v>
      </c>
    </row>
    <row r="226" spans="2:4" ht="20.25" customHeight="1" x14ac:dyDescent="0.25">
      <c r="B226" s="108" t="s">
        <v>2210</v>
      </c>
      <c r="C226" s="138" t="s">
        <v>2211</v>
      </c>
      <c r="D226" s="148">
        <v>45111</v>
      </c>
    </row>
    <row r="227" spans="2:4" ht="20.25" customHeight="1" x14ac:dyDescent="0.25">
      <c r="B227" s="108" t="s">
        <v>2212</v>
      </c>
      <c r="C227" s="146" t="s">
        <v>2213</v>
      </c>
      <c r="D227" s="149"/>
    </row>
    <row r="228" spans="2:4" ht="20.25" customHeight="1" x14ac:dyDescent="0.25">
      <c r="B228" s="108" t="s">
        <v>2214</v>
      </c>
      <c r="C228" s="138" t="s">
        <v>2215</v>
      </c>
      <c r="D228" s="149"/>
    </row>
    <row r="229" spans="2:4" ht="20.25" customHeight="1" x14ac:dyDescent="0.25">
      <c r="B229" s="108" t="s">
        <v>2216</v>
      </c>
      <c r="C229" s="146" t="s">
        <v>2217</v>
      </c>
      <c r="D229" s="149"/>
    </row>
    <row r="230" spans="2:4" ht="20.25" customHeight="1" x14ac:dyDescent="0.25">
      <c r="B230" s="108" t="s">
        <v>2218</v>
      </c>
      <c r="C230" s="138" t="s">
        <v>2219</v>
      </c>
      <c r="D230" s="139">
        <v>45097</v>
      </c>
    </row>
    <row r="231" spans="2:4" ht="20.25" customHeight="1" x14ac:dyDescent="0.25">
      <c r="B231" s="108" t="s">
        <v>2220</v>
      </c>
      <c r="C231" s="138" t="s">
        <v>2221</v>
      </c>
      <c r="D231" s="144">
        <v>45148</v>
      </c>
    </row>
    <row r="232" spans="2:4" ht="20.25" customHeight="1" x14ac:dyDescent="0.25">
      <c r="B232" s="108" t="s">
        <v>2222</v>
      </c>
      <c r="C232" s="138" t="s">
        <v>2223</v>
      </c>
      <c r="D232" s="148">
        <v>45111</v>
      </c>
    </row>
    <row r="233" spans="2:4" ht="20.25" customHeight="1" x14ac:dyDescent="0.25">
      <c r="B233" s="108" t="s">
        <v>2224</v>
      </c>
      <c r="C233" s="138" t="s">
        <v>2225</v>
      </c>
      <c r="D233" s="144">
        <v>45148</v>
      </c>
    </row>
    <row r="234" spans="2:4" ht="20.25" customHeight="1" x14ac:dyDescent="0.25">
      <c r="B234" s="108" t="s">
        <v>2226</v>
      </c>
      <c r="C234" s="138" t="s">
        <v>2227</v>
      </c>
      <c r="D234" s="144">
        <v>45148</v>
      </c>
    </row>
    <row r="235" spans="2:4" ht="20.25" customHeight="1" x14ac:dyDescent="0.25">
      <c r="B235" s="108" t="s">
        <v>2228</v>
      </c>
      <c r="C235" s="146" t="s">
        <v>2229</v>
      </c>
      <c r="D235" s="139">
        <v>45097</v>
      </c>
    </row>
    <row r="236" spans="2:4" ht="20.25" customHeight="1" x14ac:dyDescent="0.25">
      <c r="B236" s="108" t="s">
        <v>2230</v>
      </c>
      <c r="C236" s="146" t="s">
        <v>2231</v>
      </c>
      <c r="D236" s="149"/>
    </row>
    <row r="237" spans="2:4" ht="20.25" customHeight="1" x14ac:dyDescent="0.25">
      <c r="B237" s="108" t="s">
        <v>2232</v>
      </c>
      <c r="C237" s="138" t="s">
        <v>2233</v>
      </c>
      <c r="D237" s="148">
        <v>45111</v>
      </c>
    </row>
    <row r="238" spans="2:4" ht="20.25" customHeight="1" x14ac:dyDescent="0.25">
      <c r="B238" s="108" t="s">
        <v>2234</v>
      </c>
      <c r="C238" s="138" t="s">
        <v>2235</v>
      </c>
      <c r="D238" s="148">
        <v>45111</v>
      </c>
    </row>
    <row r="239" spans="2:4" ht="20.25" customHeight="1" x14ac:dyDescent="0.25">
      <c r="B239" s="108" t="s">
        <v>2236</v>
      </c>
      <c r="C239" s="146" t="s">
        <v>2237</v>
      </c>
      <c r="D239" s="139">
        <v>45097</v>
      </c>
    </row>
    <row r="240" spans="2:4" ht="20.25" customHeight="1" x14ac:dyDescent="0.25">
      <c r="B240" s="108" t="s">
        <v>2238</v>
      </c>
      <c r="C240" s="138" t="s">
        <v>2239</v>
      </c>
      <c r="D240" s="148">
        <v>45111</v>
      </c>
    </row>
    <row r="241" spans="2:4" ht="20.25" customHeight="1" x14ac:dyDescent="0.25">
      <c r="B241" s="108" t="s">
        <v>2240</v>
      </c>
      <c r="C241" s="138" t="s">
        <v>2241</v>
      </c>
      <c r="D241" s="148">
        <v>45111</v>
      </c>
    </row>
    <row r="242" spans="2:4" ht="20.25" customHeight="1" x14ac:dyDescent="0.25">
      <c r="B242" s="108" t="s">
        <v>2242</v>
      </c>
      <c r="C242" s="138" t="s">
        <v>2243</v>
      </c>
      <c r="D242" s="139">
        <v>45097</v>
      </c>
    </row>
    <row r="243" spans="2:4" ht="20.25" customHeight="1" x14ac:dyDescent="0.25">
      <c r="B243" s="108" t="s">
        <v>2244</v>
      </c>
      <c r="C243" s="138" t="s">
        <v>2245</v>
      </c>
      <c r="D243" s="139">
        <v>44992</v>
      </c>
    </row>
    <row r="244" spans="2:4" ht="20.25" customHeight="1" x14ac:dyDescent="0.25">
      <c r="B244" s="108" t="s">
        <v>2246</v>
      </c>
      <c r="C244" s="146" t="s">
        <v>2247</v>
      </c>
      <c r="D244" s="169"/>
    </row>
    <row r="245" spans="2:4" ht="20.25" customHeight="1" x14ac:dyDescent="0.25">
      <c r="B245" s="108" t="s">
        <v>2248</v>
      </c>
      <c r="C245" s="138" t="s">
        <v>2249</v>
      </c>
      <c r="D245" s="149"/>
    </row>
    <row r="246" spans="2:4" ht="20.25" customHeight="1" x14ac:dyDescent="0.25">
      <c r="B246" s="108" t="s">
        <v>2250</v>
      </c>
      <c r="C246" s="138" t="s">
        <v>2251</v>
      </c>
      <c r="D246" s="148">
        <v>45111</v>
      </c>
    </row>
    <row r="247" spans="2:4" ht="20.25" customHeight="1" x14ac:dyDescent="0.25">
      <c r="B247" s="108" t="s">
        <v>2252</v>
      </c>
      <c r="C247" s="146" t="s">
        <v>2253</v>
      </c>
      <c r="D247" s="149"/>
    </row>
    <row r="248" spans="2:4" ht="20.25" customHeight="1" x14ac:dyDescent="0.25">
      <c r="B248" s="108" t="s">
        <v>2254</v>
      </c>
      <c r="C248" s="138" t="s">
        <v>2255</v>
      </c>
      <c r="D248" s="145"/>
    </row>
    <row r="249" spans="2:4" ht="20.25" customHeight="1" x14ac:dyDescent="0.25">
      <c r="B249" s="108" t="s">
        <v>2256</v>
      </c>
      <c r="C249" s="138" t="s">
        <v>2257</v>
      </c>
      <c r="D249" s="149"/>
    </row>
    <row r="250" spans="2:4" ht="20.25" customHeight="1" x14ac:dyDescent="0.25">
      <c r="B250" s="108" t="s">
        <v>2258</v>
      </c>
      <c r="C250" s="138" t="s">
        <v>366</v>
      </c>
      <c r="D250" s="149"/>
    </row>
    <row r="251" spans="2:4" ht="20.25" customHeight="1" x14ac:dyDescent="0.25">
      <c r="B251" s="108" t="s">
        <v>2259</v>
      </c>
      <c r="C251" s="138" t="s">
        <v>2260</v>
      </c>
      <c r="D251" s="144">
        <v>45105</v>
      </c>
    </row>
    <row r="252" spans="2:4" ht="20.25" customHeight="1" x14ac:dyDescent="0.25">
      <c r="B252" s="108" t="s">
        <v>2261</v>
      </c>
      <c r="C252" s="138" t="s">
        <v>366</v>
      </c>
      <c r="D252" s="139">
        <v>44992</v>
      </c>
    </row>
    <row r="253" spans="2:4" ht="20.25" customHeight="1" x14ac:dyDescent="0.25">
      <c r="B253" s="108" t="s">
        <v>2262</v>
      </c>
      <c r="C253" s="138" t="s">
        <v>2263</v>
      </c>
      <c r="D253" s="144">
        <v>45148</v>
      </c>
    </row>
    <row r="254" spans="2:4" ht="20.25" customHeight="1" x14ac:dyDescent="0.25">
      <c r="B254" s="108" t="s">
        <v>2264</v>
      </c>
      <c r="C254" s="138" t="s">
        <v>366</v>
      </c>
      <c r="D254" s="134"/>
    </row>
    <row r="255" spans="2:4" ht="20.25" customHeight="1" x14ac:dyDescent="0.25">
      <c r="B255" s="108" t="s">
        <v>2265</v>
      </c>
      <c r="C255" s="138" t="s">
        <v>366</v>
      </c>
      <c r="D255" s="169"/>
    </row>
    <row r="256" spans="2:4" ht="20.25" customHeight="1" x14ac:dyDescent="0.25">
      <c r="B256" s="108" t="s">
        <v>2266</v>
      </c>
      <c r="C256" s="146" t="s">
        <v>2267</v>
      </c>
      <c r="D256" s="169"/>
    </row>
    <row r="257" spans="2:4" ht="20.25" customHeight="1" x14ac:dyDescent="0.25">
      <c r="B257" s="108" t="s">
        <v>2268</v>
      </c>
      <c r="C257" s="138" t="s">
        <v>2269</v>
      </c>
      <c r="D257" s="139">
        <v>45097</v>
      </c>
    </row>
    <row r="258" spans="2:4" ht="20.25" customHeight="1" x14ac:dyDescent="0.25">
      <c r="B258" s="108" t="s">
        <v>2270</v>
      </c>
      <c r="C258" s="138" t="s">
        <v>2271</v>
      </c>
      <c r="D258" s="144">
        <v>45105</v>
      </c>
    </row>
    <row r="259" spans="2:4" ht="20.25" customHeight="1" x14ac:dyDescent="0.25">
      <c r="B259" s="108" t="s">
        <v>2272</v>
      </c>
      <c r="C259" s="138" t="s">
        <v>2273</v>
      </c>
      <c r="D259" s="139">
        <v>45097</v>
      </c>
    </row>
    <row r="260" spans="2:4" ht="20.25" customHeight="1" x14ac:dyDescent="0.25">
      <c r="B260" s="108" t="s">
        <v>2274</v>
      </c>
      <c r="C260" s="138" t="s">
        <v>2275</v>
      </c>
      <c r="D260" s="139">
        <v>44992</v>
      </c>
    </row>
    <row r="261" spans="2:4" ht="20.25" customHeight="1" x14ac:dyDescent="0.25">
      <c r="B261" s="108" t="s">
        <v>2276</v>
      </c>
      <c r="C261" s="138" t="s">
        <v>2277</v>
      </c>
      <c r="D261" s="149"/>
    </row>
    <row r="262" spans="2:4" ht="20.25" customHeight="1" x14ac:dyDescent="0.25">
      <c r="B262" s="108" t="s">
        <v>2278</v>
      </c>
      <c r="C262" s="146" t="s">
        <v>2279</v>
      </c>
      <c r="D262" s="149"/>
    </row>
    <row r="263" spans="2:4" ht="20.25" customHeight="1" x14ac:dyDescent="0.25">
      <c r="B263" s="108" t="s">
        <v>2280</v>
      </c>
      <c r="C263" s="138" t="s">
        <v>2281</v>
      </c>
      <c r="D263" s="149"/>
    </row>
    <row r="264" spans="2:4" ht="20.25" customHeight="1" x14ac:dyDescent="0.25">
      <c r="B264" s="108" t="s">
        <v>2282</v>
      </c>
      <c r="C264" s="138" t="s">
        <v>2283</v>
      </c>
      <c r="D264" s="144">
        <v>45105</v>
      </c>
    </row>
    <row r="265" spans="2:4" ht="20.25" customHeight="1" x14ac:dyDescent="0.25">
      <c r="B265" s="108" t="s">
        <v>2284</v>
      </c>
      <c r="C265" s="138" t="s">
        <v>2285</v>
      </c>
      <c r="D265" s="144">
        <v>45105</v>
      </c>
    </row>
    <row r="266" spans="2:4" ht="20.25" customHeight="1" x14ac:dyDescent="0.25">
      <c r="B266" s="108" t="s">
        <v>2286</v>
      </c>
      <c r="C266" s="138" t="s">
        <v>2287</v>
      </c>
      <c r="D266" s="144">
        <v>45148</v>
      </c>
    </row>
    <row r="267" spans="2:4" ht="20.25" customHeight="1" x14ac:dyDescent="0.25">
      <c r="B267" s="108" t="s">
        <v>2288</v>
      </c>
      <c r="C267" s="138" t="s">
        <v>366</v>
      </c>
      <c r="D267" s="144">
        <v>45148</v>
      </c>
    </row>
    <row r="268" spans="2:4" ht="20.25" customHeight="1" x14ac:dyDescent="0.25">
      <c r="B268" s="108" t="s">
        <v>2289</v>
      </c>
      <c r="C268" s="138" t="s">
        <v>2290</v>
      </c>
      <c r="D268" s="144">
        <v>45148</v>
      </c>
    </row>
    <row r="269" spans="2:4" ht="20.25" customHeight="1" x14ac:dyDescent="0.25">
      <c r="B269" s="108" t="s">
        <v>2291</v>
      </c>
      <c r="C269" s="138" t="s">
        <v>2292</v>
      </c>
      <c r="D269" s="169"/>
    </row>
    <row r="270" spans="2:4" ht="20.25" customHeight="1" x14ac:dyDescent="0.25">
      <c r="B270" s="108" t="s">
        <v>2293</v>
      </c>
      <c r="C270" s="138" t="s">
        <v>2294</v>
      </c>
      <c r="D270" s="149"/>
    </row>
    <row r="271" spans="2:4" ht="20.25" customHeight="1" x14ac:dyDescent="0.25">
      <c r="B271" s="108" t="s">
        <v>1882</v>
      </c>
      <c r="C271" s="138" t="s">
        <v>2295</v>
      </c>
      <c r="D271" s="149"/>
    </row>
    <row r="272" spans="2:4" ht="20.25" customHeight="1" x14ac:dyDescent="0.25">
      <c r="B272" s="108" t="s">
        <v>2296</v>
      </c>
      <c r="C272" s="138" t="s">
        <v>2297</v>
      </c>
      <c r="D272" s="149"/>
    </row>
    <row r="273" spans="2:4" ht="20.25" customHeight="1" x14ac:dyDescent="0.25">
      <c r="B273" s="108" t="s">
        <v>2298</v>
      </c>
      <c r="C273" s="138" t="s">
        <v>2299</v>
      </c>
      <c r="D273" s="149"/>
    </row>
    <row r="274" spans="2:4" ht="20.25" customHeight="1" x14ac:dyDescent="0.25">
      <c r="B274" s="108" t="s">
        <v>1884</v>
      </c>
      <c r="C274" s="138" t="s">
        <v>2300</v>
      </c>
      <c r="D274" s="149"/>
    </row>
    <row r="275" spans="2:4" ht="20.25" customHeight="1" x14ac:dyDescent="0.25">
      <c r="B275" s="108" t="s">
        <v>1886</v>
      </c>
      <c r="C275" s="146" t="s">
        <v>2301</v>
      </c>
      <c r="D275" s="149"/>
    </row>
    <row r="276" spans="2:4" ht="20.25" customHeight="1" x14ac:dyDescent="0.25">
      <c r="B276" s="108" t="s">
        <v>2302</v>
      </c>
      <c r="C276" s="138" t="s">
        <v>2303</v>
      </c>
      <c r="D276" s="149"/>
    </row>
    <row r="277" spans="2:4" ht="20.25" customHeight="1" x14ac:dyDescent="0.25">
      <c r="B277" s="108" t="s">
        <v>2304</v>
      </c>
      <c r="C277" s="138" t="s">
        <v>2305</v>
      </c>
      <c r="D277" s="134" t="s">
        <v>24</v>
      </c>
    </row>
    <row r="278" spans="2:4" ht="20.25" customHeight="1" x14ac:dyDescent="0.25">
      <c r="B278" s="108" t="s">
        <v>2306</v>
      </c>
      <c r="C278" s="138" t="s">
        <v>2307</v>
      </c>
      <c r="D278" s="149"/>
    </row>
    <row r="279" spans="2:4" ht="20.25" customHeight="1" x14ac:dyDescent="0.25">
      <c r="B279" s="107" t="s">
        <v>2308</v>
      </c>
      <c r="C279" s="180" t="s">
        <v>2309</v>
      </c>
      <c r="D279" s="148">
        <v>45111</v>
      </c>
    </row>
    <row r="280" spans="2:4" ht="20.25" customHeight="1" x14ac:dyDescent="0.25">
      <c r="B280" s="108" t="s">
        <v>2310</v>
      </c>
      <c r="C280" s="138" t="s">
        <v>366</v>
      </c>
      <c r="D280" s="148">
        <v>45111</v>
      </c>
    </row>
    <row r="281" spans="2:4" ht="20.25" customHeight="1" x14ac:dyDescent="0.25">
      <c r="B281" s="108" t="s">
        <v>2311</v>
      </c>
      <c r="C281" s="138" t="s">
        <v>2312</v>
      </c>
      <c r="D281" s="148">
        <v>45111</v>
      </c>
    </row>
    <row r="282" spans="2:4" ht="20.25" customHeight="1" x14ac:dyDescent="0.25">
      <c r="B282" s="108" t="s">
        <v>2313</v>
      </c>
      <c r="C282" s="138" t="s">
        <v>2314</v>
      </c>
      <c r="D282" s="149"/>
    </row>
    <row r="283" spans="2:4" ht="20.25" customHeight="1" x14ac:dyDescent="0.25">
      <c r="B283" s="108" t="s">
        <v>2315</v>
      </c>
      <c r="C283" s="138" t="s">
        <v>2316</v>
      </c>
      <c r="D283" s="139">
        <v>45097</v>
      </c>
    </row>
    <row r="284" spans="2:4" ht="20.25" customHeight="1" x14ac:dyDescent="0.25">
      <c r="B284" s="108" t="s">
        <v>2317</v>
      </c>
      <c r="C284" s="138" t="s">
        <v>2318</v>
      </c>
      <c r="D284" s="149"/>
    </row>
    <row r="285" spans="2:4" ht="20.25" customHeight="1" x14ac:dyDescent="0.25">
      <c r="B285" s="108" t="s">
        <v>2319</v>
      </c>
      <c r="C285" s="138" t="s">
        <v>2320</v>
      </c>
      <c r="D285" s="149"/>
    </row>
    <row r="286" spans="2:4" ht="20.25" customHeight="1" x14ac:dyDescent="0.25">
      <c r="B286" s="108" t="s">
        <v>2321</v>
      </c>
      <c r="C286" s="146" t="s">
        <v>2322</v>
      </c>
      <c r="D286" s="149"/>
    </row>
    <row r="287" spans="2:4" ht="20.25" customHeight="1" x14ac:dyDescent="0.25">
      <c r="B287" s="108" t="s">
        <v>2323</v>
      </c>
      <c r="C287" s="138" t="s">
        <v>366</v>
      </c>
      <c r="D287" s="148">
        <v>45111</v>
      </c>
    </row>
    <row r="288" spans="2:4" ht="20.25" customHeight="1" x14ac:dyDescent="0.25">
      <c r="B288" s="108" t="s">
        <v>2324</v>
      </c>
      <c r="C288" s="138" t="s">
        <v>2325</v>
      </c>
      <c r="D288" s="148">
        <v>45111</v>
      </c>
    </row>
    <row r="289" spans="2:4" ht="20.25" customHeight="1" x14ac:dyDescent="0.25">
      <c r="B289" s="108" t="s">
        <v>2326</v>
      </c>
      <c r="C289" s="138" t="s">
        <v>2327</v>
      </c>
      <c r="D289" s="145"/>
    </row>
    <row r="290" spans="2:4" ht="20.25" customHeight="1" x14ac:dyDescent="0.25">
      <c r="B290" s="108" t="s">
        <v>2328</v>
      </c>
      <c r="C290" s="138" t="s">
        <v>2329</v>
      </c>
      <c r="D290" s="144" t="s">
        <v>24</v>
      </c>
    </row>
    <row r="291" spans="2:4" ht="20.25" customHeight="1" x14ac:dyDescent="0.25">
      <c r="B291" s="108" t="s">
        <v>2330</v>
      </c>
      <c r="C291" s="138" t="s">
        <v>2331</v>
      </c>
      <c r="D291" s="149"/>
    </row>
    <row r="292" spans="2:4" ht="20.25" customHeight="1" x14ac:dyDescent="0.25">
      <c r="B292" s="108" t="s">
        <v>2332</v>
      </c>
      <c r="C292" s="138" t="s">
        <v>2333</v>
      </c>
      <c r="D292" s="148">
        <v>45111</v>
      </c>
    </row>
    <row r="293" spans="2:4" ht="20.25" customHeight="1" x14ac:dyDescent="0.25">
      <c r="B293" s="108" t="s">
        <v>2334</v>
      </c>
      <c r="C293" s="138" t="s">
        <v>2335</v>
      </c>
      <c r="D293" s="149"/>
    </row>
    <row r="294" spans="2:4" ht="20.25" customHeight="1" x14ac:dyDescent="0.25">
      <c r="B294" s="108" t="s">
        <v>2336</v>
      </c>
      <c r="C294" s="138" t="s">
        <v>2337</v>
      </c>
      <c r="D294" s="148">
        <v>45111</v>
      </c>
    </row>
    <row r="295" spans="2:4" ht="20.25" customHeight="1" x14ac:dyDescent="0.25">
      <c r="B295" s="108" t="s">
        <v>2338</v>
      </c>
      <c r="C295" s="138" t="s">
        <v>2339</v>
      </c>
      <c r="D295" s="149"/>
    </row>
    <row r="296" spans="2:4" ht="20.25" customHeight="1" x14ac:dyDescent="0.25">
      <c r="B296" s="108" t="s">
        <v>2340</v>
      </c>
      <c r="C296" s="138" t="s">
        <v>366</v>
      </c>
      <c r="D296" s="149"/>
    </row>
    <row r="297" spans="2:4" ht="20.25" customHeight="1" x14ac:dyDescent="0.25">
      <c r="B297" s="108" t="s">
        <v>2341</v>
      </c>
      <c r="C297" s="138" t="s">
        <v>2342</v>
      </c>
      <c r="D297" s="144" t="s">
        <v>24</v>
      </c>
    </row>
    <row r="298" spans="2:4" ht="20.25" customHeight="1" x14ac:dyDescent="0.25">
      <c r="B298" s="108" t="s">
        <v>2343</v>
      </c>
      <c r="C298" s="180" t="s">
        <v>2344</v>
      </c>
      <c r="D298" s="144" t="s">
        <v>24</v>
      </c>
    </row>
    <row r="299" spans="2:4" ht="20.25" customHeight="1" x14ac:dyDescent="0.25">
      <c r="B299" s="108" t="s">
        <v>2345</v>
      </c>
      <c r="C299" s="138" t="s">
        <v>2346</v>
      </c>
      <c r="D299" s="144">
        <v>45105</v>
      </c>
    </row>
    <row r="300" spans="2:4" ht="20.25" customHeight="1" x14ac:dyDescent="0.25">
      <c r="B300" s="108" t="s">
        <v>2347</v>
      </c>
      <c r="C300" s="138" t="s">
        <v>366</v>
      </c>
      <c r="D300" s="149"/>
    </row>
    <row r="301" spans="2:4" ht="20.25" customHeight="1" x14ac:dyDescent="0.25">
      <c r="B301" s="108" t="s">
        <v>2348</v>
      </c>
      <c r="C301" s="138" t="s">
        <v>2349</v>
      </c>
      <c r="D301" s="149"/>
    </row>
    <row r="302" spans="2:4" ht="20.25" customHeight="1" x14ac:dyDescent="0.25">
      <c r="B302" s="108" t="s">
        <v>2350</v>
      </c>
      <c r="C302" s="138" t="s">
        <v>2351</v>
      </c>
      <c r="D302" s="145"/>
    </row>
    <row r="303" spans="2:4" ht="20.25" customHeight="1" x14ac:dyDescent="0.25">
      <c r="B303" s="108" t="s">
        <v>2352</v>
      </c>
      <c r="C303" s="138" t="s">
        <v>2353</v>
      </c>
      <c r="D303" s="149"/>
    </row>
    <row r="304" spans="2:4" ht="20.25" customHeight="1" x14ac:dyDescent="0.25">
      <c r="B304" s="108" t="s">
        <v>2354</v>
      </c>
      <c r="C304" s="138" t="s">
        <v>2355</v>
      </c>
      <c r="D304" s="139">
        <v>44961</v>
      </c>
    </row>
    <row r="305" spans="2:4" ht="20.25" customHeight="1" x14ac:dyDescent="0.25">
      <c r="B305" s="108" t="s">
        <v>2356</v>
      </c>
      <c r="C305" s="138" t="s">
        <v>2357</v>
      </c>
      <c r="D305" s="149"/>
    </row>
    <row r="306" spans="2:4" ht="20.25" customHeight="1" x14ac:dyDescent="0.25">
      <c r="B306" s="108" t="s">
        <v>2358</v>
      </c>
      <c r="C306" s="138" t="s">
        <v>2359</v>
      </c>
      <c r="D306" s="149"/>
    </row>
    <row r="307" spans="2:4" ht="20.25" customHeight="1" x14ac:dyDescent="0.25">
      <c r="B307" s="108" t="s">
        <v>2360</v>
      </c>
      <c r="C307" s="146" t="s">
        <v>2361</v>
      </c>
      <c r="D307" s="149"/>
    </row>
    <row r="308" spans="2:4" ht="20.25" customHeight="1" x14ac:dyDescent="0.25">
      <c r="B308" s="108" t="s">
        <v>2362</v>
      </c>
      <c r="C308" s="138" t="s">
        <v>366</v>
      </c>
      <c r="D308" s="144">
        <v>45148</v>
      </c>
    </row>
    <row r="309" spans="2:4" ht="20.25" customHeight="1" x14ac:dyDescent="0.25">
      <c r="B309" s="119" t="s">
        <v>2363</v>
      </c>
      <c r="C309" s="138" t="s">
        <v>2364</v>
      </c>
      <c r="D309" s="149"/>
    </row>
    <row r="310" spans="2:4" ht="20.25" customHeight="1" x14ac:dyDescent="0.25">
      <c r="B310" s="119" t="s">
        <v>1888</v>
      </c>
      <c r="C310" s="138" t="s">
        <v>2365</v>
      </c>
      <c r="D310" s="139">
        <v>45097</v>
      </c>
    </row>
    <row r="311" spans="2:4" ht="20.25" customHeight="1" x14ac:dyDescent="0.25">
      <c r="B311" s="108" t="s">
        <v>2366</v>
      </c>
      <c r="C311" s="146" t="s">
        <v>2367</v>
      </c>
      <c r="D311" s="144">
        <v>45105</v>
      </c>
    </row>
    <row r="312" spans="2:4" ht="20.25" customHeight="1" x14ac:dyDescent="0.25">
      <c r="B312" s="108" t="s">
        <v>2368</v>
      </c>
      <c r="C312" s="138" t="s">
        <v>366</v>
      </c>
      <c r="D312" s="149"/>
    </row>
    <row r="313" spans="2:4" ht="20.25" customHeight="1" x14ac:dyDescent="0.25">
      <c r="B313" s="108" t="s">
        <v>2369</v>
      </c>
      <c r="C313" s="180" t="s">
        <v>2370</v>
      </c>
      <c r="D313" s="149"/>
    </row>
    <row r="314" spans="2:4" ht="20.25" customHeight="1" x14ac:dyDescent="0.25">
      <c r="B314" s="108" t="s">
        <v>2371</v>
      </c>
      <c r="C314" s="146" t="s">
        <v>2372</v>
      </c>
      <c r="D314" s="149"/>
    </row>
    <row r="315" spans="2:4" ht="20.25" customHeight="1" x14ac:dyDescent="0.25">
      <c r="B315" s="108" t="s">
        <v>2373</v>
      </c>
      <c r="C315" s="138" t="s">
        <v>2374</v>
      </c>
      <c r="D315" s="139">
        <v>45097</v>
      </c>
    </row>
    <row r="316" spans="2:4" ht="20.25" customHeight="1" x14ac:dyDescent="0.25">
      <c r="B316" s="108" t="s">
        <v>2375</v>
      </c>
      <c r="C316" s="138" t="s">
        <v>2376</v>
      </c>
      <c r="D316" s="149"/>
    </row>
    <row r="317" spans="2:4" ht="20.25" customHeight="1" x14ac:dyDescent="0.25">
      <c r="B317" s="108" t="s">
        <v>2377</v>
      </c>
      <c r="C317" s="181" t="s">
        <v>2378</v>
      </c>
      <c r="D317" s="149"/>
    </row>
    <row r="318" spans="2:4" ht="20.25" customHeight="1" x14ac:dyDescent="0.25">
      <c r="B318" s="108" t="s">
        <v>2379</v>
      </c>
      <c r="C318" s="138" t="s">
        <v>2380</v>
      </c>
      <c r="D318" s="149"/>
    </row>
    <row r="319" spans="2:4" ht="20.25" customHeight="1" x14ac:dyDescent="0.25">
      <c r="B319" s="108" t="s">
        <v>2381</v>
      </c>
      <c r="C319" s="138" t="s">
        <v>2382</v>
      </c>
      <c r="D319" s="149"/>
    </row>
    <row r="320" spans="2:4" ht="20.25" customHeight="1" x14ac:dyDescent="0.25">
      <c r="B320" s="119" t="s">
        <v>2383</v>
      </c>
      <c r="C320" s="138" t="s">
        <v>2384</v>
      </c>
      <c r="D320" s="149"/>
    </row>
    <row r="321" spans="2:4" ht="20.25" customHeight="1" x14ac:dyDescent="0.25">
      <c r="B321" s="108" t="s">
        <v>2385</v>
      </c>
      <c r="C321" s="138" t="s">
        <v>2386</v>
      </c>
      <c r="D321" s="149"/>
    </row>
    <row r="322" spans="2:4" ht="20.25" customHeight="1" x14ac:dyDescent="0.25">
      <c r="B322" s="108" t="s">
        <v>2387</v>
      </c>
      <c r="C322" s="138" t="s">
        <v>2388</v>
      </c>
      <c r="D322" s="149"/>
    </row>
    <row r="323" spans="2:4" ht="20.25" customHeight="1" x14ac:dyDescent="0.25">
      <c r="B323" s="119" t="s">
        <v>2389</v>
      </c>
      <c r="C323" s="138" t="s">
        <v>366</v>
      </c>
      <c r="D323" s="149"/>
    </row>
    <row r="324" spans="2:4" ht="20.25" customHeight="1" x14ac:dyDescent="0.25">
      <c r="B324" s="108" t="s">
        <v>2390</v>
      </c>
      <c r="C324" s="138" t="s">
        <v>366</v>
      </c>
      <c r="D324" s="149"/>
    </row>
    <row r="325" spans="2:4" ht="20.25" customHeight="1" x14ac:dyDescent="0.25">
      <c r="B325" s="108" t="s">
        <v>2391</v>
      </c>
      <c r="C325" s="138" t="s">
        <v>366</v>
      </c>
      <c r="D325" s="149"/>
    </row>
    <row r="326" spans="2:4" ht="20.25" customHeight="1" x14ac:dyDescent="0.25">
      <c r="B326" s="108" t="s">
        <v>2392</v>
      </c>
      <c r="C326" s="138" t="s">
        <v>2393</v>
      </c>
      <c r="D326" s="148">
        <v>45111</v>
      </c>
    </row>
    <row r="327" spans="2:4" ht="20.25" customHeight="1" x14ac:dyDescent="0.25">
      <c r="B327" s="108" t="s">
        <v>2394</v>
      </c>
      <c r="C327" s="138" t="s">
        <v>2395</v>
      </c>
      <c r="D327" s="149"/>
    </row>
    <row r="328" spans="2:4" ht="20.25" customHeight="1" x14ac:dyDescent="0.25">
      <c r="B328" s="108" t="s">
        <v>2396</v>
      </c>
      <c r="C328" s="138" t="s">
        <v>366</v>
      </c>
      <c r="D328" s="134" t="s">
        <v>24</v>
      </c>
    </row>
    <row r="329" spans="2:4" ht="20.25" customHeight="1" x14ac:dyDescent="0.25">
      <c r="B329" s="108" t="s">
        <v>2397</v>
      </c>
      <c r="C329" s="138" t="s">
        <v>2398</v>
      </c>
      <c r="D329" s="149"/>
    </row>
    <row r="330" spans="2:4" ht="20.25" customHeight="1" x14ac:dyDescent="0.25">
      <c r="B330" s="108" t="s">
        <v>1818</v>
      </c>
      <c r="C330" s="138" t="s">
        <v>2399</v>
      </c>
      <c r="D330" s="149"/>
    </row>
    <row r="331" spans="2:4" ht="20.25" customHeight="1" x14ac:dyDescent="0.25">
      <c r="B331" s="108" t="s">
        <v>2400</v>
      </c>
      <c r="C331" s="146" t="s">
        <v>2401</v>
      </c>
      <c r="D331" s="149"/>
    </row>
    <row r="332" spans="2:4" ht="20.25" customHeight="1" x14ac:dyDescent="0.25">
      <c r="B332" s="108" t="s">
        <v>2402</v>
      </c>
      <c r="C332" s="138" t="s">
        <v>2403</v>
      </c>
      <c r="D332" s="149"/>
    </row>
    <row r="333" spans="2:4" ht="20.25" customHeight="1" x14ac:dyDescent="0.25">
      <c r="B333" s="108" t="s">
        <v>2404</v>
      </c>
      <c r="C333" s="138" t="s">
        <v>2405</v>
      </c>
      <c r="D333" s="149"/>
    </row>
    <row r="334" spans="2:4" ht="20.25" customHeight="1" x14ac:dyDescent="0.25">
      <c r="B334" s="108" t="s">
        <v>2406</v>
      </c>
      <c r="C334" s="138" t="s">
        <v>2407</v>
      </c>
      <c r="D334" s="149"/>
    </row>
    <row r="335" spans="2:4" ht="20.25" customHeight="1" x14ac:dyDescent="0.25">
      <c r="B335" s="108" t="s">
        <v>1815</v>
      </c>
      <c r="C335" s="138" t="s">
        <v>2408</v>
      </c>
      <c r="D335" s="149"/>
    </row>
    <row r="336" spans="2:4" ht="20.25" customHeight="1" x14ac:dyDescent="0.25">
      <c r="B336" s="119" t="s">
        <v>1890</v>
      </c>
      <c r="C336" s="138" t="s">
        <v>2409</v>
      </c>
      <c r="D336" s="149"/>
    </row>
    <row r="337" spans="2:4" ht="20.25" customHeight="1" x14ac:dyDescent="0.25">
      <c r="B337" s="108" t="s">
        <v>2410</v>
      </c>
      <c r="C337" s="138" t="s">
        <v>2411</v>
      </c>
      <c r="D337" s="149"/>
    </row>
    <row r="338" spans="2:4" ht="20.25" customHeight="1" x14ac:dyDescent="0.25">
      <c r="B338" s="108" t="s">
        <v>2412</v>
      </c>
      <c r="C338" s="138" t="s">
        <v>366</v>
      </c>
      <c r="D338" s="149"/>
    </row>
    <row r="339" spans="2:4" ht="20.25" customHeight="1" x14ac:dyDescent="0.25">
      <c r="B339" s="108" t="s">
        <v>2413</v>
      </c>
      <c r="C339" s="138" t="s">
        <v>366</v>
      </c>
      <c r="D339" s="149"/>
    </row>
    <row r="340" spans="2:4" ht="20.25" customHeight="1" x14ac:dyDescent="0.25">
      <c r="B340" s="108" t="s">
        <v>2414</v>
      </c>
      <c r="C340" s="138" t="s">
        <v>2415</v>
      </c>
      <c r="D340" s="149"/>
    </row>
    <row r="341" spans="2:4" ht="20.25" customHeight="1" x14ac:dyDescent="0.25">
      <c r="B341" s="108" t="s">
        <v>2416</v>
      </c>
      <c r="C341" s="138" t="s">
        <v>366</v>
      </c>
      <c r="D341" s="149"/>
    </row>
    <row r="342" spans="2:4" ht="20.25" customHeight="1" x14ac:dyDescent="0.25">
      <c r="B342" s="108" t="s">
        <v>2417</v>
      </c>
      <c r="C342" s="138" t="s">
        <v>2418</v>
      </c>
      <c r="D342" s="149"/>
    </row>
    <row r="343" spans="2:4" ht="20.25" customHeight="1" x14ac:dyDescent="0.25">
      <c r="B343" s="119" t="s">
        <v>1892</v>
      </c>
      <c r="C343" s="138" t="s">
        <v>366</v>
      </c>
      <c r="D343" s="149"/>
    </row>
    <row r="344" spans="2:4" ht="20.25" customHeight="1" x14ac:dyDescent="0.25">
      <c r="B344" s="119" t="s">
        <v>2419</v>
      </c>
      <c r="C344" s="138" t="s">
        <v>2420</v>
      </c>
      <c r="D344" s="149"/>
    </row>
    <row r="345" spans="2:4" ht="20.25" customHeight="1" x14ac:dyDescent="0.25">
      <c r="B345" s="108" t="s">
        <v>2421</v>
      </c>
      <c r="C345" s="138" t="s">
        <v>366</v>
      </c>
      <c r="D345" s="149"/>
    </row>
    <row r="346" spans="2:4" ht="20.25" customHeight="1" x14ac:dyDescent="0.25">
      <c r="B346" s="108" t="s">
        <v>2422</v>
      </c>
      <c r="C346" s="138" t="s">
        <v>366</v>
      </c>
      <c r="D346" s="149"/>
    </row>
    <row r="347" spans="2:4" ht="20.25" customHeight="1" x14ac:dyDescent="0.25">
      <c r="B347" s="108" t="s">
        <v>2423</v>
      </c>
      <c r="C347" s="138" t="s">
        <v>366</v>
      </c>
      <c r="D347" s="149"/>
    </row>
    <row r="348" spans="2:4" ht="20.25" customHeight="1" x14ac:dyDescent="0.25">
      <c r="B348" s="108" t="s">
        <v>2424</v>
      </c>
      <c r="C348" s="138" t="s">
        <v>2425</v>
      </c>
      <c r="D348" s="149"/>
    </row>
    <row r="349" spans="2:4" ht="20.25" customHeight="1" x14ac:dyDescent="0.25">
      <c r="B349" s="108" t="s">
        <v>2426</v>
      </c>
      <c r="C349" s="146" t="s">
        <v>2427</v>
      </c>
      <c r="D349" s="149"/>
    </row>
    <row r="350" spans="2:4" ht="20.25" customHeight="1" x14ac:dyDescent="0.25">
      <c r="B350" s="108" t="s">
        <v>2428</v>
      </c>
      <c r="C350" s="138" t="s">
        <v>2429</v>
      </c>
      <c r="D350" s="149"/>
    </row>
    <row r="351" spans="2:4" ht="20.25" customHeight="1" x14ac:dyDescent="0.25">
      <c r="B351" s="108" t="s">
        <v>2430</v>
      </c>
      <c r="C351" s="138" t="s">
        <v>366</v>
      </c>
      <c r="D351" s="149"/>
    </row>
    <row r="352" spans="2:4" ht="20.25" customHeight="1" x14ac:dyDescent="0.25">
      <c r="B352" s="108" t="s">
        <v>2431</v>
      </c>
      <c r="C352" s="182" t="s">
        <v>366</v>
      </c>
      <c r="D352" s="149"/>
    </row>
    <row r="353" spans="2:4" ht="20.25" customHeight="1" x14ac:dyDescent="0.25">
      <c r="B353" s="119" t="s">
        <v>2432</v>
      </c>
      <c r="C353" s="146" t="s">
        <v>2433</v>
      </c>
      <c r="D353" s="149"/>
    </row>
    <row r="354" spans="2:4" ht="20.25" customHeight="1" x14ac:dyDescent="0.25">
      <c r="B354" s="119" t="s">
        <v>2434</v>
      </c>
      <c r="C354" s="138" t="s">
        <v>2435</v>
      </c>
      <c r="D354" s="149"/>
    </row>
    <row r="355" spans="2:4" ht="20.25" customHeight="1" x14ac:dyDescent="0.25">
      <c r="B355" s="108" t="s">
        <v>2436</v>
      </c>
      <c r="C355" s="138" t="s">
        <v>366</v>
      </c>
      <c r="D355" s="149"/>
    </row>
    <row r="356" spans="2:4" ht="20.25" customHeight="1" x14ac:dyDescent="0.25">
      <c r="B356" s="108" t="s">
        <v>1819</v>
      </c>
      <c r="C356" s="138" t="s">
        <v>2437</v>
      </c>
      <c r="D356" s="144">
        <v>45148</v>
      </c>
    </row>
    <row r="357" spans="2:4" ht="20.25" customHeight="1" x14ac:dyDescent="0.25">
      <c r="B357" s="119" t="s">
        <v>2438</v>
      </c>
      <c r="C357" s="138" t="s">
        <v>2439</v>
      </c>
      <c r="D357" s="150"/>
    </row>
    <row r="358" spans="2:4" ht="20.25" customHeight="1" x14ac:dyDescent="0.25">
      <c r="B358" s="108" t="s">
        <v>2440</v>
      </c>
      <c r="C358" s="138" t="s">
        <v>2441</v>
      </c>
      <c r="D358" s="141"/>
    </row>
    <row r="359" spans="2:4" ht="20.25" customHeight="1" x14ac:dyDescent="0.25">
      <c r="B359" s="108" t="s">
        <v>2442</v>
      </c>
      <c r="C359" s="138" t="s">
        <v>2441</v>
      </c>
      <c r="D359" s="169"/>
    </row>
    <row r="360" spans="2:4" ht="20.25" customHeight="1" x14ac:dyDescent="0.25">
      <c r="B360" s="108" t="s">
        <v>2443</v>
      </c>
      <c r="C360" s="138" t="s">
        <v>2444</v>
      </c>
      <c r="D360" s="139">
        <v>44961</v>
      </c>
    </row>
    <row r="361" spans="2:4" ht="20.25" customHeight="1" x14ac:dyDescent="0.25">
      <c r="B361" s="108" t="s">
        <v>2445</v>
      </c>
      <c r="C361" s="138" t="s">
        <v>2446</v>
      </c>
      <c r="D361" s="139">
        <v>44992</v>
      </c>
    </row>
    <row r="362" spans="2:4" ht="20.25" customHeight="1" x14ac:dyDescent="0.25">
      <c r="B362" s="108" t="s">
        <v>2447</v>
      </c>
      <c r="C362" s="138" t="s">
        <v>2448</v>
      </c>
      <c r="D362" s="144">
        <v>45105</v>
      </c>
    </row>
    <row r="363" spans="2:4" ht="20.25" customHeight="1" x14ac:dyDescent="0.25">
      <c r="B363" s="108" t="s">
        <v>1838</v>
      </c>
      <c r="C363" s="138" t="s">
        <v>2449</v>
      </c>
      <c r="D363" s="139">
        <v>44961</v>
      </c>
    </row>
    <row r="364" spans="2:4" ht="20.25" customHeight="1" x14ac:dyDescent="0.25">
      <c r="B364" s="108" t="s">
        <v>2450</v>
      </c>
      <c r="C364" s="138" t="s">
        <v>2451</v>
      </c>
      <c r="D364" s="139">
        <v>44961</v>
      </c>
    </row>
    <row r="365" spans="2:4" ht="20.25" customHeight="1" x14ac:dyDescent="0.25">
      <c r="B365" s="108" t="s">
        <v>2452</v>
      </c>
      <c r="C365" s="138" t="s">
        <v>2453</v>
      </c>
      <c r="D365" s="149"/>
    </row>
    <row r="366" spans="2:4" ht="20.25" customHeight="1" x14ac:dyDescent="0.25">
      <c r="B366" s="108" t="s">
        <v>2454</v>
      </c>
      <c r="C366" s="146" t="s">
        <v>2455</v>
      </c>
      <c r="D366" s="139">
        <v>44992</v>
      </c>
    </row>
    <row r="367" spans="2:4" ht="20.25" customHeight="1" x14ac:dyDescent="0.25">
      <c r="B367" s="108" t="s">
        <v>2456</v>
      </c>
      <c r="C367" s="138" t="s">
        <v>2457</v>
      </c>
      <c r="D367" s="139">
        <v>44961</v>
      </c>
    </row>
    <row r="368" spans="2:4" ht="20.25" customHeight="1" x14ac:dyDescent="0.25">
      <c r="B368" s="108" t="s">
        <v>2458</v>
      </c>
      <c r="C368" s="138" t="s">
        <v>2459</v>
      </c>
      <c r="D368" s="139">
        <v>44961</v>
      </c>
    </row>
    <row r="369" spans="2:4" ht="20.25" customHeight="1" x14ac:dyDescent="0.25">
      <c r="B369" s="108" t="s">
        <v>1894</v>
      </c>
      <c r="C369" s="138" t="s">
        <v>2460</v>
      </c>
      <c r="D369" s="139">
        <v>44961</v>
      </c>
    </row>
    <row r="370" spans="2:4" ht="20.25" customHeight="1" x14ac:dyDescent="0.25">
      <c r="B370" s="108" t="s">
        <v>1896</v>
      </c>
      <c r="C370" s="138" t="s">
        <v>2461</v>
      </c>
      <c r="D370" s="139">
        <v>44961</v>
      </c>
    </row>
    <row r="371" spans="2:4" ht="20.25" customHeight="1" x14ac:dyDescent="0.25">
      <c r="B371" s="108" t="s">
        <v>1898</v>
      </c>
      <c r="C371" s="138" t="s">
        <v>2462</v>
      </c>
      <c r="D371" s="149"/>
    </row>
    <row r="372" spans="2:4" ht="20.25" customHeight="1" x14ac:dyDescent="0.25">
      <c r="B372" s="108" t="s">
        <v>1900</v>
      </c>
      <c r="C372" s="138" t="s">
        <v>2463</v>
      </c>
      <c r="D372" s="139">
        <v>44961</v>
      </c>
    </row>
    <row r="373" spans="2:4" ht="20.25" customHeight="1" x14ac:dyDescent="0.25">
      <c r="B373" s="108" t="s">
        <v>2464</v>
      </c>
      <c r="C373" s="138" t="s">
        <v>2465</v>
      </c>
      <c r="D373" s="149"/>
    </row>
    <row r="374" spans="2:4" ht="20.25" customHeight="1" x14ac:dyDescent="0.25">
      <c r="B374" s="108" t="s">
        <v>2466</v>
      </c>
      <c r="C374" s="138" t="s">
        <v>2467</v>
      </c>
      <c r="D374" s="149"/>
    </row>
    <row r="375" spans="2:4" ht="20.25" customHeight="1" x14ac:dyDescent="0.25">
      <c r="B375" s="108" t="s">
        <v>2468</v>
      </c>
      <c r="C375" s="138" t="s">
        <v>2469</v>
      </c>
      <c r="D375" s="144">
        <v>45106</v>
      </c>
    </row>
    <row r="376" spans="2:4" ht="20.25" customHeight="1" x14ac:dyDescent="0.25">
      <c r="B376" s="108" t="s">
        <v>2470</v>
      </c>
      <c r="C376" s="138" t="s">
        <v>2471</v>
      </c>
      <c r="D376" s="149"/>
    </row>
    <row r="377" spans="2:4" ht="20.25" customHeight="1" x14ac:dyDescent="0.25">
      <c r="B377" s="108" t="s">
        <v>2472</v>
      </c>
      <c r="C377" s="138" t="s">
        <v>366</v>
      </c>
      <c r="D377" s="144">
        <v>45105</v>
      </c>
    </row>
    <row r="378" spans="2:4" ht="20.25" customHeight="1" x14ac:dyDescent="0.25">
      <c r="B378" s="108" t="s">
        <v>2473</v>
      </c>
      <c r="C378" s="138" t="s">
        <v>366</v>
      </c>
      <c r="D378" s="144">
        <v>45148</v>
      </c>
    </row>
    <row r="379" spans="2:4" ht="20.25" customHeight="1" x14ac:dyDescent="0.25">
      <c r="B379" s="108" t="s">
        <v>1880</v>
      </c>
      <c r="C379" s="138" t="s">
        <v>2474</v>
      </c>
      <c r="D379" s="149"/>
    </row>
    <row r="380" spans="2:4" ht="20.25" customHeight="1" x14ac:dyDescent="0.25">
      <c r="B380" s="108" t="s">
        <v>2475</v>
      </c>
      <c r="C380" s="138" t="s">
        <v>2476</v>
      </c>
      <c r="D380" s="149"/>
    </row>
    <row r="381" spans="2:4" ht="20.25" customHeight="1" x14ac:dyDescent="0.25">
      <c r="B381" s="108" t="s">
        <v>2477</v>
      </c>
      <c r="C381" s="138" t="s">
        <v>2478</v>
      </c>
      <c r="D381" s="144">
        <v>45105</v>
      </c>
    </row>
    <row r="382" spans="2:4" ht="20.25" customHeight="1" x14ac:dyDescent="0.25">
      <c r="B382" s="108" t="s">
        <v>2479</v>
      </c>
      <c r="C382" s="138" t="s">
        <v>2480</v>
      </c>
      <c r="D382" s="134" t="s">
        <v>24</v>
      </c>
    </row>
    <row r="383" spans="2:4" ht="20.25" customHeight="1" x14ac:dyDescent="0.25">
      <c r="B383" s="108" t="s">
        <v>2481</v>
      </c>
      <c r="C383" s="138" t="s">
        <v>366</v>
      </c>
      <c r="D383" s="144">
        <v>45148</v>
      </c>
    </row>
    <row r="384" spans="2:4" ht="20.25" customHeight="1" x14ac:dyDescent="0.25">
      <c r="B384" s="108" t="s">
        <v>2482</v>
      </c>
      <c r="C384" s="138" t="s">
        <v>366</v>
      </c>
      <c r="D384" s="149"/>
    </row>
    <row r="385" spans="2:4" ht="20.25" customHeight="1" x14ac:dyDescent="0.25">
      <c r="B385" s="119" t="s">
        <v>1902</v>
      </c>
      <c r="C385" s="138" t="s">
        <v>2483</v>
      </c>
      <c r="D385" s="169"/>
    </row>
    <row r="386" spans="2:4" ht="20.25" customHeight="1" x14ac:dyDescent="0.25">
      <c r="B386" s="108" t="s">
        <v>1904</v>
      </c>
      <c r="C386" s="138" t="s">
        <v>2484</v>
      </c>
      <c r="D386" s="144">
        <v>45148</v>
      </c>
    </row>
    <row r="387" spans="2:4" ht="20.25" customHeight="1" x14ac:dyDescent="0.25">
      <c r="B387" s="108" t="s">
        <v>2485</v>
      </c>
      <c r="C387" s="138" t="s">
        <v>2486</v>
      </c>
      <c r="D387" s="144">
        <v>45148</v>
      </c>
    </row>
    <row r="388" spans="2:4" ht="20.25" customHeight="1" x14ac:dyDescent="0.25">
      <c r="B388" s="108" t="s">
        <v>2487</v>
      </c>
      <c r="C388" s="138" t="s">
        <v>366</v>
      </c>
      <c r="D388" s="144">
        <v>45148</v>
      </c>
    </row>
    <row r="389" spans="2:4" ht="20.25" customHeight="1" x14ac:dyDescent="0.25">
      <c r="B389" s="108" t="s">
        <v>2488</v>
      </c>
      <c r="C389" s="146" t="s">
        <v>2489</v>
      </c>
      <c r="D389" s="145"/>
    </row>
    <row r="390" spans="2:4" ht="20.25" customHeight="1" x14ac:dyDescent="0.25">
      <c r="B390" s="108" t="s">
        <v>2490</v>
      </c>
      <c r="C390" s="138" t="s">
        <v>2491</v>
      </c>
      <c r="D390" s="144">
        <v>45148</v>
      </c>
    </row>
    <row r="391" spans="2:4" ht="20.25" customHeight="1" x14ac:dyDescent="0.25">
      <c r="B391" s="108" t="s">
        <v>2492</v>
      </c>
      <c r="C391" s="138" t="s">
        <v>2493</v>
      </c>
      <c r="D391" s="144">
        <v>45148</v>
      </c>
    </row>
    <row r="392" spans="2:4" ht="20.25" customHeight="1" x14ac:dyDescent="0.25">
      <c r="B392" s="108" t="s">
        <v>2494</v>
      </c>
      <c r="C392" s="138" t="s">
        <v>2495</v>
      </c>
      <c r="D392" s="144">
        <v>45148</v>
      </c>
    </row>
    <row r="393" spans="2:4" ht="20.25" customHeight="1" x14ac:dyDescent="0.25">
      <c r="B393" s="108" t="s">
        <v>2496</v>
      </c>
      <c r="C393" s="138" t="s">
        <v>2497</v>
      </c>
      <c r="D393" s="144">
        <v>45105</v>
      </c>
    </row>
    <row r="394" spans="2:4" ht="20.25" customHeight="1" x14ac:dyDescent="0.25">
      <c r="B394" s="108" t="s">
        <v>2498</v>
      </c>
      <c r="C394" s="138" t="s">
        <v>2499</v>
      </c>
      <c r="D394" s="139">
        <v>44961</v>
      </c>
    </row>
    <row r="395" spans="2:4" ht="20.25" customHeight="1" x14ac:dyDescent="0.25">
      <c r="B395" s="108" t="s">
        <v>2500</v>
      </c>
      <c r="C395" s="138" t="s">
        <v>2501</v>
      </c>
      <c r="D395" s="139">
        <v>44961</v>
      </c>
    </row>
    <row r="396" spans="2:4" ht="20.25" customHeight="1" x14ac:dyDescent="0.25">
      <c r="B396" s="108" t="s">
        <v>2502</v>
      </c>
      <c r="C396" s="138" t="s">
        <v>2503</v>
      </c>
      <c r="D396" s="139">
        <v>44992</v>
      </c>
    </row>
    <row r="397" spans="2:4" ht="20.25" customHeight="1" x14ac:dyDescent="0.25">
      <c r="B397" s="108" t="s">
        <v>2504</v>
      </c>
      <c r="C397" s="146" t="s">
        <v>2505</v>
      </c>
      <c r="D397" s="139">
        <v>44992</v>
      </c>
    </row>
    <row r="398" spans="2:4" ht="20.25" customHeight="1" x14ac:dyDescent="0.25">
      <c r="B398" s="108" t="s">
        <v>2506</v>
      </c>
      <c r="C398" s="138" t="s">
        <v>2507</v>
      </c>
      <c r="D398" s="149"/>
    </row>
    <row r="399" spans="2:4" ht="20.25" customHeight="1" x14ac:dyDescent="0.25">
      <c r="B399" s="108" t="s">
        <v>2508</v>
      </c>
      <c r="C399" s="138" t="s">
        <v>2509</v>
      </c>
      <c r="D399" s="149"/>
    </row>
    <row r="400" spans="2:4" ht="20.25" customHeight="1" x14ac:dyDescent="0.25">
      <c r="B400" s="119" t="s">
        <v>2510</v>
      </c>
      <c r="C400" s="138" t="s">
        <v>2511</v>
      </c>
      <c r="D400" s="149"/>
    </row>
    <row r="401" spans="2:4" ht="20.25" customHeight="1" x14ac:dyDescent="0.25">
      <c r="B401" s="119" t="s">
        <v>2512</v>
      </c>
      <c r="C401" s="138" t="s">
        <v>2513</v>
      </c>
      <c r="D401" s="144">
        <v>45105</v>
      </c>
    </row>
    <row r="402" spans="2:4" ht="20.25" customHeight="1" x14ac:dyDescent="0.25">
      <c r="B402" s="108" t="s">
        <v>2514</v>
      </c>
      <c r="C402" s="138" t="s">
        <v>2515</v>
      </c>
      <c r="D402" s="139">
        <v>44961</v>
      </c>
    </row>
    <row r="403" spans="2:4" ht="20.25" customHeight="1" x14ac:dyDescent="0.25">
      <c r="B403" s="108" t="s">
        <v>2516</v>
      </c>
      <c r="C403" s="138" t="s">
        <v>366</v>
      </c>
      <c r="D403" s="139">
        <v>44961</v>
      </c>
    </row>
    <row r="404" spans="2:4" ht="20.25" customHeight="1" x14ac:dyDescent="0.25">
      <c r="B404" s="108" t="s">
        <v>2517</v>
      </c>
      <c r="C404" s="138" t="s">
        <v>2518</v>
      </c>
      <c r="D404" s="144">
        <v>45105</v>
      </c>
    </row>
    <row r="405" spans="2:4" ht="20.25" customHeight="1" x14ac:dyDescent="0.25">
      <c r="B405" s="108" t="s">
        <v>2519</v>
      </c>
      <c r="C405" s="138" t="s">
        <v>2520</v>
      </c>
      <c r="D405" s="139">
        <v>44961</v>
      </c>
    </row>
    <row r="406" spans="2:4" ht="20.25" customHeight="1" x14ac:dyDescent="0.25">
      <c r="B406" s="108" t="s">
        <v>2521</v>
      </c>
      <c r="C406" s="138" t="s">
        <v>2522</v>
      </c>
      <c r="D406" s="144">
        <v>45105</v>
      </c>
    </row>
    <row r="407" spans="2:4" ht="20.25" customHeight="1" x14ac:dyDescent="0.25">
      <c r="B407" s="108" t="s">
        <v>2523</v>
      </c>
      <c r="C407" s="138" t="s">
        <v>2524</v>
      </c>
      <c r="D407" s="139">
        <v>44961</v>
      </c>
    </row>
    <row r="408" spans="2:4" ht="20.25" customHeight="1" x14ac:dyDescent="0.25">
      <c r="B408" s="108" t="s">
        <v>2525</v>
      </c>
      <c r="C408" s="138" t="s">
        <v>2526</v>
      </c>
      <c r="D408" s="149"/>
    </row>
    <row r="409" spans="2:4" ht="20.25" customHeight="1" x14ac:dyDescent="0.25">
      <c r="B409" s="108" t="s">
        <v>2527</v>
      </c>
      <c r="C409" s="138" t="s">
        <v>2528</v>
      </c>
      <c r="D409" s="149"/>
    </row>
    <row r="410" spans="2:4" ht="20.25" customHeight="1" x14ac:dyDescent="0.25">
      <c r="B410" s="108" t="s">
        <v>1906</v>
      </c>
      <c r="C410" s="138" t="s">
        <v>2529</v>
      </c>
      <c r="D410" s="139">
        <v>44992</v>
      </c>
    </row>
    <row r="411" spans="2:4" ht="20.25" customHeight="1" x14ac:dyDescent="0.25">
      <c r="B411" s="108" t="s">
        <v>2530</v>
      </c>
      <c r="C411" s="138" t="s">
        <v>2531</v>
      </c>
      <c r="D411" s="149"/>
    </row>
    <row r="412" spans="2:4" ht="20.25" customHeight="1" x14ac:dyDescent="0.25">
      <c r="B412" s="108" t="s">
        <v>2532</v>
      </c>
      <c r="C412" s="138" t="s">
        <v>2533</v>
      </c>
      <c r="D412" s="149"/>
    </row>
    <row r="413" spans="2:4" ht="20.25" customHeight="1" x14ac:dyDescent="0.25">
      <c r="B413" s="108" t="s">
        <v>2534</v>
      </c>
      <c r="C413" s="138" t="s">
        <v>366</v>
      </c>
      <c r="D413" s="144">
        <v>45148</v>
      </c>
    </row>
    <row r="414" spans="2:4" ht="20.25" customHeight="1" x14ac:dyDescent="0.25">
      <c r="B414" s="108" t="s">
        <v>2535</v>
      </c>
      <c r="C414" s="138" t="s">
        <v>2536</v>
      </c>
      <c r="D414" s="139">
        <v>44889</v>
      </c>
    </row>
    <row r="415" spans="2:4" ht="20.25" customHeight="1" x14ac:dyDescent="0.25">
      <c r="B415" s="108" t="s">
        <v>2537</v>
      </c>
      <c r="C415" s="146" t="s">
        <v>2538</v>
      </c>
      <c r="D415" s="139">
        <v>44889</v>
      </c>
    </row>
    <row r="416" spans="2:4" ht="20.25" customHeight="1" x14ac:dyDescent="0.25">
      <c r="B416" s="108" t="s">
        <v>2539</v>
      </c>
      <c r="C416" s="138" t="s">
        <v>2540</v>
      </c>
      <c r="D416" s="139">
        <v>44992</v>
      </c>
    </row>
    <row r="417" spans="2:4" ht="20.25" customHeight="1" x14ac:dyDescent="0.25">
      <c r="B417" s="108" t="s">
        <v>2541</v>
      </c>
      <c r="C417" s="138" t="s">
        <v>2542</v>
      </c>
      <c r="D417" s="148">
        <v>45111</v>
      </c>
    </row>
    <row r="418" spans="2:4" ht="20.25" customHeight="1" x14ac:dyDescent="0.25">
      <c r="B418" s="108" t="s">
        <v>2543</v>
      </c>
      <c r="C418" s="146" t="s">
        <v>2544</v>
      </c>
      <c r="D418" s="134" t="s">
        <v>24</v>
      </c>
    </row>
    <row r="419" spans="2:4" ht="20.25" customHeight="1" x14ac:dyDescent="0.25">
      <c r="B419" s="108" t="s">
        <v>1833</v>
      </c>
      <c r="C419" s="138" t="s">
        <v>2545</v>
      </c>
      <c r="D419" s="134" t="s">
        <v>24</v>
      </c>
    </row>
    <row r="420" spans="2:4" ht="20.25" customHeight="1" x14ac:dyDescent="0.25">
      <c r="B420" s="108" t="s">
        <v>2546</v>
      </c>
      <c r="C420" s="146" t="s">
        <v>2547</v>
      </c>
      <c r="D420" s="134" t="s">
        <v>24</v>
      </c>
    </row>
    <row r="421" spans="2:4" ht="20.25" customHeight="1" x14ac:dyDescent="0.25">
      <c r="B421" s="108" t="s">
        <v>2548</v>
      </c>
      <c r="C421" s="138" t="s">
        <v>2549</v>
      </c>
      <c r="D421" s="149"/>
    </row>
    <row r="422" spans="2:4" ht="20.25" customHeight="1" x14ac:dyDescent="0.25">
      <c r="B422" s="108" t="s">
        <v>2550</v>
      </c>
      <c r="C422" s="146" t="s">
        <v>2551</v>
      </c>
      <c r="D422" s="149"/>
    </row>
    <row r="423" spans="2:4" ht="20.25" customHeight="1" x14ac:dyDescent="0.25">
      <c r="B423" s="108" t="s">
        <v>2552</v>
      </c>
      <c r="C423" s="146" t="s">
        <v>2553</v>
      </c>
      <c r="D423" s="149"/>
    </row>
    <row r="424" spans="2:4" ht="20.25" customHeight="1" x14ac:dyDescent="0.25">
      <c r="B424" s="108" t="s">
        <v>2554</v>
      </c>
      <c r="C424" s="138" t="s">
        <v>2555</v>
      </c>
      <c r="D424" s="149"/>
    </row>
    <row r="425" spans="2:4" ht="20.25" customHeight="1" x14ac:dyDescent="0.25">
      <c r="B425" s="108" t="s">
        <v>2556</v>
      </c>
      <c r="C425" s="138" t="s">
        <v>2557</v>
      </c>
      <c r="D425" s="139">
        <v>44816</v>
      </c>
    </row>
    <row r="426" spans="2:4" ht="20.25" customHeight="1" x14ac:dyDescent="0.25">
      <c r="B426" s="108" t="s">
        <v>2558</v>
      </c>
      <c r="C426" s="146" t="s">
        <v>2559</v>
      </c>
      <c r="D426" s="139">
        <v>44910</v>
      </c>
    </row>
    <row r="427" spans="2:4" ht="20.25" customHeight="1" x14ac:dyDescent="0.25">
      <c r="B427" s="108" t="s">
        <v>2560</v>
      </c>
      <c r="C427" s="146" t="s">
        <v>2559</v>
      </c>
      <c r="D427" s="139">
        <v>44816</v>
      </c>
    </row>
    <row r="428" spans="2:4" ht="20.25" customHeight="1" x14ac:dyDescent="0.25">
      <c r="B428" s="108" t="s">
        <v>2561</v>
      </c>
      <c r="C428" s="138" t="s">
        <v>2562</v>
      </c>
      <c r="D428" s="134" t="s">
        <v>24</v>
      </c>
    </row>
    <row r="429" spans="2:4" ht="20.25" customHeight="1" x14ac:dyDescent="0.25">
      <c r="B429" s="108" t="s">
        <v>2563</v>
      </c>
      <c r="C429" s="138" t="s">
        <v>2564</v>
      </c>
      <c r="D429" s="139">
        <v>44923</v>
      </c>
    </row>
    <row r="430" spans="2:4" ht="20.25" customHeight="1" x14ac:dyDescent="0.25">
      <c r="B430" s="108" t="s">
        <v>1821</v>
      </c>
      <c r="C430" s="146" t="s">
        <v>2565</v>
      </c>
      <c r="D430" s="134"/>
    </row>
    <row r="431" spans="2:4" ht="20.25" customHeight="1" x14ac:dyDescent="0.25">
      <c r="B431" s="108" t="s">
        <v>2566</v>
      </c>
      <c r="C431" s="146" t="s">
        <v>2567</v>
      </c>
      <c r="D431" s="139">
        <v>45013</v>
      </c>
    </row>
    <row r="432" spans="2:4" ht="20.25" customHeight="1" x14ac:dyDescent="0.25">
      <c r="B432" s="108" t="s">
        <v>2568</v>
      </c>
      <c r="C432" s="146" t="s">
        <v>2569</v>
      </c>
      <c r="D432" s="139">
        <v>44923</v>
      </c>
    </row>
    <row r="433" spans="2:4" ht="20.25" customHeight="1" x14ac:dyDescent="0.25">
      <c r="B433" s="108" t="s">
        <v>2570</v>
      </c>
      <c r="C433" s="146" t="s">
        <v>2571</v>
      </c>
      <c r="D433" s="139">
        <v>44923</v>
      </c>
    </row>
    <row r="434" spans="2:4" ht="20.25" customHeight="1" x14ac:dyDescent="0.25">
      <c r="B434" s="108" t="s">
        <v>1823</v>
      </c>
      <c r="C434" s="146" t="s">
        <v>2572</v>
      </c>
      <c r="D434" s="139">
        <v>44816</v>
      </c>
    </row>
    <row r="435" spans="2:4" ht="20.25" customHeight="1" x14ac:dyDescent="0.25">
      <c r="B435" s="108" t="s">
        <v>1908</v>
      </c>
      <c r="C435" s="146" t="s">
        <v>2573</v>
      </c>
      <c r="D435" s="134" t="s">
        <v>24</v>
      </c>
    </row>
    <row r="436" spans="2:4" ht="20.25" customHeight="1" x14ac:dyDescent="0.25">
      <c r="B436" s="108" t="s">
        <v>2574</v>
      </c>
      <c r="C436" s="138" t="s">
        <v>2575</v>
      </c>
      <c r="D436" s="134" t="s">
        <v>24</v>
      </c>
    </row>
    <row r="437" spans="2:4" ht="20.25" customHeight="1" x14ac:dyDescent="0.25">
      <c r="B437" s="108" t="s">
        <v>1825</v>
      </c>
      <c r="C437" s="138" t="s">
        <v>2576</v>
      </c>
      <c r="D437" s="139">
        <v>44816</v>
      </c>
    </row>
    <row r="438" spans="2:4" ht="20.25" customHeight="1" x14ac:dyDescent="0.25">
      <c r="B438" s="108" t="s">
        <v>2577</v>
      </c>
      <c r="C438" s="146" t="s">
        <v>2578</v>
      </c>
      <c r="D438" s="139">
        <v>44816</v>
      </c>
    </row>
    <row r="439" spans="2:4" ht="20.25" customHeight="1" x14ac:dyDescent="0.25">
      <c r="B439" s="108" t="s">
        <v>1826</v>
      </c>
      <c r="C439" s="138" t="s">
        <v>2579</v>
      </c>
      <c r="D439" s="139">
        <v>44816</v>
      </c>
    </row>
    <row r="440" spans="2:4" ht="20.25" customHeight="1" x14ac:dyDescent="0.25">
      <c r="B440" s="108" t="s">
        <v>2580</v>
      </c>
      <c r="C440" s="138" t="s">
        <v>2581</v>
      </c>
      <c r="D440" s="134" t="s">
        <v>24</v>
      </c>
    </row>
    <row r="441" spans="2:4" ht="20.25" customHeight="1" x14ac:dyDescent="0.25">
      <c r="B441" s="108" t="s">
        <v>2582</v>
      </c>
      <c r="C441" s="146" t="s">
        <v>2583</v>
      </c>
      <c r="D441" s="161">
        <v>45034</v>
      </c>
    </row>
    <row r="442" spans="2:4" ht="20.25" customHeight="1" x14ac:dyDescent="0.25">
      <c r="B442" s="108" t="s">
        <v>2584</v>
      </c>
      <c r="C442" s="146" t="s">
        <v>2585</v>
      </c>
      <c r="D442" s="139">
        <v>44992</v>
      </c>
    </row>
    <row r="443" spans="2:4" ht="20.25" customHeight="1" x14ac:dyDescent="0.25">
      <c r="B443" s="108" t="s">
        <v>2586</v>
      </c>
      <c r="C443" s="146" t="s">
        <v>2587</v>
      </c>
      <c r="D443" s="139">
        <v>44992</v>
      </c>
    </row>
    <row r="444" spans="2:4" ht="20.25" customHeight="1" x14ac:dyDescent="0.25">
      <c r="B444" s="108" t="s">
        <v>1828</v>
      </c>
      <c r="C444" s="138" t="s">
        <v>2588</v>
      </c>
      <c r="D444" s="161">
        <v>45034</v>
      </c>
    </row>
    <row r="445" spans="2:4" ht="20.25" customHeight="1" x14ac:dyDescent="0.25">
      <c r="B445" s="108" t="s">
        <v>2589</v>
      </c>
      <c r="C445" s="138" t="s">
        <v>2590</v>
      </c>
      <c r="D445" s="134" t="s">
        <v>24</v>
      </c>
    </row>
    <row r="446" spans="2:4" ht="20.25" customHeight="1" x14ac:dyDescent="0.25">
      <c r="B446" s="108" t="s">
        <v>2591</v>
      </c>
      <c r="C446" s="138" t="s">
        <v>2592</v>
      </c>
      <c r="D446" s="134" t="s">
        <v>24</v>
      </c>
    </row>
    <row r="447" spans="2:4" ht="20.25" customHeight="1" x14ac:dyDescent="0.25">
      <c r="B447" s="108" t="s">
        <v>1820</v>
      </c>
      <c r="C447" s="138" t="s">
        <v>2593</v>
      </c>
      <c r="D447" s="134" t="s">
        <v>24</v>
      </c>
    </row>
    <row r="448" spans="2:4" ht="20.25" customHeight="1" x14ac:dyDescent="0.25">
      <c r="B448" s="108" t="s">
        <v>1832</v>
      </c>
      <c r="C448" s="138" t="s">
        <v>2594</v>
      </c>
      <c r="D448" s="139">
        <v>44862</v>
      </c>
    </row>
    <row r="449" spans="2:4" ht="20.25" customHeight="1" x14ac:dyDescent="0.25">
      <c r="B449" s="119" t="s">
        <v>1831</v>
      </c>
      <c r="C449" s="138" t="s">
        <v>2595</v>
      </c>
      <c r="D449" s="134" t="s">
        <v>24</v>
      </c>
    </row>
    <row r="450" spans="2:4" ht="20.25" customHeight="1" x14ac:dyDescent="0.25">
      <c r="B450" s="108" t="s">
        <v>2596</v>
      </c>
      <c r="C450" s="138" t="s">
        <v>2597</v>
      </c>
      <c r="D450" s="139">
        <v>44862</v>
      </c>
    </row>
    <row r="451" spans="2:4" ht="20.25" customHeight="1" x14ac:dyDescent="0.25">
      <c r="B451" s="108" t="s">
        <v>1822</v>
      </c>
      <c r="C451" s="138" t="s">
        <v>2598</v>
      </c>
      <c r="D451" s="161">
        <v>45040</v>
      </c>
    </row>
    <row r="452" spans="2:4" ht="20.25" customHeight="1" x14ac:dyDescent="0.25">
      <c r="B452" s="108" t="s">
        <v>1834</v>
      </c>
      <c r="C452" s="146" t="s">
        <v>2599</v>
      </c>
      <c r="D452" s="134" t="s">
        <v>24</v>
      </c>
    </row>
    <row r="453" spans="2:4" ht="20.25" customHeight="1" x14ac:dyDescent="0.25">
      <c r="B453" s="108" t="s">
        <v>2600</v>
      </c>
      <c r="C453" s="138" t="s">
        <v>2601</v>
      </c>
      <c r="D453" s="134" t="s">
        <v>24</v>
      </c>
    </row>
    <row r="454" spans="2:4" ht="20.25" customHeight="1" x14ac:dyDescent="0.25">
      <c r="B454" s="108" t="s">
        <v>2602</v>
      </c>
      <c r="C454" s="146" t="s">
        <v>2603</v>
      </c>
      <c r="D454" s="134" t="s">
        <v>24</v>
      </c>
    </row>
    <row r="455" spans="2:4" ht="20.25" customHeight="1" x14ac:dyDescent="0.25">
      <c r="B455" s="108" t="s">
        <v>2604</v>
      </c>
      <c r="C455" s="138" t="s">
        <v>2605</v>
      </c>
      <c r="D455" s="134" t="s">
        <v>24</v>
      </c>
    </row>
    <row r="456" spans="2:4" ht="20.25" customHeight="1" x14ac:dyDescent="0.25">
      <c r="B456" s="108" t="s">
        <v>2606</v>
      </c>
      <c r="C456" s="138" t="s">
        <v>2607</v>
      </c>
      <c r="D456" s="139">
        <v>44910</v>
      </c>
    </row>
    <row r="457" spans="2:4" ht="20.25" customHeight="1" x14ac:dyDescent="0.25">
      <c r="B457" s="108" t="s">
        <v>2608</v>
      </c>
      <c r="C457" s="138" t="s">
        <v>2609</v>
      </c>
      <c r="D457" s="161">
        <v>45034</v>
      </c>
    </row>
    <row r="458" spans="2:4" ht="20.25" customHeight="1" x14ac:dyDescent="0.25">
      <c r="B458" s="108" t="s">
        <v>2610</v>
      </c>
      <c r="C458" s="138" t="s">
        <v>2611</v>
      </c>
      <c r="D458" s="139">
        <v>44923</v>
      </c>
    </row>
    <row r="459" spans="2:4" ht="20.25" customHeight="1" x14ac:dyDescent="0.25">
      <c r="B459" s="108" t="s">
        <v>1835</v>
      </c>
      <c r="C459" s="146" t="s">
        <v>2612</v>
      </c>
      <c r="D459" s="139">
        <v>44816</v>
      </c>
    </row>
    <row r="460" spans="2:4" ht="20.25" customHeight="1" x14ac:dyDescent="0.25">
      <c r="B460" s="108" t="s">
        <v>1837</v>
      </c>
      <c r="C460" s="138" t="s">
        <v>2613</v>
      </c>
      <c r="D460" s="139">
        <v>44925</v>
      </c>
    </row>
    <row r="461" spans="2:4" ht="20.25" customHeight="1" x14ac:dyDescent="0.25">
      <c r="B461" s="108" t="s">
        <v>2614</v>
      </c>
      <c r="C461" s="138" t="s">
        <v>2615</v>
      </c>
      <c r="D461" s="139">
        <v>44816</v>
      </c>
    </row>
    <row r="462" spans="2:4" ht="20.25" customHeight="1" x14ac:dyDescent="0.25">
      <c r="B462" s="108" t="s">
        <v>2616</v>
      </c>
      <c r="C462" s="138" t="s">
        <v>2617</v>
      </c>
      <c r="D462" s="139">
        <v>44816</v>
      </c>
    </row>
    <row r="463" spans="2:4" ht="20.25" customHeight="1" x14ac:dyDescent="0.25">
      <c r="B463" s="108" t="s">
        <v>2618</v>
      </c>
      <c r="C463" s="138" t="s">
        <v>2619</v>
      </c>
      <c r="D463" s="139">
        <v>44816</v>
      </c>
    </row>
    <row r="464" spans="2:4" ht="20.25" customHeight="1" x14ac:dyDescent="0.25">
      <c r="B464" s="108" t="s">
        <v>2620</v>
      </c>
      <c r="C464" s="138" t="s">
        <v>2621</v>
      </c>
      <c r="D464" s="144">
        <v>45065</v>
      </c>
    </row>
    <row r="465" spans="2:4" ht="20.25" customHeight="1" x14ac:dyDescent="0.25">
      <c r="B465" s="108" t="s">
        <v>2622</v>
      </c>
      <c r="C465" s="138" t="s">
        <v>2623</v>
      </c>
      <c r="D465" s="144">
        <v>45148</v>
      </c>
    </row>
    <row r="466" spans="2:4" ht="20.25" customHeight="1" x14ac:dyDescent="0.25">
      <c r="B466" s="108" t="s">
        <v>2624</v>
      </c>
      <c r="C466" s="138" t="s">
        <v>2625</v>
      </c>
      <c r="D466" s="139">
        <v>44922</v>
      </c>
    </row>
    <row r="467" spans="2:4" ht="20.25" customHeight="1" x14ac:dyDescent="0.25">
      <c r="B467" s="108" t="s">
        <v>2626</v>
      </c>
      <c r="C467" s="138" t="s">
        <v>2627</v>
      </c>
      <c r="D467" s="139">
        <v>44910</v>
      </c>
    </row>
    <row r="468" spans="2:4" ht="20.25" customHeight="1" x14ac:dyDescent="0.25">
      <c r="B468" s="108" t="s">
        <v>2628</v>
      </c>
      <c r="C468" s="138" t="s">
        <v>2629</v>
      </c>
      <c r="D468" s="139">
        <v>44816</v>
      </c>
    </row>
    <row r="469" spans="2:4" ht="20.25" customHeight="1" x14ac:dyDescent="0.25">
      <c r="B469" s="108" t="s">
        <v>2630</v>
      </c>
      <c r="C469" s="138" t="s">
        <v>2631</v>
      </c>
      <c r="D469" s="139">
        <v>44816</v>
      </c>
    </row>
    <row r="470" spans="2:4" ht="20.25" customHeight="1" x14ac:dyDescent="0.25">
      <c r="B470" s="108" t="s">
        <v>2632</v>
      </c>
      <c r="C470" s="138" t="s">
        <v>2633</v>
      </c>
      <c r="D470" s="139">
        <v>44816</v>
      </c>
    </row>
    <row r="471" spans="2:4" ht="20.25" customHeight="1" x14ac:dyDescent="0.25">
      <c r="B471" s="108" t="s">
        <v>2634</v>
      </c>
      <c r="C471" s="138" t="s">
        <v>2635</v>
      </c>
      <c r="D471" s="139">
        <v>44816</v>
      </c>
    </row>
    <row r="472" spans="2:4" ht="20.25" customHeight="1" x14ac:dyDescent="0.25">
      <c r="B472" s="108" t="s">
        <v>2636</v>
      </c>
      <c r="C472" s="138" t="s">
        <v>2637</v>
      </c>
      <c r="D472" s="139">
        <v>44923</v>
      </c>
    </row>
    <row r="473" spans="2:4" ht="20.25" customHeight="1" x14ac:dyDescent="0.25">
      <c r="B473" s="108" t="s">
        <v>2638</v>
      </c>
      <c r="C473" s="138" t="s">
        <v>2639</v>
      </c>
      <c r="D473" s="149"/>
    </row>
    <row r="474" spans="2:4" ht="20.25" customHeight="1" x14ac:dyDescent="0.25">
      <c r="B474" s="108" t="s">
        <v>2640</v>
      </c>
      <c r="C474" s="138" t="s">
        <v>2641</v>
      </c>
      <c r="D474" s="179" t="s">
        <v>24</v>
      </c>
    </row>
    <row r="475" spans="2:4" ht="20.25" customHeight="1" x14ac:dyDescent="0.25">
      <c r="B475" s="108" t="s">
        <v>2642</v>
      </c>
      <c r="C475" s="138" t="s">
        <v>2643</v>
      </c>
      <c r="D475" s="179" t="s">
        <v>24</v>
      </c>
    </row>
    <row r="476" spans="2:4" ht="20.25" customHeight="1" x14ac:dyDescent="0.25">
      <c r="B476" s="108" t="s">
        <v>2644</v>
      </c>
      <c r="C476" s="138" t="s">
        <v>2645</v>
      </c>
      <c r="D476" s="161">
        <v>45013</v>
      </c>
    </row>
    <row r="477" spans="2:4" ht="20.25" customHeight="1" x14ac:dyDescent="0.25">
      <c r="B477" s="108" t="s">
        <v>2646</v>
      </c>
      <c r="C477" s="138" t="s">
        <v>2647</v>
      </c>
      <c r="D477" s="139">
        <v>44889</v>
      </c>
    </row>
    <row r="478" spans="2:4" ht="20.25" customHeight="1" x14ac:dyDescent="0.25">
      <c r="B478" s="108" t="s">
        <v>2648</v>
      </c>
      <c r="C478" s="138" t="s">
        <v>2649</v>
      </c>
      <c r="D478" s="140"/>
    </row>
    <row r="479" spans="2:4" ht="20.25" customHeight="1" x14ac:dyDescent="0.25">
      <c r="B479" s="108" t="s">
        <v>2650</v>
      </c>
      <c r="C479" s="138" t="s">
        <v>2651</v>
      </c>
      <c r="D479" s="139">
        <v>44877</v>
      </c>
    </row>
    <row r="480" spans="2:4" ht="20.25" customHeight="1" x14ac:dyDescent="0.25">
      <c r="B480" s="108" t="s">
        <v>2652</v>
      </c>
      <c r="C480" s="138" t="s">
        <v>2653</v>
      </c>
      <c r="D480" s="134" t="s">
        <v>24</v>
      </c>
    </row>
    <row r="481" spans="2:4" ht="20.25" customHeight="1" x14ac:dyDescent="0.25">
      <c r="B481" s="108" t="s">
        <v>2654</v>
      </c>
      <c r="C481" s="146" t="s">
        <v>2655</v>
      </c>
      <c r="D481" s="134" t="s">
        <v>24</v>
      </c>
    </row>
    <row r="482" spans="2:4" ht="20.25" customHeight="1" x14ac:dyDescent="0.25">
      <c r="B482" s="108" t="s">
        <v>2656</v>
      </c>
      <c r="C482" s="146" t="s">
        <v>2657</v>
      </c>
      <c r="D482" s="134" t="s">
        <v>24</v>
      </c>
    </row>
    <row r="483" spans="2:4" ht="20.25" customHeight="1" x14ac:dyDescent="0.25">
      <c r="B483" s="108" t="s">
        <v>2658</v>
      </c>
      <c r="C483" s="146" t="s">
        <v>2659</v>
      </c>
      <c r="D483" s="134" t="s">
        <v>24</v>
      </c>
    </row>
    <row r="484" spans="2:4" ht="20.25" customHeight="1" x14ac:dyDescent="0.25">
      <c r="B484" s="108" t="s">
        <v>2660</v>
      </c>
      <c r="C484" s="138" t="s">
        <v>2661</v>
      </c>
      <c r="D484" s="139">
        <v>44889</v>
      </c>
    </row>
    <row r="485" spans="2:4" ht="20.25" customHeight="1" x14ac:dyDescent="0.25">
      <c r="B485" s="108" t="s">
        <v>2662</v>
      </c>
      <c r="C485" s="138" t="s">
        <v>2663</v>
      </c>
      <c r="D485" s="139">
        <v>44862</v>
      </c>
    </row>
    <row r="486" spans="2:4" ht="20.25" customHeight="1" x14ac:dyDescent="0.25">
      <c r="B486" s="108" t="s">
        <v>2664</v>
      </c>
      <c r="C486" s="138" t="s">
        <v>2665</v>
      </c>
      <c r="D486" s="139">
        <v>44869</v>
      </c>
    </row>
    <row r="487" spans="2:4" ht="20.25" customHeight="1" x14ac:dyDescent="0.25">
      <c r="B487" s="108" t="s">
        <v>2666</v>
      </c>
      <c r="C487" s="138" t="s">
        <v>2667</v>
      </c>
      <c r="D487" s="134" t="s">
        <v>24</v>
      </c>
    </row>
    <row r="488" spans="2:4" ht="20.25" customHeight="1" x14ac:dyDescent="0.25">
      <c r="B488" s="108" t="s">
        <v>2668</v>
      </c>
      <c r="C488" s="146" t="s">
        <v>2669</v>
      </c>
      <c r="D488" s="134" t="s">
        <v>24</v>
      </c>
    </row>
    <row r="489" spans="2:4" ht="20.25" customHeight="1" x14ac:dyDescent="0.25">
      <c r="B489" s="108" t="s">
        <v>2670</v>
      </c>
      <c r="C489" s="146" t="s">
        <v>2671</v>
      </c>
      <c r="D489" s="134" t="s">
        <v>24</v>
      </c>
    </row>
    <row r="490" spans="2:4" ht="20.25" customHeight="1" x14ac:dyDescent="0.25">
      <c r="B490" s="108" t="s">
        <v>1839</v>
      </c>
      <c r="C490" s="146" t="s">
        <v>2672</v>
      </c>
      <c r="D490" s="161">
        <v>45014</v>
      </c>
    </row>
    <row r="491" spans="2:4" ht="20.25" customHeight="1" x14ac:dyDescent="0.25">
      <c r="B491" s="108" t="s">
        <v>1841</v>
      </c>
      <c r="C491" s="138" t="s">
        <v>2673</v>
      </c>
      <c r="D491" s="144">
        <v>45065</v>
      </c>
    </row>
    <row r="492" spans="2:4" ht="20.25" customHeight="1" x14ac:dyDescent="0.25">
      <c r="B492" s="108" t="s">
        <v>2674</v>
      </c>
      <c r="C492" s="138" t="s">
        <v>2675</v>
      </c>
      <c r="D492" s="139">
        <v>45056</v>
      </c>
    </row>
    <row r="493" spans="2:4" ht="20.25" customHeight="1" x14ac:dyDescent="0.25">
      <c r="B493" s="108" t="s">
        <v>2676</v>
      </c>
      <c r="C493" s="138" t="s">
        <v>2677</v>
      </c>
      <c r="D493" s="144">
        <v>45049</v>
      </c>
    </row>
    <row r="494" spans="2:4" ht="20.25" customHeight="1" x14ac:dyDescent="0.25">
      <c r="B494" s="108" t="s">
        <v>2678</v>
      </c>
      <c r="C494" s="138" t="s">
        <v>2679</v>
      </c>
      <c r="D494" s="139">
        <v>45056</v>
      </c>
    </row>
    <row r="495" spans="2:4" ht="20.25" customHeight="1" x14ac:dyDescent="0.25">
      <c r="B495" s="108" t="s">
        <v>1843</v>
      </c>
      <c r="C495" s="146" t="s">
        <v>2680</v>
      </c>
      <c r="D495" s="134" t="s">
        <v>24</v>
      </c>
    </row>
    <row r="496" spans="2:4" ht="20.25" customHeight="1" x14ac:dyDescent="0.25">
      <c r="B496" s="108" t="s">
        <v>2681</v>
      </c>
      <c r="C496" s="138" t="s">
        <v>2682</v>
      </c>
      <c r="D496" s="139">
        <v>44862</v>
      </c>
    </row>
    <row r="497" spans="2:4" ht="20.25" customHeight="1" x14ac:dyDescent="0.25">
      <c r="B497" s="108" t="s">
        <v>2683</v>
      </c>
      <c r="C497" s="138" t="s">
        <v>2684</v>
      </c>
      <c r="D497" s="139">
        <v>44910</v>
      </c>
    </row>
    <row r="498" spans="2:4" ht="20.25" customHeight="1" x14ac:dyDescent="0.25">
      <c r="B498" s="108" t="s">
        <v>2685</v>
      </c>
      <c r="C498" s="146" t="s">
        <v>2686</v>
      </c>
      <c r="D498" s="134" t="s">
        <v>24</v>
      </c>
    </row>
    <row r="499" spans="2:4" ht="20.25" customHeight="1" x14ac:dyDescent="0.25">
      <c r="B499" s="108" t="s">
        <v>2687</v>
      </c>
      <c r="C499" s="138" t="s">
        <v>2688</v>
      </c>
      <c r="D499" s="134" t="s">
        <v>24</v>
      </c>
    </row>
    <row r="500" spans="2:4" ht="20.25" customHeight="1" x14ac:dyDescent="0.25">
      <c r="B500" s="108" t="s">
        <v>2689</v>
      </c>
      <c r="C500" s="146" t="s">
        <v>2690</v>
      </c>
      <c r="D500" s="139">
        <v>44890</v>
      </c>
    </row>
    <row r="501" spans="2:4" ht="20.25" customHeight="1" x14ac:dyDescent="0.25">
      <c r="B501" s="108" t="s">
        <v>1910</v>
      </c>
      <c r="C501" s="146" t="s">
        <v>2691</v>
      </c>
      <c r="D501" s="139">
        <v>44869</v>
      </c>
    </row>
    <row r="502" spans="2:4" ht="20.25" customHeight="1" x14ac:dyDescent="0.25">
      <c r="B502" s="108" t="s">
        <v>2692</v>
      </c>
      <c r="C502" s="138" t="s">
        <v>2693</v>
      </c>
      <c r="D502" s="139">
        <v>44867</v>
      </c>
    </row>
    <row r="503" spans="2:4" ht="20.25" customHeight="1" x14ac:dyDescent="0.25">
      <c r="B503" s="108" t="s">
        <v>2694</v>
      </c>
      <c r="C503" s="138" t="s">
        <v>2695</v>
      </c>
      <c r="D503" s="134" t="s">
        <v>24</v>
      </c>
    </row>
    <row r="504" spans="2:4" ht="20.25" customHeight="1" x14ac:dyDescent="0.25">
      <c r="B504" s="108" t="s">
        <v>1845</v>
      </c>
      <c r="C504" s="146" t="s">
        <v>2696</v>
      </c>
      <c r="D504" s="134" t="s">
        <v>24</v>
      </c>
    </row>
    <row r="505" spans="2:4" ht="20.25" customHeight="1" x14ac:dyDescent="0.25">
      <c r="B505" s="119" t="s">
        <v>2697</v>
      </c>
      <c r="C505" s="146" t="s">
        <v>2698</v>
      </c>
      <c r="D505" s="134" t="s">
        <v>24</v>
      </c>
    </row>
    <row r="506" spans="2:4" ht="20.25" customHeight="1" x14ac:dyDescent="0.25">
      <c r="B506" s="108" t="s">
        <v>2699</v>
      </c>
      <c r="C506" s="146" t="s">
        <v>2700</v>
      </c>
      <c r="D506" s="144">
        <v>45049</v>
      </c>
    </row>
    <row r="507" spans="2:4" ht="20.25" customHeight="1" x14ac:dyDescent="0.25">
      <c r="B507" s="108" t="s">
        <v>2701</v>
      </c>
      <c r="C507" s="138" t="s">
        <v>2702</v>
      </c>
      <c r="D507" s="139">
        <v>44923</v>
      </c>
    </row>
    <row r="508" spans="2:4" ht="20.25" customHeight="1" x14ac:dyDescent="0.25">
      <c r="B508" s="108" t="s">
        <v>2703</v>
      </c>
      <c r="C508" s="138" t="s">
        <v>2704</v>
      </c>
      <c r="D508" s="134" t="s">
        <v>24</v>
      </c>
    </row>
    <row r="509" spans="2:4" ht="20.25" customHeight="1" x14ac:dyDescent="0.25">
      <c r="B509" s="108" t="s">
        <v>1846</v>
      </c>
      <c r="C509" s="146" t="s">
        <v>2705</v>
      </c>
      <c r="D509" s="139">
        <v>44877</v>
      </c>
    </row>
    <row r="510" spans="2:4" ht="20.25" customHeight="1" x14ac:dyDescent="0.25">
      <c r="B510" s="108" t="s">
        <v>2706</v>
      </c>
      <c r="C510" s="146" t="s">
        <v>2707</v>
      </c>
      <c r="D510" s="139">
        <v>44862</v>
      </c>
    </row>
    <row r="511" spans="2:4" ht="20.25" customHeight="1" x14ac:dyDescent="0.25">
      <c r="B511" s="119" t="s">
        <v>2708</v>
      </c>
      <c r="C511" s="146" t="s">
        <v>2709</v>
      </c>
      <c r="D511" s="139">
        <v>44862</v>
      </c>
    </row>
    <row r="512" spans="2:4" ht="20.25" customHeight="1" x14ac:dyDescent="0.25">
      <c r="B512" s="108" t="s">
        <v>2710</v>
      </c>
      <c r="C512" s="138" t="s">
        <v>2711</v>
      </c>
      <c r="D512" s="134" t="s">
        <v>24</v>
      </c>
    </row>
    <row r="513" spans="2:4" ht="20.25" customHeight="1" x14ac:dyDescent="0.25">
      <c r="B513" s="108" t="s">
        <v>2712</v>
      </c>
      <c r="C513" s="146" t="s">
        <v>2713</v>
      </c>
      <c r="D513" s="139">
        <v>44889</v>
      </c>
    </row>
    <row r="514" spans="2:4" ht="20.25" customHeight="1" x14ac:dyDescent="0.25">
      <c r="B514" s="108" t="s">
        <v>1848</v>
      </c>
      <c r="C514" s="146" t="s">
        <v>2714</v>
      </c>
      <c r="D514" s="134" t="s">
        <v>24</v>
      </c>
    </row>
    <row r="515" spans="2:4" ht="20.25" customHeight="1" x14ac:dyDescent="0.25">
      <c r="B515" s="108" t="s">
        <v>2715</v>
      </c>
      <c r="C515" s="146" t="s">
        <v>2716</v>
      </c>
      <c r="D515" s="134" t="s">
        <v>24</v>
      </c>
    </row>
    <row r="516" spans="2:4" ht="20.25" customHeight="1" x14ac:dyDescent="0.25">
      <c r="B516" s="108" t="s">
        <v>2717</v>
      </c>
      <c r="C516" s="138" t="s">
        <v>2718</v>
      </c>
      <c r="D516" s="134" t="s">
        <v>24</v>
      </c>
    </row>
    <row r="517" spans="2:4" ht="20.25" customHeight="1" x14ac:dyDescent="0.25">
      <c r="B517" s="108" t="s">
        <v>2719</v>
      </c>
      <c r="C517" s="146" t="s">
        <v>2720</v>
      </c>
      <c r="D517" s="139">
        <v>44862</v>
      </c>
    </row>
    <row r="518" spans="2:4" ht="20.25" customHeight="1" x14ac:dyDescent="0.25">
      <c r="B518" s="108" t="s">
        <v>2721</v>
      </c>
      <c r="C518" s="138" t="s">
        <v>2722</v>
      </c>
      <c r="D518" s="139">
        <v>44862</v>
      </c>
    </row>
    <row r="519" spans="2:4" ht="20.25" customHeight="1" x14ac:dyDescent="0.25">
      <c r="B519" s="108" t="s">
        <v>2723</v>
      </c>
      <c r="C519" s="146" t="s">
        <v>2724</v>
      </c>
      <c r="D519" s="139">
        <v>44889</v>
      </c>
    </row>
    <row r="520" spans="2:4" ht="20.25" customHeight="1" x14ac:dyDescent="0.25">
      <c r="B520" s="108" t="s">
        <v>1912</v>
      </c>
      <c r="C520" s="138" t="s">
        <v>2725</v>
      </c>
      <c r="D520" s="139">
        <v>44869</v>
      </c>
    </row>
    <row r="521" spans="2:4" ht="20.25" customHeight="1" x14ac:dyDescent="0.25">
      <c r="B521" s="108" t="s">
        <v>2726</v>
      </c>
      <c r="C521" s="146" t="s">
        <v>2727</v>
      </c>
      <c r="D521" s="147">
        <v>45013</v>
      </c>
    </row>
    <row r="522" spans="2:4" ht="20.25" customHeight="1" x14ac:dyDescent="0.25">
      <c r="B522" s="108" t="s">
        <v>2728</v>
      </c>
      <c r="C522" s="146" t="s">
        <v>2729</v>
      </c>
      <c r="D522" s="147">
        <v>45013</v>
      </c>
    </row>
    <row r="523" spans="2:4" ht="20.25" customHeight="1" x14ac:dyDescent="0.25">
      <c r="B523" s="108" t="s">
        <v>2730</v>
      </c>
      <c r="C523" s="146" t="s">
        <v>2731</v>
      </c>
      <c r="D523" s="139">
        <v>44816</v>
      </c>
    </row>
    <row r="524" spans="2:4" ht="20.25" customHeight="1" x14ac:dyDescent="0.25">
      <c r="B524" s="108" t="s">
        <v>2732</v>
      </c>
      <c r="C524" s="146" t="s">
        <v>2733</v>
      </c>
      <c r="D524" s="134" t="s">
        <v>24</v>
      </c>
    </row>
    <row r="525" spans="2:4" ht="20.25" customHeight="1" x14ac:dyDescent="0.25">
      <c r="B525" s="108" t="s">
        <v>2734</v>
      </c>
      <c r="C525" s="146" t="s">
        <v>2735</v>
      </c>
      <c r="D525" s="134" t="s">
        <v>24</v>
      </c>
    </row>
    <row r="526" spans="2:4" ht="20.25" customHeight="1" x14ac:dyDescent="0.25">
      <c r="B526" s="108" t="s">
        <v>2736</v>
      </c>
      <c r="C526" s="138" t="s">
        <v>2737</v>
      </c>
      <c r="D526" s="134" t="s">
        <v>24</v>
      </c>
    </row>
    <row r="527" spans="2:4" ht="20.25" customHeight="1" x14ac:dyDescent="0.25">
      <c r="B527" s="108" t="s">
        <v>2738</v>
      </c>
      <c r="C527" s="138" t="s">
        <v>2739</v>
      </c>
      <c r="D527" s="134" t="s">
        <v>24</v>
      </c>
    </row>
    <row r="528" spans="2:4" ht="20.25" customHeight="1" x14ac:dyDescent="0.25">
      <c r="B528" s="108" t="s">
        <v>1914</v>
      </c>
      <c r="C528" s="138" t="s">
        <v>2740</v>
      </c>
      <c r="D528" s="134" t="s">
        <v>24</v>
      </c>
    </row>
    <row r="529" spans="2:4" ht="20.25" customHeight="1" x14ac:dyDescent="0.25">
      <c r="B529" s="108" t="s">
        <v>1916</v>
      </c>
      <c r="C529" s="138" t="s">
        <v>2741</v>
      </c>
      <c r="D529" s="134" t="s">
        <v>24</v>
      </c>
    </row>
    <row r="530" spans="2:4" ht="20.25" customHeight="1" x14ac:dyDescent="0.25">
      <c r="B530" s="108" t="s">
        <v>2742</v>
      </c>
      <c r="C530" s="138" t="s">
        <v>2743</v>
      </c>
      <c r="D530" s="134" t="s">
        <v>24</v>
      </c>
    </row>
    <row r="531" spans="2:4" ht="20.25" customHeight="1" x14ac:dyDescent="0.25">
      <c r="B531" s="108" t="s">
        <v>2744</v>
      </c>
      <c r="C531" s="138" t="s">
        <v>2745</v>
      </c>
      <c r="D531" s="134" t="s">
        <v>24</v>
      </c>
    </row>
    <row r="532" spans="2:4" ht="20.25" customHeight="1" x14ac:dyDescent="0.25">
      <c r="B532" s="108" t="s">
        <v>2746</v>
      </c>
      <c r="C532" s="138" t="s">
        <v>2747</v>
      </c>
      <c r="D532" s="139">
        <v>44869</v>
      </c>
    </row>
    <row r="533" spans="2:4" ht="20.25" customHeight="1" x14ac:dyDescent="0.25">
      <c r="B533" s="108" t="s">
        <v>2748</v>
      </c>
      <c r="C533" s="138" t="s">
        <v>2749</v>
      </c>
      <c r="D533" s="139">
        <v>44862</v>
      </c>
    </row>
    <row r="534" spans="2:4" ht="20.25" customHeight="1" x14ac:dyDescent="0.25">
      <c r="B534" s="108" t="s">
        <v>1918</v>
      </c>
      <c r="C534" s="138" t="s">
        <v>2750</v>
      </c>
      <c r="D534" s="139">
        <v>44869</v>
      </c>
    </row>
    <row r="535" spans="2:4" ht="20.25" customHeight="1" x14ac:dyDescent="0.25">
      <c r="B535" s="108" t="s">
        <v>2751</v>
      </c>
      <c r="C535" s="138" t="s">
        <v>2752</v>
      </c>
      <c r="D535" s="134" t="s">
        <v>24</v>
      </c>
    </row>
    <row r="536" spans="2:4" ht="20.25" customHeight="1" x14ac:dyDescent="0.25">
      <c r="B536" s="108" t="s">
        <v>2753</v>
      </c>
      <c r="C536" s="146" t="s">
        <v>2754</v>
      </c>
      <c r="D536" s="134" t="s">
        <v>24</v>
      </c>
    </row>
    <row r="537" spans="2:4" ht="20.25" customHeight="1" x14ac:dyDescent="0.25">
      <c r="B537" s="108" t="s">
        <v>2755</v>
      </c>
      <c r="C537" s="138" t="s">
        <v>2756</v>
      </c>
      <c r="D537" s="134" t="s">
        <v>24</v>
      </c>
    </row>
    <row r="538" spans="2:4" ht="20.25" customHeight="1" x14ac:dyDescent="0.25">
      <c r="B538" s="108" t="s">
        <v>2757</v>
      </c>
      <c r="C538" s="138" t="s">
        <v>2758</v>
      </c>
      <c r="D538" s="139">
        <v>44889</v>
      </c>
    </row>
    <row r="539" spans="2:4" ht="20.25" customHeight="1" x14ac:dyDescent="0.25">
      <c r="B539" s="108" t="s">
        <v>2759</v>
      </c>
      <c r="C539" s="138" t="s">
        <v>2760</v>
      </c>
      <c r="D539" s="139">
        <v>44910</v>
      </c>
    </row>
    <row r="540" spans="2:4" ht="20.25" customHeight="1" x14ac:dyDescent="0.25">
      <c r="B540" s="108" t="s">
        <v>2761</v>
      </c>
      <c r="C540" s="138" t="s">
        <v>2762</v>
      </c>
      <c r="D540" s="139">
        <v>44869</v>
      </c>
    </row>
    <row r="541" spans="2:4" ht="20.25" customHeight="1" x14ac:dyDescent="0.25">
      <c r="B541" s="108" t="s">
        <v>2763</v>
      </c>
      <c r="C541" s="138" t="s">
        <v>2764</v>
      </c>
      <c r="D541" s="139">
        <v>44889</v>
      </c>
    </row>
    <row r="542" spans="2:4" ht="20.25" customHeight="1" x14ac:dyDescent="0.25">
      <c r="B542" s="108" t="s">
        <v>2765</v>
      </c>
      <c r="C542" s="146" t="s">
        <v>2766</v>
      </c>
      <c r="D542" s="139">
        <v>44910</v>
      </c>
    </row>
    <row r="543" spans="2:4" ht="20.25" customHeight="1" x14ac:dyDescent="0.25">
      <c r="B543" s="108" t="s">
        <v>2767</v>
      </c>
      <c r="C543" s="146" t="s">
        <v>2768</v>
      </c>
      <c r="D543" s="139">
        <v>44889</v>
      </c>
    </row>
    <row r="544" spans="2:4" ht="20.25" customHeight="1" x14ac:dyDescent="0.25">
      <c r="B544" s="108" t="s">
        <v>2769</v>
      </c>
      <c r="C544" s="146" t="s">
        <v>2770</v>
      </c>
      <c r="D544" s="139">
        <v>44910</v>
      </c>
    </row>
    <row r="545" spans="2:4" ht="20.25" customHeight="1" x14ac:dyDescent="0.25">
      <c r="B545" s="108" t="s">
        <v>2771</v>
      </c>
      <c r="C545" s="146" t="s">
        <v>2772</v>
      </c>
      <c r="D545" s="139">
        <v>44877</v>
      </c>
    </row>
    <row r="546" spans="2:4" ht="20.25" customHeight="1" x14ac:dyDescent="0.25">
      <c r="B546" s="108" t="s">
        <v>1850</v>
      </c>
      <c r="C546" s="146" t="s">
        <v>2773</v>
      </c>
      <c r="D546" s="139">
        <v>44862</v>
      </c>
    </row>
    <row r="547" spans="2:4" ht="20.25" customHeight="1" x14ac:dyDescent="0.25">
      <c r="B547" s="108" t="s">
        <v>2774</v>
      </c>
      <c r="C547" s="146" t="s">
        <v>2775</v>
      </c>
      <c r="D547" s="134" t="s">
        <v>24</v>
      </c>
    </row>
    <row r="548" spans="2:4" ht="20.25" customHeight="1" x14ac:dyDescent="0.25">
      <c r="B548" s="108" t="s">
        <v>2776</v>
      </c>
      <c r="C548" s="146" t="s">
        <v>2777</v>
      </c>
      <c r="D548" s="134" t="s">
        <v>24</v>
      </c>
    </row>
    <row r="549" spans="2:4" ht="20.25" customHeight="1" x14ac:dyDescent="0.25">
      <c r="B549" s="108" t="s">
        <v>2778</v>
      </c>
      <c r="C549" s="146" t="s">
        <v>2779</v>
      </c>
      <c r="D549" s="134" t="s">
        <v>24</v>
      </c>
    </row>
    <row r="550" spans="2:4" ht="20.25" customHeight="1" x14ac:dyDescent="0.25">
      <c r="B550" s="108" t="s">
        <v>2780</v>
      </c>
      <c r="C550" s="138" t="s">
        <v>2781</v>
      </c>
      <c r="D550" s="134" t="s">
        <v>24</v>
      </c>
    </row>
    <row r="551" spans="2:4" ht="20.25" customHeight="1" x14ac:dyDescent="0.25">
      <c r="B551" s="108" t="s">
        <v>2782</v>
      </c>
      <c r="C551" s="138" t="s">
        <v>2783</v>
      </c>
      <c r="D551" s="139">
        <v>44816</v>
      </c>
    </row>
    <row r="552" spans="2:4" ht="20.25" customHeight="1" x14ac:dyDescent="0.25">
      <c r="B552" s="108" t="s">
        <v>2784</v>
      </c>
      <c r="C552" s="138" t="s">
        <v>2785</v>
      </c>
      <c r="D552" s="139">
        <v>44961</v>
      </c>
    </row>
    <row r="553" spans="2:4" ht="20.25" customHeight="1" x14ac:dyDescent="0.25">
      <c r="B553" s="108" t="s">
        <v>2786</v>
      </c>
      <c r="C553" s="138" t="s">
        <v>2787</v>
      </c>
      <c r="D553" s="134" t="s">
        <v>24</v>
      </c>
    </row>
    <row r="554" spans="2:4" ht="20.25" customHeight="1" x14ac:dyDescent="0.25">
      <c r="B554" s="108" t="s">
        <v>2788</v>
      </c>
      <c r="C554" s="138" t="s">
        <v>2789</v>
      </c>
      <c r="D554" s="139">
        <v>44889</v>
      </c>
    </row>
    <row r="555" spans="2:4" ht="20.25" customHeight="1" x14ac:dyDescent="0.25">
      <c r="B555" s="108" t="s">
        <v>1851</v>
      </c>
      <c r="C555" s="146" t="s">
        <v>2790</v>
      </c>
      <c r="D555" s="139">
        <v>44816</v>
      </c>
    </row>
    <row r="556" spans="2:4" ht="20.25" customHeight="1" x14ac:dyDescent="0.25">
      <c r="B556" s="108" t="s">
        <v>2791</v>
      </c>
      <c r="C556" s="146" t="s">
        <v>2792</v>
      </c>
      <c r="D556" s="139">
        <v>44961</v>
      </c>
    </row>
    <row r="557" spans="2:4" ht="20.25" customHeight="1" x14ac:dyDescent="0.25">
      <c r="B557" s="108" t="s">
        <v>2793</v>
      </c>
      <c r="C557" s="138" t="s">
        <v>100</v>
      </c>
      <c r="D557" s="139">
        <v>44910</v>
      </c>
    </row>
    <row r="558" spans="2:4" ht="20.25" customHeight="1" x14ac:dyDescent="0.25">
      <c r="B558" s="108" t="s">
        <v>2794</v>
      </c>
      <c r="C558" s="146" t="s">
        <v>2795</v>
      </c>
      <c r="D558" s="139">
        <v>44889</v>
      </c>
    </row>
    <row r="559" spans="2:4" ht="20.25" customHeight="1" x14ac:dyDescent="0.25">
      <c r="B559" s="112" t="s">
        <v>2796</v>
      </c>
      <c r="C559" s="146" t="s">
        <v>2797</v>
      </c>
      <c r="D559" s="139">
        <v>44816</v>
      </c>
    </row>
    <row r="560" spans="2:4" ht="20.25" customHeight="1" x14ac:dyDescent="0.25">
      <c r="B560" s="108" t="s">
        <v>2798</v>
      </c>
      <c r="C560" s="138" t="s">
        <v>2799</v>
      </c>
      <c r="D560" s="139">
        <v>44889</v>
      </c>
    </row>
    <row r="561" spans="2:4" ht="20.25" customHeight="1" x14ac:dyDescent="0.25">
      <c r="B561" s="108" t="s">
        <v>2800</v>
      </c>
      <c r="C561" s="138" t="s">
        <v>2801</v>
      </c>
      <c r="D561" s="139">
        <v>44816</v>
      </c>
    </row>
    <row r="562" spans="2:4" ht="20.25" customHeight="1" x14ac:dyDescent="0.25">
      <c r="B562" s="108" t="s">
        <v>2802</v>
      </c>
      <c r="C562" s="146" t="s">
        <v>2803</v>
      </c>
      <c r="D562" s="134" t="s">
        <v>24</v>
      </c>
    </row>
    <row r="563" spans="2:4" ht="20.25" customHeight="1" x14ac:dyDescent="0.25">
      <c r="B563" s="108" t="s">
        <v>2804</v>
      </c>
      <c r="C563" s="146" t="s">
        <v>2805</v>
      </c>
      <c r="D563" s="134" t="s">
        <v>24</v>
      </c>
    </row>
    <row r="564" spans="2:4" ht="20.25" customHeight="1" x14ac:dyDescent="0.25">
      <c r="B564" s="108" t="s">
        <v>1919</v>
      </c>
      <c r="C564" s="146" t="s">
        <v>2806</v>
      </c>
      <c r="D564" s="134" t="s">
        <v>24</v>
      </c>
    </row>
    <row r="565" spans="2:4" ht="20.25" customHeight="1" x14ac:dyDescent="0.25">
      <c r="B565" s="108" t="s">
        <v>1921</v>
      </c>
      <c r="C565" s="146" t="s">
        <v>2807</v>
      </c>
      <c r="D565" s="139">
        <v>44889</v>
      </c>
    </row>
    <row r="566" spans="2:4" ht="20.25" customHeight="1" x14ac:dyDescent="0.25">
      <c r="B566" s="108" t="s">
        <v>2808</v>
      </c>
      <c r="C566" s="138" t="s">
        <v>2809</v>
      </c>
      <c r="D566" s="134" t="s">
        <v>24</v>
      </c>
    </row>
    <row r="567" spans="2:4" ht="20.25" customHeight="1" x14ac:dyDescent="0.25">
      <c r="B567" s="108" t="s">
        <v>1923</v>
      </c>
      <c r="C567" s="138" t="s">
        <v>2810</v>
      </c>
      <c r="D567" s="134" t="s">
        <v>24</v>
      </c>
    </row>
    <row r="568" spans="2:4" ht="20.25" customHeight="1" x14ac:dyDescent="0.25">
      <c r="B568" s="108" t="s">
        <v>2811</v>
      </c>
      <c r="C568" s="138" t="s">
        <v>2812</v>
      </c>
      <c r="D568" s="139">
        <v>44889</v>
      </c>
    </row>
    <row r="569" spans="2:4" ht="20.25" customHeight="1" x14ac:dyDescent="0.25">
      <c r="B569" s="108" t="s">
        <v>2813</v>
      </c>
      <c r="C569" s="146" t="s">
        <v>2814</v>
      </c>
      <c r="D569" s="139">
        <v>44889</v>
      </c>
    </row>
    <row r="570" spans="2:4" ht="20.25" customHeight="1" x14ac:dyDescent="0.25">
      <c r="B570" s="108" t="s">
        <v>2815</v>
      </c>
      <c r="C570" s="138" t="s">
        <v>2816</v>
      </c>
      <c r="D570" s="139"/>
    </row>
    <row r="571" spans="2:4" ht="20.25" customHeight="1" x14ac:dyDescent="0.25">
      <c r="B571" s="108" t="s">
        <v>2817</v>
      </c>
      <c r="C571" s="138" t="s">
        <v>2818</v>
      </c>
      <c r="D571" s="139">
        <v>45097</v>
      </c>
    </row>
    <row r="572" spans="2:4" ht="20.25" customHeight="1" x14ac:dyDescent="0.25">
      <c r="B572" s="108" t="s">
        <v>1852</v>
      </c>
      <c r="C572" s="146" t="s">
        <v>2819</v>
      </c>
      <c r="D572" s="139">
        <v>44910</v>
      </c>
    </row>
    <row r="573" spans="2:4" ht="20.25" customHeight="1" x14ac:dyDescent="0.25">
      <c r="B573" s="107" t="s">
        <v>1853</v>
      </c>
      <c r="C573" s="146" t="s">
        <v>2820</v>
      </c>
      <c r="D573" s="139">
        <v>44923</v>
      </c>
    </row>
    <row r="574" spans="2:4" ht="20.25" customHeight="1" x14ac:dyDescent="0.25">
      <c r="B574" s="108" t="s">
        <v>2821</v>
      </c>
      <c r="C574" s="146"/>
      <c r="D574" s="139">
        <v>44923</v>
      </c>
    </row>
    <row r="575" spans="2:4" ht="20.25" customHeight="1" x14ac:dyDescent="0.25">
      <c r="B575" s="108" t="s">
        <v>2822</v>
      </c>
      <c r="C575" s="146" t="s">
        <v>2823</v>
      </c>
      <c r="D575" s="139">
        <v>44910</v>
      </c>
    </row>
    <row r="576" spans="2:4" ht="20.25" customHeight="1" x14ac:dyDescent="0.25">
      <c r="B576" s="108" t="s">
        <v>2824</v>
      </c>
      <c r="C576" s="146" t="s">
        <v>2825</v>
      </c>
      <c r="D576" s="139">
        <v>44910</v>
      </c>
    </row>
    <row r="577" spans="2:4" ht="20.25" customHeight="1" x14ac:dyDescent="0.25">
      <c r="B577" s="108" t="s">
        <v>1857</v>
      </c>
      <c r="C577" s="138" t="s">
        <v>2826</v>
      </c>
      <c r="D577" s="134" t="s">
        <v>24</v>
      </c>
    </row>
    <row r="578" spans="2:4" ht="20.25" customHeight="1" x14ac:dyDescent="0.25">
      <c r="B578" s="108" t="s">
        <v>2827</v>
      </c>
      <c r="C578" s="146" t="s">
        <v>2828</v>
      </c>
      <c r="D578" s="139">
        <v>44923</v>
      </c>
    </row>
    <row r="579" spans="2:4" ht="20.25" customHeight="1" x14ac:dyDescent="0.25">
      <c r="B579" s="108" t="s">
        <v>2829</v>
      </c>
      <c r="C579" s="138" t="s">
        <v>2830</v>
      </c>
      <c r="D579" s="139">
        <v>44910</v>
      </c>
    </row>
    <row r="580" spans="2:4" ht="20.25" customHeight="1" x14ac:dyDescent="0.25">
      <c r="B580" s="108" t="s">
        <v>1861</v>
      </c>
      <c r="C580" s="138" t="s">
        <v>2831</v>
      </c>
      <c r="D580" s="139">
        <v>44923</v>
      </c>
    </row>
    <row r="581" spans="2:4" ht="20.25" customHeight="1" x14ac:dyDescent="0.25">
      <c r="B581" s="108" t="s">
        <v>2832</v>
      </c>
      <c r="C581" s="138" t="s">
        <v>2833</v>
      </c>
      <c r="D581" s="139">
        <v>44910</v>
      </c>
    </row>
    <row r="582" spans="2:4" ht="20.25" customHeight="1" x14ac:dyDescent="0.25">
      <c r="B582" s="108" t="s">
        <v>1925</v>
      </c>
      <c r="C582" s="138" t="s">
        <v>2834</v>
      </c>
      <c r="D582" s="139">
        <v>44910</v>
      </c>
    </row>
    <row r="583" spans="2:4" ht="20.25" customHeight="1" x14ac:dyDescent="0.25">
      <c r="B583" s="108" t="s">
        <v>1927</v>
      </c>
      <c r="C583" s="138" t="s">
        <v>2835</v>
      </c>
      <c r="D583" s="139">
        <v>44869</v>
      </c>
    </row>
    <row r="584" spans="2:4" ht="20.25" customHeight="1" x14ac:dyDescent="0.25">
      <c r="B584" s="108" t="s">
        <v>2836</v>
      </c>
      <c r="C584" s="138" t="s">
        <v>2837</v>
      </c>
      <c r="D584" s="139">
        <v>44869</v>
      </c>
    </row>
    <row r="585" spans="2:4" ht="20.25" customHeight="1" x14ac:dyDescent="0.25">
      <c r="B585" s="108" t="s">
        <v>2838</v>
      </c>
      <c r="C585" s="146" t="s">
        <v>2839</v>
      </c>
      <c r="D585" s="139">
        <v>44876</v>
      </c>
    </row>
    <row r="586" spans="2:4" ht="20.25" customHeight="1" x14ac:dyDescent="0.25">
      <c r="B586" s="107" t="s">
        <v>1847</v>
      </c>
      <c r="C586" s="146" t="s">
        <v>2840</v>
      </c>
      <c r="D586" s="134" t="s">
        <v>24</v>
      </c>
    </row>
    <row r="587" spans="2:4" ht="20.25" customHeight="1" x14ac:dyDescent="0.25">
      <c r="B587" s="108" t="s">
        <v>2841</v>
      </c>
      <c r="C587" s="146" t="s">
        <v>2842</v>
      </c>
      <c r="D587" s="139">
        <v>44869</v>
      </c>
    </row>
    <row r="588" spans="2:4" ht="20.25" customHeight="1" x14ac:dyDescent="0.25">
      <c r="B588" s="108" t="s">
        <v>2843</v>
      </c>
      <c r="C588" s="146" t="s">
        <v>2844</v>
      </c>
      <c r="D588" s="134" t="s">
        <v>24</v>
      </c>
    </row>
    <row r="589" spans="2:4" ht="20.25" customHeight="1" x14ac:dyDescent="0.25">
      <c r="B589" s="108" t="s">
        <v>2845</v>
      </c>
      <c r="C589" s="138" t="s">
        <v>2846</v>
      </c>
      <c r="D589" s="134" t="s">
        <v>24</v>
      </c>
    </row>
    <row r="590" spans="2:4" ht="20.25" customHeight="1" x14ac:dyDescent="0.25">
      <c r="B590" s="108" t="s">
        <v>2847</v>
      </c>
      <c r="C590" s="138" t="s">
        <v>2848</v>
      </c>
      <c r="D590" s="134" t="s">
        <v>24</v>
      </c>
    </row>
    <row r="591" spans="2:4" ht="20.25" customHeight="1" x14ac:dyDescent="0.25">
      <c r="B591" s="108" t="s">
        <v>1929</v>
      </c>
      <c r="C591" s="146" t="s">
        <v>2849</v>
      </c>
      <c r="D591" s="134" t="s">
        <v>24</v>
      </c>
    </row>
    <row r="592" spans="2:4" ht="20.25" customHeight="1" x14ac:dyDescent="0.25">
      <c r="B592" s="108" t="s">
        <v>2850</v>
      </c>
      <c r="C592" s="138" t="s">
        <v>2851</v>
      </c>
      <c r="D592" s="134" t="s">
        <v>24</v>
      </c>
    </row>
    <row r="593" spans="2:4" ht="20.25" customHeight="1" x14ac:dyDescent="0.25">
      <c r="B593" s="108" t="s">
        <v>2852</v>
      </c>
      <c r="C593" s="146" t="s">
        <v>2853</v>
      </c>
      <c r="D593" s="134" t="s">
        <v>24</v>
      </c>
    </row>
    <row r="594" spans="2:4" ht="20.25" customHeight="1" x14ac:dyDescent="0.25">
      <c r="B594" s="108" t="s">
        <v>2854</v>
      </c>
      <c r="C594" s="138" t="s">
        <v>2855</v>
      </c>
      <c r="D594" s="134" t="s">
        <v>24</v>
      </c>
    </row>
    <row r="595" spans="2:4" ht="20.25" customHeight="1" x14ac:dyDescent="0.25">
      <c r="B595" s="108" t="s">
        <v>2856</v>
      </c>
      <c r="C595" s="138" t="s">
        <v>2857</v>
      </c>
      <c r="D595" s="134" t="s">
        <v>24</v>
      </c>
    </row>
    <row r="596" spans="2:4" ht="20.25" customHeight="1" x14ac:dyDescent="0.25">
      <c r="B596" s="108" t="s">
        <v>2858</v>
      </c>
      <c r="C596" s="138" t="s">
        <v>2859</v>
      </c>
      <c r="D596" s="134" t="s">
        <v>24</v>
      </c>
    </row>
    <row r="597" spans="2:4" ht="20.25" customHeight="1" x14ac:dyDescent="0.25">
      <c r="B597" s="108" t="s">
        <v>2860</v>
      </c>
      <c r="C597" s="138" t="s">
        <v>100</v>
      </c>
      <c r="D597" s="134" t="s">
        <v>24</v>
      </c>
    </row>
    <row r="598" spans="2:4" ht="20.25" customHeight="1" x14ac:dyDescent="0.25">
      <c r="B598" s="108" t="s">
        <v>2861</v>
      </c>
      <c r="C598" s="138" t="s">
        <v>100</v>
      </c>
      <c r="D598" s="134" t="s">
        <v>24</v>
      </c>
    </row>
    <row r="599" spans="2:4" ht="20.25" customHeight="1" x14ac:dyDescent="0.25">
      <c r="B599" s="108" t="s">
        <v>2862</v>
      </c>
      <c r="C599" s="138" t="s">
        <v>2863</v>
      </c>
      <c r="D599" s="134" t="s">
        <v>24</v>
      </c>
    </row>
    <row r="600" spans="2:4" ht="20.25" customHeight="1" x14ac:dyDescent="0.25">
      <c r="B600" s="108" t="s">
        <v>2864</v>
      </c>
      <c r="C600" s="138" t="s">
        <v>2865</v>
      </c>
      <c r="D600" s="134" t="s">
        <v>24</v>
      </c>
    </row>
    <row r="601" spans="2:4" ht="20.25" customHeight="1" x14ac:dyDescent="0.25">
      <c r="B601" s="108" t="s">
        <v>2866</v>
      </c>
      <c r="C601" s="138" t="s">
        <v>2857</v>
      </c>
      <c r="D601" s="139">
        <v>44910</v>
      </c>
    </row>
    <row r="602" spans="2:4" ht="20.25" customHeight="1" x14ac:dyDescent="0.25">
      <c r="B602" s="108" t="s">
        <v>1867</v>
      </c>
      <c r="C602" s="138" t="s">
        <v>2867</v>
      </c>
      <c r="D602" s="134" t="s">
        <v>24</v>
      </c>
    </row>
    <row r="603" spans="2:4" ht="20.25" customHeight="1" x14ac:dyDescent="0.25">
      <c r="B603" s="108" t="s">
        <v>2868</v>
      </c>
      <c r="C603" s="138" t="s">
        <v>2869</v>
      </c>
      <c r="D603" s="139">
        <v>44910</v>
      </c>
    </row>
    <row r="604" spans="2:4" ht="20.25" customHeight="1" x14ac:dyDescent="0.25">
      <c r="B604" s="108" t="s">
        <v>2870</v>
      </c>
      <c r="C604" s="138" t="s">
        <v>2871</v>
      </c>
      <c r="D604" s="134" t="s">
        <v>24</v>
      </c>
    </row>
    <row r="605" spans="2:4" ht="20.25" customHeight="1" x14ac:dyDescent="0.25">
      <c r="B605" s="108" t="s">
        <v>2872</v>
      </c>
      <c r="C605" s="138" t="s">
        <v>2873</v>
      </c>
      <c r="D605" s="139">
        <v>44910</v>
      </c>
    </row>
    <row r="606" spans="2:4" ht="20.25" customHeight="1" x14ac:dyDescent="0.25">
      <c r="B606" s="108" t="s">
        <v>2874</v>
      </c>
      <c r="C606" s="138" t="s">
        <v>2875</v>
      </c>
      <c r="D606" s="134" t="s">
        <v>24</v>
      </c>
    </row>
    <row r="607" spans="2:4" ht="20.25" customHeight="1" x14ac:dyDescent="0.25">
      <c r="B607" s="112" t="s">
        <v>2876</v>
      </c>
      <c r="C607" s="138" t="s">
        <v>2877</v>
      </c>
      <c r="D607" s="134" t="s">
        <v>24</v>
      </c>
    </row>
    <row r="608" spans="2:4" ht="20.25" customHeight="1" x14ac:dyDescent="0.25">
      <c r="B608" s="108" t="s">
        <v>2878</v>
      </c>
      <c r="C608" s="138" t="s">
        <v>2879</v>
      </c>
      <c r="D608" s="134" t="s">
        <v>24</v>
      </c>
    </row>
    <row r="609" spans="2:4" ht="20.25" customHeight="1" x14ac:dyDescent="0.25">
      <c r="B609" s="108" t="s">
        <v>2880</v>
      </c>
      <c r="C609" s="138" t="s">
        <v>2881</v>
      </c>
      <c r="D609" s="134" t="s">
        <v>24</v>
      </c>
    </row>
    <row r="610" spans="2:4" ht="20.25" customHeight="1" x14ac:dyDescent="0.25">
      <c r="B610" s="108" t="s">
        <v>1842</v>
      </c>
      <c r="C610" s="138" t="s">
        <v>2882</v>
      </c>
      <c r="D610" s="144">
        <v>45065</v>
      </c>
    </row>
    <row r="611" spans="2:4" ht="20.25" customHeight="1" x14ac:dyDescent="0.25">
      <c r="B611" s="108" t="s">
        <v>2883</v>
      </c>
      <c r="C611" s="138" t="s">
        <v>2884</v>
      </c>
      <c r="D611" s="144">
        <v>45148</v>
      </c>
    </row>
    <row r="612" spans="2:4" ht="20.25" customHeight="1" x14ac:dyDescent="0.25">
      <c r="B612" s="108" t="s">
        <v>2885</v>
      </c>
      <c r="C612" s="138" t="s">
        <v>2886</v>
      </c>
      <c r="D612" s="139">
        <v>44910</v>
      </c>
    </row>
    <row r="613" spans="2:4" ht="20.25" customHeight="1" x14ac:dyDescent="0.25">
      <c r="B613" s="108" t="s">
        <v>2887</v>
      </c>
      <c r="C613" s="138" t="s">
        <v>2888</v>
      </c>
      <c r="D613" s="161">
        <v>45040</v>
      </c>
    </row>
    <row r="614" spans="2:4" ht="20.25" customHeight="1" x14ac:dyDescent="0.25">
      <c r="B614" s="108" t="s">
        <v>2889</v>
      </c>
      <c r="C614" s="138" t="s">
        <v>2890</v>
      </c>
      <c r="D614" s="134" t="s">
        <v>24</v>
      </c>
    </row>
    <row r="615" spans="2:4" ht="20.25" customHeight="1" x14ac:dyDescent="0.25">
      <c r="B615" s="108" t="s">
        <v>2891</v>
      </c>
      <c r="C615" s="138" t="s">
        <v>2892</v>
      </c>
      <c r="D615" s="144">
        <v>45065</v>
      </c>
    </row>
    <row r="616" spans="2:4" ht="20.25" customHeight="1" x14ac:dyDescent="0.25">
      <c r="B616" s="108" t="s">
        <v>2893</v>
      </c>
      <c r="C616" s="146" t="s">
        <v>2894</v>
      </c>
      <c r="D616" s="134" t="s">
        <v>24</v>
      </c>
    </row>
    <row r="617" spans="2:4" ht="20.25" customHeight="1" x14ac:dyDescent="0.25">
      <c r="B617" s="108" t="s">
        <v>2895</v>
      </c>
      <c r="C617" s="138" t="s">
        <v>2896</v>
      </c>
      <c r="D617" s="161">
        <v>45040</v>
      </c>
    </row>
    <row r="618" spans="2:4" ht="20.25" customHeight="1" x14ac:dyDescent="0.25">
      <c r="B618" s="108" t="s">
        <v>2897</v>
      </c>
      <c r="C618" s="138" t="s">
        <v>2898</v>
      </c>
      <c r="D618" s="139">
        <v>44923</v>
      </c>
    </row>
    <row r="619" spans="2:4" ht="20.25" customHeight="1" x14ac:dyDescent="0.25">
      <c r="B619" s="108" t="s">
        <v>2899</v>
      </c>
      <c r="C619" s="138" t="s">
        <v>2900</v>
      </c>
      <c r="D619" s="144">
        <v>45065</v>
      </c>
    </row>
    <row r="620" spans="2:4" ht="20.25" customHeight="1" x14ac:dyDescent="0.25">
      <c r="B620" s="108" t="s">
        <v>2901</v>
      </c>
      <c r="C620" s="138" t="s">
        <v>2902</v>
      </c>
      <c r="D620" s="134" t="s">
        <v>24</v>
      </c>
    </row>
    <row r="621" spans="2:4" ht="20.25" customHeight="1" x14ac:dyDescent="0.25">
      <c r="B621" s="108" t="s">
        <v>2903</v>
      </c>
      <c r="C621" s="138" t="s">
        <v>2904</v>
      </c>
      <c r="D621" s="134" t="s">
        <v>24</v>
      </c>
    </row>
    <row r="622" spans="2:4" ht="20.25" customHeight="1" x14ac:dyDescent="0.25">
      <c r="B622" s="108" t="s">
        <v>2905</v>
      </c>
      <c r="C622" s="146" t="s">
        <v>2906</v>
      </c>
      <c r="D622" s="139">
        <v>44910</v>
      </c>
    </row>
    <row r="623" spans="2:4" ht="20.25" customHeight="1" x14ac:dyDescent="0.25">
      <c r="B623" s="108" t="s">
        <v>2907</v>
      </c>
      <c r="C623" s="138" t="s">
        <v>2908</v>
      </c>
      <c r="D623" s="139">
        <v>44923</v>
      </c>
    </row>
    <row r="624" spans="2:4" ht="20.25" customHeight="1" x14ac:dyDescent="0.25">
      <c r="B624" s="108" t="s">
        <v>2909</v>
      </c>
      <c r="C624" s="138" t="s">
        <v>2910</v>
      </c>
      <c r="D624" s="139">
        <v>44910</v>
      </c>
    </row>
    <row r="625" spans="2:4" ht="20.25" customHeight="1" x14ac:dyDescent="0.25">
      <c r="B625" s="107" t="s">
        <v>1872</v>
      </c>
      <c r="C625" s="138" t="s">
        <v>2911</v>
      </c>
      <c r="D625" s="139">
        <v>44869</v>
      </c>
    </row>
    <row r="626" spans="2:4" ht="20.25" customHeight="1" x14ac:dyDescent="0.25">
      <c r="B626" s="108" t="s">
        <v>2912</v>
      </c>
      <c r="C626" s="138" t="s">
        <v>2913</v>
      </c>
      <c r="D626" s="139">
        <v>44910</v>
      </c>
    </row>
    <row r="627" spans="2:4" ht="20.25" customHeight="1" x14ac:dyDescent="0.25">
      <c r="B627" s="108" t="s">
        <v>2914</v>
      </c>
      <c r="C627" s="138" t="s">
        <v>2915</v>
      </c>
      <c r="D627" s="134"/>
    </row>
    <row r="628" spans="2:4" ht="20.25" customHeight="1" x14ac:dyDescent="0.25">
      <c r="B628" s="108" t="s">
        <v>2916</v>
      </c>
      <c r="C628" s="138" t="s">
        <v>2917</v>
      </c>
      <c r="D628" s="139">
        <v>44910</v>
      </c>
    </row>
    <row r="629" spans="2:4" ht="20.25" customHeight="1" x14ac:dyDescent="0.25">
      <c r="B629" s="108" t="s">
        <v>1931</v>
      </c>
      <c r="C629" s="138" t="s">
        <v>2918</v>
      </c>
      <c r="D629" s="134" t="s">
        <v>24</v>
      </c>
    </row>
    <row r="630" spans="2:4" ht="20.25" customHeight="1" x14ac:dyDescent="0.25">
      <c r="B630" s="108" t="s">
        <v>2919</v>
      </c>
      <c r="C630" s="138" t="s">
        <v>2920</v>
      </c>
      <c r="D630" s="139">
        <v>44923</v>
      </c>
    </row>
    <row r="631" spans="2:4" ht="20.25" customHeight="1" x14ac:dyDescent="0.25">
      <c r="B631" s="108" t="s">
        <v>2921</v>
      </c>
      <c r="C631" s="138" t="s">
        <v>2922</v>
      </c>
      <c r="D631" s="139">
        <v>44910</v>
      </c>
    </row>
    <row r="632" spans="2:4" ht="20.25" customHeight="1" x14ac:dyDescent="0.25">
      <c r="B632" s="108" t="s">
        <v>2923</v>
      </c>
      <c r="C632" s="138" t="s">
        <v>2924</v>
      </c>
      <c r="D632" s="139">
        <v>44910</v>
      </c>
    </row>
    <row r="633" spans="2:4" ht="20.25" customHeight="1" x14ac:dyDescent="0.25">
      <c r="B633" s="108" t="s">
        <v>2925</v>
      </c>
      <c r="C633" s="138" t="s">
        <v>2926</v>
      </c>
      <c r="D633" s="134"/>
    </row>
    <row r="634" spans="2:4" ht="20.25" customHeight="1" x14ac:dyDescent="0.25">
      <c r="B634" s="108" t="s">
        <v>2927</v>
      </c>
      <c r="C634" s="138" t="s">
        <v>2928</v>
      </c>
      <c r="D634" s="149"/>
    </row>
    <row r="635" spans="2:4" ht="20.25" customHeight="1" x14ac:dyDescent="0.25">
      <c r="B635" s="108" t="s">
        <v>1864</v>
      </c>
      <c r="C635" s="138" t="s">
        <v>2929</v>
      </c>
      <c r="D635" s="149"/>
    </row>
    <row r="636" spans="2:4" ht="20.25" customHeight="1" x14ac:dyDescent="0.25">
      <c r="B636" s="108" t="s">
        <v>2930</v>
      </c>
      <c r="C636" s="138" t="s">
        <v>2931</v>
      </c>
      <c r="D636" s="149"/>
    </row>
    <row r="637" spans="2:4" ht="20.25" customHeight="1" x14ac:dyDescent="0.25">
      <c r="B637" s="108" t="s">
        <v>2932</v>
      </c>
      <c r="C637" s="138" t="s">
        <v>2933</v>
      </c>
      <c r="D637" s="149"/>
    </row>
    <row r="638" spans="2:4" ht="20.25" customHeight="1" x14ac:dyDescent="0.25">
      <c r="B638" s="108" t="s">
        <v>2934</v>
      </c>
      <c r="C638" s="138" t="s">
        <v>2935</v>
      </c>
      <c r="D638" s="149"/>
    </row>
    <row r="639" spans="2:4" ht="20.25" customHeight="1" x14ac:dyDescent="0.25">
      <c r="B639" s="108" t="s">
        <v>2936</v>
      </c>
      <c r="C639" s="138" t="s">
        <v>2937</v>
      </c>
      <c r="D639" s="149"/>
    </row>
    <row r="640" spans="2:4" ht="20.25" customHeight="1" x14ac:dyDescent="0.25">
      <c r="B640" s="108" t="s">
        <v>2938</v>
      </c>
      <c r="C640" s="146" t="s">
        <v>2939</v>
      </c>
      <c r="D640" s="149"/>
    </row>
    <row r="641" spans="2:4" ht="20.25" customHeight="1" x14ac:dyDescent="0.25">
      <c r="B641" s="108" t="s">
        <v>1874</v>
      </c>
      <c r="C641" s="146" t="s">
        <v>2940</v>
      </c>
      <c r="D641" s="149"/>
    </row>
    <row r="642" spans="2:4" ht="20.25" customHeight="1" x14ac:dyDescent="0.25">
      <c r="B642" s="108" t="s">
        <v>2941</v>
      </c>
      <c r="C642" s="138" t="s">
        <v>2937</v>
      </c>
      <c r="D642" s="149"/>
    </row>
    <row r="643" spans="2:4" ht="20.25" customHeight="1" x14ac:dyDescent="0.25">
      <c r="B643" s="108" t="s">
        <v>2942</v>
      </c>
      <c r="C643" s="146" t="s">
        <v>2943</v>
      </c>
      <c r="D643" s="149"/>
    </row>
    <row r="644" spans="2:4" ht="20.25" customHeight="1" x14ac:dyDescent="0.25">
      <c r="B644" s="112" t="s">
        <v>2944</v>
      </c>
      <c r="C644" s="146" t="s">
        <v>2940</v>
      </c>
      <c r="D644" s="149"/>
    </row>
    <row r="645" spans="2:4" ht="20.25" customHeight="1" x14ac:dyDescent="0.25">
      <c r="B645" s="108" t="s">
        <v>2945</v>
      </c>
      <c r="C645" s="146" t="s">
        <v>2940</v>
      </c>
      <c r="D645" s="149"/>
    </row>
    <row r="646" spans="2:4" ht="20.25" customHeight="1" x14ac:dyDescent="0.25">
      <c r="B646" s="108" t="s">
        <v>2946</v>
      </c>
      <c r="C646" s="146" t="s">
        <v>2943</v>
      </c>
      <c r="D646" s="149"/>
    </row>
    <row r="647" spans="2:4" ht="20.25" customHeight="1" x14ac:dyDescent="0.25">
      <c r="B647" s="112" t="s">
        <v>1876</v>
      </c>
      <c r="C647" s="146" t="s">
        <v>2947</v>
      </c>
      <c r="D647" s="149"/>
    </row>
    <row r="648" spans="2:4" ht="20.25" customHeight="1" x14ac:dyDescent="0.25">
      <c r="B648" s="108" t="s">
        <v>2948</v>
      </c>
      <c r="C648" s="146" t="s">
        <v>2949</v>
      </c>
      <c r="D648" s="149"/>
    </row>
    <row r="649" spans="2:4" ht="20.25" customHeight="1" x14ac:dyDescent="0.25">
      <c r="B649" s="108" t="s">
        <v>2950</v>
      </c>
      <c r="C649" s="146" t="s">
        <v>2951</v>
      </c>
      <c r="D649" s="149"/>
    </row>
    <row r="650" spans="2:4" ht="20.25" customHeight="1" x14ac:dyDescent="0.25">
      <c r="B650" s="108" t="s">
        <v>2952</v>
      </c>
      <c r="C650" s="146" t="s">
        <v>2559</v>
      </c>
      <c r="D650" s="149"/>
    </row>
    <row r="651" spans="2:4" ht="20.25" customHeight="1" x14ac:dyDescent="0.25">
      <c r="B651" s="108" t="s">
        <v>2953</v>
      </c>
      <c r="C651" s="146" t="s">
        <v>2559</v>
      </c>
      <c r="D651" s="149"/>
    </row>
    <row r="652" spans="2:4" ht="20.25" customHeight="1" x14ac:dyDescent="0.25">
      <c r="B652" s="112" t="s">
        <v>2954</v>
      </c>
      <c r="C652" s="138" t="s">
        <v>2955</v>
      </c>
      <c r="D652" s="149"/>
    </row>
    <row r="653" spans="2:4" ht="20.25" customHeight="1" x14ac:dyDescent="0.25">
      <c r="B653" s="108" t="s">
        <v>2956</v>
      </c>
      <c r="C653" s="146" t="s">
        <v>2957</v>
      </c>
      <c r="D653" s="149"/>
    </row>
    <row r="654" spans="2:4" ht="20.25" customHeight="1" x14ac:dyDescent="0.25">
      <c r="B654" s="108" t="s">
        <v>2958</v>
      </c>
      <c r="C654" s="146" t="s">
        <v>2959</v>
      </c>
      <c r="D654" s="149"/>
    </row>
    <row r="655" spans="2:4" ht="20.25" customHeight="1" x14ac:dyDescent="0.25">
      <c r="B655" s="119" t="s">
        <v>1933</v>
      </c>
      <c r="C655" s="146" t="s">
        <v>2960</v>
      </c>
      <c r="D655" s="149"/>
    </row>
    <row r="656" spans="2:4" ht="20.25" customHeight="1" x14ac:dyDescent="0.25">
      <c r="B656" s="112" t="s">
        <v>2961</v>
      </c>
      <c r="C656" s="138" t="s">
        <v>2962</v>
      </c>
      <c r="D656" s="134" t="s">
        <v>24</v>
      </c>
    </row>
    <row r="657" spans="2:4" ht="20.25" customHeight="1" x14ac:dyDescent="0.25">
      <c r="B657" s="108" t="s">
        <v>2963</v>
      </c>
      <c r="C657" s="146" t="s">
        <v>2559</v>
      </c>
      <c r="D657" s="134" t="s">
        <v>24</v>
      </c>
    </row>
    <row r="658" spans="2:4" ht="20.25" customHeight="1" x14ac:dyDescent="0.25">
      <c r="B658" s="108" t="s">
        <v>1935</v>
      </c>
      <c r="C658" s="146" t="s">
        <v>2559</v>
      </c>
      <c r="D658" s="134" t="s">
        <v>24</v>
      </c>
    </row>
    <row r="659" spans="2:4" ht="20.25" customHeight="1" x14ac:dyDescent="0.25">
      <c r="B659" s="108" t="s">
        <v>1937</v>
      </c>
      <c r="C659" s="146" t="s">
        <v>2559</v>
      </c>
      <c r="D659" s="149" t="s">
        <v>24</v>
      </c>
    </row>
    <row r="660" spans="2:4" ht="20.25" customHeight="1" x14ac:dyDescent="0.25">
      <c r="B660" s="108" t="s">
        <v>1855</v>
      </c>
      <c r="C660" s="138" t="s">
        <v>2964</v>
      </c>
      <c r="D660" s="149"/>
    </row>
    <row r="661" spans="2:4" ht="20.25" customHeight="1" x14ac:dyDescent="0.25">
      <c r="B661" s="108" t="s">
        <v>1939</v>
      </c>
      <c r="C661" s="138" t="s">
        <v>2965</v>
      </c>
      <c r="D661" s="149"/>
    </row>
    <row r="662" spans="2:4" ht="20.25" customHeight="1" x14ac:dyDescent="0.25">
      <c r="B662" s="108" t="s">
        <v>2966</v>
      </c>
      <c r="C662" s="138" t="s">
        <v>2967</v>
      </c>
      <c r="D662" s="149"/>
    </row>
    <row r="663" spans="2:4" ht="20.25" customHeight="1" x14ac:dyDescent="0.25">
      <c r="B663" s="108" t="s">
        <v>2968</v>
      </c>
      <c r="C663" s="146" t="s">
        <v>2969</v>
      </c>
      <c r="D663" s="149"/>
    </row>
    <row r="664" spans="2:4" ht="20.25" customHeight="1" x14ac:dyDescent="0.25">
      <c r="B664" s="108" t="s">
        <v>1827</v>
      </c>
      <c r="C664" s="138" t="s">
        <v>2970</v>
      </c>
      <c r="D664" s="149"/>
    </row>
    <row r="665" spans="2:4" ht="20.25" customHeight="1" x14ac:dyDescent="0.25">
      <c r="B665" s="108" t="s">
        <v>1877</v>
      </c>
      <c r="C665" s="138" t="s">
        <v>2971</v>
      </c>
      <c r="D665" s="149"/>
    </row>
    <row r="666" spans="2:4" ht="20.25" customHeight="1" x14ac:dyDescent="0.25">
      <c r="B666" s="108" t="s">
        <v>2972</v>
      </c>
      <c r="C666" s="146" t="s">
        <v>2973</v>
      </c>
      <c r="D666" s="149"/>
    </row>
    <row r="667" spans="2:4" ht="20.25" customHeight="1" x14ac:dyDescent="0.25">
      <c r="B667" s="108" t="s">
        <v>2974</v>
      </c>
      <c r="C667" s="146" t="s">
        <v>2975</v>
      </c>
      <c r="D667" s="149"/>
    </row>
    <row r="668" spans="2:4" ht="20.25" customHeight="1" x14ac:dyDescent="0.25">
      <c r="B668" s="108" t="s">
        <v>2976</v>
      </c>
      <c r="C668" s="138" t="s">
        <v>2977</v>
      </c>
      <c r="D668" s="149"/>
    </row>
    <row r="669" spans="2:4" ht="20.25" customHeight="1" x14ac:dyDescent="0.25">
      <c r="B669" s="108" t="s">
        <v>2978</v>
      </c>
      <c r="C669" s="146" t="s">
        <v>2559</v>
      </c>
      <c r="D669" s="149"/>
    </row>
    <row r="670" spans="2:4" ht="20.25" customHeight="1" x14ac:dyDescent="0.25">
      <c r="B670" s="108" t="s">
        <v>2979</v>
      </c>
      <c r="C670" s="146" t="s">
        <v>2980</v>
      </c>
      <c r="D670" s="149"/>
    </row>
    <row r="671" spans="2:4" ht="20.25" customHeight="1" x14ac:dyDescent="0.25">
      <c r="B671" s="108" t="s">
        <v>2981</v>
      </c>
      <c r="C671" s="138" t="s">
        <v>2982</v>
      </c>
      <c r="D671" s="149"/>
    </row>
    <row r="672" spans="2:4" ht="20.25" customHeight="1" x14ac:dyDescent="0.25">
      <c r="B672" s="108" t="s">
        <v>2983</v>
      </c>
      <c r="C672" s="146" t="s">
        <v>2984</v>
      </c>
      <c r="D672" s="149"/>
    </row>
    <row r="673" spans="2:4" ht="20.25" customHeight="1" x14ac:dyDescent="0.25">
      <c r="B673" s="108" t="s">
        <v>1940</v>
      </c>
      <c r="C673" s="146" t="s">
        <v>366</v>
      </c>
      <c r="D673" s="149"/>
    </row>
    <row r="674" spans="2:4" ht="20.25" customHeight="1" x14ac:dyDescent="0.25">
      <c r="B674" s="108" t="s">
        <v>2985</v>
      </c>
      <c r="C674" s="138" t="s">
        <v>2986</v>
      </c>
      <c r="D674" s="149"/>
    </row>
    <row r="675" spans="2:4" ht="20.25" customHeight="1" x14ac:dyDescent="0.25">
      <c r="B675" s="108" t="s">
        <v>2987</v>
      </c>
      <c r="C675" s="138" t="s">
        <v>2988</v>
      </c>
      <c r="D675" s="161">
        <v>45040</v>
      </c>
    </row>
    <row r="676" spans="2:4" ht="20.25" customHeight="1" x14ac:dyDescent="0.25">
      <c r="B676" s="108" t="s">
        <v>2989</v>
      </c>
      <c r="C676" s="146" t="s">
        <v>2559</v>
      </c>
      <c r="D676" s="149"/>
    </row>
    <row r="677" spans="2:4" ht="20.25" customHeight="1" x14ac:dyDescent="0.25">
      <c r="B677" s="108" t="s">
        <v>2990</v>
      </c>
      <c r="C677" s="146" t="s">
        <v>2559</v>
      </c>
      <c r="D677" s="149"/>
    </row>
    <row r="678" spans="2:4" ht="20.25" customHeight="1" x14ac:dyDescent="0.25">
      <c r="B678" s="108" t="s">
        <v>2991</v>
      </c>
      <c r="C678" s="146" t="s">
        <v>2992</v>
      </c>
      <c r="D678" s="134"/>
    </row>
    <row r="679" spans="2:4" ht="20.25" customHeight="1" x14ac:dyDescent="0.25">
      <c r="B679" s="108" t="s">
        <v>2993</v>
      </c>
      <c r="C679" s="138" t="s">
        <v>2994</v>
      </c>
      <c r="D679" s="149"/>
    </row>
    <row r="680" spans="2:4" ht="20.25" customHeight="1" x14ac:dyDescent="0.25">
      <c r="B680" s="108" t="s">
        <v>2995</v>
      </c>
      <c r="C680" s="138" t="s">
        <v>2996</v>
      </c>
      <c r="D680" s="149"/>
    </row>
    <row r="681" spans="2:4" ht="20.25" customHeight="1" x14ac:dyDescent="0.25">
      <c r="B681" s="108" t="s">
        <v>2997</v>
      </c>
      <c r="C681" s="146" t="s">
        <v>2998</v>
      </c>
      <c r="D681" s="139">
        <v>44922</v>
      </c>
    </row>
    <row r="682" spans="2:4" ht="20.25" customHeight="1" x14ac:dyDescent="0.25">
      <c r="B682" s="108" t="s">
        <v>2999</v>
      </c>
      <c r="C682" s="138" t="s">
        <v>3000</v>
      </c>
      <c r="D682" s="149"/>
    </row>
    <row r="683" spans="2:4" ht="20.25" customHeight="1" x14ac:dyDescent="0.25">
      <c r="B683" s="108" t="s">
        <v>3001</v>
      </c>
      <c r="C683" s="138" t="s">
        <v>366</v>
      </c>
      <c r="D683" s="149"/>
    </row>
    <row r="684" spans="2:4" ht="20.25" customHeight="1" x14ac:dyDescent="0.25">
      <c r="B684" s="108" t="s">
        <v>3002</v>
      </c>
      <c r="C684" s="146" t="s">
        <v>3003</v>
      </c>
      <c r="D684" s="149"/>
    </row>
    <row r="685" spans="2:4" ht="20.25" customHeight="1" x14ac:dyDescent="0.25">
      <c r="B685" s="108" t="s">
        <v>3004</v>
      </c>
      <c r="C685" s="138" t="s">
        <v>3005</v>
      </c>
      <c r="D685" s="149"/>
    </row>
    <row r="686" spans="2:4" ht="20.25" customHeight="1" x14ac:dyDescent="0.25">
      <c r="B686" s="108" t="s">
        <v>1878</v>
      </c>
      <c r="C686" s="146" t="s">
        <v>3006</v>
      </c>
      <c r="D686" s="149" t="s">
        <v>24</v>
      </c>
    </row>
    <row r="687" spans="2:4" ht="20.25" customHeight="1" x14ac:dyDescent="0.25">
      <c r="B687" s="108" t="s">
        <v>3007</v>
      </c>
      <c r="C687" s="180" t="s">
        <v>3008</v>
      </c>
      <c r="D687" s="149" t="s">
        <v>24</v>
      </c>
    </row>
    <row r="688" spans="2:4" ht="20.25" customHeight="1" x14ac:dyDescent="0.25">
      <c r="B688" s="108" t="s">
        <v>3009</v>
      </c>
      <c r="C688" s="146" t="s">
        <v>2559</v>
      </c>
      <c r="D688" s="149"/>
    </row>
    <row r="689" spans="2:4" ht="20.25" customHeight="1" x14ac:dyDescent="0.25">
      <c r="B689" s="108" t="s">
        <v>3010</v>
      </c>
      <c r="C689" s="146" t="s">
        <v>3011</v>
      </c>
      <c r="D689" s="149" t="s">
        <v>24</v>
      </c>
    </row>
    <row r="690" spans="2:4" ht="20.25" customHeight="1" x14ac:dyDescent="0.25">
      <c r="B690" s="108" t="s">
        <v>1859</v>
      </c>
      <c r="C690" s="138" t="s">
        <v>3012</v>
      </c>
      <c r="D690" s="149"/>
    </row>
    <row r="691" spans="2:4" ht="20.25" customHeight="1" x14ac:dyDescent="0.25">
      <c r="B691" s="108" t="s">
        <v>3013</v>
      </c>
      <c r="C691" s="138" t="s">
        <v>3014</v>
      </c>
      <c r="D691" s="149"/>
    </row>
    <row r="692" spans="2:4" ht="20.25" customHeight="1" x14ac:dyDescent="0.25">
      <c r="B692" s="108" t="s">
        <v>3015</v>
      </c>
      <c r="C692" s="180" t="s">
        <v>3016</v>
      </c>
      <c r="D692" s="149"/>
    </row>
    <row r="693" spans="2:4" ht="20.25" customHeight="1" x14ac:dyDescent="0.25">
      <c r="B693" s="108" t="s">
        <v>3017</v>
      </c>
      <c r="C693" s="138" t="s">
        <v>3018</v>
      </c>
      <c r="D693" s="134" t="s">
        <v>24</v>
      </c>
    </row>
    <row r="694" spans="2:4" ht="20.25" customHeight="1" x14ac:dyDescent="0.25">
      <c r="B694" s="108" t="s">
        <v>3019</v>
      </c>
      <c r="C694" s="146" t="s">
        <v>3020</v>
      </c>
      <c r="D694" s="161">
        <v>45040</v>
      </c>
    </row>
    <row r="695" spans="2:4" ht="20.25" customHeight="1" x14ac:dyDescent="0.25">
      <c r="B695" s="108" t="s">
        <v>3021</v>
      </c>
      <c r="C695" s="146" t="s">
        <v>3022</v>
      </c>
      <c r="D695" s="149"/>
    </row>
    <row r="696" spans="2:4" ht="20.25" customHeight="1" x14ac:dyDescent="0.25">
      <c r="B696" s="108" t="s">
        <v>3023</v>
      </c>
      <c r="C696" s="138" t="s">
        <v>3022</v>
      </c>
      <c r="D696" s="134" t="s">
        <v>24</v>
      </c>
    </row>
    <row r="697" spans="2:4" ht="20.25" customHeight="1" x14ac:dyDescent="0.25">
      <c r="B697" s="108" t="s">
        <v>3024</v>
      </c>
      <c r="C697" s="138" t="s">
        <v>3025</v>
      </c>
      <c r="D697" s="144">
        <v>45148</v>
      </c>
    </row>
    <row r="698" spans="2:4" ht="20.25" customHeight="1" x14ac:dyDescent="0.25">
      <c r="B698" s="108" t="s">
        <v>3026</v>
      </c>
      <c r="C698" s="146" t="s">
        <v>3027</v>
      </c>
      <c r="D698" s="149"/>
    </row>
    <row r="699" spans="2:4" ht="20.25" customHeight="1" x14ac:dyDescent="0.25">
      <c r="B699" s="108" t="s">
        <v>3028</v>
      </c>
      <c r="C699" s="146" t="s">
        <v>3029</v>
      </c>
      <c r="D699" s="144">
        <v>45049</v>
      </c>
    </row>
    <row r="700" spans="2:4" ht="20.25" customHeight="1" x14ac:dyDescent="0.25">
      <c r="B700" s="108" t="s">
        <v>3030</v>
      </c>
      <c r="C700" s="138" t="s">
        <v>3031</v>
      </c>
      <c r="D700" s="134" t="s">
        <v>24</v>
      </c>
    </row>
    <row r="701" spans="2:4" ht="20.25" customHeight="1" x14ac:dyDescent="0.25">
      <c r="B701" s="108" t="s">
        <v>3032</v>
      </c>
      <c r="C701" s="146" t="s">
        <v>3033</v>
      </c>
      <c r="D701" s="149" t="s">
        <v>24</v>
      </c>
    </row>
    <row r="702" spans="2:4" ht="20.25" customHeight="1" x14ac:dyDescent="0.25">
      <c r="B702" s="108" t="s">
        <v>3034</v>
      </c>
      <c r="C702" s="138" t="s">
        <v>3035</v>
      </c>
      <c r="D702" s="149"/>
    </row>
    <row r="703" spans="2:4" ht="20.25" customHeight="1" x14ac:dyDescent="0.25">
      <c r="B703" s="108" t="s">
        <v>3036</v>
      </c>
      <c r="C703" s="146" t="s">
        <v>3037</v>
      </c>
      <c r="D703" s="149"/>
    </row>
    <row r="704" spans="2:4" ht="20.25" customHeight="1" x14ac:dyDescent="0.25">
      <c r="B704" s="108" t="s">
        <v>3038</v>
      </c>
      <c r="C704" s="138" t="s">
        <v>3039</v>
      </c>
      <c r="D704" s="144">
        <v>45049</v>
      </c>
    </row>
    <row r="705" spans="2:4" ht="20.25" customHeight="1" x14ac:dyDescent="0.25">
      <c r="B705" s="108" t="s">
        <v>3040</v>
      </c>
      <c r="C705" s="138" t="s">
        <v>3041</v>
      </c>
      <c r="D705" s="139">
        <v>45058</v>
      </c>
    </row>
    <row r="706" spans="2:4" ht="20.25" customHeight="1" x14ac:dyDescent="0.25">
      <c r="B706" s="108" t="s">
        <v>3042</v>
      </c>
      <c r="C706" s="146" t="s">
        <v>3043</v>
      </c>
      <c r="D706" s="149"/>
    </row>
    <row r="707" spans="2:4" ht="20.25" customHeight="1" x14ac:dyDescent="0.25">
      <c r="B707" s="108" t="s">
        <v>3044</v>
      </c>
      <c r="C707" s="146" t="s">
        <v>2559</v>
      </c>
      <c r="D707" s="161">
        <v>45040</v>
      </c>
    </row>
    <row r="708" spans="2:4" ht="20.25" customHeight="1" x14ac:dyDescent="0.25">
      <c r="B708" s="108" t="s">
        <v>3045</v>
      </c>
      <c r="C708" s="146" t="s">
        <v>3046</v>
      </c>
      <c r="D708" s="149"/>
    </row>
    <row r="709" spans="2:4" ht="20.25" customHeight="1" x14ac:dyDescent="0.25">
      <c r="B709" s="108" t="s">
        <v>3047</v>
      </c>
      <c r="C709" s="146" t="s">
        <v>3048</v>
      </c>
      <c r="D709" s="134" t="s">
        <v>24</v>
      </c>
    </row>
    <row r="710" spans="2:4" ht="20.25" customHeight="1" x14ac:dyDescent="0.25">
      <c r="B710" s="108" t="s">
        <v>3049</v>
      </c>
      <c r="C710" s="146" t="s">
        <v>3050</v>
      </c>
      <c r="D710" s="149"/>
    </row>
    <row r="711" spans="2:4" ht="20.25" customHeight="1" x14ac:dyDescent="0.25">
      <c r="B711" s="108" t="s">
        <v>3051</v>
      </c>
      <c r="C711" s="138" t="s">
        <v>3052</v>
      </c>
      <c r="D711" s="149"/>
    </row>
    <row r="712" spans="2:4" ht="20.25" customHeight="1" x14ac:dyDescent="0.25">
      <c r="B712" s="108" t="s">
        <v>3053</v>
      </c>
      <c r="C712" s="146" t="s">
        <v>3054</v>
      </c>
      <c r="D712" s="149"/>
    </row>
    <row r="713" spans="2:4" ht="20.25" customHeight="1" x14ac:dyDescent="0.25">
      <c r="B713" s="108" t="s">
        <v>3055</v>
      </c>
      <c r="C713" s="138" t="s">
        <v>3056</v>
      </c>
      <c r="D713" s="134" t="s">
        <v>24</v>
      </c>
    </row>
    <row r="714" spans="2:4" ht="20.25" customHeight="1" x14ac:dyDescent="0.25">
      <c r="B714" s="108" t="s">
        <v>3057</v>
      </c>
      <c r="C714" s="138" t="s">
        <v>3058</v>
      </c>
      <c r="D714" s="149"/>
    </row>
    <row r="715" spans="2:4" ht="20.25" customHeight="1" x14ac:dyDescent="0.25">
      <c r="B715" s="108" t="s">
        <v>3059</v>
      </c>
      <c r="C715" s="146" t="s">
        <v>366</v>
      </c>
      <c r="D715" s="149"/>
    </row>
    <row r="716" spans="2:4" ht="20.25" customHeight="1" x14ac:dyDescent="0.25">
      <c r="B716" s="108" t="s">
        <v>3060</v>
      </c>
      <c r="C716" s="146" t="s">
        <v>2559</v>
      </c>
      <c r="D716" s="149"/>
    </row>
    <row r="717" spans="2:4" ht="20.25" customHeight="1" x14ac:dyDescent="0.25">
      <c r="B717" s="108" t="s">
        <v>3061</v>
      </c>
      <c r="C717" s="138" t="s">
        <v>3062</v>
      </c>
      <c r="D717" s="134" t="s">
        <v>24</v>
      </c>
    </row>
    <row r="718" spans="2:4" ht="20.25" customHeight="1" x14ac:dyDescent="0.25">
      <c r="B718" s="108" t="s">
        <v>3063</v>
      </c>
      <c r="C718" s="138" t="s">
        <v>3064</v>
      </c>
      <c r="D718" s="134" t="s">
        <v>24</v>
      </c>
    </row>
    <row r="719" spans="2:4" ht="20.25" customHeight="1" x14ac:dyDescent="0.25">
      <c r="B719" s="108" t="s">
        <v>3065</v>
      </c>
      <c r="C719" s="146" t="s">
        <v>3066</v>
      </c>
      <c r="D719" s="149"/>
    </row>
    <row r="720" spans="2:4" ht="20.25" customHeight="1" x14ac:dyDescent="0.25">
      <c r="B720" s="108" t="s">
        <v>3067</v>
      </c>
      <c r="C720" s="146" t="s">
        <v>3068</v>
      </c>
      <c r="D720" s="134" t="s">
        <v>24</v>
      </c>
    </row>
    <row r="721" spans="2:4" ht="20.25" customHeight="1" x14ac:dyDescent="0.25">
      <c r="B721" s="108" t="s">
        <v>3069</v>
      </c>
      <c r="C721" s="138" t="s">
        <v>3070</v>
      </c>
      <c r="D721" s="149"/>
    </row>
    <row r="722" spans="2:4" ht="20.25" customHeight="1" x14ac:dyDescent="0.25">
      <c r="B722" s="108" t="s">
        <v>3071</v>
      </c>
      <c r="C722" s="138" t="s">
        <v>3072</v>
      </c>
      <c r="D722" s="149"/>
    </row>
    <row r="723" spans="2:4" ht="20.25" customHeight="1" x14ac:dyDescent="0.25">
      <c r="B723" s="108" t="s">
        <v>3073</v>
      </c>
      <c r="C723" s="146" t="s">
        <v>3074</v>
      </c>
      <c r="D723" s="134" t="s">
        <v>24</v>
      </c>
    </row>
    <row r="724" spans="2:4" ht="20.25" customHeight="1" x14ac:dyDescent="0.25">
      <c r="B724" s="108" t="s">
        <v>3075</v>
      </c>
      <c r="C724" s="138" t="s">
        <v>3076</v>
      </c>
      <c r="D724" s="161">
        <v>45040</v>
      </c>
    </row>
    <row r="725" spans="2:4" ht="20.25" customHeight="1" x14ac:dyDescent="0.25">
      <c r="B725" s="108" t="s">
        <v>3077</v>
      </c>
      <c r="C725" s="138" t="s">
        <v>3078</v>
      </c>
      <c r="D725" s="149"/>
    </row>
    <row r="726" spans="2:4" ht="20.25" customHeight="1" x14ac:dyDescent="0.25">
      <c r="B726" s="108" t="s">
        <v>1942</v>
      </c>
      <c r="C726" s="138" t="s">
        <v>3079</v>
      </c>
      <c r="D726" s="134" t="s">
        <v>24</v>
      </c>
    </row>
    <row r="727" spans="2:4" ht="20.25" customHeight="1" x14ac:dyDescent="0.25">
      <c r="B727" s="108" t="s">
        <v>3080</v>
      </c>
      <c r="C727" s="138" t="s">
        <v>3081</v>
      </c>
      <c r="D727" s="139">
        <v>44923</v>
      </c>
    </row>
    <row r="728" spans="2:4" ht="20.25" customHeight="1" x14ac:dyDescent="0.25">
      <c r="B728" s="108" t="s">
        <v>3082</v>
      </c>
      <c r="C728" s="146" t="s">
        <v>3083</v>
      </c>
      <c r="D728" s="149"/>
    </row>
    <row r="729" spans="2:4" ht="20.25" customHeight="1" x14ac:dyDescent="0.25">
      <c r="B729" s="108" t="s">
        <v>3084</v>
      </c>
      <c r="C729" s="138" t="s">
        <v>2559</v>
      </c>
      <c r="D729" s="139">
        <v>44877</v>
      </c>
    </row>
    <row r="730" spans="2:4" ht="20.25" customHeight="1" x14ac:dyDescent="0.25">
      <c r="B730" s="108" t="s">
        <v>3085</v>
      </c>
      <c r="C730" s="138" t="s">
        <v>3086</v>
      </c>
      <c r="D730" s="149"/>
    </row>
    <row r="731" spans="2:4" ht="20.25" customHeight="1" x14ac:dyDescent="0.25">
      <c r="B731" s="108" t="s">
        <v>3087</v>
      </c>
      <c r="C731" s="146" t="s">
        <v>3088</v>
      </c>
      <c r="D731" s="149"/>
    </row>
    <row r="732" spans="2:4" ht="20.25" customHeight="1" x14ac:dyDescent="0.25">
      <c r="B732" s="108" t="s">
        <v>3089</v>
      </c>
      <c r="C732" s="138" t="s">
        <v>2559</v>
      </c>
      <c r="D732" s="161">
        <v>45040</v>
      </c>
    </row>
    <row r="733" spans="2:4" ht="20.25" customHeight="1" x14ac:dyDescent="0.25">
      <c r="B733" s="108" t="s">
        <v>3090</v>
      </c>
      <c r="C733" s="138" t="s">
        <v>3091</v>
      </c>
      <c r="D733" s="134" t="s">
        <v>24</v>
      </c>
    </row>
    <row r="734" spans="2:4" ht="20.25" customHeight="1" x14ac:dyDescent="0.25">
      <c r="B734" s="110" t="s">
        <v>1836</v>
      </c>
      <c r="C734" s="146" t="s">
        <v>2559</v>
      </c>
      <c r="D734" s="149"/>
    </row>
    <row r="735" spans="2:4" ht="20.25" customHeight="1" x14ac:dyDescent="0.25">
      <c r="B735" s="108" t="s">
        <v>1944</v>
      </c>
      <c r="C735" s="146" t="s">
        <v>366</v>
      </c>
      <c r="D735" s="149"/>
    </row>
    <row r="736" spans="2:4" ht="20.25" customHeight="1" x14ac:dyDescent="0.25">
      <c r="B736" s="108" t="s">
        <v>3092</v>
      </c>
      <c r="C736" s="146" t="s">
        <v>3093</v>
      </c>
      <c r="D736" s="149"/>
    </row>
    <row r="737" spans="2:4" ht="20.25" customHeight="1" x14ac:dyDescent="0.25">
      <c r="B737" s="108" t="s">
        <v>3094</v>
      </c>
      <c r="C737" s="138" t="s">
        <v>3095</v>
      </c>
      <c r="D737" s="149"/>
    </row>
    <row r="738" spans="2:4" ht="20.25" customHeight="1" x14ac:dyDescent="0.25">
      <c r="B738" s="108" t="s">
        <v>1946</v>
      </c>
      <c r="C738" s="146" t="s">
        <v>3096</v>
      </c>
      <c r="D738" s="149"/>
    </row>
    <row r="739" spans="2:4" ht="20.25" customHeight="1" x14ac:dyDescent="0.25">
      <c r="B739" s="108" t="s">
        <v>3097</v>
      </c>
      <c r="C739" s="146" t="s">
        <v>3098</v>
      </c>
      <c r="D739" s="149"/>
    </row>
    <row r="740" spans="2:4" ht="20.25" customHeight="1" x14ac:dyDescent="0.25">
      <c r="B740" s="108" t="s">
        <v>3099</v>
      </c>
      <c r="C740" s="146" t="s">
        <v>366</v>
      </c>
      <c r="D740" s="149"/>
    </row>
    <row r="741" spans="2:4" ht="20.25" customHeight="1" x14ac:dyDescent="0.25">
      <c r="B741" s="119" t="s">
        <v>1948</v>
      </c>
      <c r="C741" s="146" t="s">
        <v>366</v>
      </c>
      <c r="D741" s="149"/>
    </row>
    <row r="742" spans="2:4" ht="20.25" customHeight="1" x14ac:dyDescent="0.25">
      <c r="B742" s="108" t="s">
        <v>3100</v>
      </c>
      <c r="C742" s="146" t="s">
        <v>366</v>
      </c>
      <c r="D742" s="149"/>
    </row>
    <row r="743" spans="2:4" ht="20.25" customHeight="1" x14ac:dyDescent="0.25">
      <c r="B743" s="108" t="s">
        <v>3101</v>
      </c>
      <c r="C743" s="146" t="s">
        <v>366</v>
      </c>
      <c r="D743" s="149"/>
    </row>
    <row r="744" spans="2:4" ht="20.25" customHeight="1" x14ac:dyDescent="0.25">
      <c r="B744" s="108" t="s">
        <v>3102</v>
      </c>
      <c r="C744" s="146" t="s">
        <v>366</v>
      </c>
      <c r="D744" s="144">
        <v>45049</v>
      </c>
    </row>
    <row r="745" spans="2:4" ht="20.25" customHeight="1" x14ac:dyDescent="0.25">
      <c r="B745" s="108" t="s">
        <v>3103</v>
      </c>
      <c r="C745" s="146" t="s">
        <v>366</v>
      </c>
      <c r="D745" s="161">
        <v>45040</v>
      </c>
    </row>
    <row r="746" spans="2:4" ht="20.25" customHeight="1" x14ac:dyDescent="0.25">
      <c r="B746" s="108" t="s">
        <v>3104</v>
      </c>
      <c r="C746" s="146" t="s">
        <v>366</v>
      </c>
      <c r="D746" s="149"/>
    </row>
    <row r="747" spans="2:4" ht="20.25" customHeight="1" x14ac:dyDescent="0.25">
      <c r="B747" s="108" t="s">
        <v>3105</v>
      </c>
      <c r="C747" s="138" t="s">
        <v>2826</v>
      </c>
      <c r="D747" s="149"/>
    </row>
    <row r="748" spans="2:4" ht="20.25" customHeight="1" x14ac:dyDescent="0.25">
      <c r="B748" s="111" t="s">
        <v>3106</v>
      </c>
      <c r="C748" s="146" t="s">
        <v>3107</v>
      </c>
      <c r="D748" s="134" t="s">
        <v>24</v>
      </c>
    </row>
    <row r="749" spans="2:4" ht="20.25" customHeight="1" x14ac:dyDescent="0.25">
      <c r="B749" s="108" t="s">
        <v>3108</v>
      </c>
      <c r="C749" s="138" t="s">
        <v>3109</v>
      </c>
      <c r="D749" s="149"/>
    </row>
    <row r="750" spans="2:4" ht="20.25" customHeight="1" x14ac:dyDescent="0.25">
      <c r="B750" s="108" t="s">
        <v>3110</v>
      </c>
      <c r="C750" s="146" t="s">
        <v>366</v>
      </c>
      <c r="D750" s="149"/>
    </row>
    <row r="751" spans="2:4" ht="20.25" customHeight="1" x14ac:dyDescent="0.25">
      <c r="B751" s="108" t="s">
        <v>3111</v>
      </c>
      <c r="C751" s="146" t="s">
        <v>3112</v>
      </c>
      <c r="D751" s="149"/>
    </row>
    <row r="752" spans="2:4" ht="20.25" customHeight="1" x14ac:dyDescent="0.25">
      <c r="B752" s="108" t="s">
        <v>3113</v>
      </c>
      <c r="C752" s="138" t="s">
        <v>3114</v>
      </c>
      <c r="D752" s="149"/>
    </row>
    <row r="753" spans="2:4" ht="20.25" customHeight="1" x14ac:dyDescent="0.25">
      <c r="B753" s="108" t="s">
        <v>3115</v>
      </c>
      <c r="C753" s="146" t="s">
        <v>366</v>
      </c>
      <c r="D753" s="149"/>
    </row>
    <row r="754" spans="2:4" ht="20.25" customHeight="1" x14ac:dyDescent="0.25">
      <c r="B754" s="108" t="s">
        <v>3116</v>
      </c>
      <c r="C754" s="146" t="s">
        <v>366</v>
      </c>
      <c r="D754" s="149"/>
    </row>
    <row r="755" spans="2:4" ht="20.25" customHeight="1" x14ac:dyDescent="0.25">
      <c r="B755" s="108" t="s">
        <v>3117</v>
      </c>
      <c r="C755" s="146" t="s">
        <v>3118</v>
      </c>
      <c r="D755" s="134" t="s">
        <v>24</v>
      </c>
    </row>
    <row r="756" spans="2:4" ht="20.25" customHeight="1" x14ac:dyDescent="0.25">
      <c r="B756" s="108" t="s">
        <v>3119</v>
      </c>
      <c r="C756" s="146" t="s">
        <v>366</v>
      </c>
      <c r="D756" s="144">
        <v>45105</v>
      </c>
    </row>
    <row r="757" spans="2:4" ht="20.25" customHeight="1" x14ac:dyDescent="0.25">
      <c r="B757" s="108" t="s">
        <v>3120</v>
      </c>
      <c r="C757" s="146" t="s">
        <v>366</v>
      </c>
      <c r="D757" s="161">
        <v>45040</v>
      </c>
    </row>
    <row r="758" spans="2:4" ht="20.25" customHeight="1" x14ac:dyDescent="0.25">
      <c r="B758" s="108" t="s">
        <v>3121</v>
      </c>
      <c r="C758" s="146" t="s">
        <v>2559</v>
      </c>
      <c r="D758" s="149"/>
    </row>
    <row r="759" spans="2:4" ht="20.25" customHeight="1" x14ac:dyDescent="0.25">
      <c r="B759" s="108" t="s">
        <v>3122</v>
      </c>
      <c r="C759" s="138" t="s">
        <v>3123</v>
      </c>
      <c r="D759" s="134" t="s">
        <v>24</v>
      </c>
    </row>
    <row r="760" spans="2:4" ht="20.25" customHeight="1" x14ac:dyDescent="0.25">
      <c r="B760" s="108" t="s">
        <v>3124</v>
      </c>
      <c r="C760" s="138" t="s">
        <v>3125</v>
      </c>
      <c r="D760" s="134" t="s">
        <v>24</v>
      </c>
    </row>
    <row r="761" spans="2:4" ht="20.25" customHeight="1" x14ac:dyDescent="0.25">
      <c r="B761" s="108" t="s">
        <v>3126</v>
      </c>
      <c r="C761" s="146" t="s">
        <v>3127</v>
      </c>
      <c r="D761" s="149"/>
    </row>
    <row r="762" spans="2:4" ht="20.25" customHeight="1" x14ac:dyDescent="0.25">
      <c r="B762" s="108" t="s">
        <v>3128</v>
      </c>
      <c r="C762" s="138" t="s">
        <v>2559</v>
      </c>
      <c r="D762" s="149"/>
    </row>
    <row r="763" spans="2:4" ht="20.25" customHeight="1" x14ac:dyDescent="0.25">
      <c r="B763" s="108" t="s">
        <v>3129</v>
      </c>
      <c r="C763" s="138" t="s">
        <v>3130</v>
      </c>
      <c r="D763" s="149"/>
    </row>
    <row r="764" spans="2:4" ht="20.25" customHeight="1" x14ac:dyDescent="0.25">
      <c r="B764" s="108" t="s">
        <v>1840</v>
      </c>
      <c r="C764" s="138" t="s">
        <v>3131</v>
      </c>
      <c r="D764" s="134" t="s">
        <v>24</v>
      </c>
    </row>
    <row r="765" spans="2:4" ht="20.25" customHeight="1" x14ac:dyDescent="0.25">
      <c r="B765" s="108" t="s">
        <v>1829</v>
      </c>
      <c r="C765" s="138" t="s">
        <v>2559</v>
      </c>
      <c r="D765" s="149"/>
    </row>
    <row r="766" spans="2:4" ht="20.25" customHeight="1" x14ac:dyDescent="0.25">
      <c r="B766" s="108" t="s">
        <v>3132</v>
      </c>
      <c r="C766" s="146" t="s">
        <v>366</v>
      </c>
      <c r="D766" s="139">
        <v>44910</v>
      </c>
    </row>
    <row r="767" spans="2:4" ht="20.25" customHeight="1" x14ac:dyDescent="0.25">
      <c r="B767" s="108" t="s">
        <v>3133</v>
      </c>
      <c r="C767" s="146" t="s">
        <v>3134</v>
      </c>
      <c r="D767" s="149"/>
    </row>
    <row r="768" spans="2:4" ht="20.25" customHeight="1" x14ac:dyDescent="0.25">
      <c r="B768" s="108" t="s">
        <v>3135</v>
      </c>
      <c r="C768" s="138" t="s">
        <v>3136</v>
      </c>
      <c r="D768" s="134" t="s">
        <v>24</v>
      </c>
    </row>
    <row r="769" spans="2:4" ht="20.25" customHeight="1" x14ac:dyDescent="0.25">
      <c r="B769" s="108" t="s">
        <v>3137</v>
      </c>
      <c r="C769" s="138" t="s">
        <v>3138</v>
      </c>
      <c r="D769" s="149"/>
    </row>
    <row r="770" spans="2:4" ht="20.25" customHeight="1" x14ac:dyDescent="0.25">
      <c r="B770" s="108" t="s">
        <v>3139</v>
      </c>
      <c r="C770" s="138" t="s">
        <v>3140</v>
      </c>
      <c r="D770" s="149"/>
    </row>
    <row r="771" spans="2:4" ht="20.25" customHeight="1" x14ac:dyDescent="0.25">
      <c r="B771" s="108" t="s">
        <v>3141</v>
      </c>
      <c r="C771" s="146" t="s">
        <v>3142</v>
      </c>
      <c r="D771" s="149"/>
    </row>
    <row r="772" spans="2:4" ht="20.25" customHeight="1" x14ac:dyDescent="0.25">
      <c r="B772" s="108" t="s">
        <v>3143</v>
      </c>
      <c r="C772" s="138" t="s">
        <v>3144</v>
      </c>
      <c r="D772" s="149"/>
    </row>
    <row r="773" spans="2:4" ht="20.25" customHeight="1" x14ac:dyDescent="0.25">
      <c r="B773" s="108" t="s">
        <v>3145</v>
      </c>
      <c r="C773" s="138" t="s">
        <v>3146</v>
      </c>
      <c r="D773" s="161">
        <v>45040</v>
      </c>
    </row>
    <row r="774" spans="2:4" ht="20.25" customHeight="1" x14ac:dyDescent="0.25">
      <c r="B774" s="108" t="s">
        <v>3147</v>
      </c>
      <c r="C774" s="138" t="s">
        <v>3148</v>
      </c>
      <c r="D774" s="161">
        <v>45040</v>
      </c>
    </row>
    <row r="775" spans="2:4" ht="20.25" customHeight="1" x14ac:dyDescent="0.25">
      <c r="B775" s="108" t="s">
        <v>3149</v>
      </c>
      <c r="C775" s="146" t="s">
        <v>3150</v>
      </c>
      <c r="D775" s="149"/>
    </row>
    <row r="776" spans="2:4" ht="20.25" customHeight="1" x14ac:dyDescent="0.25">
      <c r="B776" s="108" t="s">
        <v>3151</v>
      </c>
      <c r="C776" s="146" t="s">
        <v>3150</v>
      </c>
      <c r="D776" s="149"/>
    </row>
    <row r="777" spans="2:4" ht="20.25" customHeight="1" x14ac:dyDescent="0.25">
      <c r="B777" s="108" t="s">
        <v>3152</v>
      </c>
      <c r="C777" s="138" t="s">
        <v>3153</v>
      </c>
      <c r="D777" s="161">
        <v>45040</v>
      </c>
    </row>
    <row r="778" spans="2:4" ht="20.25" customHeight="1" x14ac:dyDescent="0.25">
      <c r="B778" s="108" t="s">
        <v>3154</v>
      </c>
      <c r="C778" s="138" t="s">
        <v>3155</v>
      </c>
      <c r="D778" s="139">
        <v>44890</v>
      </c>
    </row>
    <row r="779" spans="2:4" ht="20.25" customHeight="1" x14ac:dyDescent="0.25">
      <c r="B779" s="108" t="s">
        <v>3156</v>
      </c>
      <c r="C779" s="138" t="s">
        <v>366</v>
      </c>
      <c r="D779" s="149"/>
    </row>
    <row r="780" spans="2:4" ht="20.25" customHeight="1" x14ac:dyDescent="0.25">
      <c r="B780" s="108" t="s">
        <v>3157</v>
      </c>
      <c r="C780" s="138" t="s">
        <v>366</v>
      </c>
      <c r="D780" s="161">
        <v>45040</v>
      </c>
    </row>
    <row r="781" spans="2:4" ht="20.25" customHeight="1" x14ac:dyDescent="0.25">
      <c r="B781" s="108" t="s">
        <v>3158</v>
      </c>
      <c r="C781" s="146" t="s">
        <v>3159</v>
      </c>
      <c r="D781" s="145"/>
    </row>
    <row r="782" spans="2:4" ht="20.25" customHeight="1" x14ac:dyDescent="0.25">
      <c r="B782" s="108" t="s">
        <v>3160</v>
      </c>
      <c r="C782" s="138" t="s">
        <v>3161</v>
      </c>
      <c r="D782" s="149"/>
    </row>
    <row r="783" spans="2:4" ht="20.25" customHeight="1" x14ac:dyDescent="0.25">
      <c r="B783" s="108" t="s">
        <v>3162</v>
      </c>
      <c r="C783" s="138" t="s">
        <v>3163</v>
      </c>
      <c r="D783" s="161">
        <v>45040</v>
      </c>
    </row>
    <row r="784" spans="2:4" ht="20.25" customHeight="1" x14ac:dyDescent="0.25">
      <c r="B784" s="108" t="s">
        <v>3164</v>
      </c>
      <c r="C784" s="146" t="s">
        <v>3165</v>
      </c>
      <c r="D784" s="149"/>
    </row>
    <row r="785" spans="2:4" ht="20.25" customHeight="1" x14ac:dyDescent="0.25">
      <c r="B785" s="108" t="s">
        <v>3166</v>
      </c>
      <c r="C785" s="146" t="s">
        <v>3167</v>
      </c>
      <c r="D785" s="149"/>
    </row>
    <row r="786" spans="2:4" ht="20.25" customHeight="1" x14ac:dyDescent="0.25">
      <c r="B786" s="108" t="s">
        <v>3168</v>
      </c>
      <c r="C786" s="146" t="s">
        <v>1856</v>
      </c>
      <c r="D786" s="161">
        <v>45040</v>
      </c>
    </row>
    <row r="787" spans="2:4" ht="20.25" customHeight="1" x14ac:dyDescent="0.25">
      <c r="B787" s="108" t="s">
        <v>1862</v>
      </c>
      <c r="C787" s="146" t="s">
        <v>3169</v>
      </c>
      <c r="D787" s="139">
        <v>44922</v>
      </c>
    </row>
    <row r="788" spans="2:4" ht="20.25" customHeight="1" x14ac:dyDescent="0.25">
      <c r="B788" s="108" t="s">
        <v>1865</v>
      </c>
      <c r="C788" s="146" t="s">
        <v>3170</v>
      </c>
      <c r="D788" s="149"/>
    </row>
    <row r="789" spans="2:4" ht="20.25" customHeight="1" x14ac:dyDescent="0.25">
      <c r="B789" s="108" t="s">
        <v>1869</v>
      </c>
      <c r="C789" s="146" t="s">
        <v>3171</v>
      </c>
      <c r="D789" s="149"/>
    </row>
    <row r="790" spans="2:4" ht="20.25" customHeight="1" x14ac:dyDescent="0.25">
      <c r="B790" s="108" t="s">
        <v>3172</v>
      </c>
      <c r="C790" s="146" t="s">
        <v>3173</v>
      </c>
      <c r="D790" s="134" t="s">
        <v>24</v>
      </c>
    </row>
    <row r="791" spans="2:4" ht="20.25" customHeight="1" x14ac:dyDescent="0.25">
      <c r="B791" s="108" t="s">
        <v>3174</v>
      </c>
      <c r="C791" s="146" t="s">
        <v>3175</v>
      </c>
      <c r="D791" s="139">
        <v>45056</v>
      </c>
    </row>
    <row r="792" spans="2:4" ht="20.25" customHeight="1" x14ac:dyDescent="0.25">
      <c r="B792" s="108" t="s">
        <v>1950</v>
      </c>
      <c r="C792" s="138" t="s">
        <v>3176</v>
      </c>
      <c r="D792" s="149"/>
    </row>
    <row r="793" spans="2:4" ht="20.25" customHeight="1" x14ac:dyDescent="0.25">
      <c r="B793" s="108" t="s">
        <v>1952</v>
      </c>
      <c r="C793" s="138" t="s">
        <v>3177</v>
      </c>
      <c r="D793" s="134" t="s">
        <v>24</v>
      </c>
    </row>
    <row r="794" spans="2:4" ht="20.25" customHeight="1" x14ac:dyDescent="0.25">
      <c r="B794" s="108" t="s">
        <v>3178</v>
      </c>
      <c r="C794" s="138" t="s">
        <v>3179</v>
      </c>
      <c r="D794" s="149" t="s">
        <v>24</v>
      </c>
    </row>
    <row r="795" spans="2:4" ht="20.25" customHeight="1" x14ac:dyDescent="0.25">
      <c r="B795" s="108" t="s">
        <v>3180</v>
      </c>
      <c r="C795" s="138" t="s">
        <v>3181</v>
      </c>
      <c r="D795" s="134" t="s">
        <v>24</v>
      </c>
    </row>
    <row r="796" spans="2:4" ht="20.25" customHeight="1" x14ac:dyDescent="0.25">
      <c r="B796" s="108" t="s">
        <v>3182</v>
      </c>
      <c r="C796" s="138" t="s">
        <v>3183</v>
      </c>
      <c r="D796" s="149"/>
    </row>
    <row r="797" spans="2:4" ht="20.25" customHeight="1" x14ac:dyDescent="0.25">
      <c r="B797" s="108" t="s">
        <v>3184</v>
      </c>
      <c r="C797" s="138" t="s">
        <v>3185</v>
      </c>
      <c r="D797" s="149"/>
    </row>
    <row r="798" spans="2:4" ht="20.25" customHeight="1" x14ac:dyDescent="0.25">
      <c r="B798" s="108" t="s">
        <v>3186</v>
      </c>
      <c r="C798" s="138" t="s">
        <v>3187</v>
      </c>
      <c r="D798" s="149"/>
    </row>
    <row r="799" spans="2:4" ht="20.25" customHeight="1" x14ac:dyDescent="0.25">
      <c r="B799" s="108" t="s">
        <v>3188</v>
      </c>
      <c r="C799" s="138" t="s">
        <v>3189</v>
      </c>
      <c r="D799" s="149"/>
    </row>
    <row r="800" spans="2:4" ht="20.25" customHeight="1" x14ac:dyDescent="0.25">
      <c r="B800" s="108" t="s">
        <v>3190</v>
      </c>
      <c r="C800" s="138" t="s">
        <v>3191</v>
      </c>
      <c r="D800" s="149"/>
    </row>
    <row r="801" spans="2:4" ht="20.25" customHeight="1" x14ac:dyDescent="0.25">
      <c r="B801" s="108" t="s">
        <v>3192</v>
      </c>
      <c r="C801" s="146" t="s">
        <v>3193</v>
      </c>
      <c r="D801" s="149"/>
    </row>
    <row r="802" spans="2:4" ht="20.25" customHeight="1" x14ac:dyDescent="0.25">
      <c r="B802" s="108" t="s">
        <v>3194</v>
      </c>
      <c r="C802" s="146" t="s">
        <v>3195</v>
      </c>
      <c r="D802" s="149"/>
    </row>
    <row r="803" spans="2:4" ht="20.25" customHeight="1" x14ac:dyDescent="0.25">
      <c r="B803" s="108" t="s">
        <v>3196</v>
      </c>
      <c r="C803" s="138" t="s">
        <v>3197</v>
      </c>
      <c r="D803" s="149"/>
    </row>
    <row r="804" spans="2:4" ht="20.25" customHeight="1" x14ac:dyDescent="0.25">
      <c r="B804" s="108" t="s">
        <v>3198</v>
      </c>
      <c r="C804" s="138" t="s">
        <v>3199</v>
      </c>
      <c r="D804" s="149"/>
    </row>
    <row r="805" spans="2:4" ht="20.25" customHeight="1" x14ac:dyDescent="0.25">
      <c r="B805" s="108" t="s">
        <v>3200</v>
      </c>
      <c r="C805" s="138" t="s">
        <v>3201</v>
      </c>
      <c r="D805" s="149"/>
    </row>
    <row r="806" spans="2:4" ht="20.25" customHeight="1" x14ac:dyDescent="0.25">
      <c r="B806" s="108" t="s">
        <v>3202</v>
      </c>
      <c r="C806" s="146" t="s">
        <v>366</v>
      </c>
      <c r="D806" s="134" t="s">
        <v>24</v>
      </c>
    </row>
    <row r="807" spans="2:4" ht="20.25" customHeight="1" x14ac:dyDescent="0.25">
      <c r="B807" s="108" t="s">
        <v>3203</v>
      </c>
      <c r="C807" s="146" t="s">
        <v>3204</v>
      </c>
      <c r="D807" s="134" t="s">
        <v>24</v>
      </c>
    </row>
    <row r="808" spans="2:4" ht="20.25" customHeight="1" x14ac:dyDescent="0.25">
      <c r="B808" s="108" t="s">
        <v>3205</v>
      </c>
      <c r="C808" s="138" t="s">
        <v>2559</v>
      </c>
      <c r="D808" s="134" t="s">
        <v>24</v>
      </c>
    </row>
    <row r="809" spans="2:4" ht="20.25" customHeight="1" x14ac:dyDescent="0.25">
      <c r="B809" s="108" t="s">
        <v>3206</v>
      </c>
      <c r="C809" s="138" t="s">
        <v>3207</v>
      </c>
      <c r="D809" s="150"/>
    </row>
    <row r="810" spans="2:4" ht="20.25" customHeight="1" x14ac:dyDescent="0.25">
      <c r="B810" s="108" t="s">
        <v>3208</v>
      </c>
      <c r="C810" s="138" t="s">
        <v>3209</v>
      </c>
      <c r="D810" s="149"/>
    </row>
    <row r="811" spans="2:4" ht="20.25" customHeight="1" x14ac:dyDescent="0.25">
      <c r="B811" s="108" t="s">
        <v>3210</v>
      </c>
      <c r="C811" s="138" t="s">
        <v>3211</v>
      </c>
      <c r="D811" s="149"/>
    </row>
    <row r="812" spans="2:4" ht="20.25" customHeight="1" x14ac:dyDescent="0.25">
      <c r="B812" s="108" t="s">
        <v>3212</v>
      </c>
      <c r="C812" s="146" t="s">
        <v>3213</v>
      </c>
      <c r="D812" s="149"/>
    </row>
    <row r="813" spans="2:4" ht="20.25" customHeight="1" x14ac:dyDescent="0.25">
      <c r="B813" s="108" t="s">
        <v>3214</v>
      </c>
      <c r="C813" s="138" t="s">
        <v>3215</v>
      </c>
      <c r="D813" s="149"/>
    </row>
    <row r="814" spans="2:4" ht="20.25" customHeight="1" x14ac:dyDescent="0.25">
      <c r="B814" s="109" t="s">
        <v>3216</v>
      </c>
      <c r="C814" s="138" t="s">
        <v>3217</v>
      </c>
      <c r="D814" s="149"/>
    </row>
    <row r="815" spans="2:4" ht="20.25" customHeight="1" x14ac:dyDescent="0.25">
      <c r="B815" s="109" t="s">
        <v>3218</v>
      </c>
      <c r="C815" s="138" t="s">
        <v>3219</v>
      </c>
      <c r="D815" s="149"/>
    </row>
    <row r="816" spans="2:4" ht="20.25" customHeight="1" x14ac:dyDescent="0.25">
      <c r="B816" s="108" t="s">
        <v>1881</v>
      </c>
      <c r="C816" s="181" t="s">
        <v>1860</v>
      </c>
      <c r="D816" s="149"/>
    </row>
    <row r="817" spans="2:4" ht="20.25" customHeight="1" x14ac:dyDescent="0.25">
      <c r="B817" s="109" t="s">
        <v>3220</v>
      </c>
      <c r="C817" s="146" t="s">
        <v>2559</v>
      </c>
      <c r="D817" s="149"/>
    </row>
    <row r="818" spans="2:4" ht="20.25" customHeight="1" x14ac:dyDescent="0.25">
      <c r="B818" s="109" t="s">
        <v>3221</v>
      </c>
      <c r="C818" s="138" t="s">
        <v>366</v>
      </c>
      <c r="D818" s="149"/>
    </row>
    <row r="819" spans="2:4" ht="20.25" customHeight="1" x14ac:dyDescent="0.25">
      <c r="B819" s="109" t="s">
        <v>3222</v>
      </c>
      <c r="C819" s="146" t="s">
        <v>366</v>
      </c>
      <c r="D819" s="149"/>
    </row>
    <row r="820" spans="2:4" ht="20.25" customHeight="1" x14ac:dyDescent="0.25">
      <c r="B820" s="109" t="s">
        <v>3223</v>
      </c>
      <c r="C820" s="138" t="s">
        <v>3224</v>
      </c>
      <c r="D820" s="149"/>
    </row>
    <row r="821" spans="2:4" ht="20.25" customHeight="1" x14ac:dyDescent="0.25">
      <c r="B821" s="109" t="s">
        <v>3225</v>
      </c>
      <c r="C821" s="146" t="s">
        <v>366</v>
      </c>
      <c r="D821" s="149"/>
    </row>
    <row r="822" spans="2:4" ht="20.25" customHeight="1" x14ac:dyDescent="0.25">
      <c r="B822" s="109" t="s">
        <v>3226</v>
      </c>
      <c r="C822" s="146" t="s">
        <v>366</v>
      </c>
      <c r="D822" s="149"/>
    </row>
    <row r="823" spans="2:4" ht="20.25" customHeight="1" x14ac:dyDescent="0.25">
      <c r="B823" s="109" t="s">
        <v>3227</v>
      </c>
      <c r="C823" s="138" t="s">
        <v>3228</v>
      </c>
      <c r="D823" s="149"/>
    </row>
    <row r="824" spans="2:4" ht="20.25" customHeight="1" x14ac:dyDescent="0.25">
      <c r="B824" s="109" t="s">
        <v>3229</v>
      </c>
      <c r="C824" s="138" t="s">
        <v>3230</v>
      </c>
      <c r="D824" s="149"/>
    </row>
    <row r="825" spans="2:4" ht="20.25" customHeight="1" x14ac:dyDescent="0.25">
      <c r="B825" s="109" t="s">
        <v>3231</v>
      </c>
      <c r="C825" s="138" t="s">
        <v>3232</v>
      </c>
      <c r="D825" s="149"/>
    </row>
    <row r="826" spans="2:4" ht="20.25" customHeight="1" x14ac:dyDescent="0.25">
      <c r="B826" s="109" t="s">
        <v>3233</v>
      </c>
      <c r="C826" s="146" t="s">
        <v>2559</v>
      </c>
      <c r="D826" s="149"/>
    </row>
    <row r="827" spans="2:4" ht="20.25" customHeight="1" x14ac:dyDescent="0.25">
      <c r="B827" s="109" t="s">
        <v>3234</v>
      </c>
      <c r="C827" s="138" t="s">
        <v>3235</v>
      </c>
      <c r="D827" s="149"/>
    </row>
    <row r="828" spans="2:4" ht="20.25" customHeight="1" x14ac:dyDescent="0.25">
      <c r="B828" s="109" t="s">
        <v>3236</v>
      </c>
      <c r="C828" s="138" t="s">
        <v>3237</v>
      </c>
      <c r="D828" s="149"/>
    </row>
    <row r="829" spans="2:4" ht="20.25" customHeight="1" x14ac:dyDescent="0.25">
      <c r="B829" s="109" t="s">
        <v>3238</v>
      </c>
      <c r="C829" s="146" t="s">
        <v>366</v>
      </c>
      <c r="D829" s="149"/>
    </row>
    <row r="830" spans="2:4" ht="20.25" customHeight="1" x14ac:dyDescent="0.25">
      <c r="B830" s="109" t="s">
        <v>3239</v>
      </c>
      <c r="C830" s="138" t="s">
        <v>3240</v>
      </c>
      <c r="D830" s="149"/>
    </row>
    <row r="831" spans="2:4" ht="20.25" customHeight="1" x14ac:dyDescent="0.25">
      <c r="B831" s="109" t="s">
        <v>3241</v>
      </c>
      <c r="C831" s="146" t="s">
        <v>2559</v>
      </c>
      <c r="D831" s="149"/>
    </row>
    <row r="832" spans="2:4" ht="20.25" customHeight="1" x14ac:dyDescent="0.25">
      <c r="B832" s="109" t="s">
        <v>3242</v>
      </c>
      <c r="C832" s="146" t="s">
        <v>366</v>
      </c>
      <c r="D832" s="149"/>
    </row>
    <row r="833" spans="2:4" ht="20.25" customHeight="1" x14ac:dyDescent="0.25">
      <c r="B833" s="109" t="s">
        <v>3243</v>
      </c>
      <c r="C833" s="138" t="s">
        <v>3244</v>
      </c>
      <c r="D833" s="149"/>
    </row>
    <row r="834" spans="2:4" ht="20.25" customHeight="1" x14ac:dyDescent="0.25">
      <c r="B834" s="109" t="s">
        <v>3245</v>
      </c>
      <c r="C834" s="138" t="s">
        <v>3246</v>
      </c>
      <c r="D834" s="149"/>
    </row>
    <row r="835" spans="2:4" ht="20.25" customHeight="1" x14ac:dyDescent="0.25">
      <c r="B835" s="109" t="s">
        <v>3247</v>
      </c>
      <c r="C835" s="146" t="s">
        <v>366</v>
      </c>
      <c r="D835" s="149"/>
    </row>
    <row r="836" spans="2:4" ht="20.25" customHeight="1" x14ac:dyDescent="0.25">
      <c r="B836" s="109" t="s">
        <v>3248</v>
      </c>
      <c r="C836" s="138" t="s">
        <v>3249</v>
      </c>
      <c r="D836" s="149"/>
    </row>
    <row r="837" spans="2:4" ht="20.25" customHeight="1" x14ac:dyDescent="0.25">
      <c r="B837" s="109" t="s">
        <v>3250</v>
      </c>
      <c r="C837" s="138" t="s">
        <v>3251</v>
      </c>
      <c r="D837" s="149"/>
    </row>
    <row r="838" spans="2:4" ht="20.25" customHeight="1" x14ac:dyDescent="0.25">
      <c r="B838" s="109" t="s">
        <v>3252</v>
      </c>
      <c r="C838" s="138" t="s">
        <v>3253</v>
      </c>
      <c r="D838" s="149"/>
    </row>
    <row r="839" spans="2:4" ht="20.25" customHeight="1" x14ac:dyDescent="0.25">
      <c r="B839" s="109" t="s">
        <v>3254</v>
      </c>
      <c r="C839" s="138" t="s">
        <v>3255</v>
      </c>
      <c r="D839" s="149"/>
    </row>
    <row r="840" spans="2:4" ht="20.25" customHeight="1" x14ac:dyDescent="0.25">
      <c r="B840" s="109" t="s">
        <v>3256</v>
      </c>
      <c r="C840" s="138" t="s">
        <v>3257</v>
      </c>
      <c r="D840" s="149"/>
    </row>
    <row r="841" spans="2:4" ht="20.25" customHeight="1" x14ac:dyDescent="0.25">
      <c r="B841" s="109" t="s">
        <v>3258</v>
      </c>
      <c r="C841" s="138" t="s">
        <v>3259</v>
      </c>
      <c r="D841" s="149"/>
    </row>
    <row r="842" spans="2:4" ht="20.25" customHeight="1" x14ac:dyDescent="0.25">
      <c r="B842" s="109" t="s">
        <v>3260</v>
      </c>
      <c r="C842" s="138" t="s">
        <v>3261</v>
      </c>
      <c r="D842" s="149"/>
    </row>
    <row r="843" spans="2:4" ht="20.25" customHeight="1" x14ac:dyDescent="0.25">
      <c r="B843" s="109" t="s">
        <v>3262</v>
      </c>
      <c r="C843" s="138" t="s">
        <v>3263</v>
      </c>
      <c r="D843" s="134" t="s">
        <v>24</v>
      </c>
    </row>
    <row r="844" spans="2:4" ht="20.25" customHeight="1" x14ac:dyDescent="0.25">
      <c r="B844" s="109" t="s">
        <v>3264</v>
      </c>
      <c r="C844" s="138" t="s">
        <v>2559</v>
      </c>
      <c r="D844" s="149"/>
    </row>
    <row r="845" spans="2:4" ht="20.25" customHeight="1" x14ac:dyDescent="0.25">
      <c r="B845" s="109" t="s">
        <v>1858</v>
      </c>
      <c r="C845" s="138" t="s">
        <v>3265</v>
      </c>
      <c r="D845" s="149"/>
    </row>
    <row r="846" spans="2:4" ht="20.25" customHeight="1" x14ac:dyDescent="0.25">
      <c r="B846" s="109" t="s">
        <v>1954</v>
      </c>
      <c r="C846" s="146" t="s">
        <v>3266</v>
      </c>
      <c r="D846" s="149"/>
    </row>
    <row r="847" spans="2:4" ht="20.25" customHeight="1" x14ac:dyDescent="0.25">
      <c r="B847" s="109" t="s">
        <v>3267</v>
      </c>
      <c r="C847" s="138" t="s">
        <v>3268</v>
      </c>
      <c r="D847" s="149"/>
    </row>
    <row r="848" spans="2:4" ht="20.25" customHeight="1" x14ac:dyDescent="0.25">
      <c r="B848" s="109" t="s">
        <v>3269</v>
      </c>
      <c r="C848" s="138" t="s">
        <v>3270</v>
      </c>
      <c r="D848" s="144">
        <v>45065</v>
      </c>
    </row>
    <row r="849" spans="2:4" ht="20.25" customHeight="1" x14ac:dyDescent="0.25">
      <c r="B849" s="109" t="s">
        <v>1873</v>
      </c>
      <c r="C849" s="138" t="s">
        <v>3270</v>
      </c>
      <c r="D849" s="134" t="s">
        <v>24</v>
      </c>
    </row>
    <row r="850" spans="2:4" ht="20.25" customHeight="1" x14ac:dyDescent="0.25">
      <c r="B850" s="109" t="s">
        <v>3271</v>
      </c>
      <c r="C850" s="146" t="s">
        <v>2559</v>
      </c>
      <c r="D850" s="144">
        <v>45148</v>
      </c>
    </row>
    <row r="851" spans="2:4" ht="20.25" customHeight="1" x14ac:dyDescent="0.25">
      <c r="B851" s="109" t="s">
        <v>3272</v>
      </c>
      <c r="C851" s="146" t="s">
        <v>2559</v>
      </c>
      <c r="D851" s="134" t="s">
        <v>24</v>
      </c>
    </row>
    <row r="852" spans="2:4" ht="20.25" customHeight="1" x14ac:dyDescent="0.25">
      <c r="B852" s="109" t="s">
        <v>1956</v>
      </c>
      <c r="C852" s="146" t="s">
        <v>3273</v>
      </c>
      <c r="D852" s="134" t="s">
        <v>24</v>
      </c>
    </row>
    <row r="853" spans="2:4" ht="20.25" customHeight="1" x14ac:dyDescent="0.25">
      <c r="B853" s="110"/>
      <c r="C853" s="138" t="s">
        <v>3274</v>
      </c>
      <c r="D853" s="149"/>
    </row>
    <row r="854" spans="2:4" ht="20.25" customHeight="1" x14ac:dyDescent="0.25">
      <c r="B854" s="110"/>
      <c r="C854" s="146" t="s">
        <v>3275</v>
      </c>
      <c r="D854" s="149"/>
    </row>
    <row r="855" spans="2:4" ht="20.25" customHeight="1" x14ac:dyDescent="0.25">
      <c r="B855" s="110"/>
      <c r="C855" s="138" t="s">
        <v>3276</v>
      </c>
      <c r="D855" s="149"/>
    </row>
    <row r="856" spans="2:4" ht="20.25" customHeight="1" x14ac:dyDescent="0.25">
      <c r="B856" s="110"/>
      <c r="C856" s="138" t="s">
        <v>3277</v>
      </c>
      <c r="D856" s="139">
        <v>44910</v>
      </c>
    </row>
    <row r="857" spans="2:4" ht="20.25" customHeight="1" x14ac:dyDescent="0.25">
      <c r="B857" s="110"/>
      <c r="C857" s="138" t="s">
        <v>3278</v>
      </c>
      <c r="D857" s="144">
        <v>45065</v>
      </c>
    </row>
    <row r="858" spans="2:4" ht="20.25" customHeight="1" x14ac:dyDescent="0.25">
      <c r="B858" s="110"/>
      <c r="C858" s="146" t="s">
        <v>3279</v>
      </c>
      <c r="D858" s="134" t="s">
        <v>24</v>
      </c>
    </row>
    <row r="859" spans="2:4" ht="20.25" customHeight="1" x14ac:dyDescent="0.25">
      <c r="B859" s="110"/>
      <c r="C859" s="146" t="s">
        <v>3279</v>
      </c>
      <c r="D859" s="134" t="s">
        <v>24</v>
      </c>
    </row>
    <row r="860" spans="2:4" ht="20.25" customHeight="1" x14ac:dyDescent="0.25">
      <c r="B860" s="110"/>
      <c r="C860" s="138" t="s">
        <v>3280</v>
      </c>
      <c r="D860" s="144">
        <v>45049</v>
      </c>
    </row>
    <row r="861" spans="2:4" ht="20.25" customHeight="1" x14ac:dyDescent="0.25">
      <c r="B861" s="110"/>
      <c r="C861" s="146" t="s">
        <v>3281</v>
      </c>
      <c r="D861" s="149"/>
    </row>
    <row r="862" spans="2:4" ht="20.25" customHeight="1" x14ac:dyDescent="0.25">
      <c r="B862" s="110"/>
      <c r="C862" s="138" t="s">
        <v>3282</v>
      </c>
      <c r="D862" s="134" t="s">
        <v>24</v>
      </c>
    </row>
    <row r="863" spans="2:4" ht="20.25" customHeight="1" x14ac:dyDescent="0.25">
      <c r="B863" s="110"/>
      <c r="C863" s="138" t="s">
        <v>3283</v>
      </c>
      <c r="D863" s="161">
        <v>45040</v>
      </c>
    </row>
    <row r="864" spans="2:4" ht="20.25" customHeight="1" x14ac:dyDescent="0.25">
      <c r="B864" s="110"/>
      <c r="C864" s="146" t="s">
        <v>3284</v>
      </c>
      <c r="D864" s="149"/>
    </row>
    <row r="865" spans="2:4" ht="20.25" customHeight="1" x14ac:dyDescent="0.25">
      <c r="B865" s="110"/>
      <c r="C865" s="146" t="s">
        <v>3285</v>
      </c>
      <c r="D865" s="149"/>
    </row>
    <row r="866" spans="2:4" ht="20.25" customHeight="1" x14ac:dyDescent="0.25">
      <c r="B866" s="110"/>
      <c r="C866" s="138" t="s">
        <v>3286</v>
      </c>
      <c r="D866" s="149"/>
    </row>
    <row r="867" spans="2:4" ht="20.25" customHeight="1" x14ac:dyDescent="0.25">
      <c r="B867" s="110"/>
      <c r="C867" s="138" t="s">
        <v>3287</v>
      </c>
      <c r="D867" s="149"/>
    </row>
    <row r="868" spans="2:4" ht="20.25" customHeight="1" x14ac:dyDescent="0.25">
      <c r="B868" s="110"/>
      <c r="C868" s="146" t="s">
        <v>3288</v>
      </c>
      <c r="D868" s="149"/>
    </row>
    <row r="869" spans="2:4" ht="20.25" customHeight="1" x14ac:dyDescent="0.25">
      <c r="B869" s="110"/>
      <c r="C869" s="138" t="s">
        <v>366</v>
      </c>
      <c r="D869" s="149"/>
    </row>
    <row r="870" spans="2:4" ht="20.25" customHeight="1" x14ac:dyDescent="0.25">
      <c r="B870" s="110"/>
      <c r="C870" s="146" t="s">
        <v>2559</v>
      </c>
      <c r="D870" s="149"/>
    </row>
    <row r="871" spans="2:4" ht="20.25" customHeight="1" x14ac:dyDescent="0.25">
      <c r="B871" s="110"/>
      <c r="C871" s="146" t="s">
        <v>2559</v>
      </c>
      <c r="D871" s="149"/>
    </row>
    <row r="872" spans="2:4" ht="20.25" customHeight="1" x14ac:dyDescent="0.25">
      <c r="B872" s="110"/>
      <c r="C872" s="146" t="s">
        <v>2559</v>
      </c>
      <c r="D872" s="149"/>
    </row>
    <row r="873" spans="2:4" ht="20.25" customHeight="1" x14ac:dyDescent="0.25">
      <c r="B873" s="110"/>
      <c r="C873" s="146" t="s">
        <v>3289</v>
      </c>
      <c r="D873" s="149"/>
    </row>
    <row r="874" spans="2:4" ht="20.25" customHeight="1" x14ac:dyDescent="0.25">
      <c r="B874" s="110"/>
      <c r="C874" s="152"/>
      <c r="D874" s="149"/>
    </row>
    <row r="875" spans="2:4" ht="20.25" customHeight="1" x14ac:dyDescent="0.25">
      <c r="B875" s="110"/>
      <c r="C875" s="146" t="s">
        <v>3290</v>
      </c>
      <c r="D875" s="149"/>
    </row>
    <row r="876" spans="2:4" ht="20.25" customHeight="1" x14ac:dyDescent="0.25">
      <c r="B876" s="110"/>
      <c r="C876" s="138" t="s">
        <v>2559</v>
      </c>
      <c r="D876" s="134" t="s">
        <v>24</v>
      </c>
    </row>
    <row r="877" spans="2:4" ht="20.25" customHeight="1" x14ac:dyDescent="0.25">
      <c r="B877" s="110"/>
      <c r="C877" s="138"/>
      <c r="D877" s="149"/>
    </row>
    <row r="878" spans="2:4" ht="20.25" customHeight="1" x14ac:dyDescent="0.25">
      <c r="B878" s="110"/>
      <c r="C878" s="138"/>
      <c r="D878" s="149"/>
    </row>
    <row r="879" spans="2:4" ht="20.25" customHeight="1" x14ac:dyDescent="0.25">
      <c r="B879" s="110"/>
      <c r="C879" s="138"/>
      <c r="D879" s="149"/>
    </row>
    <row r="880" spans="2:4" ht="20.25" customHeight="1" x14ac:dyDescent="0.25">
      <c r="B880" s="110"/>
      <c r="C880" s="138" t="s">
        <v>3291</v>
      </c>
      <c r="D880" s="149"/>
    </row>
    <row r="881" spans="2:4" ht="20.25" customHeight="1" x14ac:dyDescent="0.25">
      <c r="B881" s="110"/>
      <c r="C881" s="146" t="s">
        <v>366</v>
      </c>
      <c r="D881" s="149"/>
    </row>
    <row r="882" spans="2:4" ht="20.25" customHeight="1" x14ac:dyDescent="0.25">
      <c r="B882" s="110"/>
      <c r="C882" s="146" t="s">
        <v>366</v>
      </c>
      <c r="D882" s="149"/>
    </row>
    <row r="883" spans="2:4" ht="20.25" customHeight="1" x14ac:dyDescent="0.25">
      <c r="B883" s="110"/>
      <c r="C883" s="146" t="s">
        <v>3292</v>
      </c>
      <c r="D883" s="149"/>
    </row>
    <row r="884" spans="2:4" ht="20.25" customHeight="1" x14ac:dyDescent="0.25">
      <c r="B884" s="110"/>
      <c r="C884" s="146" t="s">
        <v>3293</v>
      </c>
      <c r="D884" s="149"/>
    </row>
    <row r="885" spans="2:4" ht="20.25" customHeight="1" x14ac:dyDescent="0.25">
      <c r="B885" s="110"/>
      <c r="C885" s="146" t="s">
        <v>3294</v>
      </c>
      <c r="D885" s="149"/>
    </row>
    <row r="886" spans="2:4" ht="20.25" customHeight="1" x14ac:dyDescent="0.25">
      <c r="B886" s="110"/>
      <c r="C886" s="138" t="s">
        <v>366</v>
      </c>
      <c r="D886" s="149"/>
    </row>
    <row r="887" spans="2:4" ht="20.25" customHeight="1" x14ac:dyDescent="0.25">
      <c r="B887" s="110"/>
      <c r="C887" s="146" t="s">
        <v>3295</v>
      </c>
      <c r="D887" s="149"/>
    </row>
    <row r="888" spans="2:4" ht="20.25" customHeight="1" x14ac:dyDescent="0.25">
      <c r="B888" s="110"/>
      <c r="C888" s="138" t="s">
        <v>3296</v>
      </c>
      <c r="D888" s="149"/>
    </row>
    <row r="889" spans="2:4" ht="20.25" customHeight="1" x14ac:dyDescent="0.25">
      <c r="B889" s="110"/>
      <c r="C889" s="146" t="s">
        <v>366</v>
      </c>
      <c r="D889" s="149"/>
    </row>
    <row r="890" spans="2:4" ht="20.25" customHeight="1" x14ac:dyDescent="0.25">
      <c r="B890" s="110"/>
      <c r="C890" s="146" t="s">
        <v>366</v>
      </c>
      <c r="D890" s="149"/>
    </row>
    <row r="891" spans="2:4" ht="20.25" customHeight="1" x14ac:dyDescent="0.25">
      <c r="B891" s="110"/>
      <c r="C891" s="138" t="s">
        <v>3297</v>
      </c>
      <c r="D891" s="149"/>
    </row>
    <row r="892" spans="2:4" ht="20.25" customHeight="1" x14ac:dyDescent="0.25">
      <c r="B892" s="110"/>
      <c r="C892" s="138" t="s">
        <v>2559</v>
      </c>
      <c r="D892" s="149"/>
    </row>
    <row r="893" spans="2:4" ht="20.25" customHeight="1" x14ac:dyDescent="0.25">
      <c r="B893" s="110"/>
      <c r="C893" s="138"/>
      <c r="D893" s="149"/>
    </row>
    <row r="894" spans="2:4" ht="20.25" customHeight="1" x14ac:dyDescent="0.25">
      <c r="B894" s="110"/>
      <c r="C894" s="138"/>
      <c r="D894" s="149"/>
    </row>
    <row r="895" spans="2:4" ht="20.25" customHeight="1" x14ac:dyDescent="0.25">
      <c r="B895" s="110"/>
      <c r="C895" s="138"/>
      <c r="D895" s="149"/>
    </row>
    <row r="896" spans="2:4" ht="20.25" customHeight="1" x14ac:dyDescent="0.25">
      <c r="B896" s="110"/>
      <c r="C896" s="138"/>
      <c r="D896" s="149"/>
    </row>
    <row r="897" spans="2:4" ht="20.25" customHeight="1" x14ac:dyDescent="0.25">
      <c r="B897" s="110"/>
      <c r="C897" s="138"/>
      <c r="D897" s="149"/>
    </row>
    <row r="898" spans="2:4" ht="20.25" customHeight="1" x14ac:dyDescent="0.25">
      <c r="B898" s="110"/>
      <c r="C898" s="138"/>
      <c r="D898" s="149"/>
    </row>
    <row r="899" spans="2:4" ht="20.25" customHeight="1" x14ac:dyDescent="0.25">
      <c r="B899" s="110"/>
      <c r="C899" s="138"/>
      <c r="D899" s="149"/>
    </row>
    <row r="900" spans="2:4" ht="20.25" customHeight="1" x14ac:dyDescent="0.25">
      <c r="B900" s="110"/>
      <c r="C900" s="138"/>
      <c r="D900" s="149"/>
    </row>
    <row r="901" spans="2:4" ht="20.25" customHeight="1" x14ac:dyDescent="0.25">
      <c r="B901" s="110"/>
      <c r="C901" s="146" t="s">
        <v>3298</v>
      </c>
      <c r="D901" s="149"/>
    </row>
    <row r="902" spans="2:4" ht="20.25" customHeight="1" x14ac:dyDescent="0.25">
      <c r="B902" s="110"/>
      <c r="C902" s="146" t="s">
        <v>3299</v>
      </c>
      <c r="D902" s="149"/>
    </row>
    <row r="903" spans="2:4" ht="20.25" customHeight="1" x14ac:dyDescent="0.25">
      <c r="B903" s="110"/>
      <c r="C903" s="146" t="s">
        <v>3300</v>
      </c>
      <c r="D903" s="149"/>
    </row>
    <row r="904" spans="2:4" ht="20.25" customHeight="1" x14ac:dyDescent="0.25">
      <c r="B904" s="110"/>
      <c r="C904" s="138" t="s">
        <v>2559</v>
      </c>
      <c r="D904" s="149"/>
    </row>
    <row r="905" spans="2:4" ht="20.25" customHeight="1" x14ac:dyDescent="0.25">
      <c r="B905" s="110"/>
      <c r="C905" s="146" t="s">
        <v>366</v>
      </c>
      <c r="D905" s="149"/>
    </row>
    <row r="906" spans="2:4" ht="20.25" customHeight="1" x14ac:dyDescent="0.25">
      <c r="B906" s="110"/>
      <c r="C906" s="146" t="s">
        <v>366</v>
      </c>
      <c r="D906" s="149"/>
    </row>
    <row r="907" spans="2:4" ht="20.25" customHeight="1" x14ac:dyDescent="0.25">
      <c r="B907" s="110"/>
      <c r="C907" s="146" t="s">
        <v>366</v>
      </c>
      <c r="D907" s="149"/>
    </row>
    <row r="908" spans="2:4" ht="20.25" customHeight="1" x14ac:dyDescent="0.25">
      <c r="B908" s="110"/>
      <c r="C908" s="138" t="s">
        <v>3301</v>
      </c>
      <c r="D908" s="149"/>
    </row>
    <row r="909" spans="2:4" ht="20.25" customHeight="1" x14ac:dyDescent="0.25">
      <c r="B909" s="110"/>
      <c r="C909" s="138" t="s">
        <v>3302</v>
      </c>
      <c r="D909" s="149"/>
    </row>
    <row r="910" spans="2:4" ht="20.25" customHeight="1" x14ac:dyDescent="0.25">
      <c r="B910" s="106"/>
      <c r="C910" s="138" t="s">
        <v>3303</v>
      </c>
      <c r="D910" s="149"/>
    </row>
    <row r="911" spans="2:4" ht="20.25" customHeight="1" x14ac:dyDescent="0.25">
      <c r="B911" s="106"/>
      <c r="C911" s="138" t="s">
        <v>3304</v>
      </c>
      <c r="D911" s="149"/>
    </row>
    <row r="912" spans="2:4" ht="20.25" customHeight="1" x14ac:dyDescent="0.25">
      <c r="B912" s="106"/>
      <c r="C912" s="138" t="s">
        <v>3305</v>
      </c>
      <c r="D912" s="149"/>
    </row>
    <row r="913" spans="2:4" ht="20.25" customHeight="1" x14ac:dyDescent="0.25">
      <c r="B913" s="106"/>
      <c r="C913" s="138" t="s">
        <v>3306</v>
      </c>
      <c r="D913" s="134" t="s">
        <v>24</v>
      </c>
    </row>
    <row r="914" spans="2:4" ht="20.25" customHeight="1" x14ac:dyDescent="0.25">
      <c r="B914" s="106"/>
      <c r="C914" s="146" t="s">
        <v>2559</v>
      </c>
      <c r="D914" s="134" t="s">
        <v>24</v>
      </c>
    </row>
    <row r="915" spans="2:4" ht="20.25" customHeight="1" x14ac:dyDescent="0.25">
      <c r="B915" s="106"/>
      <c r="C915" s="146" t="s">
        <v>2559</v>
      </c>
      <c r="D915" s="149"/>
    </row>
    <row r="916" spans="2:4" ht="20.25" customHeight="1" x14ac:dyDescent="0.25">
      <c r="B916" s="106"/>
      <c r="C916" s="146" t="s">
        <v>2559</v>
      </c>
      <c r="D916" s="149"/>
    </row>
    <row r="917" spans="2:4" ht="20.25" customHeight="1" x14ac:dyDescent="0.25">
      <c r="B917" s="106"/>
      <c r="C917" s="138" t="s">
        <v>3307</v>
      </c>
      <c r="D917" s="149"/>
    </row>
    <row r="918" spans="2:4" ht="20.25" customHeight="1" x14ac:dyDescent="0.25">
      <c r="B918" s="106"/>
      <c r="C918" s="138" t="s">
        <v>3308</v>
      </c>
      <c r="D918" s="149"/>
    </row>
    <row r="919" spans="2:4" ht="20.25" customHeight="1" x14ac:dyDescent="0.25">
      <c r="B919" s="106"/>
      <c r="C919" s="146" t="s">
        <v>2559</v>
      </c>
      <c r="D919" s="149"/>
    </row>
    <row r="920" spans="2:4" ht="20.25" customHeight="1" x14ac:dyDescent="0.25">
      <c r="B920" s="106"/>
      <c r="C920" s="146" t="s">
        <v>366</v>
      </c>
      <c r="D920" s="149"/>
    </row>
    <row r="921" spans="2:4" ht="20.25" customHeight="1" x14ac:dyDescent="0.25">
      <c r="B921" s="106"/>
      <c r="C921" s="146" t="s">
        <v>2559</v>
      </c>
      <c r="D921" s="149"/>
    </row>
    <row r="922" spans="2:4" ht="20.25" customHeight="1" x14ac:dyDescent="0.25">
      <c r="B922" s="106"/>
      <c r="C922" s="138" t="s">
        <v>366</v>
      </c>
      <c r="D922" s="149"/>
    </row>
    <row r="923" spans="2:4" ht="20.25" customHeight="1" x14ac:dyDescent="0.25">
      <c r="B923" s="106"/>
      <c r="C923" s="146" t="s">
        <v>3309</v>
      </c>
      <c r="D923" s="149"/>
    </row>
    <row r="924" spans="2:4" ht="20.25" customHeight="1" x14ac:dyDescent="0.25">
      <c r="B924" s="106"/>
      <c r="C924" s="180" t="s">
        <v>1863</v>
      </c>
      <c r="D924" s="149"/>
    </row>
    <row r="925" spans="2:4" ht="20.25" customHeight="1" x14ac:dyDescent="0.25">
      <c r="B925" s="106"/>
      <c r="C925" s="180" t="s">
        <v>1866</v>
      </c>
      <c r="D925" s="134" t="s">
        <v>24</v>
      </c>
    </row>
    <row r="926" spans="2:4" ht="20.25" customHeight="1" x14ac:dyDescent="0.25">
      <c r="B926" s="106"/>
      <c r="C926" s="146" t="s">
        <v>1870</v>
      </c>
      <c r="D926" s="134" t="s">
        <v>24</v>
      </c>
    </row>
    <row r="927" spans="2:4" ht="20.25" customHeight="1" x14ac:dyDescent="0.25">
      <c r="B927" s="106"/>
      <c r="C927" s="146" t="s">
        <v>3310</v>
      </c>
      <c r="D927" s="149"/>
    </row>
    <row r="928" spans="2:4" ht="20.25" customHeight="1" x14ac:dyDescent="0.25">
      <c r="B928" s="106"/>
      <c r="C928" s="146" t="s">
        <v>2559</v>
      </c>
      <c r="D928" s="149"/>
    </row>
    <row r="929" spans="2:4" ht="20.25" customHeight="1" x14ac:dyDescent="0.25">
      <c r="B929" s="106"/>
      <c r="C929" s="138" t="s">
        <v>3311</v>
      </c>
      <c r="D929" s="149"/>
    </row>
    <row r="930" spans="2:4" ht="20.25" customHeight="1" x14ac:dyDescent="0.25">
      <c r="B930" s="106"/>
      <c r="C930" s="138" t="s">
        <v>3312</v>
      </c>
      <c r="D930" s="149"/>
    </row>
    <row r="931" spans="2:4" ht="20.25" customHeight="1" x14ac:dyDescent="0.25">
      <c r="B931" s="106"/>
      <c r="C931" s="146" t="s">
        <v>3313</v>
      </c>
      <c r="D931" s="144">
        <v>45049</v>
      </c>
    </row>
    <row r="932" spans="2:4" ht="20.25" customHeight="1" x14ac:dyDescent="0.25">
      <c r="B932" s="106"/>
      <c r="C932" s="138" t="s">
        <v>3314</v>
      </c>
      <c r="D932" s="149"/>
    </row>
    <row r="933" spans="2:4" ht="20.25" customHeight="1" x14ac:dyDescent="0.25">
      <c r="B933" s="106"/>
      <c r="C933" s="138" t="s">
        <v>3315</v>
      </c>
      <c r="D933" s="149"/>
    </row>
    <row r="934" spans="2:4" ht="20.25" customHeight="1" x14ac:dyDescent="0.25">
      <c r="B934" s="106"/>
      <c r="C934" s="146" t="s">
        <v>2559</v>
      </c>
      <c r="D934" s="149"/>
    </row>
    <row r="935" spans="2:4" ht="20.25" customHeight="1" x14ac:dyDescent="0.25">
      <c r="B935" s="106"/>
      <c r="C935" s="138" t="s">
        <v>3316</v>
      </c>
      <c r="D935" s="149"/>
    </row>
    <row r="936" spans="2:4" ht="20.25" customHeight="1" x14ac:dyDescent="0.25">
      <c r="B936" s="106"/>
      <c r="C936" s="146" t="s">
        <v>366</v>
      </c>
      <c r="D936" s="149"/>
    </row>
    <row r="937" spans="2:4" ht="20.25" customHeight="1" x14ac:dyDescent="0.25">
      <c r="B937" s="106"/>
      <c r="C937" s="138" t="s">
        <v>3317</v>
      </c>
      <c r="D937" s="149"/>
    </row>
    <row r="938" spans="2:4" ht="20.25" customHeight="1" x14ac:dyDescent="0.25">
      <c r="B938" s="106"/>
      <c r="C938" s="138" t="s">
        <v>3318</v>
      </c>
      <c r="D938" s="149"/>
    </row>
    <row r="939" spans="2:4" ht="20.25" customHeight="1" x14ac:dyDescent="0.25">
      <c r="B939" s="106"/>
      <c r="C939" s="138" t="s">
        <v>3319</v>
      </c>
      <c r="D939" s="149"/>
    </row>
    <row r="940" spans="2:4" ht="20.25" customHeight="1" x14ac:dyDescent="0.25">
      <c r="B940" s="106"/>
      <c r="C940" s="146" t="s">
        <v>2559</v>
      </c>
      <c r="D940" s="149"/>
    </row>
    <row r="941" spans="2:4" ht="20.25" customHeight="1" x14ac:dyDescent="0.25">
      <c r="B941" s="106"/>
      <c r="C941" s="138" t="s">
        <v>2559</v>
      </c>
      <c r="D941" s="149"/>
    </row>
    <row r="942" spans="2:4" ht="20.25" customHeight="1" x14ac:dyDescent="0.25">
      <c r="B942" s="106"/>
      <c r="C942" s="138" t="s">
        <v>3320</v>
      </c>
      <c r="D942" s="149"/>
    </row>
    <row r="943" spans="2:4" ht="20.25" customHeight="1" x14ac:dyDescent="0.25">
      <c r="B943" s="106"/>
      <c r="C943" s="138" t="s">
        <v>2559</v>
      </c>
      <c r="D943" s="149"/>
    </row>
    <row r="944" spans="2:4" ht="20.25" customHeight="1" x14ac:dyDescent="0.25">
      <c r="B944" s="106"/>
      <c r="C944" s="138" t="s">
        <v>2559</v>
      </c>
      <c r="D944" s="149"/>
    </row>
    <row r="945" spans="2:4" ht="20.25" customHeight="1" x14ac:dyDescent="0.25">
      <c r="B945" s="106"/>
      <c r="C945" s="138" t="s">
        <v>2559</v>
      </c>
      <c r="D945" s="149"/>
    </row>
    <row r="946" spans="2:4" ht="20.25" customHeight="1" x14ac:dyDescent="0.25">
      <c r="B946" s="106"/>
      <c r="C946" s="138" t="s">
        <v>2559</v>
      </c>
      <c r="D946" s="149"/>
    </row>
    <row r="947" spans="2:4" ht="20.25" customHeight="1" x14ac:dyDescent="0.25">
      <c r="B947" s="106"/>
      <c r="C947" s="138" t="s">
        <v>2559</v>
      </c>
      <c r="D947" s="149"/>
    </row>
    <row r="948" spans="2:4" ht="20.25" customHeight="1" x14ac:dyDescent="0.25">
      <c r="B948" s="106"/>
      <c r="C948" s="138" t="s">
        <v>2559</v>
      </c>
      <c r="D948" s="149"/>
    </row>
    <row r="949" spans="2:4" ht="20.25" customHeight="1" x14ac:dyDescent="0.25">
      <c r="B949" s="106"/>
      <c r="C949" s="146" t="s">
        <v>3321</v>
      </c>
      <c r="D949" s="139">
        <v>44961</v>
      </c>
    </row>
    <row r="950" spans="2:4" ht="20.25" customHeight="1" x14ac:dyDescent="0.25">
      <c r="B950" s="106"/>
      <c r="C950" s="146" t="s">
        <v>3321</v>
      </c>
      <c r="D950" s="149"/>
    </row>
    <row r="951" spans="2:4" ht="20.25" customHeight="1" x14ac:dyDescent="0.25">
      <c r="C951" s="154" t="s">
        <v>3322</v>
      </c>
      <c r="D951" s="149"/>
    </row>
    <row r="952" spans="2:4" ht="20.25" customHeight="1" x14ac:dyDescent="0.25">
      <c r="C952" s="154" t="s">
        <v>3323</v>
      </c>
      <c r="D952" s="149"/>
    </row>
    <row r="953" spans="2:4" ht="20.25" customHeight="1" x14ac:dyDescent="0.25">
      <c r="C953" s="152" t="s">
        <v>3324</v>
      </c>
      <c r="D953" s="149"/>
    </row>
    <row r="954" spans="2:4" ht="20.25" customHeight="1" x14ac:dyDescent="0.25">
      <c r="C954" s="154" t="s">
        <v>3325</v>
      </c>
      <c r="D954" s="149"/>
    </row>
    <row r="955" spans="2:4" ht="20.25" customHeight="1" x14ac:dyDescent="0.25">
      <c r="C955" s="154" t="s">
        <v>3326</v>
      </c>
      <c r="D955" s="149"/>
    </row>
    <row r="956" spans="2:4" ht="20.25" customHeight="1" x14ac:dyDescent="0.25">
      <c r="C956" s="154" t="s">
        <v>3327</v>
      </c>
      <c r="D956" s="149"/>
    </row>
    <row r="957" spans="2:4" ht="20.25" customHeight="1" x14ac:dyDescent="0.25">
      <c r="C957" s="154" t="s">
        <v>3328</v>
      </c>
      <c r="D957" s="149"/>
    </row>
    <row r="958" spans="2:4" ht="20.25" customHeight="1" x14ac:dyDescent="0.25">
      <c r="C958" s="154" t="s">
        <v>3329</v>
      </c>
      <c r="D958" s="149"/>
    </row>
    <row r="959" spans="2:4" ht="20.25" customHeight="1" x14ac:dyDescent="0.25">
      <c r="C959" s="154" t="s">
        <v>3330</v>
      </c>
      <c r="D959" s="149"/>
    </row>
    <row r="960" spans="2:4" ht="20.25" customHeight="1" x14ac:dyDescent="0.25">
      <c r="C960" s="154" t="s">
        <v>3331</v>
      </c>
      <c r="D960" s="149"/>
    </row>
    <row r="961" spans="3:4" ht="20.25" customHeight="1" x14ac:dyDescent="0.25">
      <c r="C961" s="154" t="s">
        <v>366</v>
      </c>
      <c r="D961" s="149"/>
    </row>
    <row r="962" spans="3:4" ht="20.25" customHeight="1" x14ac:dyDescent="0.25">
      <c r="C962" s="154" t="s">
        <v>3332</v>
      </c>
      <c r="D962" s="149"/>
    </row>
    <row r="963" spans="3:4" ht="20.25" customHeight="1" x14ac:dyDescent="0.25">
      <c r="C963" s="154" t="s">
        <v>3333</v>
      </c>
      <c r="D963" s="149"/>
    </row>
    <row r="964" spans="3:4" ht="20.25" customHeight="1" x14ac:dyDescent="0.25">
      <c r="C964" s="154" t="s">
        <v>3334</v>
      </c>
      <c r="D964" s="149"/>
    </row>
    <row r="965" spans="3:4" ht="20.25" customHeight="1" x14ac:dyDescent="0.25">
      <c r="C965" s="154" t="s">
        <v>3335</v>
      </c>
      <c r="D965" s="149"/>
    </row>
    <row r="966" spans="3:4" ht="20.25" customHeight="1" x14ac:dyDescent="0.25">
      <c r="C966" s="154" t="s">
        <v>3336</v>
      </c>
      <c r="D966" s="149"/>
    </row>
    <row r="967" spans="3:4" ht="20.25" customHeight="1" x14ac:dyDescent="0.25">
      <c r="C967" s="154" t="s">
        <v>3337</v>
      </c>
      <c r="D967" s="149"/>
    </row>
    <row r="968" spans="3:4" ht="20.25" customHeight="1" x14ac:dyDescent="0.25">
      <c r="C968" s="154" t="s">
        <v>3338</v>
      </c>
      <c r="D968" s="149"/>
    </row>
    <row r="969" spans="3:4" ht="20.25" customHeight="1" x14ac:dyDescent="0.25">
      <c r="C969" s="154" t="s">
        <v>3339</v>
      </c>
      <c r="D969" s="149"/>
    </row>
    <row r="970" spans="3:4" ht="20.25" customHeight="1" x14ac:dyDescent="0.25">
      <c r="C970" s="154" t="s">
        <v>3340</v>
      </c>
      <c r="D970" s="149"/>
    </row>
    <row r="971" spans="3:4" ht="20.25" customHeight="1" x14ac:dyDescent="0.25">
      <c r="C971" s="154" t="s">
        <v>3341</v>
      </c>
      <c r="D971" s="149"/>
    </row>
    <row r="972" spans="3:4" ht="20.25" customHeight="1" x14ac:dyDescent="0.25">
      <c r="C972" s="154" t="s">
        <v>3318</v>
      </c>
      <c r="D972" s="149"/>
    </row>
    <row r="973" spans="3:4" ht="20.25" customHeight="1" x14ac:dyDescent="0.25">
      <c r="C973" s="154" t="s">
        <v>3321</v>
      </c>
      <c r="D973" s="149"/>
    </row>
    <row r="974" spans="3:4" ht="20.25" customHeight="1" x14ac:dyDescent="0.25">
      <c r="C974" s="154" t="s">
        <v>3321</v>
      </c>
      <c r="D974" s="149"/>
    </row>
    <row r="975" spans="3:4" ht="20.25" customHeight="1" x14ac:dyDescent="0.25">
      <c r="C975" s="154" t="s">
        <v>3342</v>
      </c>
      <c r="D975" s="149"/>
    </row>
    <row r="976" spans="3:4" ht="20.25" customHeight="1" x14ac:dyDescent="0.25">
      <c r="C976" s="154" t="s">
        <v>3342</v>
      </c>
      <c r="D976" s="149"/>
    </row>
    <row r="977" spans="3:4" ht="20.25" customHeight="1" x14ac:dyDescent="0.25">
      <c r="C977" s="154" t="s">
        <v>3343</v>
      </c>
      <c r="D977" s="139">
        <v>44961</v>
      </c>
    </row>
    <row r="978" spans="3:4" ht="20.25" customHeight="1" x14ac:dyDescent="0.25">
      <c r="C978" s="154" t="s">
        <v>3344</v>
      </c>
      <c r="D978" s="144">
        <v>45105</v>
      </c>
    </row>
    <row r="979" spans="3:4" ht="20.25" customHeight="1" x14ac:dyDescent="0.25">
      <c r="C979" s="154" t="s">
        <v>3345</v>
      </c>
      <c r="D979" s="144">
        <v>45105</v>
      </c>
    </row>
    <row r="980" spans="3:4" ht="20.25" customHeight="1" x14ac:dyDescent="0.25">
      <c r="C980" s="154" t="s">
        <v>3346</v>
      </c>
      <c r="D980" s="149"/>
    </row>
    <row r="981" spans="3:4" ht="20.25" customHeight="1" x14ac:dyDescent="0.25">
      <c r="C981" s="153" t="s">
        <v>3347</v>
      </c>
      <c r="D981" s="134" t="s">
        <v>24</v>
      </c>
    </row>
    <row r="982" spans="3:4" ht="20.25" customHeight="1" x14ac:dyDescent="0.25">
      <c r="C982" s="154" t="s">
        <v>3348</v>
      </c>
      <c r="D982" s="139">
        <v>44961</v>
      </c>
    </row>
    <row r="983" spans="3:4" ht="20.25" customHeight="1" x14ac:dyDescent="0.25">
      <c r="C983" s="154" t="s">
        <v>3349</v>
      </c>
      <c r="D983" s="149"/>
    </row>
    <row r="984" spans="3:4" ht="20.25" customHeight="1" x14ac:dyDescent="0.25">
      <c r="C984" s="153" t="s">
        <v>3350</v>
      </c>
      <c r="D984" s="134" t="s">
        <v>24</v>
      </c>
    </row>
    <row r="985" spans="3:4" ht="20.25" customHeight="1" x14ac:dyDescent="0.25">
      <c r="C985" s="153" t="s">
        <v>3351</v>
      </c>
      <c r="D985" s="149"/>
    </row>
    <row r="986" spans="3:4" ht="20.25" customHeight="1" x14ac:dyDescent="0.25">
      <c r="C986" s="154" t="s">
        <v>3352</v>
      </c>
      <c r="D986" s="171"/>
    </row>
    <row r="987" spans="3:4" ht="20.25" customHeight="1" x14ac:dyDescent="0.25">
      <c r="C987" s="154" t="s">
        <v>3353</v>
      </c>
      <c r="D987" s="149"/>
    </row>
    <row r="988" spans="3:4" ht="20.25" customHeight="1" x14ac:dyDescent="0.25">
      <c r="C988" s="154" t="s">
        <v>3354</v>
      </c>
      <c r="D988" s="149"/>
    </row>
    <row r="989" spans="3:4" ht="20.25" customHeight="1" x14ac:dyDescent="0.25">
      <c r="C989" s="152"/>
    </row>
    <row r="990" spans="3:4" ht="20.25" customHeight="1" x14ac:dyDescent="0.25">
      <c r="C990" s="160"/>
    </row>
    <row r="991" spans="3:4" ht="20.25" customHeight="1" x14ac:dyDescent="0.25">
      <c r="C991" s="152"/>
    </row>
    <row r="992" spans="3:4" ht="20.25" customHeight="1" x14ac:dyDescent="0.25">
      <c r="C992" s="152"/>
    </row>
    <row r="993" spans="3:3" ht="20.25" customHeight="1" x14ac:dyDescent="0.25">
      <c r="C993" s="152"/>
    </row>
    <row r="994" spans="3:3" ht="20.25" customHeight="1" x14ac:dyDescent="0.25">
      <c r="C994" s="152"/>
    </row>
    <row r="995" spans="3:3" ht="20.25" customHeight="1" x14ac:dyDescent="0.25">
      <c r="C995" s="152"/>
    </row>
    <row r="996" spans="3:3" ht="20.25" customHeight="1" x14ac:dyDescent="0.25">
      <c r="C996" s="152"/>
    </row>
    <row r="997" spans="3:3" ht="20.25" customHeight="1" x14ac:dyDescent="0.25">
      <c r="C997" s="152"/>
    </row>
  </sheetData>
  <conditionalFormatting sqref="B5">
    <cfRule type="duplicateValues" dxfId="53" priority="3"/>
  </conditionalFormatting>
  <conditionalFormatting sqref="B6:B7">
    <cfRule type="duplicateValues" dxfId="52" priority="9"/>
  </conditionalFormatting>
  <conditionalFormatting sqref="B8:B10">
    <cfRule type="duplicateValues" dxfId="51" priority="15"/>
  </conditionalFormatting>
  <conditionalFormatting sqref="B11:B12">
    <cfRule type="duplicateValues" dxfId="50" priority="21"/>
  </conditionalFormatting>
  <conditionalFormatting sqref="B13:B15">
    <cfRule type="duplicateValues" dxfId="49" priority="1211"/>
  </conditionalFormatting>
  <conditionalFormatting sqref="B16:B19">
    <cfRule type="duplicateValues" dxfId="48" priority="512"/>
  </conditionalFormatting>
  <conditionalFormatting sqref="B20:B31">
    <cfRule type="duplicateValues" dxfId="47" priority="520"/>
  </conditionalFormatting>
  <conditionalFormatting sqref="C5">
    <cfRule type="duplicateValues" dxfId="46" priority="1"/>
    <cfRule type="duplicateValues" dxfId="45" priority="2"/>
  </conditionalFormatting>
  <conditionalFormatting sqref="C6:C7">
    <cfRule type="duplicateValues" dxfId="44" priority="7"/>
    <cfRule type="duplicateValues" dxfId="43" priority="8"/>
  </conditionalFormatting>
  <conditionalFormatting sqref="C8:C10">
    <cfRule type="duplicateValues" dxfId="42" priority="13"/>
    <cfRule type="duplicateValues" dxfId="41" priority="14"/>
  </conditionalFormatting>
  <conditionalFormatting sqref="C11:C12">
    <cfRule type="duplicateValues" dxfId="40" priority="19"/>
    <cfRule type="duplicateValues" dxfId="39" priority="20"/>
  </conditionalFormatting>
  <conditionalFormatting sqref="C13:C15">
    <cfRule type="duplicateValues" dxfId="38" priority="1218"/>
  </conditionalFormatting>
  <conditionalFormatting sqref="C14">
    <cfRule type="duplicateValues" dxfId="37" priority="275"/>
  </conditionalFormatting>
  <conditionalFormatting sqref="C15 C13">
    <cfRule type="duplicateValues" dxfId="36" priority="1213"/>
  </conditionalFormatting>
  <conditionalFormatting sqref="D13:D19">
    <cfRule type="cellIs" dxfId="35" priority="283" operator="between">
      <formula>36526</formula>
      <formula>402133</formula>
    </cfRule>
  </conditionalFormatting>
  <conditionalFormatting sqref="D16:D19">
    <cfRule type="cellIs" dxfId="34" priority="507" operator="between">
      <formula>36526</formula>
      <formula>47848</formula>
    </cfRule>
    <cfRule type="cellIs" dxfId="33" priority="511" operator="between">
      <formula>36526</formula>
      <formula>"31/12/3000"</formula>
    </cfRule>
  </conditionalFormatting>
  <conditionalFormatting sqref="F3:F4">
    <cfRule type="duplicateValues" dxfId="32" priority="1224"/>
    <cfRule type="duplicateValues" dxfId="31" priority="1225"/>
    <cfRule type="duplicateValues" dxfId="30" priority="1226"/>
    <cfRule type="duplicateValues" dxfId="29" priority="1227"/>
    <cfRule type="duplicateValues" dxfId="28" priority="1711"/>
  </conditionalFormatting>
  <conditionalFormatting sqref="F3:F44 H3:H41">
    <cfRule type="duplicateValues" dxfId="27" priority="1730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 x14ac:dyDescent="0.2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 x14ac:dyDescent="0.2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 x14ac:dyDescent="0.2">
      <c r="B4" s="113" t="s">
        <v>99</v>
      </c>
      <c r="C4" s="113" t="s">
        <v>375</v>
      </c>
      <c r="D4" s="113" t="s">
        <v>376</v>
      </c>
      <c r="E4" s="113" t="s">
        <v>378</v>
      </c>
      <c r="F4" s="113" t="s">
        <v>380</v>
      </c>
    </row>
    <row r="5" spans="2:6" ht="20.25" customHeight="1" x14ac:dyDescent="0.2">
      <c r="B5" s="113" t="s">
        <v>99</v>
      </c>
      <c r="C5" s="113" t="s">
        <v>441</v>
      </c>
      <c r="D5" s="113" t="s">
        <v>444</v>
      </c>
      <c r="E5" s="113" t="s">
        <v>446</v>
      </c>
      <c r="F5" s="113" t="s">
        <v>447</v>
      </c>
    </row>
    <row r="6" spans="2:6" ht="20.25" customHeight="1" x14ac:dyDescent="0.2">
      <c r="B6" s="113" t="s">
        <v>99</v>
      </c>
      <c r="C6" s="113" t="s">
        <v>482</v>
      </c>
      <c r="D6" s="113" t="s">
        <v>477</v>
      </c>
      <c r="E6" s="113" t="s">
        <v>479</v>
      </c>
      <c r="F6" s="287" t="s">
        <v>486</v>
      </c>
    </row>
    <row r="7" spans="2:6" ht="20.25" customHeight="1" x14ac:dyDescent="0.2">
      <c r="B7" s="113" t="s">
        <v>99</v>
      </c>
      <c r="C7" s="113" t="s">
        <v>1087</v>
      </c>
      <c r="D7" s="113" t="s">
        <v>1088</v>
      </c>
      <c r="E7" s="113" t="s">
        <v>1090</v>
      </c>
      <c r="F7" s="287" t="s">
        <v>1092</v>
      </c>
    </row>
    <row r="8" spans="2:6" ht="20.25" customHeight="1" x14ac:dyDescent="0.2">
      <c r="B8" s="113" t="s">
        <v>99</v>
      </c>
      <c r="C8" s="113" t="s">
        <v>1465</v>
      </c>
      <c r="D8" s="113" t="s">
        <v>1461</v>
      </c>
      <c r="E8" s="113" t="s">
        <v>1463</v>
      </c>
      <c r="F8" s="287" t="s">
        <v>1466</v>
      </c>
    </row>
    <row r="9" spans="2:6" ht="20.25" customHeight="1" x14ac:dyDescent="0.2">
      <c r="B9" s="113" t="s">
        <v>99</v>
      </c>
      <c r="C9" s="113" t="s">
        <v>1499</v>
      </c>
      <c r="D9" s="113" t="s">
        <v>1500</v>
      </c>
      <c r="E9" s="113" t="s">
        <v>1502</v>
      </c>
      <c r="F9" s="287" t="s">
        <v>1504</v>
      </c>
    </row>
    <row r="10" spans="2:6" ht="20.25" customHeight="1" x14ac:dyDescent="0.2">
      <c r="B10" s="113" t="s">
        <v>99</v>
      </c>
      <c r="C10" s="287" t="s">
        <v>1789</v>
      </c>
      <c r="D10" s="287" t="s">
        <v>1790</v>
      </c>
      <c r="E10" s="287" t="s">
        <v>1792</v>
      </c>
      <c r="F10" s="113" t="s">
        <v>1793</v>
      </c>
    </row>
    <row r="11" spans="2:6" ht="20.25" customHeight="1" x14ac:dyDescent="0.2">
      <c r="B11" s="114"/>
      <c r="C11" s="114"/>
      <c r="D11" s="114"/>
      <c r="E11" s="114"/>
      <c r="F11" s="286"/>
    </row>
    <row r="12" spans="2:6" ht="20.25" customHeight="1" x14ac:dyDescent="0.2">
      <c r="B12" s="113"/>
      <c r="C12" s="113"/>
      <c r="D12" s="113"/>
      <c r="E12" s="113"/>
      <c r="F12" s="118"/>
    </row>
    <row r="13" spans="2:6" ht="20.25" customHeight="1" x14ac:dyDescent="0.2">
      <c r="B13" s="113"/>
      <c r="C13" s="113"/>
      <c r="D13" s="113"/>
      <c r="E13" s="113"/>
      <c r="F13" s="118"/>
    </row>
    <row r="14" spans="2:6" ht="20.25" customHeight="1" x14ac:dyDescent="0.2">
      <c r="B14" s="113"/>
      <c r="C14" s="113"/>
      <c r="D14" s="113"/>
      <c r="E14" s="113"/>
      <c r="F14" s="118"/>
    </row>
    <row r="15" spans="2:6" ht="20.25" customHeight="1" x14ac:dyDescent="0.2">
      <c r="B15" s="113"/>
      <c r="C15" s="113"/>
      <c r="D15" s="115"/>
      <c r="E15" s="115"/>
      <c r="F15" s="118"/>
    </row>
    <row r="16" spans="2:6" ht="20.25" customHeight="1" x14ac:dyDescent="0.2">
      <c r="B16" s="113" t="s">
        <v>1854</v>
      </c>
      <c r="C16" s="113" t="s">
        <v>2697</v>
      </c>
      <c r="D16" s="113" t="s">
        <v>2922</v>
      </c>
      <c r="E16" s="113" t="s">
        <v>3355</v>
      </c>
      <c r="F16" s="118">
        <v>60000</v>
      </c>
    </row>
    <row r="17" spans="2:6" ht="20.25" customHeight="1" x14ac:dyDescent="0.2">
      <c r="B17" s="113" t="s">
        <v>1854</v>
      </c>
      <c r="C17" s="113" t="s">
        <v>2708</v>
      </c>
      <c r="D17" s="113" t="s">
        <v>2933</v>
      </c>
      <c r="E17" s="113" t="s">
        <v>100</v>
      </c>
      <c r="F17" s="118">
        <v>60000</v>
      </c>
    </row>
    <row r="18" spans="2:6" ht="20.25" customHeight="1" x14ac:dyDescent="0.2">
      <c r="B18" s="183"/>
      <c r="C18" s="184"/>
      <c r="D18" s="114"/>
      <c r="E18" s="114"/>
      <c r="F18" s="114"/>
    </row>
    <row r="19" spans="2:6" ht="20.25" customHeight="1" x14ac:dyDescent="0.2">
      <c r="B19" s="136"/>
      <c r="C19" s="137"/>
      <c r="D19" s="113"/>
      <c r="E19" s="113"/>
      <c r="F19" s="113"/>
    </row>
    <row r="20" spans="2:6" ht="20.25" customHeight="1" x14ac:dyDescent="0.2">
      <c r="B20" s="117"/>
      <c r="C20" s="117"/>
      <c r="D20" s="117"/>
      <c r="E20" s="117"/>
      <c r="F20" s="117"/>
    </row>
    <row r="21" spans="2:6" ht="20.25" customHeight="1" x14ac:dyDescent="0.2">
      <c r="B21" s="117"/>
      <c r="C21" s="117"/>
      <c r="D21" s="117"/>
      <c r="E21" s="117"/>
      <c r="F21" s="117"/>
    </row>
    <row r="22" spans="2:6" ht="20.25" customHeight="1" x14ac:dyDescent="0.2">
      <c r="B22" s="117"/>
      <c r="C22" s="117"/>
      <c r="D22" s="117"/>
      <c r="E22" s="117"/>
      <c r="F22" s="117"/>
    </row>
    <row r="23" spans="2:6" ht="20.25" customHeight="1" x14ac:dyDescent="0.2">
      <c r="B23" s="113" t="s">
        <v>1854</v>
      </c>
      <c r="C23" s="113" t="s">
        <v>3356</v>
      </c>
      <c r="D23" s="113" t="s">
        <v>1936</v>
      </c>
      <c r="E23" s="113" t="s">
        <v>3357</v>
      </c>
      <c r="F23" s="113"/>
    </row>
    <row r="24" spans="2:6" ht="20.25" customHeight="1" x14ac:dyDescent="0.2">
      <c r="B24" s="113" t="s">
        <v>1854</v>
      </c>
      <c r="C24" s="113" t="s">
        <v>3358</v>
      </c>
      <c r="D24" s="113" t="s">
        <v>1938</v>
      </c>
      <c r="E24" s="113" t="s">
        <v>3359</v>
      </c>
      <c r="F24" s="113"/>
    </row>
    <row r="25" spans="2:6" ht="20.25" customHeight="1" x14ac:dyDescent="0.2">
      <c r="B25" s="113" t="s">
        <v>1854</v>
      </c>
      <c r="C25" s="113" t="s">
        <v>3360</v>
      </c>
      <c r="D25" s="113" t="s">
        <v>366</v>
      </c>
      <c r="E25" s="113" t="s">
        <v>366</v>
      </c>
      <c r="F25" s="113"/>
    </row>
    <row r="26" spans="2:6" ht="20.25" customHeight="1" x14ac:dyDescent="0.2">
      <c r="B26" s="113" t="s">
        <v>1854</v>
      </c>
      <c r="C26" s="113" t="s">
        <v>3361</v>
      </c>
      <c r="D26" s="113" t="s">
        <v>1941</v>
      </c>
      <c r="E26" s="113" t="s">
        <v>3357</v>
      </c>
      <c r="F26" s="113"/>
    </row>
    <row r="27" spans="2:6" ht="20.25" customHeight="1" x14ac:dyDescent="0.2">
      <c r="B27" s="117" t="s">
        <v>1854</v>
      </c>
      <c r="C27" s="117" t="s">
        <v>3362</v>
      </c>
      <c r="D27" s="117" t="s">
        <v>1947</v>
      </c>
      <c r="E27" s="117" t="s">
        <v>3363</v>
      </c>
      <c r="F27" s="117"/>
    </row>
    <row r="28" spans="2:6" ht="20.25" customHeight="1" x14ac:dyDescent="0.2">
      <c r="B28" s="113" t="s">
        <v>1854</v>
      </c>
      <c r="C28" s="113" t="s">
        <v>3364</v>
      </c>
      <c r="D28" s="113" t="s">
        <v>3365</v>
      </c>
      <c r="E28" s="113" t="s">
        <v>3366</v>
      </c>
      <c r="F28" s="113"/>
    </row>
    <row r="29" spans="2:6" ht="20.25" customHeight="1" x14ac:dyDescent="0.2">
      <c r="B29" s="113" t="s">
        <v>1854</v>
      </c>
      <c r="C29" s="113" t="s">
        <v>3367</v>
      </c>
      <c r="D29" s="113" t="s">
        <v>3368</v>
      </c>
      <c r="E29" s="113" t="s">
        <v>3369</v>
      </c>
      <c r="F29" s="113"/>
    </row>
    <row r="30" spans="2:6" ht="20.25" customHeight="1" x14ac:dyDescent="0.2">
      <c r="B30" s="113" t="s">
        <v>1854</v>
      </c>
      <c r="C30" s="113" t="s">
        <v>3370</v>
      </c>
      <c r="D30" s="113" t="s">
        <v>1976</v>
      </c>
      <c r="E30" s="113" t="s">
        <v>3371</v>
      </c>
      <c r="F30" s="115"/>
    </row>
    <row r="31" spans="2:6" ht="20.25" customHeight="1" x14ac:dyDescent="0.2">
      <c r="B31" s="113" t="s">
        <v>1854</v>
      </c>
      <c r="C31" s="113" t="s">
        <v>3372</v>
      </c>
      <c r="D31" s="115" t="s">
        <v>1922</v>
      </c>
      <c r="E31" s="113" t="s">
        <v>24</v>
      </c>
      <c r="F31" s="118"/>
    </row>
    <row r="32" spans="2:6" ht="20.25" customHeight="1" x14ac:dyDescent="0.2">
      <c r="B32" s="113" t="s">
        <v>1854</v>
      </c>
      <c r="C32" s="113" t="s">
        <v>2232</v>
      </c>
      <c r="D32" s="113" t="s">
        <v>366</v>
      </c>
      <c r="E32" s="113" t="s">
        <v>366</v>
      </c>
      <c r="F32" s="118"/>
    </row>
    <row r="33" spans="2:6" ht="20.25" customHeight="1" x14ac:dyDescent="0.2">
      <c r="B33" s="113" t="s">
        <v>1854</v>
      </c>
      <c r="C33" s="113" t="s">
        <v>2280</v>
      </c>
      <c r="D33" s="113" t="s">
        <v>366</v>
      </c>
      <c r="E33" s="113" t="s">
        <v>366</v>
      </c>
      <c r="F33" s="118"/>
    </row>
  </sheetData>
  <conditionalFormatting sqref="C4:C10">
    <cfRule type="duplicateValues" dxfId="26" priority="6"/>
    <cfRule type="duplicateValues" dxfId="25" priority="7"/>
  </conditionalFormatting>
  <conditionalFormatting sqref="C11:C17">
    <cfRule type="duplicateValues" dxfId="24" priority="8"/>
  </conditionalFormatting>
  <conditionalFormatting sqref="C18:C19">
    <cfRule type="duplicateValues" dxfId="23" priority="9"/>
  </conditionalFormatting>
  <conditionalFormatting sqref="D4">
    <cfRule type="duplicateValues" dxfId="22" priority="3"/>
  </conditionalFormatting>
  <conditionalFormatting sqref="D5:D10">
    <cfRule type="duplicateValues" dxfId="21" priority="1"/>
    <cfRule type="duplicateValues" dxfId="20" priority="2"/>
  </conditionalFormatting>
  <conditionalFormatting sqref="F3">
    <cfRule type="duplicateValues" dxfId="19" priority="5"/>
  </conditionalFormatting>
  <conditionalFormatting sqref="F4:F10">
    <cfRule type="duplicateValues" dxfId="18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45" t="s">
        <v>3373</v>
      </c>
      <c r="B1" s="345"/>
      <c r="C1" s="59"/>
      <c r="D1" s="59"/>
      <c r="E1" s="345" t="s">
        <v>3374</v>
      </c>
      <c r="F1" s="345"/>
    </row>
    <row r="2" spans="1:6" x14ac:dyDescent="0.25">
      <c r="A2" s="60" t="s">
        <v>39</v>
      </c>
      <c r="B2" s="60" t="s">
        <v>3375</v>
      </c>
      <c r="E2" s="58" t="s">
        <v>39</v>
      </c>
      <c r="F2" s="58" t="s">
        <v>3375</v>
      </c>
    </row>
    <row r="3" spans="1:6" x14ac:dyDescent="0.25">
      <c r="A3" s="8" t="s">
        <v>365</v>
      </c>
      <c r="B3" s="11">
        <v>39</v>
      </c>
      <c r="E3" s="8" t="s">
        <v>365</v>
      </c>
      <c r="F3" s="11">
        <v>54</v>
      </c>
    </row>
    <row r="4" spans="1:6" x14ac:dyDescent="0.25">
      <c r="A4" s="8" t="s">
        <v>3376</v>
      </c>
      <c r="B4" s="11">
        <v>15</v>
      </c>
      <c r="E4" s="8" t="s">
        <v>3377</v>
      </c>
      <c r="F4" s="11">
        <v>13</v>
      </c>
    </row>
    <row r="5" spans="1:6" x14ac:dyDescent="0.25">
      <c r="A5" s="8" t="s">
        <v>3378</v>
      </c>
      <c r="B5" s="11">
        <v>7</v>
      </c>
      <c r="E5" s="8" t="s">
        <v>3378</v>
      </c>
      <c r="F5" s="11">
        <v>15</v>
      </c>
    </row>
    <row r="6" spans="1:6" x14ac:dyDescent="0.25">
      <c r="A6" s="8" t="s">
        <v>3379</v>
      </c>
      <c r="B6" s="11">
        <v>2</v>
      </c>
      <c r="E6" s="8" t="s">
        <v>3379</v>
      </c>
      <c r="F6" s="11">
        <v>9</v>
      </c>
    </row>
    <row r="7" spans="1:6" x14ac:dyDescent="0.25">
      <c r="A7" s="8" t="s">
        <v>3380</v>
      </c>
      <c r="B7" s="11">
        <v>0</v>
      </c>
      <c r="E7" s="8" t="s">
        <v>3380</v>
      </c>
      <c r="F7" s="11">
        <v>9</v>
      </c>
    </row>
    <row r="8" spans="1:6" x14ac:dyDescent="0.25">
      <c r="A8" s="8" t="s">
        <v>3381</v>
      </c>
      <c r="B8" s="11">
        <v>15</v>
      </c>
      <c r="E8" s="8" t="s">
        <v>3381</v>
      </c>
      <c r="F8" s="11">
        <v>21</v>
      </c>
    </row>
    <row r="9" spans="1:6" x14ac:dyDescent="0.25">
      <c r="A9" s="61" t="s">
        <v>3382</v>
      </c>
      <c r="B9" s="62">
        <f>SUM(B3:B8)</f>
        <v>78</v>
      </c>
      <c r="E9" s="61" t="s">
        <v>3382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3383</v>
      </c>
      <c r="B1" s="5" t="s">
        <v>3384</v>
      </c>
      <c r="C1" s="5" t="s">
        <v>3385</v>
      </c>
      <c r="D1" s="5" t="s">
        <v>3386</v>
      </c>
      <c r="E1" s="5" t="s">
        <v>3387</v>
      </c>
      <c r="F1" s="5" t="s">
        <v>3388</v>
      </c>
      <c r="G1" s="5" t="s">
        <v>3389</v>
      </c>
      <c r="H1" s="5" t="s">
        <v>3390</v>
      </c>
      <c r="I1" s="5" t="s">
        <v>3391</v>
      </c>
      <c r="J1" s="5" t="s">
        <v>3392</v>
      </c>
    </row>
    <row r="2" spans="1:10" x14ac:dyDescent="0.25">
      <c r="A2" s="1" t="s">
        <v>3393</v>
      </c>
      <c r="B2" s="3" t="s">
        <v>3394</v>
      </c>
      <c r="C2" s="3">
        <v>1</v>
      </c>
      <c r="D2" s="3">
        <v>101</v>
      </c>
      <c r="E2" s="24" t="s">
        <v>3395</v>
      </c>
      <c r="F2" s="3" t="s">
        <v>3396</v>
      </c>
      <c r="G2" s="3" t="s">
        <v>15</v>
      </c>
      <c r="H2" s="3" t="s">
        <v>15</v>
      </c>
      <c r="I2" s="3" t="s">
        <v>3397</v>
      </c>
      <c r="J2" s="3" t="s">
        <v>3398</v>
      </c>
    </row>
    <row r="3" spans="1:10" x14ac:dyDescent="0.25">
      <c r="A3" s="1" t="s">
        <v>3399</v>
      </c>
      <c r="B3" s="3" t="s">
        <v>3400</v>
      </c>
      <c r="C3" s="3">
        <v>2</v>
      </c>
      <c r="D3" s="3">
        <v>102</v>
      </c>
      <c r="E3" s="3" t="s">
        <v>3401</v>
      </c>
      <c r="F3" s="6" t="s">
        <v>3402</v>
      </c>
      <c r="G3" s="3" t="s">
        <v>3403</v>
      </c>
      <c r="H3" s="3" t="s">
        <v>3404</v>
      </c>
      <c r="I3" s="3" t="s">
        <v>3405</v>
      </c>
      <c r="J3" s="3" t="s">
        <v>3406</v>
      </c>
    </row>
    <row r="4" spans="1:10" x14ac:dyDescent="0.25">
      <c r="A4" s="1" t="s">
        <v>3407</v>
      </c>
      <c r="B4" s="3" t="s">
        <v>3408</v>
      </c>
      <c r="C4" s="3">
        <v>3</v>
      </c>
      <c r="D4" s="3">
        <v>103</v>
      </c>
      <c r="E4" s="3" t="s">
        <v>3409</v>
      </c>
      <c r="F4" s="3" t="s">
        <v>3410</v>
      </c>
      <c r="G4" s="3" t="s">
        <v>3411</v>
      </c>
      <c r="H4" s="3" t="s">
        <v>3412</v>
      </c>
      <c r="I4" s="3" t="s">
        <v>3413</v>
      </c>
      <c r="J4" s="3" t="s">
        <v>3412</v>
      </c>
    </row>
    <row r="5" spans="1:10" x14ac:dyDescent="0.25">
      <c r="A5" s="1" t="s">
        <v>3414</v>
      </c>
      <c r="B5" s="3" t="s">
        <v>3415</v>
      </c>
      <c r="C5" s="3">
        <v>4</v>
      </c>
      <c r="D5" s="3">
        <v>104</v>
      </c>
      <c r="E5" s="3" t="s">
        <v>3406</v>
      </c>
      <c r="F5" s="3" t="s">
        <v>3416</v>
      </c>
      <c r="G5" s="3" t="s">
        <v>3417</v>
      </c>
      <c r="H5" s="3" t="s">
        <v>3418</v>
      </c>
      <c r="I5" s="3" t="s">
        <v>3412</v>
      </c>
    </row>
    <row r="6" spans="1:10" x14ac:dyDescent="0.25">
      <c r="A6" s="1" t="s">
        <v>3419</v>
      </c>
      <c r="B6" s="3" t="s">
        <v>3420</v>
      </c>
      <c r="C6" s="3">
        <v>5</v>
      </c>
      <c r="D6" s="3">
        <v>201</v>
      </c>
      <c r="E6" s="3" t="s">
        <v>3421</v>
      </c>
      <c r="G6" s="3" t="s">
        <v>3422</v>
      </c>
      <c r="H6" s="3" t="s">
        <v>3423</v>
      </c>
      <c r="I6" s="3" t="s">
        <v>3424</v>
      </c>
    </row>
    <row r="7" spans="1:10" x14ac:dyDescent="0.25">
      <c r="A7" s="1" t="s">
        <v>3425</v>
      </c>
      <c r="B7" s="3" t="s">
        <v>3426</v>
      </c>
      <c r="C7" s="3">
        <v>6</v>
      </c>
      <c r="D7" s="3">
        <v>202</v>
      </c>
      <c r="E7" s="3" t="s">
        <v>3427</v>
      </c>
      <c r="G7" s="3" t="s">
        <v>3428</v>
      </c>
      <c r="I7" s="3" t="s">
        <v>3429</v>
      </c>
    </row>
    <row r="8" spans="1:10" x14ac:dyDescent="0.25">
      <c r="A8" s="1" t="s">
        <v>3430</v>
      </c>
      <c r="B8" s="3" t="s">
        <v>3431</v>
      </c>
      <c r="C8" s="3">
        <v>7</v>
      </c>
      <c r="D8" s="3">
        <v>203</v>
      </c>
      <c r="E8" s="3" t="s">
        <v>3432</v>
      </c>
      <c r="G8" s="3"/>
      <c r="I8" s="3" t="s">
        <v>3433</v>
      </c>
    </row>
    <row r="9" spans="1:10" x14ac:dyDescent="0.25">
      <c r="A9" s="1" t="s">
        <v>3434</v>
      </c>
      <c r="B9" s="3" t="s">
        <v>3435</v>
      </c>
      <c r="C9" s="3">
        <v>8</v>
      </c>
      <c r="D9" s="3">
        <v>204</v>
      </c>
      <c r="E9" s="3" t="s">
        <v>3436</v>
      </c>
    </row>
    <row r="10" spans="1:10" x14ac:dyDescent="0.25">
      <c r="A10" s="1" t="s">
        <v>3437</v>
      </c>
      <c r="B10" s="3" t="s">
        <v>3438</v>
      </c>
      <c r="C10" s="3">
        <v>9</v>
      </c>
      <c r="D10" s="3">
        <v>301</v>
      </c>
      <c r="E10" s="3" t="s">
        <v>3439</v>
      </c>
    </row>
    <row r="11" spans="1:10" x14ac:dyDescent="0.25">
      <c r="A11" s="1" t="s">
        <v>3440</v>
      </c>
      <c r="B11" s="3" t="s">
        <v>3441</v>
      </c>
      <c r="C11" s="3">
        <v>10</v>
      </c>
      <c r="D11" s="3">
        <v>302</v>
      </c>
      <c r="E11" s="3" t="s">
        <v>3442</v>
      </c>
    </row>
    <row r="12" spans="1:10" x14ac:dyDescent="0.25">
      <c r="A12" s="1" t="s">
        <v>3443</v>
      </c>
      <c r="B12" s="3" t="s">
        <v>3444</v>
      </c>
      <c r="C12" s="3">
        <v>11</v>
      </c>
      <c r="D12" s="3">
        <v>303</v>
      </c>
      <c r="E12" s="24" t="s">
        <v>3445</v>
      </c>
    </row>
    <row r="13" spans="1:10" x14ac:dyDescent="0.25">
      <c r="A13" s="1" t="s">
        <v>3446</v>
      </c>
      <c r="B13" s="3" t="s">
        <v>3447</v>
      </c>
      <c r="C13" s="3">
        <v>12</v>
      </c>
      <c r="D13" s="3">
        <v>304</v>
      </c>
      <c r="E13" t="s">
        <v>3448</v>
      </c>
    </row>
    <row r="14" spans="1:10" x14ac:dyDescent="0.25">
      <c r="A14" s="1" t="s">
        <v>3449</v>
      </c>
      <c r="B14" s="3" t="s">
        <v>3450</v>
      </c>
      <c r="C14" s="3">
        <v>13</v>
      </c>
      <c r="D14" s="3">
        <v>401</v>
      </c>
      <c r="E14" s="3" t="s">
        <v>3451</v>
      </c>
    </row>
    <row r="15" spans="1:10" x14ac:dyDescent="0.25">
      <c r="A15" s="1" t="s">
        <v>3452</v>
      </c>
      <c r="B15" s="3" t="s">
        <v>3453</v>
      </c>
      <c r="C15" s="3">
        <v>14</v>
      </c>
      <c r="D15" s="3">
        <v>402</v>
      </c>
      <c r="E15" s="3" t="s">
        <v>3410</v>
      </c>
    </row>
    <row r="16" spans="1:10" x14ac:dyDescent="0.25">
      <c r="A16" s="1" t="s">
        <v>3454</v>
      </c>
      <c r="C16" s="3">
        <v>15</v>
      </c>
      <c r="D16" s="3">
        <v>403</v>
      </c>
      <c r="E16" s="3" t="s">
        <v>3455</v>
      </c>
    </row>
    <row r="17" spans="1:7" x14ac:dyDescent="0.25">
      <c r="A17" s="1" t="s">
        <v>3380</v>
      </c>
      <c r="C17" s="3"/>
      <c r="D17" s="3">
        <v>404</v>
      </c>
      <c r="E17" s="3" t="s">
        <v>3456</v>
      </c>
    </row>
    <row r="18" spans="1:7" x14ac:dyDescent="0.25">
      <c r="A18" s="1" t="s">
        <v>3457</v>
      </c>
      <c r="C18" s="3"/>
      <c r="D18" s="3">
        <v>501</v>
      </c>
      <c r="E18" s="3" t="s">
        <v>3458</v>
      </c>
    </row>
    <row r="19" spans="1:7" x14ac:dyDescent="0.25">
      <c r="A19" s="1" t="s">
        <v>3459</v>
      </c>
      <c r="D19" s="3">
        <v>502</v>
      </c>
      <c r="E19" s="3" t="s">
        <v>3460</v>
      </c>
    </row>
    <row r="20" spans="1:7" x14ac:dyDescent="0.25">
      <c r="A20" s="1" t="s">
        <v>3379</v>
      </c>
      <c r="D20" s="3">
        <v>503</v>
      </c>
      <c r="E20" s="3" t="s">
        <v>3461</v>
      </c>
    </row>
    <row r="21" spans="1:7" x14ac:dyDescent="0.25">
      <c r="A21" s="1" t="s">
        <v>3462</v>
      </c>
      <c r="D21" s="3">
        <v>504</v>
      </c>
      <c r="E21" s="3" t="s">
        <v>3398</v>
      </c>
    </row>
    <row r="22" spans="1:7" x14ac:dyDescent="0.25">
      <c r="A22" s="1" t="s">
        <v>3463</v>
      </c>
      <c r="E22" s="3" t="s">
        <v>3464</v>
      </c>
      <c r="G22" s="3"/>
    </row>
    <row r="23" spans="1:7" x14ac:dyDescent="0.25">
      <c r="A23" s="1" t="s">
        <v>3465</v>
      </c>
      <c r="E23" s="3" t="s">
        <v>3466</v>
      </c>
    </row>
    <row r="24" spans="1:7" x14ac:dyDescent="0.25">
      <c r="A24" s="1" t="s">
        <v>3467</v>
      </c>
    </row>
    <row r="25" spans="1:7" x14ac:dyDescent="0.25">
      <c r="A25" s="1" t="s">
        <v>3381</v>
      </c>
      <c r="G25" s="5"/>
    </row>
    <row r="26" spans="1:7" x14ac:dyDescent="0.25">
      <c r="A26" s="1" t="s">
        <v>3468</v>
      </c>
      <c r="G26" s="3"/>
    </row>
    <row r="27" spans="1:7" x14ac:dyDescent="0.25">
      <c r="A27" s="1" t="s">
        <v>3469</v>
      </c>
      <c r="G27" s="3"/>
    </row>
    <row r="28" spans="1:7" x14ac:dyDescent="0.25">
      <c r="A28" s="1" t="s">
        <v>3470</v>
      </c>
      <c r="G28" s="3"/>
    </row>
    <row r="29" spans="1:7" x14ac:dyDescent="0.25">
      <c r="A29" s="1" t="s">
        <v>3471</v>
      </c>
      <c r="G29" s="3"/>
    </row>
    <row r="30" spans="1:7" x14ac:dyDescent="0.25">
      <c r="A30" s="1" t="s">
        <v>3472</v>
      </c>
      <c r="G30" s="3"/>
    </row>
    <row r="31" spans="1:7" x14ac:dyDescent="0.25">
      <c r="A31" s="1" t="s">
        <v>3473</v>
      </c>
    </row>
    <row r="32" spans="1:7" x14ac:dyDescent="0.25">
      <c r="A32" s="1" t="s">
        <v>3474</v>
      </c>
    </row>
    <row r="33" spans="1:1" x14ac:dyDescent="0.25">
      <c r="A33" s="1" t="s">
        <v>3475</v>
      </c>
    </row>
    <row r="34" spans="1:1" x14ac:dyDescent="0.25">
      <c r="A34" s="1" t="s">
        <v>3476</v>
      </c>
    </row>
    <row r="35" spans="1:1" x14ac:dyDescent="0.25">
      <c r="A35" s="1" t="s">
        <v>3477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3478</v>
      </c>
      <c r="B1" s="56" t="s">
        <v>3479</v>
      </c>
    </row>
    <row r="2" spans="1:3" ht="24.95" customHeight="1" x14ac:dyDescent="0.25">
      <c r="A2" s="57" t="s">
        <v>3394</v>
      </c>
      <c r="B2" s="57" t="e">
        <f>COUNTIF(#REF!,'QUANT COND'!A2)</f>
        <v>#REF!</v>
      </c>
    </row>
    <row r="3" spans="1:3" ht="24.95" customHeight="1" x14ac:dyDescent="0.25">
      <c r="A3" s="57" t="s">
        <v>3400</v>
      </c>
      <c r="B3" s="57" t="e">
        <f>COUNTIF(#REF!,'QUANT COND'!A3)</f>
        <v>#REF!</v>
      </c>
    </row>
    <row r="4" spans="1:3" ht="24.95" customHeight="1" x14ac:dyDescent="0.25">
      <c r="A4" s="57" t="s">
        <v>3408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3415</v>
      </c>
      <c r="B5" s="57" t="e">
        <f>COUNTIF(#REF!,'QUANT COND'!A5)</f>
        <v>#REF!</v>
      </c>
    </row>
    <row r="6" spans="1:3" ht="24.95" customHeight="1" x14ac:dyDescent="0.25">
      <c r="A6" s="57" t="s">
        <v>3420</v>
      </c>
      <c r="B6" s="57" t="e">
        <f>COUNTIF(#REF!,'QUANT COND'!A6)</f>
        <v>#REF!</v>
      </c>
    </row>
    <row r="7" spans="1:3" ht="24.95" customHeight="1" x14ac:dyDescent="0.25">
      <c r="A7" s="57" t="s">
        <v>3426</v>
      </c>
      <c r="B7" s="57" t="e">
        <f>COUNTIF(#REF!,'QUANT COND'!A7)</f>
        <v>#REF!</v>
      </c>
    </row>
    <row r="8" spans="1:3" ht="24.95" customHeight="1" x14ac:dyDescent="0.25">
      <c r="A8" s="57" t="s">
        <v>3431</v>
      </c>
      <c r="B8" s="57" t="e">
        <f>COUNTIF(#REF!,'QUANT COND'!A8)</f>
        <v>#REF!</v>
      </c>
    </row>
    <row r="9" spans="1:3" ht="24.95" customHeight="1" x14ac:dyDescent="0.25">
      <c r="A9" s="57" t="s">
        <v>3435</v>
      </c>
      <c r="B9" s="57" t="e">
        <f>COUNTIF(#REF!,'QUANT COND'!A9)</f>
        <v>#REF!</v>
      </c>
    </row>
    <row r="10" spans="1:3" ht="24.95" customHeight="1" x14ac:dyDescent="0.25">
      <c r="A10" s="57" t="s">
        <v>3438</v>
      </c>
      <c r="B10" s="57" t="e">
        <f>COUNTIF(#REF!,'QUANT COND'!A10)</f>
        <v>#REF!</v>
      </c>
    </row>
    <row r="11" spans="1:3" ht="24.95" customHeight="1" x14ac:dyDescent="0.25">
      <c r="A11" s="57" t="s">
        <v>3441</v>
      </c>
      <c r="B11" s="57" t="e">
        <f>COUNTIF(#REF!,'QUANT COND'!A11)</f>
        <v>#REF!</v>
      </c>
    </row>
    <row r="12" spans="1:3" ht="24.95" customHeight="1" x14ac:dyDescent="0.25">
      <c r="A12" s="57" t="s">
        <v>3444</v>
      </c>
      <c r="B12" s="57" t="e">
        <f>COUNTIF(#REF!,'QUANT COND'!A12)</f>
        <v>#REF!</v>
      </c>
    </row>
    <row r="13" spans="1:3" ht="24.95" customHeight="1" x14ac:dyDescent="0.25">
      <c r="A13" s="57" t="s">
        <v>3447</v>
      </c>
      <c r="B13" s="57" t="e">
        <f>COUNTIF(#REF!,'QUANT COND'!A13)</f>
        <v>#REF!</v>
      </c>
    </row>
    <row r="14" spans="1:3" ht="24.95" customHeight="1" x14ac:dyDescent="0.25">
      <c r="A14" s="57" t="s">
        <v>3450</v>
      </c>
      <c r="B14" s="57" t="e">
        <f>COUNTIF(#REF!,'QUANT COND'!A14)</f>
        <v>#REF!</v>
      </c>
    </row>
    <row r="15" spans="1:3" ht="24.95" customHeight="1" x14ac:dyDescent="0.25">
      <c r="A15" s="57" t="s">
        <v>3453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47" t="s">
        <v>3480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9"/>
    </row>
    <row r="2" spans="1:27" ht="50.25" customHeight="1" x14ac:dyDescent="0.25">
      <c r="A2" s="7" t="s">
        <v>47</v>
      </c>
      <c r="B2" s="7" t="s">
        <v>49</v>
      </c>
      <c r="C2" s="7" t="s">
        <v>3481</v>
      </c>
      <c r="D2" s="12" t="s">
        <v>49</v>
      </c>
      <c r="E2" s="63" t="s">
        <v>3482</v>
      </c>
      <c r="F2" s="63" t="s">
        <v>3483</v>
      </c>
      <c r="G2" s="64" t="s">
        <v>3484</v>
      </c>
      <c r="H2" s="64" t="s">
        <v>3485</v>
      </c>
      <c r="I2" s="41" t="s">
        <v>3486</v>
      </c>
      <c r="J2" s="42" t="s">
        <v>3483</v>
      </c>
      <c r="K2" s="41" t="s">
        <v>3485</v>
      </c>
      <c r="L2" s="53" t="s">
        <v>3487</v>
      </c>
      <c r="M2" s="53" t="s">
        <v>3488</v>
      </c>
      <c r="O2" s="65" t="s">
        <v>3489</v>
      </c>
      <c r="P2" s="66" t="s">
        <v>3479</v>
      </c>
      <c r="Q2" s="66" t="s">
        <v>3490</v>
      </c>
      <c r="R2" s="66" t="s">
        <v>3491</v>
      </c>
      <c r="S2" s="66" t="s">
        <v>3492</v>
      </c>
      <c r="T2" s="43" t="s">
        <v>3493</v>
      </c>
      <c r="Y2" s="45" t="s">
        <v>3494</v>
      </c>
      <c r="Z2" s="45" t="s">
        <v>3495</v>
      </c>
      <c r="AA2" s="44" t="s">
        <v>3496</v>
      </c>
    </row>
    <row r="3" spans="1:27" x14ac:dyDescent="0.25">
      <c r="A3" s="13" t="s">
        <v>3497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3396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3498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3499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3500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3501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3396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3502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3503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3504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3505</v>
      </c>
      <c r="B7" s="67"/>
      <c r="C7" s="18" t="s">
        <v>3506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3507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3508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3396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3509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3396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3510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3511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3512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3396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3513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3514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3396</v>
      </c>
      <c r="H14" s="25">
        <v>42921</v>
      </c>
      <c r="I14" s="8"/>
      <c r="J14" s="8"/>
      <c r="K14" s="8"/>
      <c r="L14" s="9" t="s">
        <v>3515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3516</v>
      </c>
      <c r="B15" s="67">
        <v>38772276860</v>
      </c>
      <c r="C15" s="18" t="s">
        <v>3517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3518</v>
      </c>
      <c r="B16" s="67">
        <v>21538837846</v>
      </c>
      <c r="C16" s="72" t="s">
        <v>3519</v>
      </c>
      <c r="D16" s="69">
        <v>94203180520</v>
      </c>
      <c r="E16" s="9">
        <v>810</v>
      </c>
      <c r="F16" s="25">
        <v>42915</v>
      </c>
      <c r="G16" s="70" t="s">
        <v>3396</v>
      </c>
      <c r="H16" s="25">
        <v>42921</v>
      </c>
      <c r="I16" s="8"/>
      <c r="J16" s="8"/>
      <c r="K16" s="8"/>
      <c r="L16" s="9" t="s">
        <v>3515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3520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3396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3522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3402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3523</v>
      </c>
      <c r="B20" s="67">
        <v>18419589802</v>
      </c>
      <c r="C20" s="18" t="s">
        <v>3506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3524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3525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3396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3526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3396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3527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3396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3528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3529</v>
      </c>
      <c r="B26" s="67"/>
      <c r="C26" s="18" t="s">
        <v>3506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3530</v>
      </c>
      <c r="B27" s="67">
        <v>25894152810</v>
      </c>
      <c r="C27" s="72" t="s">
        <v>3531</v>
      </c>
      <c r="D27" s="69">
        <v>8263008808</v>
      </c>
      <c r="E27" s="9">
        <v>292</v>
      </c>
      <c r="F27" s="25">
        <v>43168</v>
      </c>
      <c r="G27" s="70" t="s">
        <v>3396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3532</v>
      </c>
      <c r="B28" s="67">
        <v>43026389587</v>
      </c>
      <c r="C28" s="72" t="s">
        <v>3533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3534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3402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3535</v>
      </c>
      <c r="B30" s="67">
        <v>36531080809</v>
      </c>
      <c r="C30" s="72" t="s">
        <v>3536</v>
      </c>
      <c r="D30" s="69">
        <v>22485483892</v>
      </c>
      <c r="E30" s="9">
        <v>1489</v>
      </c>
      <c r="F30" s="25">
        <v>43038</v>
      </c>
      <c r="G30" s="70" t="s">
        <v>3396</v>
      </c>
      <c r="H30" s="9"/>
      <c r="I30" s="8"/>
      <c r="J30" s="8"/>
      <c r="K30" s="8"/>
      <c r="L30" s="9" t="s">
        <v>3537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3538</v>
      </c>
      <c r="B31" s="67">
        <v>28147186819</v>
      </c>
      <c r="C31" s="72" t="s">
        <v>3539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3540</v>
      </c>
      <c r="B32" s="67">
        <v>37559228860</v>
      </c>
      <c r="C32" s="72" t="s">
        <v>3541</v>
      </c>
      <c r="D32" s="69">
        <v>28072024892</v>
      </c>
      <c r="E32" s="9">
        <v>1555</v>
      </c>
      <c r="F32" s="25">
        <v>43049</v>
      </c>
      <c r="G32" s="9" t="s">
        <v>3396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3542</v>
      </c>
      <c r="B33" s="67">
        <v>23635229822</v>
      </c>
      <c r="C33" s="72" t="s">
        <v>3543</v>
      </c>
      <c r="D33" s="69">
        <v>21668057875</v>
      </c>
      <c r="E33" s="9">
        <v>262</v>
      </c>
      <c r="F33" s="25">
        <v>43160</v>
      </c>
      <c r="G33" s="70" t="s">
        <v>3396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3544</v>
      </c>
      <c r="B34" s="67"/>
      <c r="C34" s="29" t="s">
        <v>3506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3545</v>
      </c>
      <c r="B35" s="67">
        <v>40902634844</v>
      </c>
      <c r="C35" s="72" t="s">
        <v>3546</v>
      </c>
      <c r="D35" s="69">
        <v>23795007895</v>
      </c>
      <c r="E35" s="9">
        <v>117</v>
      </c>
      <c r="F35" s="25">
        <v>43117</v>
      </c>
      <c r="G35" s="70" t="s">
        <v>3396</v>
      </c>
      <c r="H35" s="25">
        <v>43151</v>
      </c>
      <c r="I35" s="8"/>
      <c r="J35" s="8"/>
      <c r="K35" s="8"/>
      <c r="L35" s="9" t="s">
        <v>3547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3548</v>
      </c>
      <c r="B36" s="67">
        <v>39615629898</v>
      </c>
      <c r="C36" s="72" t="s">
        <v>3549</v>
      </c>
      <c r="D36" s="69">
        <v>43328275894</v>
      </c>
      <c r="E36" s="9">
        <v>423</v>
      </c>
      <c r="F36" s="25">
        <v>43182</v>
      </c>
      <c r="G36" s="70" t="s">
        <v>3396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3550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3551</v>
      </c>
      <c r="B38" s="67"/>
      <c r="C38" s="29" t="s">
        <v>3552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3553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3396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3554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3396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3555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3396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3556</v>
      </c>
      <c r="B42" s="67">
        <v>10201704412</v>
      </c>
      <c r="C42" s="72" t="s">
        <v>3557</v>
      </c>
      <c r="D42" s="69">
        <v>33674895811</v>
      </c>
      <c r="E42" s="9">
        <v>262</v>
      </c>
      <c r="F42" s="25">
        <v>43160</v>
      </c>
      <c r="G42" s="70" t="s">
        <v>3396</v>
      </c>
      <c r="H42" s="25">
        <v>43164</v>
      </c>
      <c r="I42" s="8"/>
      <c r="J42" s="8"/>
      <c r="K42" s="8"/>
      <c r="L42" s="9">
        <v>255</v>
      </c>
      <c r="M42" s="8"/>
      <c r="O42" s="66" t="s">
        <v>3558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3559</v>
      </c>
      <c r="B43" s="67">
        <v>35271487873</v>
      </c>
      <c r="C43" s="68" t="s">
        <v>3560</v>
      </c>
      <c r="D43" s="69">
        <v>557351502</v>
      </c>
      <c r="E43" s="9">
        <v>1128</v>
      </c>
      <c r="F43" s="25">
        <v>42972</v>
      </c>
      <c r="G43" s="70" t="s">
        <v>3396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3561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3396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3562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3563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3396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3564</v>
      </c>
      <c r="B47" s="67">
        <v>31801479895</v>
      </c>
      <c r="C47" s="72" t="s">
        <v>3565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3566</v>
      </c>
      <c r="B48" s="67">
        <v>28638653824</v>
      </c>
      <c r="C48" s="72" t="s">
        <v>3567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3568</v>
      </c>
      <c r="B49" s="67">
        <v>17766101807</v>
      </c>
      <c r="C49" s="72" t="s">
        <v>3569</v>
      </c>
      <c r="D49" s="69">
        <v>31993041842</v>
      </c>
      <c r="E49" s="9">
        <v>1824</v>
      </c>
      <c r="F49" s="25">
        <v>43091</v>
      </c>
      <c r="G49" s="70" t="s">
        <v>3396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3570</v>
      </c>
      <c r="B50" s="67">
        <v>17902799840</v>
      </c>
      <c r="C50" s="72" t="s">
        <v>3571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3572</v>
      </c>
      <c r="B51" s="67">
        <v>49122403892</v>
      </c>
      <c r="C51" s="75" t="s">
        <v>3573</v>
      </c>
      <c r="D51" s="69">
        <v>1478139560</v>
      </c>
      <c r="E51" s="9">
        <v>608</v>
      </c>
      <c r="F51" s="25">
        <v>43012</v>
      </c>
      <c r="G51" s="70" t="s">
        <v>3396</v>
      </c>
      <c r="H51" s="25">
        <v>43024</v>
      </c>
      <c r="I51" s="8"/>
      <c r="J51" s="8"/>
      <c r="K51" s="8"/>
      <c r="L51" s="8"/>
      <c r="M51" s="8"/>
      <c r="O51" s="346" t="s">
        <v>3574</v>
      </c>
      <c r="P51" s="346"/>
      <c r="Q51" s="346"/>
      <c r="R51" s="346"/>
      <c r="S51" s="346"/>
      <c r="T51" s="346"/>
      <c r="U51" s="346"/>
    </row>
    <row r="52" spans="1:21" x14ac:dyDescent="0.25">
      <c r="A52" s="13" t="s">
        <v>3575</v>
      </c>
      <c r="B52" s="67">
        <v>37534302854</v>
      </c>
      <c r="C52" s="71" t="s">
        <v>3576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3577</v>
      </c>
      <c r="B53" s="67">
        <v>14699996841</v>
      </c>
      <c r="C53" s="68" t="s">
        <v>3578</v>
      </c>
      <c r="D53" s="69">
        <v>15089706883</v>
      </c>
      <c r="E53" s="9">
        <v>1128</v>
      </c>
      <c r="F53" s="25">
        <v>42972</v>
      </c>
      <c r="G53" s="70" t="s">
        <v>3396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3579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3580</v>
      </c>
      <c r="B55" s="67">
        <v>40396239838</v>
      </c>
      <c r="C55" s="72" t="s">
        <v>3581</v>
      </c>
      <c r="D55" s="69">
        <v>39420747883</v>
      </c>
      <c r="E55" s="9">
        <v>262</v>
      </c>
      <c r="F55" s="25">
        <v>43160</v>
      </c>
      <c r="G55" s="70" t="s">
        <v>3396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3582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3396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3583</v>
      </c>
      <c r="B57" s="67">
        <v>38781151802</v>
      </c>
      <c r="C57" s="18" t="s">
        <v>3506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3584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3585</v>
      </c>
      <c r="B59" s="67">
        <v>2428277219</v>
      </c>
      <c r="C59" s="72" t="s">
        <v>3586</v>
      </c>
      <c r="D59" s="69">
        <v>909805229</v>
      </c>
      <c r="E59" s="9">
        <v>810</v>
      </c>
      <c r="F59" s="25">
        <v>42915</v>
      </c>
      <c r="G59" s="70" t="s">
        <v>3396</v>
      </c>
      <c r="H59" s="25">
        <v>42921</v>
      </c>
      <c r="I59" s="8"/>
      <c r="J59" s="8"/>
      <c r="K59" s="8"/>
      <c r="L59" s="9" t="s">
        <v>3515</v>
      </c>
      <c r="M59" s="8"/>
    </row>
    <row r="60" spans="1:21" x14ac:dyDescent="0.25">
      <c r="A60" s="71" t="s">
        <v>3587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3588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3396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3589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3590</v>
      </c>
      <c r="B63" s="67">
        <v>3722493889</v>
      </c>
      <c r="C63" s="72" t="s">
        <v>3591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3592</v>
      </c>
      <c r="B64" s="67">
        <v>14519340845</v>
      </c>
      <c r="C64" s="72" t="s">
        <v>3593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3594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3595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3596</v>
      </c>
      <c r="B67" s="67">
        <v>36392955879</v>
      </c>
      <c r="C67" s="72" t="s">
        <v>3597</v>
      </c>
      <c r="D67" s="69">
        <v>5242864346</v>
      </c>
      <c r="E67" s="9">
        <v>117</v>
      </c>
      <c r="F67" s="25">
        <v>43117</v>
      </c>
      <c r="G67" s="70" t="s">
        <v>3396</v>
      </c>
      <c r="H67" s="25">
        <v>43151</v>
      </c>
      <c r="I67" s="8"/>
      <c r="J67" s="8"/>
      <c r="K67" s="8"/>
      <c r="L67" s="9" t="s">
        <v>3547</v>
      </c>
      <c r="M67" s="8"/>
    </row>
    <row r="68" spans="1:13" x14ac:dyDescent="0.25">
      <c r="A68" s="71" t="s">
        <v>3598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3396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3599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3600</v>
      </c>
      <c r="B70" s="67">
        <v>9882942490</v>
      </c>
      <c r="C70" s="18" t="s">
        <v>3601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3602</v>
      </c>
      <c r="B71" s="67">
        <v>14777572870</v>
      </c>
      <c r="C71" s="72" t="s">
        <v>3603</v>
      </c>
      <c r="D71" s="69">
        <v>12874739898</v>
      </c>
      <c r="E71" s="9">
        <v>1824</v>
      </c>
      <c r="F71" s="25">
        <v>43091</v>
      </c>
      <c r="G71" s="70" t="s">
        <v>3396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3604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3605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3396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3606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3396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3607</v>
      </c>
      <c r="B75" s="67">
        <v>26940268855</v>
      </c>
      <c r="C75" s="18" t="s">
        <v>3608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3609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3396</v>
      </c>
      <c r="H76" s="9"/>
      <c r="I76" s="8"/>
      <c r="J76" s="8"/>
      <c r="K76" s="8"/>
      <c r="L76" s="9" t="s">
        <v>3537</v>
      </c>
      <c r="M76" s="8"/>
    </row>
    <row r="77" spans="1:13" x14ac:dyDescent="0.25">
      <c r="A77" s="15" t="s">
        <v>3610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3396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3611</v>
      </c>
      <c r="B78" s="67">
        <v>42352732808</v>
      </c>
      <c r="C78" s="72" t="s">
        <v>3612</v>
      </c>
      <c r="D78" s="69">
        <v>281893373</v>
      </c>
      <c r="E78" s="9">
        <v>1214</v>
      </c>
      <c r="F78" s="25">
        <v>42989</v>
      </c>
      <c r="G78" s="70" t="s">
        <v>3396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3613</v>
      </c>
      <c r="B79" s="67">
        <v>13480043801</v>
      </c>
      <c r="C79" s="18" t="s">
        <v>3614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3615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3396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3616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3396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3617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3396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3618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3619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3620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3621</v>
      </c>
      <c r="B86" s="67">
        <v>43053250802</v>
      </c>
      <c r="C86" s="68" t="s">
        <v>3622</v>
      </c>
      <c r="D86" s="69">
        <v>35893147880</v>
      </c>
      <c r="E86" s="9">
        <v>1128</v>
      </c>
      <c r="F86" s="25">
        <v>42972</v>
      </c>
      <c r="G86" s="70" t="s">
        <v>3396</v>
      </c>
      <c r="H86" s="9"/>
      <c r="I86" s="8"/>
      <c r="J86" s="8"/>
      <c r="K86" s="8"/>
      <c r="L86" s="8"/>
      <c r="M86" s="8"/>
    </row>
    <row r="87" spans="1:13" x14ac:dyDescent="0.25">
      <c r="A87" s="71" t="s">
        <v>3623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3396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3624</v>
      </c>
      <c r="B88" s="67">
        <v>33617584837</v>
      </c>
      <c r="C88" s="72" t="s">
        <v>3625</v>
      </c>
      <c r="D88" s="69">
        <v>26520094862</v>
      </c>
      <c r="E88" s="9">
        <v>608</v>
      </c>
      <c r="F88" s="25">
        <v>43012</v>
      </c>
      <c r="G88" s="70" t="s">
        <v>3396</v>
      </c>
      <c r="H88" s="9"/>
      <c r="I88" s="8"/>
      <c r="J88" s="8"/>
      <c r="K88" s="8"/>
      <c r="L88" s="8"/>
      <c r="M88" s="8"/>
    </row>
    <row r="89" spans="1:13" x14ac:dyDescent="0.25">
      <c r="A89" s="14" t="s">
        <v>3626</v>
      </c>
      <c r="B89" s="67">
        <v>38168161858</v>
      </c>
      <c r="C89" s="72" t="s">
        <v>3627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3628</v>
      </c>
      <c r="B90" s="67">
        <v>38728353862</v>
      </c>
      <c r="C90" s="72" t="s">
        <v>3629</v>
      </c>
      <c r="D90" s="69">
        <v>37650358828</v>
      </c>
      <c r="E90" s="9">
        <v>1417</v>
      </c>
      <c r="F90" s="25">
        <v>43017</v>
      </c>
      <c r="G90" s="70" t="s">
        <v>3396</v>
      </c>
      <c r="H90" s="9"/>
      <c r="I90" s="8"/>
      <c r="J90" s="8"/>
      <c r="K90" s="8"/>
      <c r="L90" s="9" t="s">
        <v>3630</v>
      </c>
      <c r="M90" s="8"/>
    </row>
    <row r="91" spans="1:13" x14ac:dyDescent="0.25">
      <c r="A91" s="15" t="s">
        <v>3631</v>
      </c>
      <c r="B91" s="67">
        <v>29479419858</v>
      </c>
      <c r="C91" s="72" t="s">
        <v>3632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3633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3634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3396</v>
      </c>
      <c r="H93" s="9"/>
      <c r="I93" s="8"/>
      <c r="J93" s="8"/>
      <c r="K93" s="8"/>
      <c r="L93" s="8"/>
      <c r="M93" s="8"/>
    </row>
    <row r="94" spans="1:13" x14ac:dyDescent="0.25">
      <c r="A94" s="15" t="s">
        <v>3635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3396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3636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3637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3396</v>
      </c>
      <c r="H96" s="9"/>
      <c r="I96" s="8"/>
      <c r="J96" s="8"/>
      <c r="K96" s="8"/>
      <c r="L96" s="9" t="s">
        <v>3537</v>
      </c>
      <c r="M96" s="8"/>
    </row>
    <row r="97" spans="1:13" x14ac:dyDescent="0.25">
      <c r="A97" s="71" t="s">
        <v>3638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3396</v>
      </c>
      <c r="H97" s="9"/>
      <c r="I97" s="8"/>
      <c r="J97" s="8"/>
      <c r="K97" s="8"/>
      <c r="L97" s="8"/>
      <c r="M97" s="8"/>
    </row>
    <row r="98" spans="1:13" x14ac:dyDescent="0.25">
      <c r="A98" s="29" t="s">
        <v>3639</v>
      </c>
      <c r="B98" s="67">
        <v>3317260505</v>
      </c>
      <c r="C98" s="29" t="s">
        <v>3640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3641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3396</v>
      </c>
      <c r="H99" s="9"/>
      <c r="I99" s="8"/>
      <c r="J99" s="8"/>
      <c r="K99" s="8"/>
      <c r="L99" s="8"/>
      <c r="M99" s="8"/>
    </row>
    <row r="100" spans="1:13" x14ac:dyDescent="0.25">
      <c r="A100" s="15" t="s">
        <v>3642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3396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3643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3396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3644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3396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3645</v>
      </c>
      <c r="B103" s="67"/>
      <c r="C103" s="18" t="s">
        <v>3506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3646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3396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3647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3396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3648</v>
      </c>
      <c r="B106" s="67">
        <v>40823037827</v>
      </c>
      <c r="C106" s="72" t="s">
        <v>3649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3650</v>
      </c>
      <c r="B107" s="67">
        <v>54215625491</v>
      </c>
      <c r="C107" s="18" t="s">
        <v>3651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3652</v>
      </c>
      <c r="B108" s="67">
        <v>8424740807</v>
      </c>
      <c r="C108" s="18" t="s">
        <v>3506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3653</v>
      </c>
      <c r="B109" s="67">
        <v>78495857472</v>
      </c>
      <c r="C109" s="72" t="s">
        <v>3654</v>
      </c>
      <c r="D109" s="69">
        <v>148572863</v>
      </c>
      <c r="E109" s="9">
        <v>1752</v>
      </c>
      <c r="F109" s="25">
        <v>43051</v>
      </c>
      <c r="G109" s="70" t="s">
        <v>3396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3655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3656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3396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3657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3658</v>
      </c>
      <c r="B113" s="67">
        <v>44444325860</v>
      </c>
      <c r="C113" s="72" t="s">
        <v>3659</v>
      </c>
      <c r="D113" s="69">
        <v>36636133805</v>
      </c>
      <c r="E113" s="9">
        <v>292</v>
      </c>
      <c r="F113" s="25">
        <v>43168</v>
      </c>
      <c r="G113" s="70" t="s">
        <v>3396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3660</v>
      </c>
      <c r="B114" s="67">
        <v>39701017862</v>
      </c>
      <c r="C114" s="72" t="s">
        <v>3661</v>
      </c>
      <c r="D114" s="69">
        <v>38933316892</v>
      </c>
      <c r="E114" s="9">
        <v>1350</v>
      </c>
      <c r="F114" s="25">
        <v>43006</v>
      </c>
      <c r="G114" s="70" t="s">
        <v>3396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3662</v>
      </c>
      <c r="B115" s="67">
        <v>40003107809</v>
      </c>
      <c r="C115" s="72" t="s">
        <v>3663</v>
      </c>
      <c r="D115" s="69">
        <v>37929345823</v>
      </c>
      <c r="E115" s="9">
        <v>262</v>
      </c>
      <c r="F115" s="25">
        <v>43160</v>
      </c>
      <c r="G115" s="70" t="s">
        <v>3396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3664</v>
      </c>
      <c r="B116" s="67">
        <v>38786146831</v>
      </c>
      <c r="C116" s="29" t="s">
        <v>3665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3666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3410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3667</v>
      </c>
      <c r="B118" s="67">
        <v>3486705598</v>
      </c>
      <c r="C118" s="72" t="s">
        <v>3668</v>
      </c>
      <c r="D118" s="69">
        <v>3581817551</v>
      </c>
      <c r="E118" s="9">
        <v>1752</v>
      </c>
      <c r="F118" s="25">
        <v>43051</v>
      </c>
      <c r="G118" s="70" t="s">
        <v>3396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3669</v>
      </c>
      <c r="B119" s="67">
        <v>37051125893</v>
      </c>
      <c r="C119" s="72" t="s">
        <v>3670</v>
      </c>
      <c r="D119" s="69">
        <v>4303791458</v>
      </c>
      <c r="E119" s="9">
        <v>292</v>
      </c>
      <c r="F119" s="25">
        <v>43168</v>
      </c>
      <c r="G119" s="9" t="s">
        <v>3396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3671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3672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3673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3396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3674</v>
      </c>
      <c r="B123" s="67">
        <v>33879586845</v>
      </c>
      <c r="C123" s="77" t="s">
        <v>3675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3676</v>
      </c>
      <c r="M123" s="8"/>
    </row>
    <row r="124" spans="1:13" x14ac:dyDescent="0.25">
      <c r="A124" s="72" t="s">
        <v>3677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3678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3679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3396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3680</v>
      </c>
      <c r="B127" s="67">
        <v>15401963807</v>
      </c>
      <c r="C127" s="72" t="s">
        <v>3681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3682</v>
      </c>
      <c r="B128" s="67">
        <v>2022016351</v>
      </c>
      <c r="C128" s="72" t="s">
        <v>3683</v>
      </c>
      <c r="D128" s="69">
        <v>84914270315</v>
      </c>
      <c r="E128" s="9">
        <v>1106</v>
      </c>
      <c r="F128" s="25">
        <v>42965</v>
      </c>
      <c r="G128" s="70" t="s">
        <v>3396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3684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3685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3686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3396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3687</v>
      </c>
      <c r="B132" s="67">
        <v>1860886558</v>
      </c>
      <c r="C132" s="72" t="s">
        <v>3688</v>
      </c>
      <c r="D132" s="69">
        <v>35132798845</v>
      </c>
      <c r="E132" s="9">
        <v>229</v>
      </c>
      <c r="F132" s="25">
        <v>43151</v>
      </c>
      <c r="G132" s="70" t="s">
        <v>3396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3689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3396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3690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3691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3692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3396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3693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3396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3694</v>
      </c>
      <c r="B138" s="67">
        <v>42262731845</v>
      </c>
      <c r="C138" s="72" t="s">
        <v>3695</v>
      </c>
      <c r="D138" s="69">
        <v>34728432840</v>
      </c>
      <c r="E138" s="9">
        <v>1824</v>
      </c>
      <c r="F138" s="25">
        <v>43091</v>
      </c>
      <c r="G138" s="70" t="s">
        <v>3396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3696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3396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3697</v>
      </c>
      <c r="B140" s="67">
        <v>41446773892</v>
      </c>
      <c r="C140" s="72" t="s">
        <v>3698</v>
      </c>
      <c r="D140" s="69">
        <v>38180353850</v>
      </c>
      <c r="E140" s="9">
        <v>292</v>
      </c>
      <c r="F140" s="25">
        <v>43168</v>
      </c>
      <c r="G140" s="9" t="s">
        <v>3396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3699</v>
      </c>
      <c r="B141" s="67">
        <v>1436459354</v>
      </c>
      <c r="C141" s="72" t="s">
        <v>3700</v>
      </c>
      <c r="D141" s="69">
        <v>4149263310</v>
      </c>
      <c r="E141" s="9">
        <v>229</v>
      </c>
      <c r="F141" s="25">
        <v>43151</v>
      </c>
      <c r="G141" s="70" t="s">
        <v>3396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3701</v>
      </c>
      <c r="B142" s="67">
        <v>39953063818</v>
      </c>
      <c r="C142" s="29" t="s">
        <v>3702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3703</v>
      </c>
      <c r="B143" s="80">
        <v>15371893873</v>
      </c>
      <c r="C143" s="81" t="s">
        <v>3704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3705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3396</v>
      </c>
      <c r="H144" s="9"/>
      <c r="I144" s="8"/>
      <c r="J144" s="8"/>
      <c r="K144" s="8"/>
      <c r="L144" s="9" t="s">
        <v>3515</v>
      </c>
      <c r="M144" s="8"/>
    </row>
    <row r="145" spans="1:13" x14ac:dyDescent="0.25">
      <c r="A145" s="73" t="s">
        <v>3706</v>
      </c>
      <c r="B145" s="67">
        <v>50773453334</v>
      </c>
      <c r="C145" s="72" t="s">
        <v>3707</v>
      </c>
      <c r="D145" s="69">
        <v>51551365391</v>
      </c>
      <c r="E145" s="9">
        <v>1106</v>
      </c>
      <c r="F145" s="25">
        <v>42965</v>
      </c>
      <c r="G145" s="70" t="s">
        <v>3402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3708</v>
      </c>
      <c r="B146" s="67">
        <v>37805884803</v>
      </c>
      <c r="C146" s="72" t="s">
        <v>3709</v>
      </c>
      <c r="D146" s="69">
        <v>35792474842</v>
      </c>
      <c r="E146" s="9">
        <v>262</v>
      </c>
      <c r="F146" s="25">
        <v>43160</v>
      </c>
      <c r="G146" s="9" t="s">
        <v>3396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3710</v>
      </c>
      <c r="B147" s="67">
        <v>38072219804</v>
      </c>
      <c r="C147" s="72" t="s">
        <v>3711</v>
      </c>
      <c r="D147" s="69">
        <v>37125330800</v>
      </c>
      <c r="E147" s="9">
        <v>292</v>
      </c>
      <c r="F147" s="25">
        <v>43168</v>
      </c>
      <c r="G147" s="70" t="s">
        <v>3396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3712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3396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3713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3714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3396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3715</v>
      </c>
      <c r="B151" s="67">
        <v>31476352879</v>
      </c>
      <c r="C151" s="72" t="s">
        <v>3716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3717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3396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3718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3396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3719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3720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3721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3722</v>
      </c>
      <c r="B157" s="67">
        <v>86665944468</v>
      </c>
      <c r="C157" s="72" t="s">
        <v>3723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3724</v>
      </c>
      <c r="B158" s="67">
        <v>39747831805</v>
      </c>
      <c r="C158" s="72" t="s">
        <v>3725</v>
      </c>
      <c r="D158" s="69">
        <v>1202056458</v>
      </c>
      <c r="E158" s="9">
        <v>292</v>
      </c>
      <c r="F158" s="25">
        <v>43168</v>
      </c>
      <c r="G158" s="70" t="s">
        <v>3396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3726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3396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3727</v>
      </c>
      <c r="B160" s="67"/>
      <c r="C160" s="29" t="s">
        <v>3728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3729</v>
      </c>
      <c r="B161" s="67">
        <v>38107907884</v>
      </c>
      <c r="C161" s="72" t="s">
        <v>3730</v>
      </c>
      <c r="D161" s="69">
        <v>8669747685</v>
      </c>
      <c r="E161" s="9">
        <v>117</v>
      </c>
      <c r="F161" s="25">
        <v>43117</v>
      </c>
      <c r="G161" s="70" t="s">
        <v>3396</v>
      </c>
      <c r="H161" s="9"/>
      <c r="I161" s="8"/>
      <c r="J161" s="8"/>
      <c r="K161" s="8"/>
      <c r="L161" s="9" t="s">
        <v>3547</v>
      </c>
      <c r="M161" s="8"/>
    </row>
    <row r="162" spans="1:13" x14ac:dyDescent="0.25">
      <c r="A162" s="29" t="s">
        <v>3731</v>
      </c>
      <c r="B162" s="67">
        <v>24759436880</v>
      </c>
      <c r="C162" s="29" t="s">
        <v>3732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3733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3396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3734</v>
      </c>
      <c r="B164" s="67">
        <v>22537971892</v>
      </c>
      <c r="C164" s="29" t="s">
        <v>3735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3736</v>
      </c>
      <c r="B165" s="67">
        <v>31362502812</v>
      </c>
      <c r="C165" s="72" t="s">
        <v>3737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3738</v>
      </c>
      <c r="B166" s="67">
        <v>4625640539</v>
      </c>
      <c r="C166" s="18" t="s">
        <v>3739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3740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3396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3741</v>
      </c>
      <c r="B168" s="67">
        <v>22234108802</v>
      </c>
      <c r="C168" s="72" t="s">
        <v>3742</v>
      </c>
      <c r="D168" s="69"/>
      <c r="E168" s="9"/>
      <c r="F168" s="25"/>
      <c r="G168" s="70" t="s">
        <v>3396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3743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3744</v>
      </c>
      <c r="B170" s="67">
        <v>182316599</v>
      </c>
      <c r="C170" s="72" t="s">
        <v>3745</v>
      </c>
      <c r="D170" s="69">
        <v>73673560549</v>
      </c>
      <c r="E170" s="9">
        <v>292</v>
      </c>
      <c r="F170" s="25">
        <v>43168</v>
      </c>
      <c r="G170" s="9" t="s">
        <v>3396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3746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3396</v>
      </c>
      <c r="H171" s="9"/>
      <c r="I171" s="8">
        <v>117</v>
      </c>
      <c r="J171" s="26">
        <v>43117</v>
      </c>
      <c r="K171" s="26">
        <v>43151</v>
      </c>
      <c r="L171" s="9" t="s">
        <v>3630</v>
      </c>
      <c r="M171" s="26"/>
    </row>
    <row r="172" spans="1:13" x14ac:dyDescent="0.25">
      <c r="A172" s="71" t="s">
        <v>3747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3396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3748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3396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3749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3750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3396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3751</v>
      </c>
      <c r="B176" s="67">
        <v>36777190899</v>
      </c>
      <c r="C176" s="72" t="s">
        <v>3752</v>
      </c>
      <c r="D176" s="69">
        <v>37104057854</v>
      </c>
      <c r="E176" s="9">
        <v>810</v>
      </c>
      <c r="F176" s="25">
        <v>42915</v>
      </c>
      <c r="G176" s="70" t="s">
        <v>3396</v>
      </c>
      <c r="H176" s="9"/>
      <c r="I176" s="8"/>
      <c r="J176" s="8"/>
      <c r="K176" s="8"/>
      <c r="L176" s="9" t="s">
        <v>3515</v>
      </c>
      <c r="M176" s="8"/>
    </row>
    <row r="177" spans="1:13" x14ac:dyDescent="0.25">
      <c r="A177" s="15" t="s">
        <v>3753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3396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3754</v>
      </c>
      <c r="B178" s="67">
        <v>32428102877</v>
      </c>
      <c r="C178" s="72" t="s">
        <v>3755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3756</v>
      </c>
      <c r="B179" s="67">
        <v>28640229821</v>
      </c>
      <c r="C179" s="72" t="s">
        <v>3757</v>
      </c>
      <c r="D179" s="69">
        <v>7752420808</v>
      </c>
      <c r="E179" s="9">
        <v>1106</v>
      </c>
      <c r="F179" s="25">
        <v>42965</v>
      </c>
      <c r="G179" s="70" t="s">
        <v>3396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3758</v>
      </c>
      <c r="B180" s="67">
        <v>38122976808</v>
      </c>
      <c r="C180" s="29" t="s">
        <v>3759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3760</v>
      </c>
      <c r="B181" s="67">
        <v>41494645882</v>
      </c>
      <c r="C181" s="72" t="s">
        <v>3761</v>
      </c>
      <c r="D181" s="69">
        <v>23413130862</v>
      </c>
      <c r="E181" s="9">
        <v>1824</v>
      </c>
      <c r="F181" s="25">
        <v>43091</v>
      </c>
      <c r="G181" s="70" t="s">
        <v>3396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3762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3396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3763</v>
      </c>
      <c r="B183" s="67">
        <v>32882437846</v>
      </c>
      <c r="C183" s="77" t="s">
        <v>3764</v>
      </c>
      <c r="D183" s="69" t="s">
        <v>3765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3766</v>
      </c>
      <c r="B184" s="67">
        <v>40733908802</v>
      </c>
      <c r="C184" s="72" t="s">
        <v>3767</v>
      </c>
      <c r="D184" s="69"/>
      <c r="E184" s="9">
        <v>1128</v>
      </c>
      <c r="F184" s="25">
        <v>42972</v>
      </c>
      <c r="G184" s="70" t="s">
        <v>3396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3768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3769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3396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3770</v>
      </c>
      <c r="B187" s="67">
        <v>32321499877</v>
      </c>
      <c r="C187" s="72" t="s">
        <v>3771</v>
      </c>
      <c r="D187" s="69">
        <v>4788348373</v>
      </c>
      <c r="E187" s="9">
        <v>292</v>
      </c>
      <c r="F187" s="25">
        <v>43168</v>
      </c>
      <c r="G187" s="70" t="s">
        <v>3396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3772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3396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3773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3396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3774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3410</v>
      </c>
      <c r="H190" s="9"/>
      <c r="I190" s="8"/>
      <c r="J190" s="8"/>
      <c r="K190" s="8"/>
      <c r="L190" s="9" t="s">
        <v>3775</v>
      </c>
      <c r="M190" s="8"/>
    </row>
    <row r="191" spans="1:13" x14ac:dyDescent="0.25">
      <c r="A191" s="13" t="s">
        <v>3776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3396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3777</v>
      </c>
      <c r="B192" s="67">
        <v>16700300835</v>
      </c>
      <c r="C192" s="72" t="s">
        <v>3778</v>
      </c>
      <c r="D192" s="69">
        <v>28699951809</v>
      </c>
      <c r="E192" s="9">
        <v>262</v>
      </c>
      <c r="F192" s="25">
        <v>43160</v>
      </c>
      <c r="G192" s="70" t="s">
        <v>3396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3779</v>
      </c>
      <c r="B193" s="67">
        <v>33595120817</v>
      </c>
      <c r="C193" s="68" t="s">
        <v>3780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3781</v>
      </c>
      <c r="B194" s="67">
        <v>40386203873</v>
      </c>
      <c r="C194" s="68" t="s">
        <v>3782</v>
      </c>
      <c r="D194" s="69">
        <v>27988479822</v>
      </c>
      <c r="E194" s="9">
        <v>1128</v>
      </c>
      <c r="F194" s="25">
        <v>42972</v>
      </c>
      <c r="G194" s="70" t="s">
        <v>3396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3783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3784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3785</v>
      </c>
      <c r="B197" s="67">
        <v>23473254851</v>
      </c>
      <c r="C197" s="72" t="s">
        <v>3786</v>
      </c>
      <c r="D197" s="69">
        <v>32944503898</v>
      </c>
      <c r="E197" s="9">
        <v>85</v>
      </c>
      <c r="F197" s="25">
        <v>43109</v>
      </c>
      <c r="G197" s="70" t="s">
        <v>3396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3787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3396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3788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3396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3789</v>
      </c>
      <c r="B200" s="67">
        <v>2218915871</v>
      </c>
      <c r="C200" s="72" t="s">
        <v>3790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3791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3792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3793</v>
      </c>
      <c r="B203" s="67">
        <v>31793836825</v>
      </c>
      <c r="C203" s="72" t="s">
        <v>1000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3794</v>
      </c>
      <c r="B204" s="67">
        <v>41307266843</v>
      </c>
      <c r="C204" s="18" t="s">
        <v>3795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3796</v>
      </c>
      <c r="B205" s="67">
        <v>96683295549</v>
      </c>
      <c r="C205" s="72"/>
      <c r="D205" s="69"/>
      <c r="E205" s="9"/>
      <c r="F205" s="25"/>
      <c r="G205" s="70" t="s">
        <v>3396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3797</v>
      </c>
      <c r="B206" s="67">
        <v>18965913888</v>
      </c>
      <c r="C206" s="72" t="s">
        <v>3798</v>
      </c>
      <c r="D206" s="69">
        <v>30385646801</v>
      </c>
      <c r="E206" s="9">
        <v>117</v>
      </c>
      <c r="F206" s="25">
        <v>43117</v>
      </c>
      <c r="G206" s="70" t="s">
        <v>3396</v>
      </c>
      <c r="H206" s="9"/>
      <c r="I206" s="8"/>
      <c r="J206" s="8"/>
      <c r="K206" s="8"/>
      <c r="L206" s="9" t="s">
        <v>3547</v>
      </c>
      <c r="M206" s="8"/>
    </row>
    <row r="207" spans="1:13" x14ac:dyDescent="0.25">
      <c r="A207" s="29" t="s">
        <v>3799</v>
      </c>
      <c r="B207" s="67">
        <v>52371501875</v>
      </c>
      <c r="C207" s="18" t="s">
        <v>3506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3800</v>
      </c>
      <c r="B208" s="67"/>
      <c r="C208" s="18" t="s">
        <v>3506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3801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3802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3803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3402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3804</v>
      </c>
      <c r="B212" s="67">
        <v>25897391840</v>
      </c>
      <c r="C212" s="72" t="s">
        <v>3805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3806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3807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3808</v>
      </c>
      <c r="B215" s="67">
        <v>32841222810</v>
      </c>
      <c r="C215" s="72" t="s">
        <v>3809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3810</v>
      </c>
      <c r="B216" s="67">
        <v>32242692860</v>
      </c>
      <c r="C216" s="72" t="s">
        <v>3811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3812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3813</v>
      </c>
      <c r="B218" s="67">
        <v>35157366892</v>
      </c>
      <c r="C218" s="72" t="s">
        <v>3814</v>
      </c>
      <c r="D218" s="69">
        <v>7540659440</v>
      </c>
      <c r="E218" s="9">
        <v>262</v>
      </c>
      <c r="F218" s="25">
        <v>43160</v>
      </c>
      <c r="G218" s="70" t="s">
        <v>3396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3815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3396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3816</v>
      </c>
      <c r="B220" s="67">
        <v>86052484594</v>
      </c>
      <c r="C220" s="72" t="s">
        <v>3817</v>
      </c>
      <c r="D220" s="69">
        <v>5551698556</v>
      </c>
      <c r="E220" s="9">
        <v>117</v>
      </c>
      <c r="F220" s="25">
        <v>43117</v>
      </c>
      <c r="G220" s="70" t="s">
        <v>3396</v>
      </c>
      <c r="H220" s="70"/>
      <c r="I220" s="8"/>
      <c r="J220" s="8"/>
      <c r="K220" s="8"/>
      <c r="L220" s="9" t="s">
        <v>3547</v>
      </c>
      <c r="M220" s="8"/>
    </row>
    <row r="221" spans="1:13" x14ac:dyDescent="0.25">
      <c r="A221" s="15" t="s">
        <v>3818</v>
      </c>
      <c r="B221" s="67">
        <v>32193061874</v>
      </c>
      <c r="C221" s="72" t="s">
        <v>3819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3820</v>
      </c>
      <c r="B222" s="67">
        <v>32729382810</v>
      </c>
      <c r="C222" s="29" t="s">
        <v>3821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3822</v>
      </c>
      <c r="B223" s="67">
        <v>32554462879</v>
      </c>
      <c r="C223" s="72" t="s">
        <v>3823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3824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3825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3826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3827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3396</v>
      </c>
      <c r="H227" s="70"/>
      <c r="I227" s="8"/>
      <c r="J227" s="8"/>
      <c r="K227" s="8"/>
      <c r="L227" s="9" t="s">
        <v>3515</v>
      </c>
      <c r="M227" s="8"/>
    </row>
    <row r="228" spans="1:13" x14ac:dyDescent="0.25">
      <c r="A228" s="72" t="s">
        <v>3828</v>
      </c>
      <c r="B228" s="67">
        <v>39961258878</v>
      </c>
      <c r="C228" s="72" t="s">
        <v>3829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3830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3831</v>
      </c>
      <c r="B230" s="67">
        <v>35719819878</v>
      </c>
      <c r="C230" s="72" t="s">
        <v>3832</v>
      </c>
      <c r="D230" s="69">
        <v>11407737473</v>
      </c>
      <c r="E230" s="9">
        <v>1214</v>
      </c>
      <c r="F230" s="25">
        <v>42989</v>
      </c>
      <c r="G230" s="70" t="s">
        <v>3396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3833</v>
      </c>
      <c r="B231" s="67">
        <v>45813645829</v>
      </c>
      <c r="C231" s="68" t="s">
        <v>3834</v>
      </c>
      <c r="D231" s="69">
        <v>40890894841</v>
      </c>
      <c r="E231" s="9">
        <v>1752</v>
      </c>
      <c r="F231" s="25">
        <v>43051</v>
      </c>
      <c r="G231" s="70" t="s">
        <v>3396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3835</v>
      </c>
      <c r="B232" s="67">
        <v>43811085824</v>
      </c>
      <c r="C232" s="15" t="s">
        <v>3836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3837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3676</v>
      </c>
      <c r="M233" s="8"/>
    </row>
    <row r="234" spans="1:13" x14ac:dyDescent="0.25">
      <c r="A234" s="29" t="s">
        <v>3838</v>
      </c>
      <c r="B234" s="67"/>
      <c r="C234" s="18" t="s">
        <v>3506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3839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3840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3396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3841</v>
      </c>
      <c r="B237" s="67">
        <v>86221152593</v>
      </c>
      <c r="C237" s="72" t="s">
        <v>3842</v>
      </c>
      <c r="D237" s="69">
        <v>3688414560</v>
      </c>
      <c r="E237" s="9">
        <v>1214</v>
      </c>
      <c r="F237" s="25">
        <v>42989</v>
      </c>
      <c r="G237" s="70" t="s">
        <v>3396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3843</v>
      </c>
      <c r="B238" s="67">
        <v>5918222456</v>
      </c>
      <c r="C238" s="72" t="s">
        <v>3844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3845</v>
      </c>
      <c r="B239" s="67">
        <v>37239200809</v>
      </c>
      <c r="C239" s="72" t="s">
        <v>3846</v>
      </c>
      <c r="D239" s="69">
        <v>36014828869</v>
      </c>
      <c r="E239" s="9">
        <v>1350</v>
      </c>
      <c r="F239" s="25">
        <v>43006</v>
      </c>
      <c r="G239" s="70" t="s">
        <v>3396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3847</v>
      </c>
      <c r="B240" s="67">
        <v>6620279813</v>
      </c>
      <c r="C240" s="72" t="s">
        <v>3848</v>
      </c>
      <c r="D240" s="69">
        <v>18461089855</v>
      </c>
      <c r="E240" s="9">
        <v>1824</v>
      </c>
      <c r="F240" s="25">
        <v>43091</v>
      </c>
      <c r="G240" s="70" t="s">
        <v>3396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3849</v>
      </c>
      <c r="B241" s="67">
        <v>11805424874</v>
      </c>
      <c r="C241" s="77" t="s">
        <v>3850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3851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3396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3852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3396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3853</v>
      </c>
      <c r="B244" s="67">
        <v>34001342871</v>
      </c>
      <c r="C244" s="18" t="s">
        <v>3854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3855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3396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3856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3857</v>
      </c>
      <c r="B247" s="67">
        <v>1308082533</v>
      </c>
      <c r="C247" s="72" t="s">
        <v>3858</v>
      </c>
      <c r="D247" s="69">
        <v>73690139520</v>
      </c>
      <c r="E247" s="9">
        <v>262</v>
      </c>
      <c r="F247" s="25">
        <v>43160</v>
      </c>
      <c r="G247" s="70" t="s">
        <v>3396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3859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3396</v>
      </c>
      <c r="H248" s="70"/>
      <c r="I248" s="8"/>
      <c r="J248" s="8"/>
      <c r="K248" s="8"/>
      <c r="L248" s="9" t="s">
        <v>3547</v>
      </c>
      <c r="M248" s="8"/>
    </row>
    <row r="249" spans="1:13" x14ac:dyDescent="0.25">
      <c r="A249" s="71" t="s">
        <v>3860</v>
      </c>
      <c r="B249" s="67">
        <v>4068496846</v>
      </c>
      <c r="C249" s="72" t="s">
        <v>3861</v>
      </c>
      <c r="D249" s="69">
        <v>26922524896</v>
      </c>
      <c r="E249" s="9">
        <v>1752</v>
      </c>
      <c r="F249" s="25">
        <v>43051</v>
      </c>
      <c r="G249" s="70" t="s">
        <v>3396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3862</v>
      </c>
      <c r="B250" s="67">
        <v>92175163849</v>
      </c>
      <c r="C250" s="72" t="s">
        <v>3863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3864</v>
      </c>
      <c r="B251" s="67">
        <v>76906388304</v>
      </c>
      <c r="C251" s="18" t="s">
        <v>3865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3866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3396</v>
      </c>
      <c r="H252" s="70"/>
      <c r="I252" s="8"/>
      <c r="J252" s="8"/>
      <c r="K252" s="8"/>
      <c r="L252" s="9" t="s">
        <v>3547</v>
      </c>
      <c r="M252" s="8"/>
    </row>
    <row r="253" spans="1:13" x14ac:dyDescent="0.25">
      <c r="A253" s="71" t="s">
        <v>3867</v>
      </c>
      <c r="B253" s="67">
        <v>2925106323</v>
      </c>
      <c r="C253" s="72" t="s">
        <v>3868</v>
      </c>
      <c r="D253" s="69">
        <v>16131378851</v>
      </c>
      <c r="E253" s="9">
        <v>1214</v>
      </c>
      <c r="F253" s="25">
        <v>42989</v>
      </c>
      <c r="G253" s="70" t="s">
        <v>3396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3869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3396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3870</v>
      </c>
      <c r="B255" s="67">
        <v>30871120895</v>
      </c>
      <c r="C255" s="68" t="s">
        <v>3871</v>
      </c>
      <c r="D255" s="69">
        <v>7635106457</v>
      </c>
      <c r="E255" s="9">
        <v>1241</v>
      </c>
      <c r="F255" s="25">
        <v>42992</v>
      </c>
      <c r="G255" s="70" t="s">
        <v>3396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3872</v>
      </c>
      <c r="B256" s="67">
        <v>32016102837</v>
      </c>
      <c r="C256" s="72" t="s">
        <v>3873</v>
      </c>
      <c r="D256" s="69">
        <v>25077406553</v>
      </c>
      <c r="E256" s="9">
        <v>292</v>
      </c>
      <c r="F256" s="25">
        <v>43168</v>
      </c>
      <c r="G256" s="70" t="s">
        <v>3396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3874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3875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3876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3877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3396</v>
      </c>
      <c r="H260" s="70"/>
      <c r="I260" s="8"/>
      <c r="J260" s="8"/>
      <c r="K260" s="8"/>
      <c r="L260" s="9" t="s">
        <v>3878</v>
      </c>
      <c r="M260" s="8"/>
    </row>
    <row r="261" spans="1:13" x14ac:dyDescent="0.25">
      <c r="A261" s="15" t="s">
        <v>3879</v>
      </c>
      <c r="B261" s="67">
        <v>18856620847</v>
      </c>
      <c r="C261" s="72" t="s">
        <v>3880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3881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3882</v>
      </c>
      <c r="B263" s="67">
        <v>2766966382</v>
      </c>
      <c r="C263" s="72" t="s">
        <v>3883</v>
      </c>
      <c r="D263" s="69">
        <v>2385838303</v>
      </c>
      <c r="E263" s="9">
        <v>262</v>
      </c>
      <c r="F263" s="25">
        <v>43160</v>
      </c>
      <c r="G263" s="70" t="s">
        <v>3396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3884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3885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3396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3886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3396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3887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3396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3888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3396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3889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3396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3890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3891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3396</v>
      </c>
      <c r="H271" s="70"/>
      <c r="I271" s="8"/>
      <c r="J271" s="8"/>
      <c r="K271" s="8"/>
      <c r="L271" s="9" t="s">
        <v>3537</v>
      </c>
      <c r="M271" s="8"/>
    </row>
    <row r="272" spans="1:13" x14ac:dyDescent="0.25">
      <c r="A272" s="71" t="s">
        <v>3892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3893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3396</v>
      </c>
      <c r="H273" s="70"/>
      <c r="I273" s="8"/>
      <c r="J273" s="8"/>
      <c r="K273" s="8"/>
      <c r="L273" s="9" t="s">
        <v>3537</v>
      </c>
      <c r="M273" s="8"/>
    </row>
    <row r="274" spans="1:13" x14ac:dyDescent="0.25">
      <c r="A274" s="71" t="s">
        <v>3894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3396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3895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3896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3396</v>
      </c>
      <c r="H276" s="70"/>
      <c r="I276" s="8"/>
      <c r="J276" s="8"/>
      <c r="K276" s="8"/>
      <c r="L276" s="9" t="s">
        <v>3515</v>
      </c>
      <c r="M276" s="8"/>
    </row>
    <row r="277" spans="1:13" x14ac:dyDescent="0.25">
      <c r="A277" s="13" t="s">
        <v>3897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3898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3396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3899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3900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3396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3901</v>
      </c>
      <c r="B281" s="67">
        <v>5261128838</v>
      </c>
      <c r="C281" s="72" t="s">
        <v>3902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3903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3904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3905</v>
      </c>
      <c r="B284" s="67"/>
      <c r="C284" s="29" t="s">
        <v>3506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3906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3396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3907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3908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3396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3909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3396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3910</v>
      </c>
      <c r="B289" s="67">
        <v>80117694304</v>
      </c>
      <c r="C289" s="72" t="s">
        <v>3911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3912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3913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3914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3915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3916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3396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3917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3396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3918</v>
      </c>
      <c r="B296" s="67">
        <v>34227913888</v>
      </c>
      <c r="C296" s="72" t="s">
        <v>3919</v>
      </c>
      <c r="D296" s="69">
        <v>22306586896</v>
      </c>
      <c r="E296" s="9">
        <v>1214</v>
      </c>
      <c r="F296" s="25">
        <v>42989</v>
      </c>
      <c r="G296" s="70" t="s">
        <v>3396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3920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3396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3921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3402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3922</v>
      </c>
      <c r="B299" s="67">
        <v>33547844827</v>
      </c>
      <c r="C299" s="72" t="s">
        <v>3923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3924</v>
      </c>
      <c r="B300" s="67"/>
      <c r="C300" s="18" t="s">
        <v>3506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3925</v>
      </c>
      <c r="B301" s="67">
        <v>5212801842</v>
      </c>
      <c r="C301" s="72" t="s">
        <v>3926</v>
      </c>
      <c r="D301" s="69">
        <v>7101207880</v>
      </c>
      <c r="E301" s="9">
        <v>262</v>
      </c>
      <c r="F301" s="25">
        <v>43160</v>
      </c>
      <c r="G301" s="70" t="s">
        <v>3396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3927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3396</v>
      </c>
      <c r="H302" s="9"/>
      <c r="I302" s="8"/>
      <c r="J302" s="8"/>
      <c r="K302" s="8"/>
      <c r="L302" s="9" t="s">
        <v>3515</v>
      </c>
      <c r="M302" s="8"/>
    </row>
    <row r="303" spans="1:13" x14ac:dyDescent="0.25">
      <c r="A303" s="71" t="s">
        <v>3928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3396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3929</v>
      </c>
      <c r="B304" s="67"/>
      <c r="C304" s="29" t="s">
        <v>3930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3931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3396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3932</v>
      </c>
      <c r="B306" s="67">
        <v>43257974833</v>
      </c>
      <c r="C306" s="18" t="s">
        <v>3506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3933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3396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3934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3935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3396</v>
      </c>
      <c r="H309" s="9"/>
      <c r="I309" s="8"/>
      <c r="J309" s="8"/>
      <c r="K309" s="8"/>
      <c r="L309" s="9" t="s">
        <v>3515</v>
      </c>
      <c r="M309" s="8"/>
    </row>
    <row r="310" spans="1:13" x14ac:dyDescent="0.25">
      <c r="A310" s="13" t="s">
        <v>3936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3396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3937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3396</v>
      </c>
      <c r="H311" s="9"/>
      <c r="I311" s="8"/>
      <c r="J311" s="8"/>
      <c r="K311" s="8"/>
      <c r="L311" s="9" t="s">
        <v>3537</v>
      </c>
      <c r="M311" s="8"/>
    </row>
    <row r="312" spans="1:13" x14ac:dyDescent="0.25">
      <c r="A312" s="18" t="s">
        <v>3938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3939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3396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3940</v>
      </c>
      <c r="B314" s="67">
        <v>56647751300</v>
      </c>
      <c r="C314" s="72" t="s">
        <v>3941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3942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3396</v>
      </c>
      <c r="H315" s="9"/>
      <c r="I315" s="8"/>
      <c r="J315" s="8"/>
      <c r="K315" s="8"/>
      <c r="L315" s="9" t="s">
        <v>3537</v>
      </c>
      <c r="M315" s="8"/>
    </row>
    <row r="316" spans="1:13" x14ac:dyDescent="0.25">
      <c r="A316" s="71" t="s">
        <v>3943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3944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3396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3945</v>
      </c>
      <c r="B318" s="67">
        <v>42049249802</v>
      </c>
      <c r="C318" s="72" t="s">
        <v>3946</v>
      </c>
      <c r="D318" s="69">
        <v>22669338844</v>
      </c>
      <c r="E318" s="9">
        <v>1267</v>
      </c>
      <c r="F318" s="25">
        <v>42998</v>
      </c>
      <c r="G318" s="70" t="s">
        <v>3396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3947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3396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3948</v>
      </c>
      <c r="B320" s="67">
        <v>1863847502</v>
      </c>
      <c r="C320" s="72" t="s">
        <v>3949</v>
      </c>
      <c r="D320" s="69">
        <v>1636882579</v>
      </c>
      <c r="E320" s="9">
        <v>292</v>
      </c>
      <c r="F320" s="25">
        <v>43168</v>
      </c>
      <c r="G320" s="70" t="s">
        <v>3396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3950</v>
      </c>
      <c r="B321" s="67">
        <v>24759459820</v>
      </c>
      <c r="C321" s="18" t="s">
        <v>3951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3952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3396</v>
      </c>
      <c r="H322" s="9"/>
      <c r="I322" s="8"/>
      <c r="J322" s="8"/>
      <c r="K322" s="8"/>
      <c r="L322" s="9" t="s">
        <v>3775</v>
      </c>
      <c r="M322" s="8"/>
    </row>
    <row r="323" spans="1:13" x14ac:dyDescent="0.25">
      <c r="A323" s="29" t="s">
        <v>3953</v>
      </c>
      <c r="B323" s="67"/>
      <c r="C323" s="18" t="s">
        <v>3506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3954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3396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3955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3956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3396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3957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3958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3959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3396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3960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3396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3961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3396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3962</v>
      </c>
      <c r="B332" s="67">
        <v>43830821816</v>
      </c>
      <c r="C332" s="72" t="s">
        <v>3963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3964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3410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3965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3966</v>
      </c>
      <c r="B335" s="67">
        <v>26501719879</v>
      </c>
      <c r="C335" s="75" t="s">
        <v>3967</v>
      </c>
      <c r="D335" s="69">
        <v>26502973876</v>
      </c>
      <c r="E335" s="9">
        <v>1106</v>
      </c>
      <c r="F335" s="25">
        <v>42965</v>
      </c>
      <c r="G335" s="70" t="s">
        <v>3396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3968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3396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3969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3970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3396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3971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3972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3973</v>
      </c>
      <c r="B341" s="67">
        <v>33603802829</v>
      </c>
      <c r="C341" s="72" t="s">
        <v>3974</v>
      </c>
      <c r="D341" s="69">
        <v>26302620813</v>
      </c>
      <c r="E341" s="9">
        <v>1262</v>
      </c>
      <c r="F341" s="25">
        <v>42997</v>
      </c>
      <c r="G341" s="70" t="s">
        <v>3396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3975</v>
      </c>
      <c r="B342" s="67">
        <v>23802013824</v>
      </c>
      <c r="C342" s="72" t="s">
        <v>3976</v>
      </c>
      <c r="D342" s="69">
        <v>23099249890</v>
      </c>
      <c r="E342" s="9">
        <v>1489</v>
      </c>
      <c r="F342" s="25">
        <v>43038</v>
      </c>
      <c r="G342" s="70" t="s">
        <v>3396</v>
      </c>
      <c r="H342" s="9"/>
      <c r="I342" s="8"/>
      <c r="J342" s="8"/>
      <c r="K342" s="8"/>
      <c r="L342" s="9" t="s">
        <v>3537</v>
      </c>
      <c r="M342" s="8"/>
    </row>
    <row r="343" spans="1:13" x14ac:dyDescent="0.25">
      <c r="A343" s="71" t="s">
        <v>3977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3978</v>
      </c>
      <c r="B344" s="67">
        <v>39348497847</v>
      </c>
      <c r="C344" s="72" t="s">
        <v>3979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3980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3396</v>
      </c>
      <c r="H345" s="9"/>
      <c r="I345" s="8"/>
      <c r="J345" s="8"/>
      <c r="K345" s="8"/>
      <c r="L345" s="9" t="s">
        <v>3537</v>
      </c>
      <c r="M345" s="8"/>
    </row>
    <row r="346" spans="1:13" x14ac:dyDescent="0.25">
      <c r="A346" s="71" t="s">
        <v>3981</v>
      </c>
      <c r="B346" s="67">
        <v>46102945832</v>
      </c>
      <c r="C346" s="72" t="s">
        <v>3982</v>
      </c>
      <c r="D346" s="69">
        <v>48110319890</v>
      </c>
      <c r="E346" s="9">
        <v>262</v>
      </c>
      <c r="F346" s="25">
        <v>43160</v>
      </c>
      <c r="G346" s="70" t="s">
        <v>3396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3983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3396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3984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3985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3410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3986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3396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3987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3988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3396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3989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3396</v>
      </c>
      <c r="H353" s="9"/>
      <c r="I353" s="8"/>
      <c r="J353" s="8"/>
      <c r="K353" s="8"/>
      <c r="L353" s="9" t="s">
        <v>3630</v>
      </c>
      <c r="M353" s="8"/>
    </row>
    <row r="354" spans="1:13" x14ac:dyDescent="0.25">
      <c r="A354" s="15" t="s">
        <v>3990</v>
      </c>
      <c r="B354" s="67">
        <v>37738978805</v>
      </c>
      <c r="C354" s="15" t="s">
        <v>3991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3992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3993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3994</v>
      </c>
      <c r="B357" s="67">
        <v>37439665813</v>
      </c>
      <c r="C357" s="72" t="s">
        <v>3995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3676</v>
      </c>
      <c r="M357" s="8"/>
    </row>
    <row r="358" spans="1:13" x14ac:dyDescent="0.25">
      <c r="A358" s="15" t="s">
        <v>3996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3997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3998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3396</v>
      </c>
      <c r="H360" s="9"/>
      <c r="I360" s="8"/>
      <c r="J360" s="8"/>
      <c r="K360" s="8"/>
      <c r="L360" s="9" t="s">
        <v>3878</v>
      </c>
      <c r="M360" s="8"/>
    </row>
    <row r="361" spans="1:13" x14ac:dyDescent="0.25">
      <c r="A361" s="15" t="s">
        <v>3999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4000</v>
      </c>
      <c r="B362" s="67">
        <v>39263170860</v>
      </c>
      <c r="C362" s="72" t="s">
        <v>4001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4002</v>
      </c>
      <c r="B363" s="67">
        <v>17803665829</v>
      </c>
      <c r="C363" s="72" t="s">
        <v>4003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4004</v>
      </c>
      <c r="B364" s="67">
        <v>39996489884</v>
      </c>
      <c r="C364" s="72" t="s">
        <v>4005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4006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3396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4007</v>
      </c>
      <c r="B366" s="67">
        <v>36210371876</v>
      </c>
      <c r="C366" s="72" t="s">
        <v>4008</v>
      </c>
      <c r="D366" s="69">
        <v>32340716837</v>
      </c>
      <c r="E366" s="9">
        <v>229</v>
      </c>
      <c r="F366" s="25">
        <v>43151</v>
      </c>
      <c r="G366" s="70" t="s">
        <v>3396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4009</v>
      </c>
      <c r="B367" s="67">
        <v>42016007850</v>
      </c>
      <c r="C367" s="72" t="s">
        <v>4010</v>
      </c>
      <c r="D367" s="69">
        <v>35228090843</v>
      </c>
      <c r="E367" s="9">
        <v>810</v>
      </c>
      <c r="F367" s="25">
        <v>42915</v>
      </c>
      <c r="G367" s="70" t="s">
        <v>3396</v>
      </c>
      <c r="H367" s="9"/>
      <c r="I367" s="8"/>
      <c r="J367" s="8"/>
      <c r="K367" s="8"/>
      <c r="L367" s="9" t="s">
        <v>3515</v>
      </c>
      <c r="M367" s="8"/>
    </row>
    <row r="368" spans="1:13" x14ac:dyDescent="0.25">
      <c r="A368" s="14" t="s">
        <v>4011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3396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4012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3396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4013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3396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4014</v>
      </c>
      <c r="B371" s="67">
        <v>34350558802</v>
      </c>
      <c r="C371" s="18" t="s">
        <v>4015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4016</v>
      </c>
      <c r="B372" s="67">
        <v>41502336839</v>
      </c>
      <c r="C372" s="77" t="s">
        <v>4017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4018</v>
      </c>
      <c r="B373" s="67">
        <v>38156943880</v>
      </c>
      <c r="C373" s="72" t="s">
        <v>4019</v>
      </c>
      <c r="D373" s="69">
        <v>35830934884</v>
      </c>
      <c r="E373" s="9">
        <v>262</v>
      </c>
      <c r="F373" s="25">
        <v>43160</v>
      </c>
      <c r="G373" s="70" t="s">
        <v>3396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4020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3396</v>
      </c>
      <c r="H374" s="9"/>
      <c r="I374" s="8"/>
      <c r="J374" s="8"/>
      <c r="K374" s="8"/>
      <c r="L374" s="9" t="s">
        <v>3515</v>
      </c>
      <c r="M374" s="8"/>
    </row>
    <row r="375" spans="1:13" x14ac:dyDescent="0.25">
      <c r="A375" s="71" t="s">
        <v>4021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3396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4022</v>
      </c>
      <c r="B376" s="67" t="s">
        <v>4023</v>
      </c>
      <c r="C376" s="73" t="s">
        <v>4024</v>
      </c>
      <c r="D376" s="69" t="s">
        <v>4025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4026</v>
      </c>
      <c r="B377" s="67">
        <v>41104888858</v>
      </c>
      <c r="C377" s="72" t="s">
        <v>4027</v>
      </c>
      <c r="D377" s="69">
        <v>35714357884</v>
      </c>
      <c r="E377" s="9">
        <v>810</v>
      </c>
      <c r="F377" s="25">
        <v>42915</v>
      </c>
      <c r="G377" s="70" t="s">
        <v>3396</v>
      </c>
      <c r="H377" s="9"/>
      <c r="I377" s="8"/>
      <c r="J377" s="8"/>
      <c r="K377" s="8"/>
      <c r="L377" s="9" t="s">
        <v>3515</v>
      </c>
      <c r="M377" s="8"/>
    </row>
    <row r="378" spans="1:13" x14ac:dyDescent="0.25">
      <c r="A378" s="71" t="s">
        <v>4028</v>
      </c>
      <c r="B378" s="67">
        <v>34954516846</v>
      </c>
      <c r="C378" s="72" t="s">
        <v>4029</v>
      </c>
      <c r="D378" s="69">
        <v>18356312825</v>
      </c>
      <c r="E378" s="9">
        <v>1824</v>
      </c>
      <c r="F378" s="25">
        <v>43091</v>
      </c>
      <c r="G378" s="70" t="s">
        <v>3410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4030</v>
      </c>
      <c r="B379" s="67"/>
      <c r="C379" s="29" t="s">
        <v>4031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4032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3396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4033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3396</v>
      </c>
      <c r="H381" s="9"/>
      <c r="I381" s="8"/>
      <c r="J381" s="8"/>
      <c r="K381" s="8"/>
      <c r="L381" s="9" t="s">
        <v>3537</v>
      </c>
      <c r="M381" s="8"/>
    </row>
    <row r="382" spans="1:13" x14ac:dyDescent="0.25">
      <c r="A382" s="71" t="s">
        <v>4034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4035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3396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4036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3396</v>
      </c>
      <c r="H384" s="9"/>
      <c r="I384" s="8"/>
      <c r="J384" s="8"/>
      <c r="K384" s="8"/>
      <c r="L384" s="9" t="s">
        <v>3537</v>
      </c>
      <c r="M384" s="8"/>
    </row>
    <row r="385" spans="1:13" x14ac:dyDescent="0.25">
      <c r="A385" s="15" t="s">
        <v>4037</v>
      </c>
      <c r="B385" s="67">
        <v>33239238802</v>
      </c>
      <c r="C385" s="72" t="s">
        <v>4038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4039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4040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3396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4041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3402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4042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3396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4043</v>
      </c>
      <c r="B390" s="67">
        <v>13486189816</v>
      </c>
      <c r="C390" s="72" t="s">
        <v>4044</v>
      </c>
      <c r="D390" s="69">
        <v>15745057858</v>
      </c>
      <c r="E390" s="9">
        <v>262</v>
      </c>
      <c r="F390" s="25">
        <v>43160</v>
      </c>
      <c r="G390" s="70" t="s">
        <v>3396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4045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3396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4046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3396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4047</v>
      </c>
      <c r="B393" s="67">
        <v>29672702884</v>
      </c>
      <c r="C393" s="72" t="s">
        <v>4048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4049</v>
      </c>
      <c r="B394" s="67"/>
      <c r="C394" s="29" t="s">
        <v>3506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4050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3396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4051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3396</v>
      </c>
      <c r="H396" s="9"/>
      <c r="I396" s="8"/>
      <c r="J396" s="8"/>
      <c r="K396" s="8"/>
      <c r="L396" s="9" t="s">
        <v>3547</v>
      </c>
      <c r="M396" s="8"/>
    </row>
    <row r="397" spans="1:13" x14ac:dyDescent="0.25">
      <c r="A397" s="15" t="s">
        <v>4052</v>
      </c>
      <c r="B397" s="67">
        <v>7030224582</v>
      </c>
      <c r="C397" s="72" t="s">
        <v>4053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4054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3396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4055</v>
      </c>
      <c r="B399" s="67">
        <v>39783437895</v>
      </c>
      <c r="C399" s="72" t="s">
        <v>4056</v>
      </c>
      <c r="D399" s="69">
        <v>12062296754</v>
      </c>
      <c r="E399" s="9">
        <v>292</v>
      </c>
      <c r="F399" s="25">
        <v>43168</v>
      </c>
      <c r="G399" s="9" t="s">
        <v>3396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4057</v>
      </c>
      <c r="B400" s="67">
        <v>41759713864</v>
      </c>
      <c r="C400" s="72" t="s">
        <v>4058</v>
      </c>
      <c r="D400" s="69">
        <v>38653116877</v>
      </c>
      <c r="E400" s="9">
        <v>1824</v>
      </c>
      <c r="F400" s="25">
        <v>43091</v>
      </c>
      <c r="G400" s="70" t="s">
        <v>3396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4059</v>
      </c>
      <c r="B401" s="67">
        <v>37686754839</v>
      </c>
      <c r="C401" s="72" t="s">
        <v>4060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4061</v>
      </c>
      <c r="B402" s="67"/>
      <c r="C402" s="29" t="s">
        <v>4062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4063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3396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4064</v>
      </c>
      <c r="B404" s="67">
        <v>44864217874</v>
      </c>
      <c r="C404" s="72" t="s">
        <v>4065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4066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3396</v>
      </c>
      <c r="H405" s="9"/>
      <c r="I405" s="8"/>
      <c r="J405" s="8"/>
      <c r="K405" s="8"/>
      <c r="L405" s="9" t="s">
        <v>3630</v>
      </c>
      <c r="M405" s="8"/>
    </row>
    <row r="406" spans="1:13" x14ac:dyDescent="0.25">
      <c r="A406" s="15" t="s">
        <v>4067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3396</v>
      </c>
      <c r="H406" s="9"/>
      <c r="I406" s="8"/>
      <c r="J406" s="8"/>
      <c r="K406" s="8"/>
      <c r="L406" s="9" t="s">
        <v>3547</v>
      </c>
      <c r="M406" s="8"/>
    </row>
    <row r="407" spans="1:13" x14ac:dyDescent="0.25">
      <c r="A407" s="13" t="s">
        <v>4068</v>
      </c>
      <c r="B407" s="67">
        <v>1329442512</v>
      </c>
      <c r="C407" s="68" t="s">
        <v>4069</v>
      </c>
      <c r="D407" s="69">
        <v>1320825516</v>
      </c>
      <c r="E407" s="9">
        <v>1214</v>
      </c>
      <c r="F407" s="25">
        <v>42989</v>
      </c>
      <c r="G407" s="70" t="s">
        <v>3396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4070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4071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4072</v>
      </c>
      <c r="B410" s="67"/>
      <c r="C410" s="29" t="s">
        <v>3506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4073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3396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4074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3396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4075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4076</v>
      </c>
      <c r="B414" s="67">
        <v>93440340520</v>
      </c>
      <c r="C414" s="68" t="s">
        <v>4077</v>
      </c>
      <c r="D414" s="69">
        <v>8858333845</v>
      </c>
      <c r="E414" s="9">
        <v>1267</v>
      </c>
      <c r="F414" s="25">
        <v>42998</v>
      </c>
      <c r="G414" s="70" t="s">
        <v>3396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4078</v>
      </c>
      <c r="B415" s="67">
        <v>21947877801</v>
      </c>
      <c r="C415" s="29" t="s">
        <v>4079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4080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3396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4081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3396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4082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3396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4083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3396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4084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3396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4085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4086</v>
      </c>
      <c r="B422" s="67">
        <v>11163355810</v>
      </c>
      <c r="C422" s="72" t="s">
        <v>4087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4088</v>
      </c>
      <c r="B423" s="67">
        <v>12870537859</v>
      </c>
      <c r="C423" s="72" t="s">
        <v>4089</v>
      </c>
      <c r="D423" s="69">
        <v>59856912849</v>
      </c>
      <c r="E423" s="9">
        <v>1417</v>
      </c>
      <c r="F423" s="25">
        <v>43017</v>
      </c>
      <c r="G423" s="70" t="s">
        <v>3396</v>
      </c>
      <c r="H423" s="9"/>
      <c r="I423" s="8"/>
      <c r="J423" s="8"/>
      <c r="K423" s="8"/>
      <c r="L423" s="9" t="s">
        <v>3630</v>
      </c>
      <c r="M423" s="8"/>
    </row>
    <row r="424" spans="1:13" x14ac:dyDescent="0.25">
      <c r="A424" s="14" t="s">
        <v>4090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3396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4091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4092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3396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4093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3396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4094</v>
      </c>
      <c r="B428" s="67">
        <v>34133269888</v>
      </c>
      <c r="C428" s="72" t="s">
        <v>4095</v>
      </c>
      <c r="D428" s="69">
        <v>35360635860</v>
      </c>
      <c r="E428" s="9">
        <v>1824</v>
      </c>
      <c r="F428" s="25">
        <v>43091</v>
      </c>
      <c r="G428" s="70" t="s">
        <v>3396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4096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3396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4097</v>
      </c>
      <c r="B430" s="67">
        <v>26370314846</v>
      </c>
      <c r="C430" s="72" t="s">
        <v>4098</v>
      </c>
      <c r="D430" s="69">
        <v>26923862809</v>
      </c>
      <c r="E430" s="9">
        <v>117</v>
      </c>
      <c r="F430" s="25">
        <v>43117</v>
      </c>
      <c r="G430" s="70" t="s">
        <v>3396</v>
      </c>
      <c r="H430" s="9"/>
      <c r="I430" s="8"/>
      <c r="J430" s="8"/>
      <c r="K430" s="8"/>
      <c r="L430" s="9" t="s">
        <v>3547</v>
      </c>
      <c r="M430" s="8"/>
    </row>
    <row r="431" spans="1:13" x14ac:dyDescent="0.25">
      <c r="A431" s="71" t="s">
        <v>4099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4100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3396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4101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3396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4102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3396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4103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3396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4104</v>
      </c>
      <c r="B436" s="67"/>
      <c r="C436" s="29" t="s">
        <v>3506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4105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3410</v>
      </c>
      <c r="H437" s="9"/>
      <c r="I437" s="8"/>
      <c r="J437" s="8"/>
      <c r="K437" s="8"/>
      <c r="L437" s="9" t="s">
        <v>3547</v>
      </c>
      <c r="M437" s="8"/>
    </row>
    <row r="438" spans="1:13" x14ac:dyDescent="0.25">
      <c r="A438" s="71" t="s">
        <v>4106</v>
      </c>
      <c r="B438" s="67">
        <v>28413241847</v>
      </c>
      <c r="C438" s="72" t="s">
        <v>4107</v>
      </c>
      <c r="D438" s="69">
        <v>14661915895</v>
      </c>
      <c r="E438" s="9">
        <v>810</v>
      </c>
      <c r="F438" s="25">
        <v>42915</v>
      </c>
      <c r="G438" s="70" t="s">
        <v>3396</v>
      </c>
      <c r="H438" s="9"/>
      <c r="I438" s="8"/>
      <c r="J438" s="8"/>
      <c r="K438" s="8"/>
      <c r="L438" s="9" t="s">
        <v>3515</v>
      </c>
      <c r="M438" s="8"/>
    </row>
    <row r="439" spans="1:13" x14ac:dyDescent="0.25">
      <c r="A439" s="15" t="s">
        <v>4108</v>
      </c>
      <c r="B439" s="67">
        <v>12898733806</v>
      </c>
      <c r="C439" s="72" t="s">
        <v>4109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4110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3396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4111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4112</v>
      </c>
      <c r="B442" s="67">
        <v>667192328</v>
      </c>
      <c r="C442" s="29" t="s">
        <v>4113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4114</v>
      </c>
      <c r="B443" s="67">
        <v>3474339443</v>
      </c>
      <c r="C443" s="72" t="s">
        <v>4115</v>
      </c>
      <c r="D443" s="69">
        <v>58073604515</v>
      </c>
      <c r="E443" s="9">
        <v>810</v>
      </c>
      <c r="F443" s="25">
        <v>42915</v>
      </c>
      <c r="G443" s="70" t="s">
        <v>3396</v>
      </c>
      <c r="H443" s="9"/>
      <c r="I443" s="8"/>
      <c r="J443" s="8"/>
      <c r="K443" s="8"/>
      <c r="L443" s="9" t="s">
        <v>3515</v>
      </c>
      <c r="M443" s="8"/>
    </row>
    <row r="444" spans="1:13" x14ac:dyDescent="0.25">
      <c r="A444" s="71" t="s">
        <v>4116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3396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4117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4118</v>
      </c>
      <c r="B446" s="67">
        <v>70014140349</v>
      </c>
      <c r="C446" s="72" t="s">
        <v>4119</v>
      </c>
      <c r="D446" s="69">
        <v>16412436863</v>
      </c>
      <c r="E446" s="9">
        <v>1262</v>
      </c>
      <c r="F446" s="25">
        <v>42997</v>
      </c>
      <c r="G446" s="70" t="s">
        <v>3396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4120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4121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3396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4122</v>
      </c>
      <c r="B449" s="67">
        <v>42230945807</v>
      </c>
      <c r="C449" s="29" t="s">
        <v>4123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4124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3396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4125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3396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4126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3396</v>
      </c>
      <c r="H452" s="9"/>
      <c r="I452" s="8"/>
      <c r="J452" s="8"/>
      <c r="K452" s="8"/>
      <c r="L452" s="9" t="s">
        <v>3537</v>
      </c>
      <c r="M452" s="8"/>
    </row>
    <row r="453" spans="1:13" x14ac:dyDescent="0.25">
      <c r="A453" s="71" t="s">
        <v>4127</v>
      </c>
      <c r="B453" s="67">
        <v>7380335456</v>
      </c>
      <c r="C453" s="72" t="s">
        <v>4128</v>
      </c>
      <c r="D453" s="69">
        <v>7548744439</v>
      </c>
      <c r="E453" s="9">
        <v>810</v>
      </c>
      <c r="F453" s="25">
        <v>42915</v>
      </c>
      <c r="G453" s="70" t="s">
        <v>3396</v>
      </c>
      <c r="H453" s="9"/>
      <c r="I453" s="8"/>
      <c r="J453" s="8"/>
      <c r="K453" s="8"/>
      <c r="L453" s="9" t="s">
        <v>3515</v>
      </c>
      <c r="M453" s="8"/>
    </row>
    <row r="454" spans="1:13" x14ac:dyDescent="0.25">
      <c r="A454" s="18" t="s">
        <v>4129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4130</v>
      </c>
      <c r="B455" s="67">
        <v>38529900847</v>
      </c>
      <c r="C455" s="72" t="s">
        <v>4131</v>
      </c>
      <c r="D455" s="69">
        <v>36056823830</v>
      </c>
      <c r="E455" s="9">
        <v>262</v>
      </c>
      <c r="F455" s="25">
        <v>43160</v>
      </c>
      <c r="G455" s="70" t="s">
        <v>3396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4132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3396</v>
      </c>
      <c r="H456" s="9"/>
      <c r="I456" s="8"/>
      <c r="J456" s="8"/>
      <c r="K456" s="8"/>
      <c r="L456" s="9" t="s">
        <v>3630</v>
      </c>
      <c r="M456" s="8"/>
    </row>
    <row r="457" spans="1:13" x14ac:dyDescent="0.25">
      <c r="A457" s="13" t="s">
        <v>4133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3396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4134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3396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4135</v>
      </c>
      <c r="B459" s="67">
        <v>11806390817</v>
      </c>
      <c r="C459" s="72" t="s">
        <v>4136</v>
      </c>
      <c r="D459" s="69">
        <v>6924399860</v>
      </c>
      <c r="E459" s="9">
        <v>85</v>
      </c>
      <c r="F459" s="25">
        <v>43109</v>
      </c>
      <c r="G459" s="70" t="s">
        <v>3396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4137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4138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3396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4139</v>
      </c>
      <c r="B462" s="67">
        <v>32734621835</v>
      </c>
      <c r="C462" s="77" t="s">
        <v>4140</v>
      </c>
      <c r="D462" s="69" t="s">
        <v>4141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4142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3396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4143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4144</v>
      </c>
      <c r="B465" s="67">
        <v>31367730805</v>
      </c>
      <c r="C465" s="68" t="s">
        <v>4145</v>
      </c>
      <c r="D465" s="69">
        <v>39532354867</v>
      </c>
      <c r="E465" s="9">
        <v>1350</v>
      </c>
      <c r="F465" s="25">
        <v>43006</v>
      </c>
      <c r="G465" s="70" t="s">
        <v>3396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4146</v>
      </c>
      <c r="B466" s="67">
        <v>5579867611</v>
      </c>
      <c r="C466" s="72" t="s">
        <v>4147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4148</v>
      </c>
      <c r="B467" s="67">
        <v>17118545813</v>
      </c>
      <c r="C467" s="72" t="s">
        <v>4149</v>
      </c>
      <c r="D467" s="69">
        <v>29932279803</v>
      </c>
      <c r="E467" s="9">
        <v>262</v>
      </c>
      <c r="F467" s="25">
        <v>43160</v>
      </c>
      <c r="G467" s="70" t="s">
        <v>3396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4150</v>
      </c>
      <c r="B468" s="67">
        <v>35031003855</v>
      </c>
      <c r="C468" s="72" t="s">
        <v>4151</v>
      </c>
      <c r="D468" s="69">
        <v>41246529840</v>
      </c>
      <c r="E468" s="9">
        <v>1422</v>
      </c>
      <c r="F468" s="25">
        <v>43018</v>
      </c>
      <c r="G468" s="70" t="s">
        <v>3396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4152</v>
      </c>
      <c r="B469" s="67">
        <v>17803718884</v>
      </c>
      <c r="C469" s="32" t="s">
        <v>4153</v>
      </c>
      <c r="D469" s="69">
        <v>364628880</v>
      </c>
      <c r="E469" s="9">
        <v>1570</v>
      </c>
      <c r="F469" s="25">
        <v>43077</v>
      </c>
      <c r="G469" s="70" t="s">
        <v>3396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4154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3396</v>
      </c>
      <c r="H470" s="9"/>
      <c r="I470" s="8"/>
      <c r="J470" s="8"/>
      <c r="K470" s="8"/>
      <c r="L470" s="9" t="s">
        <v>3547</v>
      </c>
      <c r="M470" s="8"/>
    </row>
    <row r="471" spans="1:13" x14ac:dyDescent="0.25">
      <c r="A471" s="13" t="s">
        <v>4155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3396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4156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3396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4157</v>
      </c>
      <c r="B473" s="67">
        <v>22740303831</v>
      </c>
      <c r="C473" s="18" t="s">
        <v>3506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4158</v>
      </c>
      <c r="B474" s="67">
        <v>35482535800</v>
      </c>
      <c r="C474" s="72" t="s">
        <v>4159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4160</v>
      </c>
      <c r="B475" s="67">
        <v>22213116806</v>
      </c>
      <c r="C475" s="72" t="s">
        <v>4161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4162</v>
      </c>
      <c r="B476" s="67">
        <v>22168840814</v>
      </c>
      <c r="C476" s="29" t="s">
        <v>4163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4164</v>
      </c>
      <c r="B477" s="67">
        <v>30609785818</v>
      </c>
      <c r="C477" s="18" t="s">
        <v>4165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4166</v>
      </c>
      <c r="B478" s="67">
        <v>18515704897</v>
      </c>
      <c r="C478" s="18" t="s">
        <v>3506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4167</v>
      </c>
      <c r="B479" s="67">
        <v>14683022800</v>
      </c>
      <c r="C479" s="72" t="s">
        <v>4168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4169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4170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3396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4171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4172</v>
      </c>
      <c r="B483" s="67"/>
      <c r="C483" s="29" t="s">
        <v>3506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4173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3396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4174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3396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4175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3396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4176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3396</v>
      </c>
      <c r="H487" s="9"/>
      <c r="I487" s="8"/>
      <c r="J487" s="8"/>
      <c r="K487" s="8"/>
      <c r="L487" s="9" t="s">
        <v>3537</v>
      </c>
      <c r="M487" s="8"/>
    </row>
    <row r="488" spans="1:13" x14ac:dyDescent="0.25">
      <c r="A488" s="13" t="s">
        <v>4177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3396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4178</v>
      </c>
      <c r="B489" s="67">
        <v>36664921855</v>
      </c>
      <c r="C489" s="72" t="s">
        <v>4179</v>
      </c>
      <c r="D489" s="69">
        <v>28495923823</v>
      </c>
      <c r="E489" s="9">
        <v>117</v>
      </c>
      <c r="F489" s="25">
        <v>43117</v>
      </c>
      <c r="G489" s="70" t="s">
        <v>3402</v>
      </c>
      <c r="H489" s="9"/>
      <c r="I489" s="8"/>
      <c r="J489" s="8"/>
      <c r="K489" s="8"/>
      <c r="L489" s="9" t="s">
        <v>3547</v>
      </c>
      <c r="M489" s="8"/>
    </row>
    <row r="490" spans="1:13" x14ac:dyDescent="0.25">
      <c r="A490" s="79" t="s">
        <v>4180</v>
      </c>
      <c r="B490" s="80">
        <v>22561317854</v>
      </c>
      <c r="C490" s="81" t="s">
        <v>4181</v>
      </c>
      <c r="D490" s="82">
        <v>26718748803</v>
      </c>
      <c r="E490" s="47">
        <v>1106</v>
      </c>
      <c r="F490" s="48">
        <v>42965</v>
      </c>
      <c r="G490" s="83" t="s">
        <v>3402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4182</v>
      </c>
      <c r="B491" s="67">
        <v>34870463857</v>
      </c>
      <c r="C491" s="72" t="s">
        <v>4183</v>
      </c>
      <c r="D491" s="69">
        <v>7049816531</v>
      </c>
      <c r="E491" s="9">
        <v>292</v>
      </c>
      <c r="F491" s="25">
        <v>43168</v>
      </c>
      <c r="G491" s="70" t="s">
        <v>3396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4184</v>
      </c>
      <c r="B492" s="67">
        <v>35225854885</v>
      </c>
      <c r="C492" s="72" t="s">
        <v>4185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4186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3396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4187</v>
      </c>
      <c r="B494" s="67">
        <v>35929092826</v>
      </c>
      <c r="C494" s="72" t="s">
        <v>4188</v>
      </c>
      <c r="D494" s="69">
        <v>29462804893</v>
      </c>
      <c r="E494" s="9">
        <v>1267</v>
      </c>
      <c r="F494" s="25">
        <v>42998</v>
      </c>
      <c r="G494" s="70" t="s">
        <v>3396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4189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4190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4191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4192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3396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4193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3410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4194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4195</v>
      </c>
      <c r="B501" s="67">
        <v>24660726886</v>
      </c>
      <c r="C501" s="72" t="s">
        <v>4196</v>
      </c>
      <c r="D501" s="69">
        <v>96400951504</v>
      </c>
      <c r="E501" s="9">
        <v>292</v>
      </c>
      <c r="F501" s="25">
        <v>43168</v>
      </c>
      <c r="G501" s="70" t="s">
        <v>3402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4197</v>
      </c>
      <c r="B502" s="69">
        <v>27863381827</v>
      </c>
      <c r="C502" s="71" t="s">
        <v>4198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4199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3396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4200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4201</v>
      </c>
      <c r="B505" s="67">
        <v>25856034821</v>
      </c>
      <c r="C505" s="72" t="s">
        <v>4202</v>
      </c>
      <c r="D505" s="69">
        <v>74821083353</v>
      </c>
      <c r="E505" s="9">
        <v>810</v>
      </c>
      <c r="F505" s="25">
        <v>42915</v>
      </c>
      <c r="G505" s="70" t="s">
        <v>3396</v>
      </c>
      <c r="H505" s="9"/>
      <c r="I505" s="8"/>
      <c r="J505" s="8"/>
      <c r="K505" s="8"/>
      <c r="L505" s="9" t="s">
        <v>3515</v>
      </c>
      <c r="M505" s="8"/>
    </row>
    <row r="506" spans="1:13" x14ac:dyDescent="0.25">
      <c r="A506" s="71" t="s">
        <v>4203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3676</v>
      </c>
      <c r="M506" s="8"/>
    </row>
    <row r="507" spans="1:13" x14ac:dyDescent="0.25">
      <c r="A507" s="71" t="s">
        <v>4204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4205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3676</v>
      </c>
      <c r="M508" s="8"/>
    </row>
    <row r="509" spans="1:13" x14ac:dyDescent="0.25">
      <c r="A509" s="29" t="s">
        <v>4206</v>
      </c>
      <c r="B509" s="67">
        <v>4802267843</v>
      </c>
      <c r="C509" s="29" t="s">
        <v>4207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4208</v>
      </c>
      <c r="B510" s="67">
        <v>6672502807</v>
      </c>
      <c r="C510" s="72" t="s">
        <v>4209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3676</v>
      </c>
      <c r="M510" s="8"/>
    </row>
    <row r="511" spans="1:13" x14ac:dyDescent="0.25">
      <c r="A511" s="18" t="s">
        <v>4210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4211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4212</v>
      </c>
      <c r="B513" s="67">
        <v>37233245843</v>
      </c>
      <c r="C513" s="29" t="s">
        <v>4213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4214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4215</v>
      </c>
      <c r="B515" s="67">
        <v>33456412835</v>
      </c>
      <c r="C515" s="72" t="s">
        <v>4216</v>
      </c>
      <c r="D515" s="69">
        <v>9387669882</v>
      </c>
      <c r="E515" s="9">
        <v>229</v>
      </c>
      <c r="F515" s="25">
        <v>43151</v>
      </c>
      <c r="G515" s="70" t="s">
        <v>3410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4217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3396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4218</v>
      </c>
      <c r="B517" s="67">
        <v>10317452894</v>
      </c>
      <c r="C517" s="72" t="s">
        <v>4219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4220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3396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4221</v>
      </c>
      <c r="B519" s="67"/>
      <c r="C519" s="29" t="s">
        <v>4222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4223</v>
      </c>
      <c r="B520" s="67">
        <v>42782953591</v>
      </c>
      <c r="C520" s="72" t="s">
        <v>4224</v>
      </c>
      <c r="D520" s="69">
        <v>53921186587</v>
      </c>
      <c r="E520" s="9">
        <v>85</v>
      </c>
      <c r="F520" s="25">
        <v>43109</v>
      </c>
      <c r="G520" s="70" t="s">
        <v>3396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4225</v>
      </c>
      <c r="B521" s="67">
        <v>3086762896</v>
      </c>
      <c r="C521" s="72" t="s">
        <v>4226</v>
      </c>
      <c r="D521" s="69">
        <v>89632877853</v>
      </c>
      <c r="E521" s="9">
        <v>810</v>
      </c>
      <c r="F521" s="25">
        <v>42915</v>
      </c>
      <c r="G521" s="70" t="s">
        <v>3396</v>
      </c>
      <c r="H521" s="9"/>
      <c r="I521" s="8"/>
      <c r="J521" s="8"/>
      <c r="K521" s="8"/>
      <c r="L521" s="9" t="s">
        <v>3515</v>
      </c>
      <c r="M521" s="8"/>
    </row>
    <row r="522" spans="1:13" x14ac:dyDescent="0.25">
      <c r="A522" s="71" t="s">
        <v>4227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3396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4228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3396</v>
      </c>
      <c r="H523" s="9"/>
      <c r="I523" s="8"/>
      <c r="J523" s="8"/>
      <c r="K523" s="8"/>
      <c r="L523" s="9" t="s">
        <v>3630</v>
      </c>
      <c r="M523" s="8"/>
    </row>
    <row r="524" spans="1:13" x14ac:dyDescent="0.25">
      <c r="A524" s="33" t="s">
        <v>4229</v>
      </c>
      <c r="B524" s="67">
        <v>22624049843</v>
      </c>
      <c r="C524" s="32" t="s">
        <v>4230</v>
      </c>
      <c r="D524" s="69">
        <v>32978302801</v>
      </c>
      <c r="E524" s="9">
        <v>1570</v>
      </c>
      <c r="F524" s="25">
        <v>43077</v>
      </c>
      <c r="G524" s="70" t="s">
        <v>3396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4231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4232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3396</v>
      </c>
      <c r="H526" s="9"/>
      <c r="I526" s="8"/>
      <c r="J526" s="8"/>
      <c r="K526" s="8"/>
      <c r="L526" s="9" t="s">
        <v>3537</v>
      </c>
      <c r="M526" s="8"/>
    </row>
    <row r="527" spans="1:13" x14ac:dyDescent="0.25">
      <c r="A527" s="71" t="s">
        <v>4233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3396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4234</v>
      </c>
      <c r="B528" s="67">
        <v>27112847869</v>
      </c>
      <c r="C528" s="72" t="s">
        <v>4235</v>
      </c>
      <c r="D528" s="69">
        <v>37782363420</v>
      </c>
      <c r="E528" s="9">
        <v>1106</v>
      </c>
      <c r="F528" s="25">
        <v>42965</v>
      </c>
      <c r="G528" s="70" t="s">
        <v>3396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4236</v>
      </c>
      <c r="B529" s="67">
        <v>32811648895</v>
      </c>
      <c r="C529" s="72" t="s">
        <v>4237</v>
      </c>
      <c r="D529" s="69">
        <v>25428395818</v>
      </c>
      <c r="E529" s="9">
        <v>85</v>
      </c>
      <c r="F529" s="25">
        <v>43109</v>
      </c>
      <c r="G529" s="70" t="s">
        <v>3396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4238</v>
      </c>
      <c r="B530" s="67">
        <v>12811159835</v>
      </c>
      <c r="C530" s="72" t="s">
        <v>4239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4240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4241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4242</v>
      </c>
      <c r="B533" s="67">
        <v>83941010468</v>
      </c>
      <c r="C533" s="18" t="s">
        <v>4243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4244</v>
      </c>
      <c r="B534" s="67">
        <v>43152462808</v>
      </c>
      <c r="C534" s="29" t="s">
        <v>4245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4246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4247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3396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4248</v>
      </c>
      <c r="B537" s="67"/>
      <c r="C537" s="18" t="s">
        <v>3506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4249</v>
      </c>
      <c r="B538" s="67">
        <v>41249931886</v>
      </c>
      <c r="C538" s="72" t="s">
        <v>4250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4251</v>
      </c>
      <c r="B539" s="67">
        <v>34361118809</v>
      </c>
      <c r="C539" s="72" t="s">
        <v>4252</v>
      </c>
      <c r="D539" s="69">
        <v>14784595813</v>
      </c>
      <c r="E539" s="9">
        <v>85</v>
      </c>
      <c r="F539" s="25">
        <v>43109</v>
      </c>
      <c r="G539" s="70" t="s">
        <v>3396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4253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3396</v>
      </c>
      <c r="H540" s="9"/>
      <c r="I540" s="8"/>
      <c r="J540" s="8"/>
      <c r="K540" s="8"/>
      <c r="L540" s="9" t="s">
        <v>3878</v>
      </c>
      <c r="M540" s="8"/>
    </row>
    <row r="541" spans="1:13" x14ac:dyDescent="0.25">
      <c r="A541" s="71" t="s">
        <v>4254</v>
      </c>
      <c r="B541" s="67">
        <v>45469747875</v>
      </c>
      <c r="C541" s="72" t="s">
        <v>4255</v>
      </c>
      <c r="D541" s="69">
        <v>39042679816</v>
      </c>
      <c r="E541" s="9">
        <v>117</v>
      </c>
      <c r="F541" s="25">
        <v>43117</v>
      </c>
      <c r="G541" s="70" t="s">
        <v>3396</v>
      </c>
      <c r="H541" s="9"/>
      <c r="I541" s="8"/>
      <c r="J541" s="8"/>
      <c r="K541" s="8"/>
      <c r="L541" s="9" t="s">
        <v>3547</v>
      </c>
      <c r="M541" s="8"/>
    </row>
    <row r="542" spans="1:13" x14ac:dyDescent="0.25">
      <c r="A542" s="71" t="s">
        <v>4256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4257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3396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4258</v>
      </c>
      <c r="B544" s="67">
        <v>33199855822</v>
      </c>
      <c r="C544" s="18" t="s">
        <v>4259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4260</v>
      </c>
      <c r="B545" s="67">
        <v>32878318870</v>
      </c>
      <c r="C545" s="18" t="s">
        <v>4261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4262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3396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4263</v>
      </c>
      <c r="B547" s="67">
        <v>31328839800</v>
      </c>
      <c r="C547" s="72" t="s">
        <v>4264</v>
      </c>
      <c r="D547" s="69">
        <v>13482435898</v>
      </c>
      <c r="E547" s="9">
        <v>262</v>
      </c>
      <c r="F547" s="25">
        <v>43160</v>
      </c>
      <c r="G547" s="70" t="s">
        <v>3396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4265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3396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4266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3396</v>
      </c>
      <c r="H549" s="9"/>
      <c r="I549" s="8"/>
      <c r="J549" s="8"/>
      <c r="K549" s="8"/>
      <c r="L549" s="9" t="s">
        <v>3547</v>
      </c>
      <c r="M549" s="8"/>
    </row>
    <row r="550" spans="1:13" x14ac:dyDescent="0.25">
      <c r="A550" s="73" t="s">
        <v>4267</v>
      </c>
      <c r="B550" s="67">
        <v>33311756843</v>
      </c>
      <c r="C550" s="72" t="s">
        <v>4268</v>
      </c>
      <c r="D550" s="69">
        <v>31561945811</v>
      </c>
      <c r="E550" s="9">
        <v>1106</v>
      </c>
      <c r="F550" s="25">
        <v>42965</v>
      </c>
      <c r="G550" s="70" t="s">
        <v>3396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4269</v>
      </c>
      <c r="B551" s="67" t="s">
        <v>4270</v>
      </c>
      <c r="C551" s="77" t="s">
        <v>4271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4272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3396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4273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3396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4274</v>
      </c>
      <c r="B554" s="67"/>
      <c r="C554" s="18" t="s">
        <v>3506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4275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3396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4276</v>
      </c>
      <c r="B556" s="67">
        <v>37608246847</v>
      </c>
      <c r="C556" s="68" t="s">
        <v>4277</v>
      </c>
      <c r="D556" s="69">
        <v>27976942875</v>
      </c>
      <c r="E556" s="9">
        <v>608</v>
      </c>
      <c r="F556" s="25">
        <v>43012</v>
      </c>
      <c r="G556" s="70" t="s">
        <v>3396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4278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4279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4280</v>
      </c>
      <c r="B559" s="67">
        <v>39990709866</v>
      </c>
      <c r="C559" s="72" t="s">
        <v>4281</v>
      </c>
      <c r="D559" s="69">
        <v>46936249850</v>
      </c>
      <c r="E559" s="9">
        <v>229</v>
      </c>
      <c r="F559" s="25">
        <v>43151</v>
      </c>
      <c r="G559" s="70" t="s">
        <v>3396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4282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4283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3396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4284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3396</v>
      </c>
      <c r="H562" s="9"/>
      <c r="I562" s="8"/>
      <c r="J562" s="8"/>
      <c r="K562" s="8"/>
      <c r="L562" s="9" t="s">
        <v>3515</v>
      </c>
      <c r="M562" s="8"/>
    </row>
    <row r="563" spans="1:13" x14ac:dyDescent="0.25">
      <c r="A563" s="71" t="s">
        <v>4285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4286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4287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3396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4288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4289</v>
      </c>
      <c r="B567" s="67">
        <v>9056201867</v>
      </c>
      <c r="C567" s="72" t="s">
        <v>4290</v>
      </c>
      <c r="D567" s="69">
        <v>59754605815</v>
      </c>
      <c r="E567" s="9">
        <v>810</v>
      </c>
      <c r="F567" s="25">
        <v>42915</v>
      </c>
      <c r="G567" s="70" t="s">
        <v>3396</v>
      </c>
      <c r="H567" s="9"/>
      <c r="I567" s="8"/>
      <c r="J567" s="8"/>
      <c r="K567" s="8"/>
      <c r="L567" s="9" t="s">
        <v>3515</v>
      </c>
      <c r="M567" s="8"/>
    </row>
    <row r="568" spans="1:13" x14ac:dyDescent="0.25">
      <c r="A568" s="71" t="s">
        <v>4291</v>
      </c>
      <c r="B568" s="67">
        <v>4434698656</v>
      </c>
      <c r="C568" s="72" t="s">
        <v>4292</v>
      </c>
      <c r="D568" s="69">
        <v>75851300400</v>
      </c>
      <c r="E568" s="9">
        <v>810</v>
      </c>
      <c r="F568" s="25">
        <v>42915</v>
      </c>
      <c r="G568" s="70" t="s">
        <v>3396</v>
      </c>
      <c r="H568" s="9"/>
      <c r="I568" s="8"/>
      <c r="J568" s="8"/>
      <c r="K568" s="8"/>
      <c r="L568" s="9" t="s">
        <v>3515</v>
      </c>
      <c r="M568" s="8"/>
    </row>
    <row r="569" spans="1:13" x14ac:dyDescent="0.25">
      <c r="A569" s="71" t="s">
        <v>4293</v>
      </c>
      <c r="B569" s="67">
        <v>27030279824</v>
      </c>
      <c r="C569" s="72" t="s">
        <v>4294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4295</v>
      </c>
      <c r="B570" s="67">
        <v>30478760884</v>
      </c>
      <c r="C570" s="77" t="s">
        <v>4296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4297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3396</v>
      </c>
      <c r="H571" s="76">
        <v>43213</v>
      </c>
      <c r="I571" s="8"/>
      <c r="J571" s="8"/>
      <c r="K571" s="8"/>
      <c r="L571" s="9" t="s">
        <v>3515</v>
      </c>
      <c r="M571" s="8"/>
    </row>
    <row r="572" spans="1:13" x14ac:dyDescent="0.25">
      <c r="A572" s="71" t="s">
        <v>4298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3396</v>
      </c>
      <c r="H572" s="76">
        <v>43213</v>
      </c>
      <c r="I572" s="8"/>
      <c r="J572" s="8"/>
      <c r="K572" s="8"/>
      <c r="L572" s="9" t="s">
        <v>3630</v>
      </c>
      <c r="M572" s="8"/>
    </row>
    <row r="573" spans="1:13" x14ac:dyDescent="0.25">
      <c r="A573" s="72" t="s">
        <v>4299</v>
      </c>
      <c r="B573" s="67">
        <v>16583214806</v>
      </c>
      <c r="C573" s="72" t="s">
        <v>4300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4301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4302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3396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4303</v>
      </c>
      <c r="B576" s="67">
        <v>6882969639</v>
      </c>
      <c r="C576" s="29" t="s">
        <v>4304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4305</v>
      </c>
      <c r="B577" s="67">
        <v>22449339892</v>
      </c>
      <c r="C577" s="29" t="s">
        <v>4306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4307</v>
      </c>
      <c r="B578" s="67"/>
      <c r="C578" s="18" t="s">
        <v>3506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4308</v>
      </c>
      <c r="B579" s="67">
        <v>22854740831</v>
      </c>
      <c r="C579" s="72" t="s">
        <v>4309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4310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4311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3396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4312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3396</v>
      </c>
      <c r="H582" s="9"/>
      <c r="I582" s="8"/>
      <c r="J582" s="8"/>
      <c r="K582" s="8"/>
      <c r="L582" s="9" t="s">
        <v>3515</v>
      </c>
      <c r="M582" s="8"/>
    </row>
    <row r="583" spans="1:13" x14ac:dyDescent="0.25">
      <c r="A583" s="71" t="s">
        <v>4313</v>
      </c>
      <c r="B583" s="67">
        <v>47110994848</v>
      </c>
      <c r="C583" s="71" t="s">
        <v>4314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4315</v>
      </c>
      <c r="B584" s="67">
        <v>39353276845</v>
      </c>
      <c r="C584" s="72" t="s">
        <v>4316</v>
      </c>
      <c r="D584" s="69">
        <v>33343612847</v>
      </c>
      <c r="E584" s="9">
        <v>1417</v>
      </c>
      <c r="F584" s="25">
        <v>43017</v>
      </c>
      <c r="G584" s="70" t="s">
        <v>3402</v>
      </c>
      <c r="H584" s="9"/>
      <c r="I584" s="8"/>
      <c r="J584" s="8"/>
      <c r="K584" s="8"/>
      <c r="L584" s="9" t="s">
        <v>3630</v>
      </c>
      <c r="M584" s="8"/>
    </row>
    <row r="585" spans="1:13" x14ac:dyDescent="0.25">
      <c r="A585" s="13" t="s">
        <v>4317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3396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4318</v>
      </c>
      <c r="B586" s="67">
        <v>39937482801</v>
      </c>
      <c r="C586" s="68" t="s">
        <v>4319</v>
      </c>
      <c r="D586" s="69">
        <v>36243454860</v>
      </c>
      <c r="E586" s="9">
        <v>1128</v>
      </c>
      <c r="F586" s="25">
        <v>42972</v>
      </c>
      <c r="G586" s="70" t="s">
        <v>3396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4320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3396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4321</v>
      </c>
      <c r="B588" s="67">
        <v>4090078466</v>
      </c>
      <c r="C588" s="72" t="s">
        <v>4322</v>
      </c>
      <c r="D588" s="69">
        <v>31135278806</v>
      </c>
      <c r="E588" s="9">
        <v>1555</v>
      </c>
      <c r="F588" s="25">
        <v>43049</v>
      </c>
      <c r="G588" s="70" t="s">
        <v>3402</v>
      </c>
      <c r="H588" s="9"/>
      <c r="I588" s="8"/>
      <c r="J588" s="8"/>
      <c r="K588" s="8"/>
      <c r="L588" s="9" t="s">
        <v>3775</v>
      </c>
      <c r="M588" s="8"/>
    </row>
    <row r="589" spans="1:13" x14ac:dyDescent="0.25">
      <c r="A589" s="72" t="s">
        <v>4323</v>
      </c>
      <c r="B589" s="67">
        <v>22857706855</v>
      </c>
      <c r="C589" s="72" t="s">
        <v>4324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4325</v>
      </c>
      <c r="B590" s="67">
        <v>30278629873</v>
      </c>
      <c r="C590" s="72" t="s">
        <v>4326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4327</v>
      </c>
      <c r="B591" s="67"/>
      <c r="C591" s="29" t="s">
        <v>4328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4329</v>
      </c>
      <c r="B592" s="67">
        <v>35569130896</v>
      </c>
      <c r="C592" s="72" t="s">
        <v>4330</v>
      </c>
      <c r="D592" s="69">
        <v>34252178878</v>
      </c>
      <c r="E592" s="9">
        <v>262</v>
      </c>
      <c r="F592" s="25">
        <v>43160</v>
      </c>
      <c r="G592" s="9" t="s">
        <v>3396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4331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3396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4332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3396</v>
      </c>
      <c r="H594" s="9"/>
      <c r="I594" s="8"/>
      <c r="J594" s="8"/>
      <c r="K594" s="8"/>
      <c r="L594" s="9" t="s">
        <v>3775</v>
      </c>
      <c r="M594" s="8"/>
    </row>
    <row r="595" spans="1:13" x14ac:dyDescent="0.25">
      <c r="A595" s="72" t="s">
        <v>4333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4334</v>
      </c>
      <c r="B596" s="67">
        <v>5704186580</v>
      </c>
      <c r="C596" s="72" t="s">
        <v>4335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4336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3396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4337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3396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4338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4339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3396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4340</v>
      </c>
      <c r="B601" s="67">
        <v>38453816808</v>
      </c>
      <c r="C601" s="72" t="s">
        <v>4341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4342</v>
      </c>
      <c r="B602" s="67">
        <v>46366084882</v>
      </c>
      <c r="C602" s="18" t="s">
        <v>3506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4343</v>
      </c>
      <c r="B603" s="67"/>
      <c r="C603" s="18" t="s">
        <v>3506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4344</v>
      </c>
      <c r="B604" s="67">
        <v>40415212898</v>
      </c>
      <c r="C604" s="72" t="s">
        <v>4345</v>
      </c>
      <c r="D604" s="69">
        <v>35522659882</v>
      </c>
      <c r="E604" s="9">
        <v>262</v>
      </c>
      <c r="F604" s="25">
        <v>43160</v>
      </c>
      <c r="G604" s="70" t="s">
        <v>3396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4346</v>
      </c>
      <c r="B605" s="67">
        <v>41957432810</v>
      </c>
      <c r="C605" s="72" t="s">
        <v>4347</v>
      </c>
      <c r="D605" s="69">
        <v>22992085855</v>
      </c>
      <c r="E605" s="9">
        <v>1824</v>
      </c>
      <c r="F605" s="25">
        <v>43091</v>
      </c>
      <c r="G605" s="70" t="s">
        <v>3396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4348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3396</v>
      </c>
      <c r="H606" s="9"/>
      <c r="I606" s="8"/>
      <c r="J606" s="8"/>
      <c r="K606" s="8"/>
      <c r="L606" s="9" t="s">
        <v>3547</v>
      </c>
      <c r="M606" s="8"/>
    </row>
    <row r="607" spans="1:13" x14ac:dyDescent="0.25">
      <c r="A607" s="15" t="s">
        <v>4349</v>
      </c>
      <c r="B607" s="67">
        <v>36252717886</v>
      </c>
      <c r="C607" s="72" t="s">
        <v>4350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4351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3396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4352</v>
      </c>
      <c r="B609" s="67">
        <v>23436019844</v>
      </c>
      <c r="C609" s="72" t="s">
        <v>4353</v>
      </c>
      <c r="D609" s="69">
        <v>35927095852</v>
      </c>
      <c r="E609" s="9">
        <v>810</v>
      </c>
      <c r="F609" s="25">
        <v>42915</v>
      </c>
      <c r="G609" s="70" t="s">
        <v>3396</v>
      </c>
      <c r="H609" s="9"/>
      <c r="I609" s="8"/>
      <c r="J609" s="8"/>
      <c r="K609" s="8"/>
      <c r="L609" s="9" t="s">
        <v>3515</v>
      </c>
      <c r="M609" s="8"/>
    </row>
    <row r="610" spans="1:13" x14ac:dyDescent="0.25">
      <c r="A610" s="71" t="s">
        <v>4354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3396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4355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3396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4356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3396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4357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4358</v>
      </c>
      <c r="B614" s="67">
        <v>32114645819</v>
      </c>
      <c r="C614" s="72" t="s">
        <v>4359</v>
      </c>
      <c r="D614" s="69">
        <v>33183764857</v>
      </c>
      <c r="E614" s="9">
        <v>810</v>
      </c>
      <c r="F614" s="25">
        <v>42915</v>
      </c>
      <c r="G614" s="70" t="s">
        <v>3396</v>
      </c>
      <c r="H614" s="9"/>
      <c r="I614" s="8"/>
      <c r="J614" s="8"/>
      <c r="K614" s="8"/>
      <c r="L614" s="9" t="s">
        <v>3515</v>
      </c>
      <c r="M614" s="8"/>
    </row>
    <row r="615" spans="1:13" x14ac:dyDescent="0.25">
      <c r="A615" s="29" t="s">
        <v>4360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4361</v>
      </c>
      <c r="B616" s="67">
        <v>4836720508</v>
      </c>
      <c r="C616" s="18" t="s">
        <v>4362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4363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3396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4364</v>
      </c>
      <c r="B618" s="67">
        <v>42187654800</v>
      </c>
      <c r="C618" s="29" t="s">
        <v>4365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4366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3396</v>
      </c>
      <c r="H619" s="9"/>
      <c r="I619" s="8"/>
      <c r="J619" s="8"/>
      <c r="K619" s="8"/>
      <c r="L619" s="9" t="s">
        <v>3878</v>
      </c>
      <c r="M619" s="8"/>
    </row>
    <row r="620" spans="1:13" x14ac:dyDescent="0.25">
      <c r="A620" s="71" t="s">
        <v>4367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4368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4369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4370</v>
      </c>
      <c r="B623" s="67">
        <v>1283631504</v>
      </c>
      <c r="C623" s="72" t="s">
        <v>4371</v>
      </c>
      <c r="D623" s="69">
        <v>62180886349</v>
      </c>
      <c r="E623" s="9">
        <v>1824</v>
      </c>
      <c r="F623" s="25">
        <v>43091</v>
      </c>
      <c r="G623" s="70" t="s">
        <v>3396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4372</v>
      </c>
      <c r="B624" s="67">
        <v>5389709527</v>
      </c>
      <c r="C624" s="86" t="s">
        <v>4373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4374</v>
      </c>
      <c r="B625" s="67">
        <v>1262412528</v>
      </c>
      <c r="C625" s="68" t="s">
        <v>4375</v>
      </c>
      <c r="D625" s="69">
        <v>3045815502</v>
      </c>
      <c r="E625" s="9">
        <v>1241</v>
      </c>
      <c r="F625" s="25">
        <v>42992</v>
      </c>
      <c r="G625" s="70" t="s">
        <v>3396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4376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3676</v>
      </c>
      <c r="M626" s="8"/>
    </row>
    <row r="627" spans="1:13" x14ac:dyDescent="0.25">
      <c r="A627" s="71" t="s">
        <v>4377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3601</v>
      </c>
      <c r="B628" s="67">
        <v>9704111460</v>
      </c>
      <c r="C628" s="72" t="s">
        <v>4378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4379</v>
      </c>
      <c r="B629" s="67">
        <v>41653576855</v>
      </c>
      <c r="C629" s="72" t="s">
        <v>4380</v>
      </c>
      <c r="D629" s="69">
        <v>33219880894</v>
      </c>
      <c r="E629" s="9">
        <v>1439</v>
      </c>
      <c r="F629" s="25">
        <v>43025</v>
      </c>
      <c r="G629" s="70" t="s">
        <v>3396</v>
      </c>
      <c r="H629" s="9"/>
      <c r="I629" s="8"/>
      <c r="J629" s="8"/>
      <c r="K629" s="8"/>
      <c r="L629" s="9" t="s">
        <v>3878</v>
      </c>
      <c r="M629" s="8"/>
    </row>
    <row r="630" spans="1:13" x14ac:dyDescent="0.25">
      <c r="A630" s="71" t="s">
        <v>4381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3396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4382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3396</v>
      </c>
      <c r="H631" s="9"/>
      <c r="I631" s="8"/>
      <c r="J631" s="8"/>
      <c r="K631" s="8"/>
      <c r="L631" s="9" t="s">
        <v>3515</v>
      </c>
      <c r="M631" s="8"/>
    </row>
    <row r="632" spans="1:13" x14ac:dyDescent="0.25">
      <c r="A632" s="29" t="s">
        <v>4383</v>
      </c>
      <c r="B632" s="67">
        <v>29065742875</v>
      </c>
      <c r="C632" s="29" t="s">
        <v>4384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4385</v>
      </c>
      <c r="B633" s="67">
        <v>39491305867</v>
      </c>
      <c r="C633" s="72" t="s">
        <v>4386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4387</v>
      </c>
      <c r="B634" s="67">
        <v>35049140846</v>
      </c>
      <c r="C634" s="18" t="s">
        <v>4388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4389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3396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4390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3676</v>
      </c>
      <c r="M636" s="8"/>
    </row>
    <row r="637" spans="1:13" x14ac:dyDescent="0.25">
      <c r="A637" s="71" t="s">
        <v>4391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3396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4392</v>
      </c>
      <c r="B638" s="67"/>
      <c r="C638" s="18" t="s">
        <v>4393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4394</v>
      </c>
      <c r="B639" s="67">
        <v>198674503</v>
      </c>
      <c r="C639" s="18" t="s">
        <v>4395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4396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4397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4398</v>
      </c>
      <c r="B642" s="67">
        <v>28074733858</v>
      </c>
      <c r="C642" s="72" t="s">
        <v>4399</v>
      </c>
      <c r="D642" s="69">
        <v>18033766867</v>
      </c>
      <c r="E642" s="9">
        <v>810</v>
      </c>
      <c r="F642" s="25">
        <v>42915</v>
      </c>
      <c r="G642" s="70" t="s">
        <v>3396</v>
      </c>
      <c r="H642" s="9"/>
      <c r="I642" s="8"/>
      <c r="J642" s="8"/>
      <c r="K642" s="8"/>
      <c r="L642" s="9" t="s">
        <v>3515</v>
      </c>
      <c r="M642" s="8"/>
    </row>
    <row r="643" spans="1:13" x14ac:dyDescent="0.25">
      <c r="A643" s="71" t="s">
        <v>4400</v>
      </c>
      <c r="B643" s="67">
        <v>41583475800</v>
      </c>
      <c r="C643" s="72" t="s">
        <v>4401</v>
      </c>
      <c r="D643" s="69">
        <v>47688665817</v>
      </c>
      <c r="E643" s="9">
        <v>810</v>
      </c>
      <c r="F643" s="25">
        <v>42915</v>
      </c>
      <c r="G643" s="70" t="s">
        <v>3396</v>
      </c>
      <c r="H643" s="9"/>
      <c r="I643" s="8"/>
      <c r="J643" s="8"/>
      <c r="K643" s="8"/>
      <c r="L643" s="9" t="s">
        <v>3515</v>
      </c>
      <c r="M643" s="8"/>
    </row>
    <row r="644" spans="1:13" x14ac:dyDescent="0.25">
      <c r="A644" s="71" t="s">
        <v>4402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3396</v>
      </c>
      <c r="H644" s="9"/>
      <c r="I644" s="8"/>
      <c r="J644" s="8"/>
      <c r="K644" s="8"/>
      <c r="L644" s="9" t="s">
        <v>3515</v>
      </c>
      <c r="M644" s="8"/>
    </row>
    <row r="645" spans="1:13" x14ac:dyDescent="0.25">
      <c r="A645" s="13" t="s">
        <v>4403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3396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4404</v>
      </c>
      <c r="B646" s="67"/>
      <c r="C646" s="18" t="s">
        <v>3506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4405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3396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4406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3396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4407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4408</v>
      </c>
      <c r="B650" s="67">
        <v>80234836334</v>
      </c>
      <c r="C650" s="72" t="s">
        <v>4409</v>
      </c>
      <c r="D650" s="69">
        <v>22522250841</v>
      </c>
      <c r="E650" s="9">
        <v>1267</v>
      </c>
      <c r="F650" s="25">
        <v>42998</v>
      </c>
      <c r="G650" s="70" t="s">
        <v>3396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4410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3396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4411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3396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4412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4413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3396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4414</v>
      </c>
      <c r="B655" s="67">
        <v>7385460895</v>
      </c>
      <c r="C655" s="72" t="s">
        <v>4415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4416</v>
      </c>
      <c r="B656" s="67">
        <v>31828009814</v>
      </c>
      <c r="C656" s="18" t="s">
        <v>4417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4418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3396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4419</v>
      </c>
      <c r="B658" s="67">
        <v>15090098840</v>
      </c>
      <c r="C658" s="72" t="s">
        <v>4420</v>
      </c>
      <c r="D658" s="69">
        <v>3376233845</v>
      </c>
      <c r="E658" s="9">
        <v>1752</v>
      </c>
      <c r="F658" s="25">
        <v>43051</v>
      </c>
      <c r="G658" s="70" t="s">
        <v>3396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4421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3396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4422</v>
      </c>
      <c r="B660" s="67">
        <v>30652965865</v>
      </c>
      <c r="C660" s="72" t="s">
        <v>4423</v>
      </c>
      <c r="D660" s="69">
        <v>23330127813</v>
      </c>
      <c r="E660" s="9">
        <v>1214</v>
      </c>
      <c r="F660" s="25">
        <v>42989</v>
      </c>
      <c r="G660" s="70" t="s">
        <v>3396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4424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3396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4425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4426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3396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4427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3676</v>
      </c>
      <c r="M664" s="8"/>
    </row>
    <row r="665" spans="1:13" x14ac:dyDescent="0.25">
      <c r="A665" s="71" t="s">
        <v>4428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3396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4429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3396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4430</v>
      </c>
      <c r="B667" s="67">
        <v>39898491825</v>
      </c>
      <c r="C667" s="72" t="s">
        <v>4431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4432</v>
      </c>
      <c r="B668" s="67">
        <v>96629428587</v>
      </c>
      <c r="C668" s="29" t="s">
        <v>4433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4434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3396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4435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3396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4436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4437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3396</v>
      </c>
      <c r="H672" s="9"/>
      <c r="I672" s="8"/>
      <c r="J672" s="8"/>
      <c r="K672" s="8"/>
      <c r="L672" s="9" t="s">
        <v>3630</v>
      </c>
      <c r="M672" s="8"/>
    </row>
    <row r="673" spans="1:13" x14ac:dyDescent="0.25">
      <c r="A673" s="71" t="s">
        <v>4438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3396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4439</v>
      </c>
      <c r="B674" s="67">
        <v>11438313810</v>
      </c>
      <c r="C674" s="72" t="s">
        <v>4440</v>
      </c>
      <c r="D674" s="69">
        <v>11400812844</v>
      </c>
      <c r="E674" s="9">
        <v>292</v>
      </c>
      <c r="F674" s="25">
        <v>43168</v>
      </c>
      <c r="G674" s="70" t="s">
        <v>3396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4441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4442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3396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4443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3396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4444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4445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4446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3396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4447</v>
      </c>
      <c r="B681" s="34">
        <v>31970473894</v>
      </c>
      <c r="C681" s="17" t="s">
        <v>4448</v>
      </c>
      <c r="D681" s="35">
        <v>22945039885</v>
      </c>
      <c r="E681" s="36">
        <v>1128</v>
      </c>
      <c r="F681" s="37">
        <v>42972</v>
      </c>
      <c r="G681" s="38" t="s">
        <v>3396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4449</v>
      </c>
      <c r="B682" s="67">
        <v>29486419850</v>
      </c>
      <c r="C682" s="72" t="s">
        <v>4450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4451</v>
      </c>
      <c r="B683" s="67">
        <v>73699993272</v>
      </c>
      <c r="C683" s="72" t="s">
        <v>4452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4453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3396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4454</v>
      </c>
      <c r="B685" s="67">
        <v>34833459817</v>
      </c>
      <c r="C685" s="68" t="s">
        <v>4455</v>
      </c>
      <c r="D685" s="69">
        <v>32077064870</v>
      </c>
      <c r="E685" s="9">
        <v>1128</v>
      </c>
      <c r="F685" s="25">
        <v>42972</v>
      </c>
      <c r="G685" s="70" t="s">
        <v>3396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4456</v>
      </c>
      <c r="B686" s="67">
        <v>15203953880</v>
      </c>
      <c r="C686" s="72" t="s">
        <v>4457</v>
      </c>
      <c r="D686" s="69">
        <v>16339364810</v>
      </c>
      <c r="E686" s="9">
        <v>229</v>
      </c>
      <c r="F686" s="25">
        <v>43151</v>
      </c>
      <c r="G686" s="70" t="s">
        <v>3402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4458</v>
      </c>
      <c r="B687" s="67">
        <v>23891239882</v>
      </c>
      <c r="C687" s="72" t="s">
        <v>4459</v>
      </c>
      <c r="D687" s="69">
        <v>22474449892</v>
      </c>
      <c r="E687" s="9">
        <v>1555</v>
      </c>
      <c r="F687" s="25">
        <v>43049</v>
      </c>
      <c r="G687" s="70" t="s">
        <v>3396</v>
      </c>
      <c r="H687" s="9"/>
      <c r="I687" s="8"/>
      <c r="J687" s="8"/>
      <c r="K687" s="8"/>
      <c r="L687" s="9" t="s">
        <v>3775</v>
      </c>
      <c r="M687" s="8"/>
    </row>
    <row r="688" spans="1:13" x14ac:dyDescent="0.25">
      <c r="A688" s="15" t="s">
        <v>4460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3396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4461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3396</v>
      </c>
      <c r="H689" s="9"/>
      <c r="I689" s="8"/>
      <c r="J689" s="8"/>
      <c r="K689" s="8"/>
      <c r="L689" s="9" t="s">
        <v>3515</v>
      </c>
      <c r="M689" s="8"/>
    </row>
    <row r="690" spans="1:13" x14ac:dyDescent="0.25">
      <c r="A690" s="72" t="s">
        <v>4462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3676</v>
      </c>
      <c r="M690" s="8"/>
    </row>
    <row r="691" spans="1:13" x14ac:dyDescent="0.25">
      <c r="A691" s="13" t="s">
        <v>4463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3396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4464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4465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3396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4466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4467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3396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4468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3402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4469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3396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4470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3396</v>
      </c>
      <c r="H698" s="9"/>
      <c r="I698" s="8"/>
      <c r="J698" s="8"/>
      <c r="K698" s="8"/>
      <c r="L698" s="9" t="s">
        <v>3515</v>
      </c>
      <c r="M698" s="8"/>
    </row>
    <row r="699" spans="1:13" x14ac:dyDescent="0.25">
      <c r="A699" s="71" t="s">
        <v>4471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4472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3396</v>
      </c>
      <c r="H700" s="9"/>
      <c r="I700" s="8"/>
      <c r="J700" s="8"/>
      <c r="K700" s="8"/>
      <c r="L700" s="9" t="s">
        <v>3537</v>
      </c>
      <c r="M700" s="8"/>
    </row>
    <row r="701" spans="1:13" x14ac:dyDescent="0.25">
      <c r="A701" s="71" t="s">
        <v>4473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4474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4475</v>
      </c>
      <c r="B703" s="67">
        <v>25698933820</v>
      </c>
      <c r="C703" s="72" t="s">
        <v>4476</v>
      </c>
      <c r="D703" s="69">
        <v>14047433837</v>
      </c>
      <c r="E703" s="9">
        <v>810</v>
      </c>
      <c r="F703" s="25">
        <v>42915</v>
      </c>
      <c r="G703" s="70" t="s">
        <v>3396</v>
      </c>
      <c r="H703" s="76">
        <v>43213</v>
      </c>
      <c r="I703" s="8"/>
      <c r="J703" s="8"/>
      <c r="K703" s="8"/>
      <c r="L703" s="9" t="s">
        <v>3515</v>
      </c>
      <c r="M703" s="8"/>
    </row>
    <row r="704" spans="1:13" x14ac:dyDescent="0.25">
      <c r="A704" s="71" t="s">
        <v>4477</v>
      </c>
      <c r="B704" s="67">
        <v>34806644315</v>
      </c>
      <c r="C704" s="72" t="s">
        <v>4478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4479</v>
      </c>
      <c r="B705" s="67">
        <v>33189488886</v>
      </c>
      <c r="C705" s="72" t="s">
        <v>4480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4481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3396</v>
      </c>
      <c r="H706" s="76">
        <v>43213</v>
      </c>
      <c r="I706" s="8"/>
      <c r="J706" s="8"/>
      <c r="K706" s="8"/>
      <c r="L706" s="9" t="s">
        <v>3515</v>
      </c>
      <c r="M706" s="8"/>
    </row>
    <row r="707" spans="1:13" x14ac:dyDescent="0.25">
      <c r="A707" s="71" t="s">
        <v>4482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3396</v>
      </c>
      <c r="H707" s="76">
        <v>43213</v>
      </c>
      <c r="I707" s="8"/>
      <c r="J707" s="8"/>
      <c r="K707" s="8"/>
      <c r="L707" s="9" t="s">
        <v>3775</v>
      </c>
      <c r="M707" s="8"/>
    </row>
    <row r="708" spans="1:13" x14ac:dyDescent="0.25">
      <c r="A708" s="13" t="s">
        <v>4483</v>
      </c>
      <c r="B708" s="67">
        <v>28390636549</v>
      </c>
      <c r="C708" s="72" t="s">
        <v>4484</v>
      </c>
      <c r="D708" s="69">
        <v>49042904534</v>
      </c>
      <c r="E708" s="9">
        <v>1343</v>
      </c>
      <c r="F708" s="25">
        <v>43004</v>
      </c>
      <c r="G708" s="70" t="s">
        <v>3396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4485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4486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3396</v>
      </c>
      <c r="H710" s="76">
        <v>43213</v>
      </c>
      <c r="I710" s="8"/>
      <c r="J710" s="8"/>
      <c r="K710" s="8"/>
      <c r="L710" s="9" t="s">
        <v>3515</v>
      </c>
      <c r="M710" s="8"/>
    </row>
    <row r="711" spans="1:13" x14ac:dyDescent="0.25">
      <c r="A711" s="71" t="s">
        <v>4487</v>
      </c>
      <c r="B711" s="67">
        <v>27863123534</v>
      </c>
      <c r="C711" s="72" t="s">
        <v>4488</v>
      </c>
      <c r="D711" s="69">
        <v>33480142800</v>
      </c>
      <c r="E711" s="9">
        <v>1214</v>
      </c>
      <c r="F711" s="25">
        <v>42989</v>
      </c>
      <c r="G711" s="70" t="s">
        <v>3396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4489</v>
      </c>
      <c r="B712" s="67">
        <v>39454972804</v>
      </c>
      <c r="C712" s="72" t="s">
        <v>4490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4491</v>
      </c>
      <c r="B713" s="67"/>
      <c r="C713" s="29" t="s">
        <v>4492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4493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3396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4494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3396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4495</v>
      </c>
      <c r="B716" s="67">
        <v>17810014803</v>
      </c>
      <c r="C716" s="72" t="s">
        <v>4496</v>
      </c>
      <c r="D716" s="69">
        <v>28934526807</v>
      </c>
      <c r="E716" s="9">
        <v>292</v>
      </c>
      <c r="F716" s="25">
        <v>43168</v>
      </c>
      <c r="G716" s="9" t="s">
        <v>3396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4497</v>
      </c>
      <c r="B717" s="67">
        <v>724258574</v>
      </c>
      <c r="C717" s="72" t="s">
        <v>4498</v>
      </c>
      <c r="D717" s="69">
        <v>18303361856</v>
      </c>
      <c r="E717" s="9">
        <v>262</v>
      </c>
      <c r="F717" s="25">
        <v>43160</v>
      </c>
      <c r="G717" s="70" t="s">
        <v>3396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4499</v>
      </c>
      <c r="B718" s="67">
        <v>37453999863</v>
      </c>
      <c r="C718" s="72" t="s">
        <v>1091</v>
      </c>
      <c r="D718" s="69"/>
      <c r="E718" s="9">
        <v>1241</v>
      </c>
      <c r="F718" s="25">
        <v>42992</v>
      </c>
      <c r="G718" s="70" t="s">
        <v>3396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4500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4501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3396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4502</v>
      </c>
      <c r="B721" s="67">
        <v>30308539850</v>
      </c>
      <c r="C721" s="72" t="s">
        <v>4503</v>
      </c>
      <c r="D721" s="69">
        <v>84739517434</v>
      </c>
      <c r="E721" s="9">
        <v>810</v>
      </c>
      <c r="F721" s="25">
        <v>42915</v>
      </c>
      <c r="G721" s="70" t="s">
        <v>3396</v>
      </c>
      <c r="H721" s="9"/>
      <c r="I721" s="8"/>
      <c r="J721" s="8"/>
      <c r="K721" s="8"/>
      <c r="L721" s="9" t="s">
        <v>3515</v>
      </c>
      <c r="M721" s="8"/>
    </row>
    <row r="722" spans="1:13" x14ac:dyDescent="0.25">
      <c r="A722" s="71" t="s">
        <v>4504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4505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4506</v>
      </c>
      <c r="B724" s="67">
        <v>21716687845</v>
      </c>
      <c r="C724" s="15" t="s">
        <v>4507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4508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3396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4509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3396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4510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3396</v>
      </c>
      <c r="H727" s="9"/>
      <c r="I727" s="8"/>
      <c r="J727" s="8"/>
      <c r="K727" s="8"/>
      <c r="L727" s="9" t="s">
        <v>3630</v>
      </c>
      <c r="M727" s="8"/>
    </row>
    <row r="728" spans="1:13" x14ac:dyDescent="0.25">
      <c r="A728" s="14" t="s">
        <v>4511</v>
      </c>
      <c r="B728" s="67">
        <v>99658925553</v>
      </c>
      <c r="C728" s="72" t="s">
        <v>4512</v>
      </c>
      <c r="D728" s="69">
        <v>99610108504</v>
      </c>
      <c r="E728" s="9">
        <v>262</v>
      </c>
      <c r="F728" s="25">
        <v>43160</v>
      </c>
      <c r="G728" s="70" t="s">
        <v>3396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4513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3396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4514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3396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4515</v>
      </c>
      <c r="B731" s="67"/>
      <c r="C731" s="18" t="s">
        <v>3506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4516</v>
      </c>
      <c r="B732" s="67">
        <v>25905224870</v>
      </c>
      <c r="C732" s="68" t="s">
        <v>4517</v>
      </c>
      <c r="D732" s="69">
        <v>36185256304</v>
      </c>
      <c r="E732" s="9">
        <v>1824</v>
      </c>
      <c r="F732" s="25">
        <v>43091</v>
      </c>
      <c r="G732" s="70" t="s">
        <v>3396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4518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3396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4519</v>
      </c>
      <c r="B734" s="67">
        <v>33160363856</v>
      </c>
      <c r="C734" s="72" t="s">
        <v>4520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4521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3396</v>
      </c>
      <c r="H735" s="9"/>
      <c r="I735" s="8"/>
      <c r="J735" s="8"/>
      <c r="K735" s="8"/>
      <c r="L735" s="9" t="s">
        <v>3630</v>
      </c>
      <c r="M735" s="8"/>
    </row>
    <row r="736" spans="1:13" x14ac:dyDescent="0.25">
      <c r="A736" s="15" t="s">
        <v>4522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3396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4523</v>
      </c>
      <c r="B737" s="67">
        <v>71752722434</v>
      </c>
      <c r="C737" s="18" t="s">
        <v>3506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4524</v>
      </c>
      <c r="B738" s="67">
        <v>8590565890</v>
      </c>
      <c r="C738" s="72" t="s">
        <v>4525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3676</v>
      </c>
      <c r="M738" s="8"/>
    </row>
    <row r="739" spans="1:13" x14ac:dyDescent="0.25">
      <c r="A739" s="71" t="s">
        <v>4526</v>
      </c>
      <c r="B739" s="67">
        <v>35556660883</v>
      </c>
      <c r="C739" s="72" t="s">
        <v>4527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4528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4529</v>
      </c>
      <c r="B741" s="67">
        <v>25905305870</v>
      </c>
      <c r="C741" s="72" t="s">
        <v>4530</v>
      </c>
      <c r="D741" s="69">
        <v>11480794830</v>
      </c>
      <c r="E741" s="9">
        <v>1267</v>
      </c>
      <c r="F741" s="25">
        <v>42998</v>
      </c>
      <c r="G741" s="70" t="s">
        <v>3396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4531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4532</v>
      </c>
      <c r="B743" s="67">
        <v>18360141800</v>
      </c>
      <c r="C743" s="72" t="s">
        <v>4533</v>
      </c>
      <c r="D743" s="69">
        <v>48201979591</v>
      </c>
      <c r="E743" s="9">
        <v>117</v>
      </c>
      <c r="F743" s="25">
        <v>43117</v>
      </c>
      <c r="G743" s="70" t="s">
        <v>3396</v>
      </c>
      <c r="H743" s="9"/>
      <c r="I743" s="8"/>
      <c r="J743" s="8"/>
      <c r="K743" s="8"/>
      <c r="L743" s="9" t="s">
        <v>3547</v>
      </c>
      <c r="M743" s="8"/>
    </row>
    <row r="744" spans="1:13" x14ac:dyDescent="0.25">
      <c r="A744" s="15" t="s">
        <v>4534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3547</v>
      </c>
      <c r="M744" s="8"/>
    </row>
    <row r="745" spans="1:13" x14ac:dyDescent="0.25">
      <c r="A745" s="71" t="s">
        <v>4535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4536</v>
      </c>
      <c r="B746" s="67">
        <v>36613647829</v>
      </c>
      <c r="C746" s="72" t="s">
        <v>4537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4538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3396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4539</v>
      </c>
      <c r="B748" s="67">
        <v>25332480881</v>
      </c>
      <c r="C748" s="18" t="s">
        <v>3506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4540</v>
      </c>
      <c r="B749" s="67">
        <v>16365042809</v>
      </c>
      <c r="C749" s="72" t="s">
        <v>4541</v>
      </c>
      <c r="D749" s="69">
        <v>26488933850</v>
      </c>
      <c r="E749" s="9">
        <v>117</v>
      </c>
      <c r="F749" s="25">
        <v>43117</v>
      </c>
      <c r="G749" s="70" t="s">
        <v>3396</v>
      </c>
      <c r="H749" s="25">
        <v>43151</v>
      </c>
      <c r="I749" s="8"/>
      <c r="J749" s="8"/>
      <c r="K749" s="8"/>
      <c r="L749" s="9" t="s">
        <v>3547</v>
      </c>
      <c r="M749" s="8"/>
    </row>
    <row r="750" spans="1:13" x14ac:dyDescent="0.25">
      <c r="A750" s="15" t="s">
        <v>4542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3396</v>
      </c>
      <c r="H750" s="25">
        <v>43151</v>
      </c>
      <c r="I750" s="8"/>
      <c r="J750" s="8"/>
      <c r="K750" s="8"/>
      <c r="L750" s="9" t="s">
        <v>3547</v>
      </c>
      <c r="M750" s="8"/>
    </row>
    <row r="751" spans="1:13" x14ac:dyDescent="0.25">
      <c r="A751" s="71" t="s">
        <v>4543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4544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3402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4545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3396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4546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3396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4547</v>
      </c>
      <c r="B755" s="67"/>
      <c r="C755" s="18" t="s">
        <v>3506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4548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4549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3396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4550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4551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3515</v>
      </c>
      <c r="M759" s="8"/>
    </row>
    <row r="760" spans="1:13" x14ac:dyDescent="0.25">
      <c r="A760" s="71" t="s">
        <v>4552</v>
      </c>
      <c r="B760" s="67">
        <v>41756319847</v>
      </c>
      <c r="C760" s="72" t="s">
        <v>4553</v>
      </c>
      <c r="D760" s="69">
        <v>28780799817</v>
      </c>
      <c r="E760" s="9">
        <v>1489</v>
      </c>
      <c r="F760" s="25">
        <v>43038</v>
      </c>
      <c r="G760" s="70" t="s">
        <v>3410</v>
      </c>
      <c r="H760" s="9"/>
      <c r="I760" s="8"/>
      <c r="J760" s="8"/>
      <c r="K760" s="8"/>
      <c r="L760" s="9" t="s">
        <v>3537</v>
      </c>
      <c r="M760" s="8"/>
    </row>
    <row r="761" spans="1:13" x14ac:dyDescent="0.25">
      <c r="A761" s="71" t="s">
        <v>4554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3396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4555</v>
      </c>
      <c r="B762" s="67"/>
      <c r="C762" s="29" t="s">
        <v>3506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4556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4557</v>
      </c>
      <c r="B764" s="67">
        <v>39762019873</v>
      </c>
      <c r="C764" s="68" t="s">
        <v>4558</v>
      </c>
      <c r="D764" s="69">
        <v>28639452890</v>
      </c>
      <c r="E764" s="9">
        <v>1128</v>
      </c>
      <c r="F764" s="25">
        <v>42972</v>
      </c>
      <c r="G764" s="70" t="s">
        <v>3396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4559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3396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4560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4561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3396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4562</v>
      </c>
      <c r="B768" s="67">
        <v>21914504828</v>
      </c>
      <c r="C768" s="72" t="s">
        <v>4563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4564</v>
      </c>
      <c r="B769" s="67">
        <v>11259745830</v>
      </c>
      <c r="C769" s="72" t="s">
        <v>4565</v>
      </c>
      <c r="D769" s="69">
        <v>49121901368</v>
      </c>
      <c r="E769" s="9">
        <v>262</v>
      </c>
      <c r="F769" s="25">
        <v>43160</v>
      </c>
      <c r="G769" s="70" t="s">
        <v>3396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4566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3396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4567</v>
      </c>
      <c r="B771" s="67">
        <v>22547591839</v>
      </c>
      <c r="C771" s="72" t="s">
        <v>4568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4569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4570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4571</v>
      </c>
      <c r="B774" s="67">
        <v>9881940400</v>
      </c>
      <c r="C774" s="72" t="s">
        <v>4572</v>
      </c>
      <c r="D774" s="69">
        <v>1778905501</v>
      </c>
      <c r="E774" s="9">
        <v>262</v>
      </c>
      <c r="F774" s="25">
        <v>43160</v>
      </c>
      <c r="G774" s="70" t="s">
        <v>3402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4573</v>
      </c>
      <c r="B775" s="67">
        <v>18240627889</v>
      </c>
      <c r="C775" s="77" t="s">
        <v>4574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4575</v>
      </c>
      <c r="B776" s="67">
        <v>34715955890</v>
      </c>
      <c r="C776" s="72" t="s">
        <v>4576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4577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3396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4578</v>
      </c>
      <c r="B778" s="67">
        <v>2413902490</v>
      </c>
      <c r="C778" s="77" t="s">
        <v>4579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4580</v>
      </c>
      <c r="B779" s="67">
        <v>30558706894</v>
      </c>
      <c r="C779" s="72" t="s">
        <v>4581</v>
      </c>
      <c r="D779" s="69">
        <v>87700352372</v>
      </c>
      <c r="E779" s="9">
        <v>810</v>
      </c>
      <c r="F779" s="25">
        <v>42915</v>
      </c>
      <c r="G779" s="70" t="s">
        <v>3396</v>
      </c>
      <c r="H779" s="9"/>
      <c r="I779" s="8"/>
      <c r="J779" s="8"/>
      <c r="K779" s="8"/>
      <c r="L779" s="9" t="s">
        <v>3515</v>
      </c>
      <c r="M779" s="8"/>
    </row>
    <row r="780" spans="1:13" x14ac:dyDescent="0.25">
      <c r="A780" s="71" t="s">
        <v>4582</v>
      </c>
      <c r="B780" s="67">
        <v>27926471836</v>
      </c>
      <c r="C780" s="72" t="s">
        <v>4583</v>
      </c>
      <c r="D780" s="69">
        <v>2210309484</v>
      </c>
      <c r="E780" s="9">
        <v>1439</v>
      </c>
      <c r="F780" s="25">
        <v>43025</v>
      </c>
      <c r="G780" s="70" t="s">
        <v>3402</v>
      </c>
      <c r="H780" s="9"/>
      <c r="I780" s="8"/>
      <c r="J780" s="8"/>
      <c r="K780" s="8"/>
      <c r="L780" s="9" t="s">
        <v>3878</v>
      </c>
      <c r="M780" s="8"/>
    </row>
    <row r="781" spans="1:13" x14ac:dyDescent="0.25">
      <c r="A781" s="15" t="s">
        <v>4584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3396</v>
      </c>
      <c r="H781" s="9"/>
      <c r="I781" s="8"/>
      <c r="J781" s="8"/>
      <c r="K781" s="8"/>
      <c r="L781" s="9" t="s">
        <v>3547</v>
      </c>
      <c r="M781" s="8"/>
    </row>
    <row r="782" spans="1:13" x14ac:dyDescent="0.25">
      <c r="A782" s="71" t="s">
        <v>4585</v>
      </c>
      <c r="B782" s="67">
        <v>47361352391</v>
      </c>
      <c r="C782" s="72" t="s">
        <v>4586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4587</v>
      </c>
      <c r="B783" s="67">
        <v>32763223826</v>
      </c>
      <c r="C783" s="72" t="s">
        <v>4588</v>
      </c>
      <c r="D783" s="69">
        <v>27936363807</v>
      </c>
      <c r="E783" s="9">
        <v>608</v>
      </c>
      <c r="F783" s="25">
        <v>43012</v>
      </c>
      <c r="G783" s="70" t="s">
        <v>3396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4589</v>
      </c>
      <c r="B784" s="67"/>
      <c r="C784" s="18" t="s">
        <v>4590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4591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3396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4592</v>
      </c>
      <c r="B786" s="67">
        <v>39068600869</v>
      </c>
      <c r="C786" s="72"/>
      <c r="D786" s="69"/>
      <c r="E786" s="9"/>
      <c r="F786" s="25"/>
      <c r="G786" s="70" t="s">
        <v>3396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4593</v>
      </c>
      <c r="B787" s="67">
        <v>31875471847</v>
      </c>
      <c r="C787" s="18" t="s">
        <v>4594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4595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4596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4597</v>
      </c>
      <c r="B790" s="67">
        <v>11634805844</v>
      </c>
      <c r="C790" s="29" t="s">
        <v>3506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4598</v>
      </c>
      <c r="B791" s="67">
        <v>39485124856</v>
      </c>
      <c r="C791" s="72" t="s">
        <v>4599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4600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4601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4602</v>
      </c>
      <c r="B794" s="67">
        <v>32221516877</v>
      </c>
      <c r="C794" s="72" t="s">
        <v>4603</v>
      </c>
      <c r="D794" s="69">
        <v>18338419800</v>
      </c>
      <c r="E794" s="9">
        <v>1752</v>
      </c>
      <c r="F794" s="25">
        <v>43051</v>
      </c>
      <c r="G794" s="70" t="s">
        <v>3396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4604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4605</v>
      </c>
      <c r="B796" s="67">
        <v>43951626810</v>
      </c>
      <c r="C796" s="72" t="s">
        <v>4606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4607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4608</v>
      </c>
      <c r="B798" s="67">
        <v>40840895836</v>
      </c>
      <c r="C798" s="72" t="s">
        <v>4609</v>
      </c>
      <c r="D798" s="69">
        <v>39329913890</v>
      </c>
      <c r="E798" s="9">
        <v>1106</v>
      </c>
      <c r="F798" s="25">
        <v>42965</v>
      </c>
      <c r="G798" s="70" t="s">
        <v>3396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4610</v>
      </c>
      <c r="B799" s="67">
        <v>30969194809</v>
      </c>
      <c r="C799" s="72" t="s">
        <v>4611</v>
      </c>
      <c r="D799" s="69">
        <v>13013456876</v>
      </c>
      <c r="E799" s="9">
        <v>810</v>
      </c>
      <c r="F799" s="25">
        <v>42915</v>
      </c>
      <c r="G799" s="70" t="s">
        <v>3396</v>
      </c>
      <c r="H799" s="76">
        <v>43213</v>
      </c>
      <c r="I799" s="8"/>
      <c r="J799" s="8"/>
      <c r="K799" s="8"/>
      <c r="L799" s="9" t="s">
        <v>3515</v>
      </c>
      <c r="M799" s="8"/>
    </row>
    <row r="800" spans="1:13" x14ac:dyDescent="0.25">
      <c r="A800" s="71" t="s">
        <v>4612</v>
      </c>
      <c r="B800" s="67">
        <v>33186484855</v>
      </c>
      <c r="C800" s="77" t="s">
        <v>4613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4614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3396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4615</v>
      </c>
      <c r="B802" s="67">
        <v>27298776819</v>
      </c>
      <c r="C802" s="72" t="s">
        <v>4616</v>
      </c>
      <c r="D802" s="69">
        <v>31387900544</v>
      </c>
      <c r="E802" s="9">
        <v>229</v>
      </c>
      <c r="F802" s="25">
        <v>43151</v>
      </c>
      <c r="G802" s="70" t="s">
        <v>3396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4617</v>
      </c>
      <c r="B803" s="67">
        <v>28802120811</v>
      </c>
      <c r="C803" s="72" t="s">
        <v>4618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4619</v>
      </c>
      <c r="B804" s="67">
        <v>34581351898</v>
      </c>
      <c r="C804" s="18" t="s">
        <v>4620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4621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4622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3396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4623</v>
      </c>
      <c r="B807" s="67"/>
      <c r="C807" s="29" t="s">
        <v>3506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4624</v>
      </c>
      <c r="B808" s="67">
        <v>40324052391</v>
      </c>
      <c r="C808" s="72" t="s">
        <v>4625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4626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3396</v>
      </c>
      <c r="H809" s="9"/>
      <c r="I809" s="8"/>
      <c r="J809" s="8"/>
      <c r="K809" s="8"/>
      <c r="L809" s="9" t="s">
        <v>3515</v>
      </c>
      <c r="M809" s="8"/>
    </row>
    <row r="810" spans="1:13" x14ac:dyDescent="0.25">
      <c r="A810" s="71" t="s">
        <v>4627</v>
      </c>
      <c r="B810" s="67">
        <v>29022777847</v>
      </c>
      <c r="C810" s="72" t="s">
        <v>4628</v>
      </c>
      <c r="D810" s="69">
        <v>33430349400</v>
      </c>
      <c r="E810" s="9">
        <v>262</v>
      </c>
      <c r="F810" s="25">
        <v>43160</v>
      </c>
      <c r="G810" s="70" t="s">
        <v>3396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4629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3396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4630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4631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3396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4632</v>
      </c>
      <c r="B814" s="67">
        <v>43523026865</v>
      </c>
      <c r="C814" s="72" t="s">
        <v>4633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4634</v>
      </c>
      <c r="B815" s="67"/>
      <c r="C815" s="29" t="s">
        <v>3506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4635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3396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4636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3396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4637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3396</v>
      </c>
      <c r="H818" s="9"/>
      <c r="I818" s="8"/>
      <c r="J818" s="8"/>
      <c r="K818" s="8"/>
      <c r="L818" s="9" t="s">
        <v>3515</v>
      </c>
      <c r="M818" s="8"/>
    </row>
    <row r="819" spans="1:13" x14ac:dyDescent="0.25">
      <c r="A819" s="71" t="s">
        <v>4638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4639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4640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3396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4641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3396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4642</v>
      </c>
      <c r="B823" s="67">
        <v>5102923480</v>
      </c>
      <c r="C823" s="72" t="s">
        <v>4643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4644</v>
      </c>
      <c r="B824" s="67">
        <v>7268622406</v>
      </c>
      <c r="C824" s="72" t="s">
        <v>4645</v>
      </c>
      <c r="D824" s="69">
        <v>40507630874</v>
      </c>
      <c r="E824" s="9">
        <v>1267</v>
      </c>
      <c r="F824" s="25">
        <v>42998</v>
      </c>
      <c r="G824" s="70" t="s">
        <v>3396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4646</v>
      </c>
      <c r="B825" s="67" t="s">
        <v>4647</v>
      </c>
      <c r="C825" s="77" t="s">
        <v>4648</v>
      </c>
      <c r="D825" s="69" t="s">
        <v>4649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4650</v>
      </c>
      <c r="B826" s="67"/>
      <c r="C826" s="29" t="s">
        <v>3506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4651</v>
      </c>
      <c r="B827" s="67">
        <v>31429224827</v>
      </c>
      <c r="C827" s="72" t="s">
        <v>4652</v>
      </c>
      <c r="D827" s="69">
        <v>27263725894</v>
      </c>
      <c r="E827" s="9">
        <v>292</v>
      </c>
      <c r="F827" s="25">
        <v>43168</v>
      </c>
      <c r="G827" s="70" t="s">
        <v>3402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4653</v>
      </c>
      <c r="B828" s="67">
        <v>3753540420</v>
      </c>
      <c r="C828" s="72" t="s">
        <v>4590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4654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4655</v>
      </c>
      <c r="B830" s="67">
        <v>36723660803</v>
      </c>
      <c r="C830" s="72" t="s">
        <v>4656</v>
      </c>
      <c r="D830" s="69">
        <v>32763586899</v>
      </c>
      <c r="E830" s="9">
        <v>608</v>
      </c>
      <c r="F830" s="25">
        <v>43012</v>
      </c>
      <c r="G830" s="70" t="s">
        <v>3396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4657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3396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4658</v>
      </c>
      <c r="B832" s="67">
        <v>166405462</v>
      </c>
      <c r="C832" s="15" t="s">
        <v>4659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4660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3396</v>
      </c>
      <c r="H833" s="9"/>
      <c r="I833" s="8"/>
      <c r="J833" s="8"/>
      <c r="K833" s="8"/>
      <c r="L833" s="9" t="s">
        <v>3515</v>
      </c>
      <c r="M833" s="8"/>
    </row>
    <row r="834" spans="1:13" x14ac:dyDescent="0.25">
      <c r="A834" s="15" t="s">
        <v>4661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3396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4662</v>
      </c>
      <c r="B835" s="67">
        <v>13621159835</v>
      </c>
      <c r="C835" s="72" t="s">
        <v>4663</v>
      </c>
      <c r="D835" s="69">
        <v>35124170867</v>
      </c>
      <c r="E835" s="9">
        <v>229</v>
      </c>
      <c r="F835" s="25">
        <v>43151</v>
      </c>
      <c r="G835" s="70" t="s">
        <v>3396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4664</v>
      </c>
      <c r="B836" s="67">
        <v>34649647878</v>
      </c>
      <c r="C836" s="72" t="s">
        <v>4665</v>
      </c>
      <c r="D836" s="69">
        <v>17811429802</v>
      </c>
      <c r="E836" s="9">
        <v>810</v>
      </c>
      <c r="F836" s="25">
        <v>42915</v>
      </c>
      <c r="G836" s="70" t="s">
        <v>3396</v>
      </c>
      <c r="H836" s="9"/>
      <c r="I836" s="8"/>
      <c r="J836" s="8"/>
      <c r="K836" s="8"/>
      <c r="L836" s="9" t="s">
        <v>3515</v>
      </c>
      <c r="M836" s="8"/>
    </row>
    <row r="837" spans="1:13" x14ac:dyDescent="0.25">
      <c r="A837" s="71" t="s">
        <v>4666</v>
      </c>
      <c r="B837" s="67">
        <v>25809517846</v>
      </c>
      <c r="C837" s="73" t="s">
        <v>4667</v>
      </c>
      <c r="D837" s="69">
        <v>68856830434</v>
      </c>
      <c r="E837" s="9">
        <v>292</v>
      </c>
      <c r="F837" s="25">
        <v>43168</v>
      </c>
      <c r="G837" s="70" t="s">
        <v>3402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4668</v>
      </c>
      <c r="B838" s="67">
        <v>6952730435</v>
      </c>
      <c r="C838" s="72" t="s">
        <v>4669</v>
      </c>
      <c r="D838" s="69">
        <v>8004608477</v>
      </c>
      <c r="E838" s="9">
        <v>810</v>
      </c>
      <c r="F838" s="25">
        <v>42915</v>
      </c>
      <c r="G838" s="70" t="s">
        <v>3396</v>
      </c>
      <c r="H838" s="9"/>
      <c r="I838" s="8"/>
      <c r="J838" s="8"/>
      <c r="K838" s="8"/>
      <c r="L838" s="9" t="s">
        <v>3515</v>
      </c>
      <c r="M838" s="8"/>
    </row>
    <row r="839" spans="1:13" x14ac:dyDescent="0.25">
      <c r="A839" s="71" t="s">
        <v>4670</v>
      </c>
      <c r="B839" s="67">
        <v>23440697800</v>
      </c>
      <c r="C839" s="72" t="s">
        <v>4671</v>
      </c>
      <c r="D839" s="69">
        <v>93690177553</v>
      </c>
      <c r="E839" s="9">
        <v>292</v>
      </c>
      <c r="F839" s="25">
        <v>43168</v>
      </c>
      <c r="G839" s="70" t="s">
        <v>3396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4672</v>
      </c>
      <c r="B840" s="67">
        <v>93567421549</v>
      </c>
      <c r="C840" s="72" t="s">
        <v>4673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4674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4675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3396</v>
      </c>
      <c r="H842" s="9"/>
      <c r="I842" s="8"/>
      <c r="J842" s="8"/>
      <c r="K842" s="8"/>
      <c r="L842" s="9" t="s">
        <v>3547</v>
      </c>
      <c r="M842" s="8"/>
    </row>
    <row r="843" spans="1:13" x14ac:dyDescent="0.25">
      <c r="A843" s="71" t="s">
        <v>4676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3396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4677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4678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3396</v>
      </c>
      <c r="H845" s="9"/>
      <c r="I845" s="8"/>
      <c r="J845" s="8"/>
      <c r="K845" s="8"/>
      <c r="L845" s="9" t="s">
        <v>3547</v>
      </c>
      <c r="M845" s="8"/>
    </row>
    <row r="846" spans="1:13" x14ac:dyDescent="0.25">
      <c r="A846" s="71" t="s">
        <v>4679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3396</v>
      </c>
      <c r="H846" s="9"/>
      <c r="I846" s="8"/>
      <c r="J846" s="8"/>
      <c r="K846" s="8"/>
      <c r="L846" s="9" t="s">
        <v>3630</v>
      </c>
      <c r="M846" s="8"/>
    </row>
    <row r="847" spans="1:13" x14ac:dyDescent="0.25">
      <c r="A847" s="71" t="s">
        <v>4680</v>
      </c>
      <c r="B847" s="67">
        <v>10762166843</v>
      </c>
      <c r="C847" s="72" t="s">
        <v>4681</v>
      </c>
      <c r="D847" s="69">
        <v>18471490811</v>
      </c>
      <c r="E847" s="9">
        <v>1752</v>
      </c>
      <c r="F847" s="25">
        <v>43051</v>
      </c>
      <c r="G847" s="83" t="s">
        <v>3396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4682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4683</v>
      </c>
      <c r="B849" s="67">
        <v>38988535863</v>
      </c>
      <c r="C849" s="72" t="s">
        <v>4684</v>
      </c>
      <c r="D849" s="69">
        <v>34543536886</v>
      </c>
      <c r="E849" s="9">
        <v>1555</v>
      </c>
      <c r="F849" s="25">
        <v>43049</v>
      </c>
      <c r="G849" s="70" t="s">
        <v>3396</v>
      </c>
      <c r="H849" s="9"/>
      <c r="I849" s="8"/>
      <c r="J849" s="8"/>
      <c r="K849" s="8"/>
      <c r="L849" s="9" t="s">
        <v>3775</v>
      </c>
      <c r="M849" s="8"/>
    </row>
    <row r="850" spans="1:13" x14ac:dyDescent="0.25">
      <c r="A850" s="71" t="s">
        <v>4685</v>
      </c>
      <c r="B850" s="67">
        <v>81902581334</v>
      </c>
      <c r="C850" s="72" t="s">
        <v>4686</v>
      </c>
      <c r="D850" s="69">
        <v>42305020368</v>
      </c>
      <c r="E850" s="9">
        <v>1752</v>
      </c>
      <c r="F850" s="25">
        <v>43051</v>
      </c>
      <c r="G850" s="70" t="s">
        <v>3396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4687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4688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3396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4689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3396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4690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4691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3396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4692</v>
      </c>
      <c r="B856" s="67">
        <v>36135801520</v>
      </c>
      <c r="C856" s="15" t="s">
        <v>4693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4694</v>
      </c>
      <c r="B857" s="67">
        <v>43231450802</v>
      </c>
      <c r="C857" s="72" t="s">
        <v>4695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4696</v>
      </c>
      <c r="B858" s="67">
        <v>38163601817</v>
      </c>
      <c r="C858" s="72" t="s">
        <v>4697</v>
      </c>
      <c r="D858" s="69">
        <v>36840584836</v>
      </c>
      <c r="E858" s="9">
        <v>292</v>
      </c>
      <c r="F858" s="25">
        <v>43168</v>
      </c>
      <c r="G858" s="70" t="s">
        <v>3396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4698</v>
      </c>
      <c r="B859" s="67">
        <v>40853154805</v>
      </c>
      <c r="C859" s="72" t="s">
        <v>4699</v>
      </c>
      <c r="D859" s="69">
        <v>23596403804</v>
      </c>
      <c r="E859" s="9">
        <v>229</v>
      </c>
      <c r="F859" s="25">
        <v>43151</v>
      </c>
      <c r="G859" s="70" t="s">
        <v>3396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4700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3396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4701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4702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3396</v>
      </c>
      <c r="H862" s="9"/>
      <c r="I862" s="8"/>
      <c r="J862" s="8"/>
      <c r="K862" s="8"/>
      <c r="L862" s="9" t="s">
        <v>3775</v>
      </c>
      <c r="M862" s="8"/>
    </row>
    <row r="863" spans="1:13" x14ac:dyDescent="0.25">
      <c r="A863" s="14" t="s">
        <v>4703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3396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4704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3396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4705</v>
      </c>
      <c r="B865" s="67">
        <v>30708968805</v>
      </c>
      <c r="C865" s="72" t="s">
        <v>4706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4707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4708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3396</v>
      </c>
      <c r="H867" s="9"/>
      <c r="I867" s="8"/>
      <c r="J867" s="8"/>
      <c r="K867" s="8"/>
      <c r="L867" s="9" t="s">
        <v>3515</v>
      </c>
      <c r="M867" s="8"/>
    </row>
    <row r="868" spans="1:13" x14ac:dyDescent="0.25">
      <c r="A868" s="71" t="s">
        <v>4709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4710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3396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4711</v>
      </c>
      <c r="B870" s="67">
        <v>41379878829</v>
      </c>
      <c r="C870" s="72" t="s">
        <v>4712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4713</v>
      </c>
      <c r="B871" s="67">
        <v>31471499863</v>
      </c>
      <c r="C871" s="72" t="s">
        <v>4714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4715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3396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4716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3396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4717</v>
      </c>
      <c r="B874" s="67">
        <v>27878860866</v>
      </c>
      <c r="C874" s="72" t="s">
        <v>4718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4719</v>
      </c>
      <c r="B875" s="67">
        <v>25002291813</v>
      </c>
      <c r="C875" s="72" t="s">
        <v>4720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4721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4722</v>
      </c>
      <c r="B877" s="67"/>
      <c r="C877" s="29" t="s">
        <v>4723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4724</v>
      </c>
      <c r="B878" s="67">
        <v>7205116589</v>
      </c>
      <c r="C878" s="72" t="s">
        <v>4725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4726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4727</v>
      </c>
      <c r="B880" s="67">
        <v>82084602491</v>
      </c>
      <c r="C880" s="72" t="s">
        <v>4728</v>
      </c>
      <c r="D880" s="69">
        <v>74937758420</v>
      </c>
      <c r="E880" s="9">
        <v>292</v>
      </c>
      <c r="F880" s="25">
        <v>43168</v>
      </c>
      <c r="G880" s="9" t="s">
        <v>3396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4729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4730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4731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3396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4732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3396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4733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4734</v>
      </c>
      <c r="B886" s="67">
        <v>63234904553</v>
      </c>
      <c r="C886" s="68" t="s">
        <v>4735</v>
      </c>
      <c r="D886" s="69">
        <v>1193464870</v>
      </c>
      <c r="E886" s="9">
        <v>1128</v>
      </c>
      <c r="F886" s="25">
        <v>42972</v>
      </c>
      <c r="G886" s="70" t="s">
        <v>3396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4736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4737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4738</v>
      </c>
      <c r="B889" s="67">
        <v>30967680808</v>
      </c>
      <c r="C889" s="18" t="s">
        <v>4739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4740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3396</v>
      </c>
      <c r="H890" s="9"/>
      <c r="I890" s="8"/>
      <c r="J890" s="8"/>
      <c r="K890" s="8"/>
      <c r="L890" s="9" t="s">
        <v>3515</v>
      </c>
      <c r="M890" s="8"/>
    </row>
    <row r="891" spans="1:13" x14ac:dyDescent="0.25">
      <c r="A891" s="15" t="s">
        <v>4741</v>
      </c>
      <c r="B891" s="67">
        <v>3570397696</v>
      </c>
      <c r="C891" s="72" t="s">
        <v>4742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4743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4744</v>
      </c>
      <c r="B893" s="67">
        <v>1170658547</v>
      </c>
      <c r="C893" s="72" t="s">
        <v>4745</v>
      </c>
      <c r="D893" s="69">
        <v>2695281560</v>
      </c>
      <c r="E893" s="9">
        <v>1824</v>
      </c>
      <c r="F893" s="25">
        <v>43091</v>
      </c>
      <c r="G893" s="70" t="s">
        <v>3402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4746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3396</v>
      </c>
      <c r="H894" s="9"/>
      <c r="I894" s="8"/>
      <c r="J894" s="8"/>
      <c r="K894" s="8"/>
      <c r="L894" s="9" t="s">
        <v>3515</v>
      </c>
      <c r="M894" s="8"/>
    </row>
    <row r="895" spans="1:13" x14ac:dyDescent="0.25">
      <c r="A895" s="71" t="s">
        <v>4747</v>
      </c>
      <c r="B895" s="67">
        <v>29927032811</v>
      </c>
      <c r="C895" s="72" t="s">
        <v>4748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4749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4750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3396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4751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3396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4752</v>
      </c>
      <c r="B899" s="67">
        <v>37064427877</v>
      </c>
      <c r="C899" s="68" t="s">
        <v>4753</v>
      </c>
      <c r="D899" s="69">
        <v>34881680854</v>
      </c>
      <c r="E899" s="9">
        <v>1128</v>
      </c>
      <c r="F899" s="25">
        <v>42972</v>
      </c>
      <c r="G899" s="70" t="s">
        <v>3396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4754</v>
      </c>
      <c r="B900" s="67">
        <v>34712023821</v>
      </c>
      <c r="C900" s="72" t="s">
        <v>4755</v>
      </c>
      <c r="D900" s="69">
        <v>80700918868</v>
      </c>
      <c r="E900" s="9">
        <v>117</v>
      </c>
      <c r="F900" s="25">
        <v>43117</v>
      </c>
      <c r="G900" s="70" t="s">
        <v>3396</v>
      </c>
      <c r="H900" s="9"/>
      <c r="I900" s="8"/>
      <c r="J900" s="8"/>
      <c r="K900" s="8"/>
      <c r="L900" s="9" t="s">
        <v>3547</v>
      </c>
      <c r="M900" s="8"/>
    </row>
    <row r="901" spans="1:13" x14ac:dyDescent="0.25">
      <c r="A901" s="71" t="s">
        <v>4756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3396</v>
      </c>
      <c r="H901" s="9"/>
      <c r="I901" s="8"/>
      <c r="J901" s="8"/>
      <c r="K901" s="8"/>
      <c r="L901" s="9" t="s">
        <v>3515</v>
      </c>
      <c r="M901" s="8"/>
    </row>
    <row r="902" spans="1:13" x14ac:dyDescent="0.25">
      <c r="A902" s="71" t="s">
        <v>4757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4758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3396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4759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3396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4760</v>
      </c>
      <c r="B905" s="67">
        <v>42517278865</v>
      </c>
      <c r="C905" s="72" t="s">
        <v>4761</v>
      </c>
      <c r="D905" s="69">
        <v>45677965863</v>
      </c>
      <c r="E905" s="9">
        <v>117</v>
      </c>
      <c r="F905" s="25">
        <v>43117</v>
      </c>
      <c r="G905" s="70" t="s">
        <v>3396</v>
      </c>
      <c r="H905" s="9"/>
      <c r="I905" s="8"/>
      <c r="J905" s="8"/>
      <c r="K905" s="8"/>
      <c r="L905" s="9" t="s">
        <v>3547</v>
      </c>
      <c r="M905" s="8"/>
    </row>
    <row r="906" spans="1:13" x14ac:dyDescent="0.25">
      <c r="A906" s="18" t="s">
        <v>4762</v>
      </c>
      <c r="B906" s="67">
        <v>34053574897</v>
      </c>
      <c r="C906" s="8" t="s">
        <v>4763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4764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3396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4765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3396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4766</v>
      </c>
      <c r="B909" s="67">
        <v>32391122802</v>
      </c>
      <c r="C909" s="72" t="s">
        <v>4767</v>
      </c>
      <c r="D909" s="69">
        <v>21653624825</v>
      </c>
      <c r="E909" s="9">
        <v>262</v>
      </c>
      <c r="F909" s="25">
        <v>43160</v>
      </c>
      <c r="G909" s="9" t="s">
        <v>3396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4768</v>
      </c>
      <c r="B910" s="67"/>
      <c r="C910" s="29" t="s">
        <v>4769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4770</v>
      </c>
      <c r="B911" s="67">
        <v>39641812858</v>
      </c>
      <c r="C911" s="72" t="s">
        <v>4771</v>
      </c>
      <c r="D911" s="69">
        <v>23425114859</v>
      </c>
      <c r="E911" s="9">
        <v>262</v>
      </c>
      <c r="F911" s="25">
        <v>43160</v>
      </c>
      <c r="G911" s="70" t="s">
        <v>3396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4772</v>
      </c>
      <c r="B912" s="67">
        <v>7664892481</v>
      </c>
      <c r="C912" s="72" t="s">
        <v>4773</v>
      </c>
      <c r="D912" s="69">
        <v>37120937804</v>
      </c>
      <c r="E912" s="9">
        <v>1570</v>
      </c>
      <c r="F912" s="25">
        <v>43077</v>
      </c>
      <c r="G912" s="70" t="s">
        <v>3396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4774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3396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4775</v>
      </c>
      <c r="B914" s="67">
        <v>35535310883</v>
      </c>
      <c r="C914" s="72" t="s">
        <v>4776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4777</v>
      </c>
      <c r="B915" s="67">
        <v>40993785867</v>
      </c>
      <c r="C915" s="72" t="s">
        <v>4778</v>
      </c>
      <c r="D915" s="69">
        <v>39284894883</v>
      </c>
      <c r="E915" s="9">
        <v>262</v>
      </c>
      <c r="F915" s="25">
        <v>43160</v>
      </c>
      <c r="G915" s="70" t="s">
        <v>3396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4779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3396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4780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3396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4781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3396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4782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3396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4783</v>
      </c>
      <c r="B920" s="67">
        <v>39485589816</v>
      </c>
      <c r="C920" s="72" t="s">
        <v>4784</v>
      </c>
      <c r="D920" s="69">
        <v>6884648589</v>
      </c>
      <c r="E920" s="9">
        <v>85</v>
      </c>
      <c r="F920" s="25">
        <v>43109</v>
      </c>
      <c r="G920" s="70" t="s">
        <v>3396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4785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4786</v>
      </c>
      <c r="B922" s="67">
        <v>39454700804</v>
      </c>
      <c r="C922" s="72" t="s">
        <v>4787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4788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4789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4790</v>
      </c>
      <c r="B925" s="67">
        <v>19681993810</v>
      </c>
      <c r="C925" s="72" t="s">
        <v>4791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4792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3396</v>
      </c>
      <c r="H926" s="9"/>
      <c r="I926" s="8"/>
      <c r="J926" s="8"/>
      <c r="K926" s="8"/>
      <c r="L926" s="9" t="s">
        <v>3515</v>
      </c>
      <c r="M926" s="8"/>
    </row>
    <row r="927" spans="1:13" x14ac:dyDescent="0.25">
      <c r="A927" s="71" t="s">
        <v>4793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4794</v>
      </c>
      <c r="B928" s="67">
        <v>32424255881</v>
      </c>
      <c r="C928" s="72" t="s">
        <v>4795</v>
      </c>
      <c r="D928" s="69">
        <v>4615874596</v>
      </c>
      <c r="E928" s="9">
        <v>229</v>
      </c>
      <c r="F928" s="25">
        <v>43151</v>
      </c>
      <c r="G928" s="70" t="s">
        <v>3396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4796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3396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4797</v>
      </c>
      <c r="B930" s="67">
        <v>77663551591</v>
      </c>
      <c r="C930" s="72" t="s">
        <v>4798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4799</v>
      </c>
      <c r="B931" s="67">
        <v>30768670837</v>
      </c>
      <c r="C931" s="72" t="s">
        <v>4800</v>
      </c>
      <c r="D931" s="69">
        <v>17858599860</v>
      </c>
      <c r="E931" s="9">
        <v>810</v>
      </c>
      <c r="F931" s="25">
        <v>42915</v>
      </c>
      <c r="G931" s="70" t="s">
        <v>3396</v>
      </c>
      <c r="H931" s="9"/>
      <c r="I931" s="8"/>
      <c r="J931" s="8"/>
      <c r="K931" s="8"/>
      <c r="L931" s="9" t="s">
        <v>3515</v>
      </c>
      <c r="M931" s="8"/>
    </row>
    <row r="932" spans="1:13" x14ac:dyDescent="0.25">
      <c r="A932" s="71" t="s">
        <v>4801</v>
      </c>
      <c r="B932" s="67">
        <v>40801562864</v>
      </c>
      <c r="C932" s="72" t="s">
        <v>4802</v>
      </c>
      <c r="D932" s="69">
        <v>40630792879</v>
      </c>
      <c r="E932" s="9">
        <v>117</v>
      </c>
      <c r="F932" s="25">
        <v>43117</v>
      </c>
      <c r="G932" s="70" t="s">
        <v>3402</v>
      </c>
      <c r="H932" s="9"/>
      <c r="I932" s="8"/>
      <c r="J932" s="8"/>
      <c r="K932" s="8"/>
      <c r="L932" s="9" t="s">
        <v>3547</v>
      </c>
      <c r="M932" s="8"/>
    </row>
    <row r="933" spans="1:13" x14ac:dyDescent="0.25">
      <c r="A933" s="71" t="s">
        <v>4803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3396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4804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3396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4805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4806</v>
      </c>
      <c r="B936" s="67">
        <v>33897782847</v>
      </c>
      <c r="C936" s="72" t="s">
        <v>4807</v>
      </c>
      <c r="D936" s="69">
        <v>22207136876</v>
      </c>
      <c r="E936" s="9">
        <v>1267</v>
      </c>
      <c r="F936" s="25">
        <v>42998</v>
      </c>
      <c r="G936" s="70" t="s">
        <v>3396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4808</v>
      </c>
      <c r="B937" s="67">
        <v>31219124885</v>
      </c>
      <c r="C937" s="72" t="s">
        <v>4809</v>
      </c>
      <c r="D937" s="69">
        <v>53808967315</v>
      </c>
      <c r="E937" s="9">
        <v>292</v>
      </c>
      <c r="F937" s="25">
        <v>43168</v>
      </c>
      <c r="G937" s="70" t="s">
        <v>3396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4810</v>
      </c>
      <c r="B938" s="67">
        <v>32332935851</v>
      </c>
      <c r="C938" s="18" t="s">
        <v>4811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4812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4813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3410</v>
      </c>
      <c r="H940" s="47"/>
      <c r="I940" s="49"/>
      <c r="J940" s="49"/>
      <c r="K940" s="49"/>
      <c r="L940" s="9" t="s">
        <v>3547</v>
      </c>
      <c r="M940" s="49"/>
    </row>
    <row r="941" spans="1:13" x14ac:dyDescent="0.25">
      <c r="A941" s="71" t="s">
        <v>4814</v>
      </c>
      <c r="B941" s="67">
        <v>35124692804</v>
      </c>
      <c r="C941" s="72" t="s">
        <v>4815</v>
      </c>
      <c r="D941" s="69">
        <v>17091274814</v>
      </c>
      <c r="E941" s="9">
        <v>262</v>
      </c>
      <c r="F941" s="25">
        <v>43160</v>
      </c>
      <c r="G941" s="70" t="s">
        <v>3396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4816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4817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4818</v>
      </c>
      <c r="B944" s="67">
        <v>35271393895</v>
      </c>
      <c r="C944" s="72" t="s">
        <v>4819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4820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3396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4821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3676</v>
      </c>
      <c r="M946" s="8"/>
    </row>
    <row r="947" spans="1:13" x14ac:dyDescent="0.25">
      <c r="A947" s="71" t="s">
        <v>4822</v>
      </c>
      <c r="B947" s="67">
        <v>899199399</v>
      </c>
      <c r="C947" s="72" t="s">
        <v>4823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4824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3396</v>
      </c>
      <c r="H948" s="9"/>
      <c r="I948" s="8"/>
      <c r="J948" s="8"/>
      <c r="K948" s="8"/>
      <c r="L948" s="9" t="s">
        <v>3515</v>
      </c>
      <c r="M948" s="8"/>
    </row>
    <row r="949" spans="1:13" x14ac:dyDescent="0.25">
      <c r="A949" s="15" t="s">
        <v>4825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4826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3396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4827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3402</v>
      </c>
      <c r="H951" s="9"/>
      <c r="I951" s="8"/>
      <c r="J951" s="8"/>
      <c r="K951" s="8"/>
      <c r="L951" s="9" t="s">
        <v>3547</v>
      </c>
      <c r="M951" s="8"/>
    </row>
    <row r="952" spans="1:13" x14ac:dyDescent="0.25">
      <c r="A952" s="15" t="s">
        <v>4828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3396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4829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3396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4830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3396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4831</v>
      </c>
      <c r="B955" s="67">
        <v>19584308890</v>
      </c>
      <c r="C955" s="72" t="s">
        <v>4832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4833</v>
      </c>
      <c r="B956" s="67">
        <v>3220872441</v>
      </c>
      <c r="C956" s="72" t="s">
        <v>4834</v>
      </c>
      <c r="D956" s="69">
        <v>11805166808</v>
      </c>
      <c r="E956" s="9">
        <v>810</v>
      </c>
      <c r="F956" s="25">
        <v>42915</v>
      </c>
      <c r="G956" s="70" t="s">
        <v>3396</v>
      </c>
      <c r="H956" s="9"/>
      <c r="I956" s="8"/>
      <c r="J956" s="8"/>
      <c r="K956" s="8"/>
      <c r="L956" s="9" t="s">
        <v>3515</v>
      </c>
      <c r="M956" s="8"/>
    </row>
    <row r="957" spans="1:13" x14ac:dyDescent="0.25">
      <c r="A957" s="73" t="s">
        <v>4835</v>
      </c>
      <c r="B957" s="67">
        <v>29773950832</v>
      </c>
      <c r="C957" s="72" t="s">
        <v>4836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4837</v>
      </c>
      <c r="B958" s="78" t="s">
        <v>4838</v>
      </c>
      <c r="C958" s="72" t="s">
        <v>4839</v>
      </c>
      <c r="D958" s="69">
        <v>84102780300</v>
      </c>
      <c r="E958" s="9">
        <v>292</v>
      </c>
      <c r="F958" s="25">
        <v>43168</v>
      </c>
      <c r="G958" s="9" t="s">
        <v>3396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4840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3396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4841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4842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3396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4843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3396</v>
      </c>
      <c r="H962" s="9"/>
      <c r="I962" s="8"/>
      <c r="J962" s="8"/>
      <c r="K962" s="8"/>
      <c r="L962" s="9" t="s">
        <v>3775</v>
      </c>
      <c r="M962" s="8"/>
    </row>
    <row r="963" spans="1:13" x14ac:dyDescent="0.25">
      <c r="A963" s="15" t="s">
        <v>4844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3396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4845</v>
      </c>
      <c r="B964" s="67">
        <v>46248420300</v>
      </c>
      <c r="C964" s="72" t="s">
        <v>4846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4847</v>
      </c>
      <c r="B965" s="67">
        <v>84090294304</v>
      </c>
      <c r="C965" s="72" t="s">
        <v>4848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4849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4850</v>
      </c>
      <c r="B967" s="67">
        <v>918071313</v>
      </c>
      <c r="C967" s="72" t="s">
        <v>4851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4852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3396</v>
      </c>
      <c r="H968" s="9"/>
      <c r="I968" s="8"/>
      <c r="J968" s="8"/>
      <c r="K968" s="8"/>
      <c r="L968" s="9" t="s">
        <v>3547</v>
      </c>
      <c r="M968" s="8"/>
    </row>
    <row r="969" spans="1:13" x14ac:dyDescent="0.25">
      <c r="A969" s="71" t="s">
        <v>4853</v>
      </c>
      <c r="B969" s="67">
        <v>86465651300</v>
      </c>
      <c r="C969" s="72" t="s">
        <v>4854</v>
      </c>
      <c r="D969" s="69">
        <v>7091216792</v>
      </c>
      <c r="E969" s="9">
        <v>1350</v>
      </c>
      <c r="F969" s="25">
        <v>43006</v>
      </c>
      <c r="G969" s="70" t="s">
        <v>3396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4855</v>
      </c>
      <c r="B970" s="67">
        <v>22893362893</v>
      </c>
      <c r="C970" s="72" t="s">
        <v>4856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4857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3396</v>
      </c>
      <c r="H971" s="9"/>
      <c r="I971" s="8"/>
      <c r="J971" s="8"/>
      <c r="K971" s="8"/>
      <c r="L971" s="9" t="s">
        <v>3630</v>
      </c>
      <c r="M971" s="8"/>
    </row>
    <row r="972" spans="1:13" x14ac:dyDescent="0.25">
      <c r="A972" s="29" t="s">
        <v>4858</v>
      </c>
      <c r="B972" s="67">
        <v>9964640854</v>
      </c>
      <c r="C972" s="18" t="s">
        <v>3506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4859</v>
      </c>
      <c r="B973" s="67">
        <v>46593499854</v>
      </c>
      <c r="C973" s="29" t="s">
        <v>4860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4861</v>
      </c>
      <c r="B974" s="67">
        <v>34412339807</v>
      </c>
      <c r="C974" s="72" t="s">
        <v>4862</v>
      </c>
      <c r="D974" s="69">
        <v>30849792860</v>
      </c>
      <c r="E974" s="9">
        <v>1824</v>
      </c>
      <c r="F974" s="25">
        <v>43091</v>
      </c>
      <c r="G974" s="70" t="s">
        <v>3396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4863</v>
      </c>
      <c r="B975" s="67">
        <v>63905825449</v>
      </c>
      <c r="C975" s="72" t="s">
        <v>4864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4865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3396</v>
      </c>
      <c r="H976" s="9"/>
      <c r="I976" s="8"/>
      <c r="J976" s="8"/>
      <c r="K976" s="8"/>
      <c r="L976" s="9" t="s">
        <v>3515</v>
      </c>
      <c r="M976" s="8"/>
    </row>
    <row r="977" spans="1:13" x14ac:dyDescent="0.25">
      <c r="A977" s="71" t="s">
        <v>4866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3396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4867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3396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4868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3396</v>
      </c>
      <c r="H979" s="9"/>
      <c r="I979" s="8"/>
      <c r="J979" s="8"/>
      <c r="K979" s="8"/>
      <c r="L979" s="9" t="s">
        <v>3515</v>
      </c>
      <c r="M979" s="8"/>
    </row>
    <row r="980" spans="1:13" x14ac:dyDescent="0.25">
      <c r="A980" s="18" t="s">
        <v>4869</v>
      </c>
      <c r="B980" s="67">
        <v>18473037812</v>
      </c>
      <c r="C980" s="18" t="s">
        <v>4870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4871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4872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3396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4873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4874</v>
      </c>
      <c r="B984" s="67">
        <v>30458696889</v>
      </c>
      <c r="C984" s="68" t="s">
        <v>4875</v>
      </c>
      <c r="D984" s="69">
        <v>25196748814</v>
      </c>
      <c r="E984" s="9">
        <v>1267</v>
      </c>
      <c r="F984" s="25">
        <v>42998</v>
      </c>
      <c r="G984" s="70" t="s">
        <v>3402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4876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3396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4877</v>
      </c>
      <c r="B986" s="67"/>
      <c r="C986" s="29" t="s">
        <v>4878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4879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4880</v>
      </c>
      <c r="B988" s="67" t="s">
        <v>4881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4882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4883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4884</v>
      </c>
      <c r="B991" s="67"/>
      <c r="C991" s="18" t="s">
        <v>3506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4885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4886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4887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3396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4888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4889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3396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4890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4891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4892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4893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3396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4894</v>
      </c>
      <c r="B1001" s="67">
        <v>39651975334</v>
      </c>
      <c r="C1001" s="72" t="s">
        <v>4895</v>
      </c>
      <c r="D1001" s="69">
        <v>35104799808</v>
      </c>
      <c r="E1001" s="9">
        <v>229</v>
      </c>
      <c r="F1001" s="25">
        <v>43151</v>
      </c>
      <c r="G1001" s="70" t="s">
        <v>3396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4896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3396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4897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3396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4898</v>
      </c>
      <c r="B1004" s="67">
        <v>46226383801</v>
      </c>
      <c r="C1004" s="72" t="s">
        <v>4899</v>
      </c>
      <c r="D1004" s="69">
        <v>46166460821</v>
      </c>
      <c r="E1004" s="9">
        <v>292</v>
      </c>
      <c r="F1004" s="25">
        <v>43168</v>
      </c>
      <c r="G1004" s="70" t="s">
        <v>3396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4900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3396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4901</v>
      </c>
      <c r="B1006" s="67">
        <v>37051448803</v>
      </c>
      <c r="C1006" s="72" t="s">
        <v>4902</v>
      </c>
      <c r="D1006" s="69">
        <v>22442223813</v>
      </c>
      <c r="E1006" s="9">
        <v>1489</v>
      </c>
      <c r="F1006" s="25">
        <v>43038</v>
      </c>
      <c r="G1006" s="70" t="s">
        <v>3396</v>
      </c>
      <c r="H1006" s="9"/>
      <c r="I1006" s="8"/>
      <c r="J1006" s="8"/>
      <c r="K1006" s="8"/>
      <c r="L1006" s="9" t="s">
        <v>3537</v>
      </c>
      <c r="M1006" s="8"/>
    </row>
    <row r="1007" spans="1:13" x14ac:dyDescent="0.25">
      <c r="A1007" s="71" t="s">
        <v>4903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4904</v>
      </c>
      <c r="B1008" s="67">
        <v>50092450865</v>
      </c>
      <c r="C1008" s="72" t="s">
        <v>4905</v>
      </c>
      <c r="D1008" s="69">
        <v>34366320827</v>
      </c>
      <c r="E1008" s="9">
        <v>608</v>
      </c>
      <c r="F1008" s="25">
        <v>43012</v>
      </c>
      <c r="G1008" s="70" t="s">
        <v>3396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4906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3396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4907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3396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4908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3396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4909</v>
      </c>
      <c r="B1012" s="67">
        <v>36501110807</v>
      </c>
      <c r="C1012" s="72" t="s">
        <v>4910</v>
      </c>
      <c r="D1012" s="69">
        <v>36592467860</v>
      </c>
      <c r="E1012" s="9">
        <v>262</v>
      </c>
      <c r="F1012" s="25">
        <v>43160</v>
      </c>
      <c r="G1012" s="70" t="s">
        <v>3396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4911</v>
      </c>
      <c r="B1013" s="67">
        <v>34470374822</v>
      </c>
      <c r="C1013" s="29" t="s">
        <v>4912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4913</v>
      </c>
      <c r="B1014" s="67">
        <v>40814125883</v>
      </c>
      <c r="C1014" s="72" t="s">
        <v>4914</v>
      </c>
      <c r="D1014" s="69">
        <v>27095684898</v>
      </c>
      <c r="E1014" s="9">
        <v>810</v>
      </c>
      <c r="F1014" s="25">
        <v>42915</v>
      </c>
      <c r="G1014" s="70" t="s">
        <v>3396</v>
      </c>
      <c r="H1014" s="9"/>
      <c r="I1014" s="8"/>
      <c r="J1014" s="8"/>
      <c r="K1014" s="8"/>
      <c r="L1014" s="9" t="s">
        <v>3515</v>
      </c>
      <c r="M1014" s="8"/>
    </row>
    <row r="1015" spans="1:13" x14ac:dyDescent="0.25">
      <c r="A1015" s="71" t="s">
        <v>4915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4916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3396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4917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4918</v>
      </c>
      <c r="B1018" s="67"/>
      <c r="C1018" s="18" t="s">
        <v>3506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4919</v>
      </c>
      <c r="B1019" s="67">
        <v>26492754808</v>
      </c>
      <c r="C1019" s="9" t="s">
        <v>3506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4920</v>
      </c>
      <c r="B1020" s="67">
        <v>526417595</v>
      </c>
      <c r="C1020" s="72" t="s">
        <v>4921</v>
      </c>
      <c r="D1020" s="69">
        <v>25810630847</v>
      </c>
      <c r="E1020" s="9">
        <v>262</v>
      </c>
      <c r="F1020" s="25">
        <v>43160</v>
      </c>
      <c r="G1020" s="9" t="s">
        <v>3396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4922</v>
      </c>
      <c r="B1021" s="67">
        <v>26362064852</v>
      </c>
      <c r="C1021" s="77" t="s">
        <v>4923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3676</v>
      </c>
      <c r="M1021" s="8"/>
    </row>
    <row r="1022" spans="1:13" x14ac:dyDescent="0.25">
      <c r="A1022" s="71" t="s">
        <v>4924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3396</v>
      </c>
      <c r="H1022" s="9"/>
      <c r="I1022" s="8"/>
      <c r="J1022" s="8"/>
      <c r="K1022" s="8"/>
      <c r="L1022" s="9" t="s">
        <v>3537</v>
      </c>
      <c r="M1022" s="8"/>
    </row>
    <row r="1023" spans="1:13" x14ac:dyDescent="0.25">
      <c r="A1023" s="71" t="s">
        <v>4925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3396</v>
      </c>
      <c r="H1023" s="9"/>
      <c r="I1023" s="8"/>
      <c r="J1023" s="8"/>
      <c r="K1023" s="8"/>
      <c r="L1023" s="9" t="s">
        <v>3515</v>
      </c>
      <c r="M1023" s="8"/>
    </row>
    <row r="1024" spans="1:13" x14ac:dyDescent="0.25">
      <c r="A1024" s="71" t="s">
        <v>4926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4927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4928</v>
      </c>
      <c r="B1026" s="67">
        <v>41791708846</v>
      </c>
      <c r="C1026" s="72" t="s">
        <v>4929</v>
      </c>
      <c r="D1026" s="69">
        <v>41003253806</v>
      </c>
      <c r="E1026" s="9">
        <v>262</v>
      </c>
      <c r="F1026" s="25">
        <v>43160</v>
      </c>
      <c r="G1026" s="70" t="s">
        <v>3396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4930</v>
      </c>
      <c r="B1027" s="67"/>
      <c r="C1027" s="29" t="s">
        <v>4931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4932</v>
      </c>
      <c r="B1028" s="67">
        <v>34575373800</v>
      </c>
      <c r="C1028" s="72" t="s">
        <v>4933</v>
      </c>
      <c r="D1028" s="69">
        <v>22427117846</v>
      </c>
      <c r="E1028" s="9">
        <v>1350</v>
      </c>
      <c r="F1028" s="25">
        <v>43006</v>
      </c>
      <c r="G1028" s="70" t="s">
        <v>3396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4934</v>
      </c>
      <c r="B1029" s="67">
        <v>79215262334</v>
      </c>
      <c r="C1029" s="72" t="s">
        <v>4935</v>
      </c>
      <c r="D1029" s="69">
        <v>76370372315</v>
      </c>
      <c r="E1029" s="9">
        <v>1451</v>
      </c>
      <c r="F1029" s="25">
        <v>43027</v>
      </c>
      <c r="G1029" s="70" t="s">
        <v>3402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4936</v>
      </c>
      <c r="B1030" s="67">
        <v>15208922843</v>
      </c>
      <c r="C1030" s="72" t="s">
        <v>4937</v>
      </c>
      <c r="D1030" s="69">
        <v>34068960810</v>
      </c>
      <c r="E1030" s="9">
        <v>229</v>
      </c>
      <c r="F1030" s="25">
        <v>43151</v>
      </c>
      <c r="G1030" s="70" t="s">
        <v>3410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4938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4939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4940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3396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4941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3676</v>
      </c>
      <c r="M1034" s="8"/>
    </row>
    <row r="1035" spans="1:13" x14ac:dyDescent="0.25">
      <c r="A1035" s="71" t="s">
        <v>4942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4943</v>
      </c>
      <c r="B1036" s="67">
        <v>99570467304</v>
      </c>
      <c r="C1036" s="72" t="s">
        <v>4944</v>
      </c>
      <c r="D1036" s="69">
        <v>7702980877</v>
      </c>
      <c r="E1036" s="9">
        <v>229</v>
      </c>
      <c r="F1036" s="25">
        <v>43151</v>
      </c>
      <c r="G1036" s="70" t="s">
        <v>3396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4945</v>
      </c>
      <c r="B1037" s="67">
        <v>18710956549</v>
      </c>
      <c r="C1037" s="72" t="s">
        <v>4946</v>
      </c>
      <c r="D1037" s="69">
        <v>85859141572</v>
      </c>
      <c r="E1037" s="9">
        <v>1417</v>
      </c>
      <c r="F1037" s="25">
        <v>43017</v>
      </c>
      <c r="G1037" s="70" t="s">
        <v>3396</v>
      </c>
      <c r="H1037" s="76">
        <v>43213</v>
      </c>
      <c r="I1037" s="8"/>
      <c r="J1037" s="8"/>
      <c r="K1037" s="8"/>
      <c r="L1037" s="9" t="s">
        <v>3630</v>
      </c>
      <c r="M1037" s="8"/>
    </row>
    <row r="1038" spans="1:13" x14ac:dyDescent="0.25">
      <c r="A1038" s="71" t="s">
        <v>4947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4948</v>
      </c>
      <c r="B1039" s="67">
        <v>42748662890</v>
      </c>
      <c r="C1039" s="18" t="s">
        <v>4949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4950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3396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4951</v>
      </c>
      <c r="B1041" s="67">
        <v>23367537829</v>
      </c>
      <c r="C1041" s="72" t="s">
        <v>4952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4953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3396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4954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4955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3396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4956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3396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4957</v>
      </c>
      <c r="B1046" s="67">
        <v>74603671415</v>
      </c>
      <c r="C1046" s="72" t="s">
        <v>4958</v>
      </c>
      <c r="D1046" s="69">
        <v>28040569885</v>
      </c>
      <c r="E1046" s="9">
        <v>1267</v>
      </c>
      <c r="F1046" s="25">
        <v>42998</v>
      </c>
      <c r="G1046" s="70" t="s">
        <v>3402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4959</v>
      </c>
      <c r="B1047" s="67">
        <v>41590060865</v>
      </c>
      <c r="C1047" s="72" t="s">
        <v>4960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4961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3396</v>
      </c>
      <c r="H1048" s="9"/>
      <c r="I1048" s="8"/>
      <c r="J1048" s="8"/>
      <c r="K1048" s="8"/>
      <c r="L1048" s="9" t="s">
        <v>3515</v>
      </c>
      <c r="M1048" s="8"/>
    </row>
    <row r="1049" spans="1:13" x14ac:dyDescent="0.25">
      <c r="A1049" s="13" t="s">
        <v>4962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3396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4963</v>
      </c>
      <c r="B1050" s="67">
        <v>35741867898</v>
      </c>
      <c r="C1050" s="72" t="s">
        <v>4964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4965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4966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4967</v>
      </c>
      <c r="B1053" s="67">
        <v>27928359820</v>
      </c>
      <c r="C1053" s="72" t="s">
        <v>4968</v>
      </c>
      <c r="D1053" s="69">
        <v>61803766468</v>
      </c>
      <c r="E1053" s="9">
        <v>810</v>
      </c>
      <c r="F1053" s="25">
        <v>42915</v>
      </c>
      <c r="G1053" s="70" t="s">
        <v>3396</v>
      </c>
      <c r="H1053" s="9"/>
      <c r="I1053" s="8"/>
      <c r="J1053" s="8"/>
      <c r="K1053" s="8"/>
      <c r="L1053" s="9" t="s">
        <v>3515</v>
      </c>
      <c r="M1053" s="8"/>
    </row>
    <row r="1054" spans="1:13" x14ac:dyDescent="0.25">
      <c r="A1054" s="71" t="s">
        <v>4969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3396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844</v>
      </c>
      <c r="B1055" s="67">
        <v>59431920506</v>
      </c>
      <c r="C1055" s="18" t="s">
        <v>3506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4970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3396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4971</v>
      </c>
      <c r="B1057" s="67" t="s">
        <v>4972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4973</v>
      </c>
      <c r="B1058" s="67">
        <v>34366747880</v>
      </c>
      <c r="C1058" s="77" t="s">
        <v>4974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3676</v>
      </c>
      <c r="M1058" s="8"/>
    </row>
    <row r="1059" spans="1:13" x14ac:dyDescent="0.25">
      <c r="A1059" s="71" t="s">
        <v>4975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3396</v>
      </c>
      <c r="H1059" s="9"/>
      <c r="I1059" s="8"/>
      <c r="J1059" s="8"/>
      <c r="K1059" s="8"/>
      <c r="L1059" s="9" t="s">
        <v>3537</v>
      </c>
      <c r="M1059" s="8"/>
    </row>
    <row r="1060" spans="1:13" x14ac:dyDescent="0.25">
      <c r="A1060" s="14" t="s">
        <v>4976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3396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4977</v>
      </c>
      <c r="B1061" s="67">
        <v>19580560811</v>
      </c>
      <c r="C1061" s="68" t="s">
        <v>4978</v>
      </c>
      <c r="D1061" s="69">
        <v>28925414848</v>
      </c>
      <c r="E1061" s="9">
        <v>1359</v>
      </c>
      <c r="F1061" s="25">
        <v>43006</v>
      </c>
      <c r="G1061" s="70" t="s">
        <v>3402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4979</v>
      </c>
      <c r="B1062" s="67">
        <v>34230472838</v>
      </c>
      <c r="C1062" s="9" t="s">
        <v>3506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4980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4981</v>
      </c>
      <c r="B1064" s="67">
        <v>42398811883</v>
      </c>
      <c r="C1064" s="72" t="s">
        <v>4982</v>
      </c>
      <c r="D1064" s="69">
        <v>33876650836</v>
      </c>
      <c r="E1064" s="9">
        <v>117</v>
      </c>
      <c r="F1064" s="25">
        <v>43117</v>
      </c>
      <c r="G1064" s="70" t="s">
        <v>3402</v>
      </c>
      <c r="H1064" s="9"/>
      <c r="I1064" s="8"/>
      <c r="J1064" s="8"/>
      <c r="K1064" s="8"/>
      <c r="L1064" s="9" t="s">
        <v>3547</v>
      </c>
      <c r="M1064" s="8"/>
    </row>
    <row r="1065" spans="1:13" x14ac:dyDescent="0.25">
      <c r="A1065" s="13" t="s">
        <v>4983</v>
      </c>
      <c r="B1065" s="67">
        <v>3876363829</v>
      </c>
      <c r="C1065" s="72" t="s">
        <v>4984</v>
      </c>
      <c r="D1065" s="69">
        <v>9491364847</v>
      </c>
      <c r="E1065" s="9">
        <v>1359</v>
      </c>
      <c r="F1065" s="25">
        <v>43006</v>
      </c>
      <c r="G1065" s="70" t="s">
        <v>3396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4985</v>
      </c>
      <c r="B1066" s="67">
        <v>27340044884</v>
      </c>
      <c r="C1066" s="72" t="s">
        <v>4986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4987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4988</v>
      </c>
      <c r="B1068" s="67">
        <v>38422303892</v>
      </c>
      <c r="C1068" s="72" t="s">
        <v>4989</v>
      </c>
      <c r="D1068" s="69">
        <v>33753889857</v>
      </c>
      <c r="E1068" s="9">
        <v>608</v>
      </c>
      <c r="F1068" s="25">
        <v>43012</v>
      </c>
      <c r="G1068" s="70" t="s">
        <v>3396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4990</v>
      </c>
      <c r="B1069" s="67">
        <v>36171676837</v>
      </c>
      <c r="C1069" s="68" t="s">
        <v>4991</v>
      </c>
      <c r="D1069" s="69">
        <v>1470162580</v>
      </c>
      <c r="E1069" s="9">
        <v>1128</v>
      </c>
      <c r="F1069" s="25">
        <v>42972</v>
      </c>
      <c r="G1069" s="70" t="s">
        <v>3396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4992</v>
      </c>
      <c r="B1070" s="67">
        <v>42047014859</v>
      </c>
      <c r="C1070" s="72" t="s">
        <v>4993</v>
      </c>
      <c r="D1070" s="69">
        <v>9300065424</v>
      </c>
      <c r="E1070" s="9">
        <v>1417</v>
      </c>
      <c r="F1070" s="25">
        <v>43017</v>
      </c>
      <c r="G1070" s="70" t="s">
        <v>3402</v>
      </c>
      <c r="H1070" s="9"/>
      <c r="I1070" s="8"/>
      <c r="J1070" s="8"/>
      <c r="K1070" s="8"/>
      <c r="L1070" s="9" t="s">
        <v>3630</v>
      </c>
      <c r="M1070" s="8"/>
    </row>
    <row r="1071" spans="1:13" x14ac:dyDescent="0.25">
      <c r="A1071" s="29" t="s">
        <v>4994</v>
      </c>
      <c r="B1071" s="67">
        <v>34822545830</v>
      </c>
      <c r="C1071" s="18" t="s">
        <v>3506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4995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4996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3396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4997</v>
      </c>
      <c r="B1074" s="67">
        <v>1737249308</v>
      </c>
      <c r="C1074" s="72" t="s">
        <v>4998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4999</v>
      </c>
      <c r="B1075" s="67">
        <v>3844142576</v>
      </c>
      <c r="C1075" s="72" t="s">
        <v>5000</v>
      </c>
      <c r="D1075" s="69">
        <v>35502503801</v>
      </c>
      <c r="E1075" s="9">
        <v>810</v>
      </c>
      <c r="F1075" s="25">
        <v>42915</v>
      </c>
      <c r="G1075" s="70" t="s">
        <v>3396</v>
      </c>
      <c r="H1075" s="9"/>
      <c r="I1075" s="8"/>
      <c r="J1075" s="8"/>
      <c r="K1075" s="8"/>
      <c r="L1075" s="9" t="s">
        <v>3515</v>
      </c>
      <c r="M1075" s="8"/>
    </row>
    <row r="1076" spans="1:13" x14ac:dyDescent="0.25">
      <c r="A1076" s="71" t="s">
        <v>5001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5002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3396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5003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5004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3396</v>
      </c>
      <c r="H1079" s="9"/>
      <c r="I1079" s="8"/>
      <c r="J1079" s="8"/>
      <c r="K1079" s="8"/>
      <c r="L1079" s="9" t="s">
        <v>3547</v>
      </c>
      <c r="M1079" s="8"/>
    </row>
    <row r="1080" spans="1:13" x14ac:dyDescent="0.25">
      <c r="A1080" s="18" t="s">
        <v>5005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5006</v>
      </c>
      <c r="B1081" s="67">
        <v>44410556843</v>
      </c>
      <c r="C1081" s="72" t="s">
        <v>5007</v>
      </c>
      <c r="D1081" s="69">
        <v>39436457898</v>
      </c>
      <c r="E1081" s="9">
        <v>262</v>
      </c>
      <c r="F1081" s="25">
        <v>43160</v>
      </c>
      <c r="G1081" s="70" t="s">
        <v>3396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5008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3396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5009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5010</v>
      </c>
      <c r="B1084" s="67">
        <v>7838810884</v>
      </c>
      <c r="C1084" s="72" t="s">
        <v>5011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5012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3396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5013</v>
      </c>
      <c r="B1086" s="67">
        <v>18239878857</v>
      </c>
      <c r="C1086" s="72" t="s">
        <v>5014</v>
      </c>
      <c r="D1086" s="69">
        <v>18871709870</v>
      </c>
      <c r="E1086" s="9">
        <v>85</v>
      </c>
      <c r="F1086" s="25">
        <v>43109</v>
      </c>
      <c r="G1086" s="70" t="s">
        <v>3396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5015</v>
      </c>
      <c r="B1087" s="67">
        <v>33213821802</v>
      </c>
      <c r="C1087" s="18" t="s">
        <v>3506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5016</v>
      </c>
      <c r="B1088" s="67">
        <v>39075719833</v>
      </c>
      <c r="C1088" s="72" t="s">
        <v>5017</v>
      </c>
      <c r="D1088" s="69">
        <v>29754975809</v>
      </c>
      <c r="E1088" s="9">
        <v>810</v>
      </c>
      <c r="F1088" s="25">
        <v>42915</v>
      </c>
      <c r="G1088" s="70" t="s">
        <v>3402</v>
      </c>
      <c r="H1088" s="9"/>
      <c r="I1088" s="8"/>
      <c r="J1088" s="8"/>
      <c r="K1088" s="8"/>
      <c r="L1088" s="9" t="s">
        <v>3515</v>
      </c>
      <c r="M1088" s="8"/>
    </row>
    <row r="1089" spans="1:13" x14ac:dyDescent="0.25">
      <c r="A1089" s="71" t="s">
        <v>5018</v>
      </c>
      <c r="B1089" s="67">
        <v>22599824842</v>
      </c>
      <c r="C1089" s="73" t="s">
        <v>5019</v>
      </c>
      <c r="D1089" s="69" t="s">
        <v>5020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5021</v>
      </c>
      <c r="B1090" s="67">
        <v>41719739889</v>
      </c>
      <c r="C1090" s="72" t="s">
        <v>5022</v>
      </c>
      <c r="D1090" s="69">
        <v>35883252800</v>
      </c>
      <c r="E1090" s="9">
        <v>1752</v>
      </c>
      <c r="F1090" s="25">
        <v>43051</v>
      </c>
      <c r="G1090" s="70" t="s">
        <v>3396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5023</v>
      </c>
      <c r="B1091" s="67">
        <v>31524778800</v>
      </c>
      <c r="C1091" s="72" t="s">
        <v>5024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5025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5026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5027</v>
      </c>
      <c r="B1094" s="67">
        <v>6614830376</v>
      </c>
      <c r="C1094" s="72" t="s">
        <v>5028</v>
      </c>
      <c r="D1094" s="69">
        <v>6372277352</v>
      </c>
      <c r="E1094" s="9">
        <v>229</v>
      </c>
      <c r="F1094" s="25">
        <v>43151</v>
      </c>
      <c r="G1094" s="70" t="s">
        <v>3396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5029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5030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3396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5031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5032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3396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5033</v>
      </c>
      <c r="B1099" s="67">
        <v>23047254818</v>
      </c>
      <c r="C1099" s="18" t="s">
        <v>3506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5034</v>
      </c>
      <c r="B1100" s="69">
        <v>15755371504</v>
      </c>
      <c r="C1100" s="71" t="s">
        <v>5035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5036</v>
      </c>
      <c r="B1101" s="67"/>
      <c r="C1101" s="29" t="s">
        <v>3506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5037</v>
      </c>
      <c r="B1102" s="67">
        <v>37975016845</v>
      </c>
      <c r="C1102" s="72" t="s">
        <v>5038</v>
      </c>
      <c r="D1102" s="69">
        <v>31274964865</v>
      </c>
      <c r="E1102" s="9">
        <v>810</v>
      </c>
      <c r="F1102" s="25">
        <v>42915</v>
      </c>
      <c r="G1102" s="70" t="s">
        <v>3396</v>
      </c>
      <c r="H1102" s="9"/>
      <c r="I1102" s="8"/>
      <c r="J1102" s="8"/>
      <c r="K1102" s="8"/>
      <c r="L1102" s="9" t="s">
        <v>3515</v>
      </c>
      <c r="M1102" s="8"/>
    </row>
    <row r="1103" spans="1:13" x14ac:dyDescent="0.25">
      <c r="A1103" s="71" t="s">
        <v>5039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5040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5041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3396</v>
      </c>
      <c r="H1105" s="9"/>
      <c r="I1105" s="8"/>
      <c r="J1105" s="8"/>
      <c r="K1105" s="8"/>
      <c r="L1105" s="9" t="s">
        <v>3547</v>
      </c>
      <c r="M1105" s="8"/>
    </row>
    <row r="1106" spans="1:13" x14ac:dyDescent="0.25">
      <c r="A1106" s="14" t="s">
        <v>5042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3396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5043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5044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3396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5045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5046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5047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3396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5048</v>
      </c>
      <c r="B1112" s="67"/>
      <c r="C1112" s="29" t="s">
        <v>5049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5050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5051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5052</v>
      </c>
      <c r="B1115" s="67">
        <v>31228148899</v>
      </c>
      <c r="C1115" s="18" t="s">
        <v>5053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5054</v>
      </c>
      <c r="B1116" s="67">
        <v>28077309810</v>
      </c>
      <c r="C1116" s="72" t="s">
        <v>5055</v>
      </c>
      <c r="D1116" s="69">
        <v>62568370530</v>
      </c>
      <c r="E1116" s="9">
        <v>229</v>
      </c>
      <c r="F1116" s="25">
        <v>43151</v>
      </c>
      <c r="G1116" s="70" t="s">
        <v>3396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5056</v>
      </c>
      <c r="B1117" s="67">
        <v>43681754845</v>
      </c>
      <c r="C1117" s="72" t="s">
        <v>5057</v>
      </c>
      <c r="D1117" s="69">
        <v>51120226805</v>
      </c>
      <c r="E1117" s="9">
        <v>1555</v>
      </c>
      <c r="F1117" s="25">
        <v>43049</v>
      </c>
      <c r="G1117" s="70" t="s">
        <v>3396</v>
      </c>
      <c r="H1117" s="9"/>
      <c r="I1117" s="8"/>
      <c r="J1117" s="8"/>
      <c r="K1117" s="8"/>
      <c r="L1117" s="9" t="s">
        <v>3775</v>
      </c>
      <c r="M1117" s="8"/>
    </row>
    <row r="1118" spans="1:13" x14ac:dyDescent="0.25">
      <c r="A1118" s="29" t="s">
        <v>5058</v>
      </c>
      <c r="B1118" s="67"/>
      <c r="C1118" s="29" t="s">
        <v>5059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5060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5061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3396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5062</v>
      </c>
      <c r="B1121" s="67">
        <v>44708151870</v>
      </c>
      <c r="C1121" s="88" t="s">
        <v>5063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5064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5065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5066</v>
      </c>
      <c r="B1124" s="67">
        <v>8368671817</v>
      </c>
      <c r="C1124" s="72" t="s">
        <v>5067</v>
      </c>
      <c r="D1124" s="69">
        <v>19184424877</v>
      </c>
      <c r="E1124" s="9">
        <v>292</v>
      </c>
      <c r="F1124" s="25">
        <v>43168</v>
      </c>
      <c r="G1124" s="70" t="s">
        <v>3396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5068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3396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5069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3396</v>
      </c>
      <c r="H1126" s="9"/>
      <c r="I1126" s="8"/>
      <c r="J1126" s="8"/>
      <c r="K1126" s="8"/>
      <c r="L1126" s="9" t="s">
        <v>3515</v>
      </c>
      <c r="M1126" s="8"/>
    </row>
    <row r="1127" spans="1:13" x14ac:dyDescent="0.25">
      <c r="A1127" s="18" t="s">
        <v>5070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5071</v>
      </c>
      <c r="B1128" s="67">
        <v>45127604825</v>
      </c>
      <c r="C1128" s="72" t="s">
        <v>5072</v>
      </c>
      <c r="D1128" s="69" t="s">
        <v>5073</v>
      </c>
      <c r="E1128" s="9">
        <v>229</v>
      </c>
      <c r="F1128" s="25">
        <v>43151</v>
      </c>
      <c r="G1128" s="70" t="s">
        <v>3410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5074</v>
      </c>
      <c r="B1129" s="67">
        <v>42987674856</v>
      </c>
      <c r="C1129" s="72" t="s">
        <v>5075</v>
      </c>
      <c r="D1129" s="69">
        <v>38745840890</v>
      </c>
      <c r="E1129" s="9">
        <v>85</v>
      </c>
      <c r="F1129" s="25">
        <v>43109</v>
      </c>
      <c r="G1129" s="70" t="s">
        <v>3396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5076</v>
      </c>
      <c r="B1130" s="67">
        <v>36406558855</v>
      </c>
      <c r="C1130" s="72" t="s">
        <v>5077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5078</v>
      </c>
      <c r="B1131" s="67">
        <v>22758320843</v>
      </c>
      <c r="C1131" s="72" t="s">
        <v>5079</v>
      </c>
      <c r="D1131" s="69">
        <v>14229403810</v>
      </c>
      <c r="E1131" s="9">
        <v>1752</v>
      </c>
      <c r="F1131" s="25">
        <v>43051</v>
      </c>
      <c r="G1131" s="70" t="s">
        <v>3396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5080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5081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3396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5082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3396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5083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3396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5084</v>
      </c>
      <c r="B1136" s="67">
        <v>32518683810</v>
      </c>
      <c r="C1136" s="72" t="s">
        <v>5085</v>
      </c>
      <c r="D1136" s="69">
        <v>32570919829</v>
      </c>
      <c r="E1136" s="9">
        <v>262</v>
      </c>
      <c r="F1136" s="25">
        <v>43160</v>
      </c>
      <c r="G1136" s="70" t="s">
        <v>3402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5086</v>
      </c>
      <c r="B1137" s="67">
        <v>35723911805</v>
      </c>
      <c r="C1137" s="18" t="s">
        <v>3506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5087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3396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5088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3396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5089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3396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5090</v>
      </c>
      <c r="B1141" s="67">
        <v>9527670667</v>
      </c>
      <c r="C1141" s="18" t="s">
        <v>5091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5092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3396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5093</v>
      </c>
      <c r="B1143" s="80">
        <v>15404916842</v>
      </c>
      <c r="C1143" s="81" t="s">
        <v>5094</v>
      </c>
      <c r="D1143" s="82">
        <v>26437120487</v>
      </c>
      <c r="E1143" s="47">
        <v>1752</v>
      </c>
      <c r="F1143" s="48">
        <v>43051</v>
      </c>
      <c r="G1143" s="83" t="s">
        <v>3410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5095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3396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5096</v>
      </c>
      <c r="B1145" s="67">
        <v>16618981816</v>
      </c>
      <c r="C1145" s="77" t="s">
        <v>5097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5098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3396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5099</v>
      </c>
      <c r="B1147" s="67">
        <v>14396561857</v>
      </c>
      <c r="C1147" s="72" t="s">
        <v>5100</v>
      </c>
      <c r="D1147" s="69">
        <v>26877955854</v>
      </c>
      <c r="E1147" s="9">
        <v>1350</v>
      </c>
      <c r="F1147" s="25">
        <v>43006</v>
      </c>
      <c r="G1147" s="70" t="s">
        <v>3396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5101</v>
      </c>
      <c r="B1148" s="67">
        <v>89014774591</v>
      </c>
      <c r="C1148" s="72" t="s">
        <v>5102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5103</v>
      </c>
      <c r="B1149" s="67">
        <v>36708561883</v>
      </c>
      <c r="C1149" s="72" t="s">
        <v>5104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5105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3396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5106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3396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5107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3396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5108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5109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5110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3396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5111</v>
      </c>
      <c r="B1156" s="67">
        <v>35706404852</v>
      </c>
      <c r="C1156" s="72"/>
      <c r="D1156" s="69"/>
      <c r="E1156" s="9">
        <v>117</v>
      </c>
      <c r="F1156" s="25"/>
      <c r="G1156" s="70" t="s">
        <v>3410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5112</v>
      </c>
      <c r="B1157" s="67">
        <v>2044062348</v>
      </c>
      <c r="C1157" s="72" t="s">
        <v>5113</v>
      </c>
      <c r="D1157" s="69">
        <v>61505005353</v>
      </c>
      <c r="E1157" s="9">
        <v>1214</v>
      </c>
      <c r="F1157" s="25">
        <v>42989</v>
      </c>
      <c r="G1157" s="70" t="s">
        <v>3396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5114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3396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5115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5116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3396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5117</v>
      </c>
      <c r="B1161" s="67">
        <v>11126789801</v>
      </c>
      <c r="C1161" s="72" t="s">
        <v>5118</v>
      </c>
      <c r="D1161" s="69">
        <v>13442330823</v>
      </c>
      <c r="E1161" s="9">
        <v>85</v>
      </c>
      <c r="F1161" s="25">
        <v>43109</v>
      </c>
      <c r="G1161" s="70" t="s">
        <v>3396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5119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3396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5120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3396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5121</v>
      </c>
      <c r="B1164" s="67">
        <v>42134258861</v>
      </c>
      <c r="C1164" s="72" t="s">
        <v>5122</v>
      </c>
      <c r="D1164" s="69">
        <v>36485490817</v>
      </c>
      <c r="E1164" s="9">
        <v>262</v>
      </c>
      <c r="F1164" s="25">
        <v>43160</v>
      </c>
      <c r="G1164" s="9" t="s">
        <v>3396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5123</v>
      </c>
      <c r="B1165" s="67">
        <v>1772681318</v>
      </c>
      <c r="C1165" s="72" t="s">
        <v>5124</v>
      </c>
      <c r="D1165" s="69">
        <v>88109810306</v>
      </c>
      <c r="E1165" s="9">
        <v>85</v>
      </c>
      <c r="F1165" s="25">
        <v>43109</v>
      </c>
      <c r="G1165" s="70" t="s">
        <v>3396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5125</v>
      </c>
      <c r="B1166" s="67">
        <v>88244881291</v>
      </c>
      <c r="C1166" s="72" t="s">
        <v>5126</v>
      </c>
      <c r="D1166" s="69">
        <v>71885609272</v>
      </c>
      <c r="E1166" s="9">
        <v>292</v>
      </c>
      <c r="F1166" s="25">
        <v>43168</v>
      </c>
      <c r="G1166" s="9" t="s">
        <v>3396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5127</v>
      </c>
      <c r="B1167" s="67">
        <v>33535539838</v>
      </c>
      <c r="C1167" s="72" t="s">
        <v>5128</v>
      </c>
      <c r="D1167" s="69">
        <v>19438586830</v>
      </c>
      <c r="E1167" s="9">
        <v>85</v>
      </c>
      <c r="F1167" s="25">
        <v>43109</v>
      </c>
      <c r="G1167" s="70" t="s">
        <v>3396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5129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3396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5130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3396</v>
      </c>
      <c r="H1169" s="9"/>
      <c r="I1169" s="8"/>
      <c r="J1169" s="8"/>
      <c r="K1169" s="8"/>
      <c r="L1169" s="9" t="s">
        <v>3547</v>
      </c>
      <c r="M1169" s="8"/>
    </row>
    <row r="1170" spans="1:13" x14ac:dyDescent="0.25">
      <c r="A1170" s="71" t="s">
        <v>5131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5132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3396</v>
      </c>
      <c r="H1171" s="9"/>
      <c r="I1171" s="8"/>
      <c r="J1171" s="8"/>
      <c r="K1171" s="8"/>
      <c r="L1171" s="9" t="s">
        <v>3515</v>
      </c>
      <c r="M1171" s="8"/>
    </row>
    <row r="1172" spans="1:13" x14ac:dyDescent="0.25">
      <c r="A1172" s="71" t="s">
        <v>5133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3396</v>
      </c>
      <c r="H1172" s="9"/>
      <c r="I1172" s="8"/>
      <c r="J1172" s="8"/>
      <c r="K1172" s="8"/>
      <c r="L1172" s="9" t="s">
        <v>3775</v>
      </c>
      <c r="M1172" s="8"/>
    </row>
    <row r="1173" spans="1:13" x14ac:dyDescent="0.25">
      <c r="A1173" s="72" t="s">
        <v>5134</v>
      </c>
      <c r="B1173" s="67">
        <v>42160981850</v>
      </c>
      <c r="C1173" s="72" t="s">
        <v>5135</v>
      </c>
      <c r="D1173" s="69">
        <v>40077808894</v>
      </c>
      <c r="E1173" s="9">
        <v>608</v>
      </c>
      <c r="F1173" s="25">
        <v>43012</v>
      </c>
      <c r="G1173" s="70" t="s">
        <v>3396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5136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3402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5137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5138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3676</v>
      </c>
      <c r="M1176" s="8"/>
    </row>
    <row r="1177" spans="1:13" x14ac:dyDescent="0.25">
      <c r="A1177" s="29" t="s">
        <v>5139</v>
      </c>
      <c r="B1177" s="67"/>
      <c r="C1177" s="29" t="s">
        <v>5140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5141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5142</v>
      </c>
      <c r="B1179" s="67">
        <v>11754585469</v>
      </c>
      <c r="C1179" s="77" t="s">
        <v>5143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3676</v>
      </c>
      <c r="M1179" s="8"/>
    </row>
    <row r="1180" spans="1:13" x14ac:dyDescent="0.25">
      <c r="A1180" s="29" t="s">
        <v>5144</v>
      </c>
      <c r="B1180" s="67">
        <v>7621874503</v>
      </c>
      <c r="C1180" s="29" t="s">
        <v>5145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5146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3396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5147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3396</v>
      </c>
      <c r="H1182" s="9"/>
      <c r="I1182" s="8"/>
      <c r="J1182" s="8"/>
      <c r="K1182" s="8"/>
      <c r="L1182" s="9" t="s">
        <v>3775</v>
      </c>
      <c r="M1182" s="8"/>
    </row>
    <row r="1183" spans="1:13" x14ac:dyDescent="0.25">
      <c r="A1183" s="29" t="s">
        <v>5148</v>
      </c>
      <c r="B1183" s="67">
        <v>29913700841</v>
      </c>
      <c r="C1183" s="18" t="s">
        <v>3506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5149</v>
      </c>
      <c r="B1184" s="67">
        <v>28907743843</v>
      </c>
      <c r="C1184" s="29" t="s">
        <v>5150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5151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3396</v>
      </c>
      <c r="H1185" s="9"/>
      <c r="I1185" s="8"/>
      <c r="J1185" s="8"/>
      <c r="K1185" s="8"/>
      <c r="L1185" s="9" t="s">
        <v>3515</v>
      </c>
      <c r="M1185" s="8"/>
    </row>
    <row r="1186" spans="1:13" x14ac:dyDescent="0.25">
      <c r="A1186" s="29" t="s">
        <v>5152</v>
      </c>
      <c r="B1186" s="67"/>
      <c r="C1186" s="18" t="s">
        <v>3506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5153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3396</v>
      </c>
      <c r="H1187" s="9"/>
      <c r="I1187" s="8"/>
      <c r="J1187" s="8"/>
      <c r="K1187" s="8"/>
      <c r="L1187" s="9" t="s">
        <v>3515</v>
      </c>
      <c r="M1187" s="8"/>
    </row>
    <row r="1188" spans="1:13" x14ac:dyDescent="0.25">
      <c r="A1188" s="73" t="s">
        <v>5154</v>
      </c>
      <c r="B1188" s="67">
        <v>1198397500</v>
      </c>
      <c r="C1188" s="72" t="s">
        <v>5155</v>
      </c>
      <c r="D1188" s="69">
        <v>87142503572</v>
      </c>
      <c r="E1188" s="9">
        <v>810</v>
      </c>
      <c r="F1188" s="25">
        <v>42915</v>
      </c>
      <c r="G1188" s="70" t="s">
        <v>3396</v>
      </c>
      <c r="H1188" s="9"/>
      <c r="I1188" s="8"/>
      <c r="J1188" s="8"/>
      <c r="K1188" s="8"/>
      <c r="L1188" s="9" t="s">
        <v>3515</v>
      </c>
      <c r="M1188" s="8"/>
    </row>
    <row r="1189" spans="1:13" x14ac:dyDescent="0.25">
      <c r="A1189" s="29" t="s">
        <v>5156</v>
      </c>
      <c r="B1189" s="67">
        <v>17487364852</v>
      </c>
      <c r="C1189" s="29" t="s">
        <v>5157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5158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3396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5159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5160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5161</v>
      </c>
      <c r="B1193" s="67">
        <v>32993187805</v>
      </c>
      <c r="C1193" s="72" t="s">
        <v>5162</v>
      </c>
      <c r="D1193" s="69">
        <v>2605272460</v>
      </c>
      <c r="E1193" s="9">
        <v>1439</v>
      </c>
      <c r="F1193" s="25">
        <v>43025</v>
      </c>
      <c r="G1193" s="70" t="s">
        <v>3396</v>
      </c>
      <c r="H1193" s="9"/>
      <c r="I1193" s="8"/>
      <c r="J1193" s="8"/>
      <c r="K1193" s="8"/>
      <c r="L1193" s="9" t="s">
        <v>3878</v>
      </c>
      <c r="M1193" s="8"/>
    </row>
    <row r="1194" spans="1:13" x14ac:dyDescent="0.25">
      <c r="A1194" s="71" t="s">
        <v>5163</v>
      </c>
      <c r="B1194" s="67">
        <v>33182368885</v>
      </c>
      <c r="C1194" s="77" t="s">
        <v>5164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5165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3396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5166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3396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5167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3396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5168</v>
      </c>
      <c r="B1198" s="67">
        <v>32557609846</v>
      </c>
      <c r="C1198" s="72" t="s">
        <v>5169</v>
      </c>
      <c r="D1198" s="69">
        <v>19150806904</v>
      </c>
      <c r="E1198" s="9">
        <v>1241</v>
      </c>
      <c r="F1198" s="25">
        <v>42992</v>
      </c>
      <c r="G1198" s="70" t="s">
        <v>3396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5170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3396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5171</v>
      </c>
      <c r="B1200" s="67">
        <v>38236980871</v>
      </c>
      <c r="C1200" s="72" t="s">
        <v>5172</v>
      </c>
      <c r="D1200" s="69">
        <v>5177834360</v>
      </c>
      <c r="E1200" s="9">
        <v>262</v>
      </c>
      <c r="F1200" s="25">
        <v>43160</v>
      </c>
      <c r="G1200" s="70" t="s">
        <v>3396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5173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3396</v>
      </c>
      <c r="H1201" s="9"/>
      <c r="I1201" s="8"/>
      <c r="J1201" s="8"/>
      <c r="K1201" s="8"/>
      <c r="L1201" s="9" t="s">
        <v>3515</v>
      </c>
      <c r="M1201" s="8"/>
    </row>
    <row r="1202" spans="1:13" x14ac:dyDescent="0.25">
      <c r="A1202" s="72" t="s">
        <v>5174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5175</v>
      </c>
      <c r="B1203" s="67">
        <v>177446102</v>
      </c>
      <c r="C1203" s="72" t="s">
        <v>5176</v>
      </c>
      <c r="D1203" s="69">
        <v>31301235806</v>
      </c>
      <c r="E1203" s="9">
        <v>229</v>
      </c>
      <c r="F1203" s="25">
        <v>43151</v>
      </c>
      <c r="G1203" s="70" t="s">
        <v>3396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5177</v>
      </c>
      <c r="B1204" s="67"/>
      <c r="C1204" s="29" t="s">
        <v>3506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5178</v>
      </c>
      <c r="B1205" s="67">
        <v>22394984805</v>
      </c>
      <c r="C1205" s="72" t="s">
        <v>5179</v>
      </c>
      <c r="D1205" s="69">
        <v>29161087858</v>
      </c>
      <c r="E1205" s="9">
        <v>1106</v>
      </c>
      <c r="F1205" s="25">
        <v>42965</v>
      </c>
      <c r="G1205" s="70" t="s">
        <v>3396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5180</v>
      </c>
      <c r="B1206" s="67">
        <v>22495577806</v>
      </c>
      <c r="C1206" s="72" t="s">
        <v>5181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5182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5183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5184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3396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5185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5186</v>
      </c>
      <c r="B1211" s="67">
        <v>37304527897</v>
      </c>
      <c r="C1211" s="72" t="s">
        <v>5187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5188</v>
      </c>
      <c r="B1212" s="67">
        <v>11328067807</v>
      </c>
      <c r="C1212" s="72" t="s">
        <v>5189</v>
      </c>
      <c r="D1212" s="69">
        <v>60769793800</v>
      </c>
      <c r="E1212" s="9">
        <v>262</v>
      </c>
      <c r="F1212" s="25">
        <v>43160</v>
      </c>
      <c r="G1212" s="70" t="s">
        <v>3396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5190</v>
      </c>
      <c r="B1213" s="67">
        <v>4007781575</v>
      </c>
      <c r="C1213" s="72" t="s">
        <v>5191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5192</v>
      </c>
      <c r="B1214" s="67">
        <v>38448111842</v>
      </c>
      <c r="C1214" s="72" t="s">
        <v>5193</v>
      </c>
      <c r="D1214" s="69">
        <v>38350911824</v>
      </c>
      <c r="E1214" s="9"/>
      <c r="F1214" s="25"/>
      <c r="G1214" s="70" t="s">
        <v>3396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5194</v>
      </c>
      <c r="B1215" s="67"/>
      <c r="C1215" s="18" t="s">
        <v>3506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5195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3396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5196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3396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5197</v>
      </c>
      <c r="B1218" s="67">
        <v>29040829802</v>
      </c>
      <c r="C1218" s="68" t="s">
        <v>5198</v>
      </c>
      <c r="D1218" s="69">
        <v>17804755864</v>
      </c>
      <c r="E1218" s="9">
        <v>1128</v>
      </c>
      <c r="F1218" s="25">
        <v>42972</v>
      </c>
      <c r="G1218" s="70" t="s">
        <v>3396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5199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5200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3396</v>
      </c>
      <c r="H1220" s="9"/>
      <c r="I1220" s="8"/>
      <c r="J1220" s="8"/>
      <c r="K1220" s="8"/>
      <c r="L1220" s="9" t="s">
        <v>3630</v>
      </c>
      <c r="M1220" s="8"/>
    </row>
    <row r="1221" spans="1:13" x14ac:dyDescent="0.25">
      <c r="A1221" s="14" t="s">
        <v>5201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5202</v>
      </c>
      <c r="B1222" s="67">
        <v>22614376841</v>
      </c>
      <c r="C1222" s="18" t="s">
        <v>3506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5203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5204</v>
      </c>
      <c r="B1224" s="67">
        <v>95023003515</v>
      </c>
      <c r="C1224" s="72" t="s">
        <v>5205</v>
      </c>
      <c r="D1224" s="69">
        <v>2283584507</v>
      </c>
      <c r="E1224" s="9">
        <v>117</v>
      </c>
      <c r="F1224" s="25">
        <v>43117</v>
      </c>
      <c r="G1224" s="70" t="s">
        <v>3396</v>
      </c>
      <c r="H1224" s="9"/>
      <c r="I1224" s="8"/>
      <c r="J1224" s="8"/>
      <c r="K1224" s="8"/>
      <c r="L1224" s="9" t="s">
        <v>3547</v>
      </c>
      <c r="M1224" s="8"/>
    </row>
    <row r="1225" spans="1:13" x14ac:dyDescent="0.25">
      <c r="A1225" s="15" t="s">
        <v>5206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3396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5207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5208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3396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5209</v>
      </c>
      <c r="B1228" s="67">
        <v>40584610807</v>
      </c>
      <c r="C1228" s="72" t="s">
        <v>5210</v>
      </c>
      <c r="D1228" s="69">
        <v>29182543801</v>
      </c>
      <c r="E1228" s="9">
        <v>810</v>
      </c>
      <c r="F1228" s="25">
        <v>42915</v>
      </c>
      <c r="G1228" s="70" t="s">
        <v>3396</v>
      </c>
      <c r="H1228" s="9"/>
      <c r="I1228" s="8"/>
      <c r="J1228" s="8"/>
      <c r="K1228" s="8"/>
      <c r="L1228" s="9" t="s">
        <v>3515</v>
      </c>
      <c r="M1228" s="8"/>
    </row>
    <row r="1229" spans="1:13" x14ac:dyDescent="0.25">
      <c r="A1229" s="71" t="s">
        <v>5211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3396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5212</v>
      </c>
      <c r="B1230" s="67">
        <v>2330650590</v>
      </c>
      <c r="C1230" s="18" t="s">
        <v>3769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5213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3676</v>
      </c>
      <c r="M1231" s="8"/>
    </row>
    <row r="1232" spans="1:13" x14ac:dyDescent="0.25">
      <c r="A1232" s="71" t="s">
        <v>5214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3396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5215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5216</v>
      </c>
      <c r="B1234" s="67">
        <v>35116318826</v>
      </c>
      <c r="C1234" s="72" t="s">
        <v>5217</v>
      </c>
      <c r="D1234" s="69">
        <v>22432837860</v>
      </c>
      <c r="E1234" s="9">
        <v>1824</v>
      </c>
      <c r="F1234" s="25">
        <v>43091</v>
      </c>
      <c r="G1234" s="70" t="s">
        <v>3396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5218</v>
      </c>
      <c r="B1235" s="67">
        <v>40048912808</v>
      </c>
      <c r="C1235" s="72" t="s">
        <v>5219</v>
      </c>
      <c r="D1235" s="69">
        <v>43519054841</v>
      </c>
      <c r="E1235" s="9">
        <v>262</v>
      </c>
      <c r="F1235" s="25">
        <v>43160</v>
      </c>
      <c r="G1235" s="70" t="s">
        <v>3396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5220</v>
      </c>
      <c r="B1236" s="67">
        <v>26016197831</v>
      </c>
      <c r="C1236" s="15" t="s">
        <v>5221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5222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3396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5223</v>
      </c>
      <c r="B1238" s="67">
        <v>40121535878</v>
      </c>
      <c r="C1238" s="72" t="s">
        <v>5224</v>
      </c>
      <c r="D1238" s="69">
        <v>33343601802</v>
      </c>
      <c r="E1238" s="9">
        <v>292</v>
      </c>
      <c r="F1238" s="25">
        <v>43168</v>
      </c>
      <c r="G1238" s="70" t="s">
        <v>3396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5225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3396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5226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3396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5227</v>
      </c>
      <c r="B1241" s="67">
        <v>31029975892</v>
      </c>
      <c r="C1241" s="72" t="s">
        <v>5228</v>
      </c>
      <c r="D1241" s="69">
        <v>36873004472</v>
      </c>
      <c r="E1241" s="9">
        <v>1106</v>
      </c>
      <c r="F1241" s="25">
        <v>42965</v>
      </c>
      <c r="G1241" s="9" t="s">
        <v>3396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5229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3396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5230</v>
      </c>
      <c r="B1243" s="67">
        <v>36051592814</v>
      </c>
      <c r="C1243" s="72" t="s">
        <v>5231</v>
      </c>
      <c r="D1243" s="69">
        <v>13109522847</v>
      </c>
      <c r="E1243" s="9">
        <v>810</v>
      </c>
      <c r="F1243" s="25">
        <v>42915</v>
      </c>
      <c r="G1243" s="70" t="s">
        <v>3396</v>
      </c>
      <c r="H1243" s="9"/>
      <c r="I1243" s="8"/>
      <c r="J1243" s="8"/>
      <c r="K1243" s="8"/>
      <c r="L1243" s="9" t="s">
        <v>3515</v>
      </c>
      <c r="M1243" s="8"/>
    </row>
    <row r="1244" spans="1:13" x14ac:dyDescent="0.25">
      <c r="A1244" s="71" t="s">
        <v>5232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5233</v>
      </c>
      <c r="B1245" s="67">
        <v>28142782820</v>
      </c>
      <c r="C1245" s="18" t="s">
        <v>5234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5235</v>
      </c>
      <c r="B1246" s="67">
        <v>30088939880</v>
      </c>
      <c r="C1246" s="72" t="s">
        <v>5236</v>
      </c>
      <c r="D1246" s="69">
        <v>2051861579</v>
      </c>
      <c r="E1246" s="9">
        <v>292</v>
      </c>
      <c r="F1246" s="25">
        <v>43168</v>
      </c>
      <c r="G1246" s="9" t="s">
        <v>3396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5237</v>
      </c>
      <c r="B1247" s="67">
        <v>11525085476</v>
      </c>
      <c r="C1247" s="72" t="s">
        <v>5238</v>
      </c>
      <c r="D1247" s="69">
        <v>9293576473</v>
      </c>
      <c r="E1247" s="9">
        <v>262</v>
      </c>
      <c r="F1247" s="25">
        <v>43160</v>
      </c>
      <c r="G1247" s="70" t="s">
        <v>3396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5239</v>
      </c>
      <c r="B1248" s="67"/>
      <c r="C1248" s="29" t="s">
        <v>5240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5241</v>
      </c>
      <c r="B1249" s="67">
        <v>31265129843</v>
      </c>
      <c r="C1249" s="68" t="s">
        <v>5242</v>
      </c>
      <c r="D1249" s="69">
        <v>2078435546</v>
      </c>
      <c r="E1249" s="9">
        <v>1241</v>
      </c>
      <c r="F1249" s="25">
        <v>42992</v>
      </c>
      <c r="G1249" s="70" t="s">
        <v>3396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5243</v>
      </c>
      <c r="B1250" s="67">
        <v>22524200817</v>
      </c>
      <c r="C1250" s="72" t="s">
        <v>5244</v>
      </c>
      <c r="D1250" s="69">
        <v>22961531861</v>
      </c>
      <c r="E1250" s="9">
        <v>229</v>
      </c>
      <c r="F1250" s="25">
        <v>43151</v>
      </c>
      <c r="G1250" s="70" t="s">
        <v>3402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5245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3396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5246</v>
      </c>
      <c r="B1252" s="67">
        <v>29736807860</v>
      </c>
      <c r="C1252" s="72" t="s">
        <v>5247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5248</v>
      </c>
      <c r="B1253" s="67">
        <v>4890860398</v>
      </c>
      <c r="C1253" s="72" t="s">
        <v>5249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5250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3396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5251</v>
      </c>
      <c r="B1255" s="67">
        <v>35336343889</v>
      </c>
      <c r="C1255" s="18" t="s">
        <v>5252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5253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3676</v>
      </c>
      <c r="M1256" s="8"/>
    </row>
    <row r="1257" spans="1:13" x14ac:dyDescent="0.25">
      <c r="A1257" s="14" t="s">
        <v>5254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5255</v>
      </c>
      <c r="B1258" s="67">
        <v>39107511809</v>
      </c>
      <c r="C1258" s="72" t="s">
        <v>5256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5257</v>
      </c>
      <c r="B1259" s="67">
        <v>6652314584</v>
      </c>
      <c r="C1259" s="72" t="s">
        <v>5258</v>
      </c>
      <c r="D1259" s="69">
        <v>4945754500</v>
      </c>
      <c r="E1259" s="9">
        <v>85</v>
      </c>
      <c r="F1259" s="25">
        <v>43109</v>
      </c>
      <c r="G1259" s="70" t="s">
        <v>3402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5259</v>
      </c>
      <c r="B1260" s="67">
        <v>43135974847</v>
      </c>
      <c r="C1260" s="73" t="s">
        <v>5260</v>
      </c>
      <c r="D1260" s="69" t="s">
        <v>5261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3676</v>
      </c>
      <c r="M1260" s="8"/>
    </row>
    <row r="1261" spans="1:13" x14ac:dyDescent="0.25">
      <c r="A1261" s="13" t="s">
        <v>5262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3396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5263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3676</v>
      </c>
      <c r="M1262" s="8"/>
    </row>
    <row r="1263" spans="1:13" x14ac:dyDescent="0.25">
      <c r="A1263" s="14" t="s">
        <v>5264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3396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5265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5266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3402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5267</v>
      </c>
      <c r="B1266" s="67">
        <v>1748350943</v>
      </c>
      <c r="C1266" s="72" t="s">
        <v>5268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5269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5270</v>
      </c>
      <c r="B1268" s="67">
        <v>23502610851</v>
      </c>
      <c r="C1268" s="73" t="s">
        <v>5271</v>
      </c>
      <c r="D1268" s="69" t="s">
        <v>5272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5273</v>
      </c>
      <c r="B1269" s="67">
        <v>48857598896</v>
      </c>
      <c r="C1269" s="72" t="s">
        <v>5274</v>
      </c>
      <c r="D1269" s="69">
        <v>36223394896</v>
      </c>
      <c r="E1269" s="9">
        <v>262</v>
      </c>
      <c r="F1269" s="25">
        <v>43160</v>
      </c>
      <c r="G1269" s="46" t="s">
        <v>3402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5275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5276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5277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3396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5278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3676</v>
      </c>
      <c r="M1273" s="8"/>
    </row>
    <row r="1274" spans="1:13" x14ac:dyDescent="0.25">
      <c r="A1274" s="71" t="s">
        <v>5279</v>
      </c>
      <c r="B1274" s="78" t="s">
        <v>5280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5281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3396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5282</v>
      </c>
      <c r="B1276" s="67">
        <v>16354483876</v>
      </c>
      <c r="C1276" s="68" t="s">
        <v>5283</v>
      </c>
      <c r="D1276" s="69">
        <v>2853992845</v>
      </c>
      <c r="E1276" s="9">
        <v>1267</v>
      </c>
      <c r="F1276" s="25">
        <v>42998</v>
      </c>
      <c r="G1276" s="70" t="s">
        <v>3396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5284</v>
      </c>
      <c r="B1277" s="67">
        <v>40753885816</v>
      </c>
      <c r="C1277" s="72" t="s">
        <v>5285</v>
      </c>
      <c r="D1277" s="69">
        <v>35877507850</v>
      </c>
      <c r="E1277" s="9">
        <v>85</v>
      </c>
      <c r="F1277" s="25">
        <v>43109</v>
      </c>
      <c r="G1277" s="70" t="s">
        <v>3396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5286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3396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5287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3396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5288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5289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3396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5290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5291</v>
      </c>
      <c r="B1283" s="67">
        <v>44632196800</v>
      </c>
      <c r="C1283" s="72" t="s">
        <v>5292</v>
      </c>
      <c r="D1283" s="69">
        <v>38901506831</v>
      </c>
      <c r="E1283" s="9">
        <v>1359</v>
      </c>
      <c r="F1283" s="25">
        <v>43006</v>
      </c>
      <c r="G1283" s="9" t="s">
        <v>3396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5293</v>
      </c>
      <c r="B1284" s="67"/>
      <c r="C1284" s="18" t="s">
        <v>5294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5295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3396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5296</v>
      </c>
      <c r="B1286" s="67">
        <v>7354753505</v>
      </c>
      <c r="C1286" s="72" t="s">
        <v>5297</v>
      </c>
      <c r="D1286" s="69">
        <v>26646541876</v>
      </c>
      <c r="E1286" s="9">
        <v>117</v>
      </c>
      <c r="F1286" s="25">
        <v>43117</v>
      </c>
      <c r="G1286" s="70" t="s">
        <v>3396</v>
      </c>
      <c r="H1286" s="9"/>
      <c r="I1286" s="8"/>
      <c r="J1286" s="8"/>
      <c r="K1286" s="8"/>
      <c r="L1286" s="9" t="s">
        <v>3547</v>
      </c>
      <c r="M1286" s="8"/>
    </row>
    <row r="1287" spans="1:13" x14ac:dyDescent="0.25">
      <c r="A1287" s="71" t="s">
        <v>5298</v>
      </c>
      <c r="B1287" s="67">
        <v>45378515890</v>
      </c>
      <c r="C1287" s="72" t="s">
        <v>5299</v>
      </c>
      <c r="D1287" s="69">
        <v>35635754520</v>
      </c>
      <c r="E1287" s="9">
        <v>1752</v>
      </c>
      <c r="F1287" s="25">
        <v>43051</v>
      </c>
      <c r="G1287" s="70" t="s">
        <v>3396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5300</v>
      </c>
      <c r="B1288" s="67">
        <v>41274505844</v>
      </c>
      <c r="C1288" s="18" t="s">
        <v>5301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5302</v>
      </c>
      <c r="B1289" s="67">
        <v>46583836831</v>
      </c>
      <c r="C1289" s="72" t="s">
        <v>5303</v>
      </c>
      <c r="D1289" s="69">
        <v>39199167867</v>
      </c>
      <c r="E1289" s="9">
        <v>292</v>
      </c>
      <c r="F1289" s="25">
        <v>43168</v>
      </c>
      <c r="G1289" s="9" t="s">
        <v>3396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5304</v>
      </c>
      <c r="B1290" s="67"/>
      <c r="C1290" s="29" t="s">
        <v>5305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5306</v>
      </c>
      <c r="B1291" s="67">
        <v>37483362847</v>
      </c>
      <c r="C1291" s="29" t="s">
        <v>5307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5308</v>
      </c>
      <c r="B1292" s="67">
        <v>43663899837</v>
      </c>
      <c r="C1292" s="18" t="s">
        <v>5309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5310</v>
      </c>
      <c r="B1293" s="67">
        <v>39203446850</v>
      </c>
      <c r="C1293" s="72" t="s">
        <v>5311</v>
      </c>
      <c r="D1293" s="69">
        <v>39255518836</v>
      </c>
      <c r="E1293" s="9">
        <v>292</v>
      </c>
      <c r="F1293" s="25">
        <v>43168</v>
      </c>
      <c r="G1293" s="70" t="s">
        <v>3396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5312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5313</v>
      </c>
      <c r="B1295" s="67">
        <v>45722318850</v>
      </c>
      <c r="C1295" s="72" t="s">
        <v>5314</v>
      </c>
      <c r="D1295" s="69">
        <v>61122102313</v>
      </c>
      <c r="E1295" s="9">
        <v>229</v>
      </c>
      <c r="F1295" s="25">
        <v>43151</v>
      </c>
      <c r="G1295" s="70" t="s">
        <v>3396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5315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3396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5316</v>
      </c>
      <c r="B1297" s="67">
        <v>47697684861</v>
      </c>
      <c r="C1297" s="72" t="s">
        <v>5317</v>
      </c>
      <c r="D1297" s="69">
        <v>42642601838</v>
      </c>
      <c r="E1297" s="9">
        <v>229</v>
      </c>
      <c r="F1297" s="25">
        <v>43151</v>
      </c>
      <c r="G1297" s="70" t="s">
        <v>3396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5318</v>
      </c>
      <c r="B1298" s="67">
        <v>97503479515</v>
      </c>
      <c r="C1298" s="15" t="s">
        <v>5319</v>
      </c>
      <c r="D1298" s="69">
        <v>28269015830</v>
      </c>
      <c r="E1298" s="9">
        <v>262</v>
      </c>
      <c r="F1298" s="25">
        <v>43160</v>
      </c>
      <c r="G1298" s="70" t="s">
        <v>3396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5320</v>
      </c>
      <c r="B1299" s="67">
        <v>84327510491</v>
      </c>
      <c r="C1299" s="72" t="s">
        <v>5321</v>
      </c>
      <c r="D1299" s="69">
        <v>17305875856</v>
      </c>
      <c r="E1299" s="9">
        <v>292</v>
      </c>
      <c r="F1299" s="25">
        <v>43168</v>
      </c>
      <c r="G1299" s="70" t="s">
        <v>3396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5322</v>
      </c>
      <c r="B1300" s="67">
        <v>24870791854</v>
      </c>
      <c r="C1300" s="68" t="s">
        <v>5323</v>
      </c>
      <c r="D1300" s="69">
        <v>4398744835</v>
      </c>
      <c r="E1300" s="9">
        <v>1128</v>
      </c>
      <c r="F1300" s="25">
        <v>42972</v>
      </c>
      <c r="G1300" s="70" t="s">
        <v>3396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5324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3396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5325</v>
      </c>
      <c r="B1302" s="67"/>
      <c r="C1302" s="18" t="s">
        <v>3506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5326</v>
      </c>
      <c r="B1303" s="67">
        <v>25533246851</v>
      </c>
      <c r="C1303" s="72" t="s">
        <v>5327</v>
      </c>
      <c r="D1303" s="69">
        <v>2336832836</v>
      </c>
      <c r="E1303" s="9">
        <v>810</v>
      </c>
      <c r="F1303" s="25">
        <v>42915</v>
      </c>
      <c r="G1303" s="70" t="s">
        <v>3396</v>
      </c>
      <c r="H1303" s="9"/>
      <c r="I1303" s="8"/>
      <c r="J1303" s="8"/>
      <c r="K1303" s="8"/>
      <c r="L1303" s="9" t="s">
        <v>3515</v>
      </c>
      <c r="M1303" s="8"/>
    </row>
    <row r="1304" spans="1:13" x14ac:dyDescent="0.25">
      <c r="A1304" s="71" t="s">
        <v>5328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3396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5329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5330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5331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5332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5333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5334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5335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3396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5336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3396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5337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5338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5339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3396</v>
      </c>
      <c r="H1315" s="9"/>
      <c r="I1315" s="8"/>
      <c r="J1315" s="8"/>
      <c r="K1315" s="8"/>
      <c r="L1315" s="9" t="s">
        <v>3630</v>
      </c>
      <c r="M1315" s="8"/>
    </row>
    <row r="1316" spans="1:13" x14ac:dyDescent="0.25">
      <c r="A1316" s="71" t="s">
        <v>5340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3396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5341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5342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3396</v>
      </c>
      <c r="H1318" s="9"/>
      <c r="I1318" s="8"/>
      <c r="J1318" s="8"/>
      <c r="K1318" s="8"/>
      <c r="L1318" s="9" t="s">
        <v>3878</v>
      </c>
      <c r="M1318" s="8"/>
    </row>
    <row r="1319" spans="1:13" x14ac:dyDescent="0.25">
      <c r="A1319" s="15" t="s">
        <v>5343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5344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5345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3396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5346</v>
      </c>
      <c r="B1322" s="67">
        <v>10519320921</v>
      </c>
      <c r="C1322" s="77" t="s">
        <v>5347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5348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3396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5349</v>
      </c>
      <c r="B1324" s="67"/>
      <c r="C1324" s="18" t="s">
        <v>3506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5350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5351</v>
      </c>
      <c r="B1326" s="67"/>
      <c r="C1326" s="29" t="s">
        <v>3506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5352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3396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5353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5354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3396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5355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5356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3396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5357</v>
      </c>
      <c r="B1332" s="67">
        <v>27211072830</v>
      </c>
      <c r="C1332" s="72" t="s">
        <v>5358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5359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5360</v>
      </c>
      <c r="B1334" s="67">
        <v>35197770880</v>
      </c>
      <c r="C1334" s="72" t="s">
        <v>5361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5362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5363</v>
      </c>
      <c r="B1336" s="67">
        <v>35236970857</v>
      </c>
      <c r="C1336" s="68" t="s">
        <v>5364</v>
      </c>
      <c r="D1336" s="69">
        <v>41901199894</v>
      </c>
      <c r="E1336" s="9">
        <v>1417</v>
      </c>
      <c r="F1336" s="25">
        <v>43017</v>
      </c>
      <c r="G1336" s="70" t="s">
        <v>3396</v>
      </c>
      <c r="H1336" s="76">
        <v>43213</v>
      </c>
      <c r="I1336" s="8"/>
      <c r="J1336" s="8"/>
      <c r="K1336" s="8"/>
      <c r="L1336" s="9" t="s">
        <v>3630</v>
      </c>
      <c r="M1336" s="8"/>
    </row>
    <row r="1337" spans="1:13" x14ac:dyDescent="0.25">
      <c r="A1337" s="71" t="s">
        <v>5365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3396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5366</v>
      </c>
      <c r="B1338" s="67"/>
      <c r="C1338" s="29" t="s">
        <v>3506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5367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3396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5368</v>
      </c>
      <c r="B1340" s="67">
        <v>5263835850</v>
      </c>
      <c r="C1340" s="72" t="s">
        <v>5369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5370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3396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5371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3396</v>
      </c>
      <c r="H1342" s="76">
        <v>43213</v>
      </c>
      <c r="I1342" s="8"/>
      <c r="J1342" s="8"/>
      <c r="K1342" s="8"/>
      <c r="L1342" s="9" t="s">
        <v>3547</v>
      </c>
      <c r="M1342" s="8"/>
    </row>
    <row r="1343" spans="1:13" x14ac:dyDescent="0.25">
      <c r="A1343" s="29" t="s">
        <v>5372</v>
      </c>
      <c r="B1343" s="67">
        <v>31148209808</v>
      </c>
      <c r="C1343" s="18" t="s">
        <v>3506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5373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5374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3396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5375</v>
      </c>
      <c r="B1346" s="67">
        <v>85794398507</v>
      </c>
      <c r="C1346" s="72" t="s">
        <v>5376</v>
      </c>
      <c r="D1346" s="69">
        <v>59689188534</v>
      </c>
      <c r="E1346" s="9">
        <v>292</v>
      </c>
      <c r="F1346" s="25">
        <v>43168</v>
      </c>
      <c r="G1346" s="70" t="s">
        <v>3396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5377</v>
      </c>
      <c r="B1347" s="67">
        <v>2770765442</v>
      </c>
      <c r="C1347" s="72" t="s">
        <v>5378</v>
      </c>
      <c r="D1347" s="69">
        <v>24730161866</v>
      </c>
      <c r="E1347" s="9">
        <v>229</v>
      </c>
      <c r="F1347" s="25">
        <v>43151</v>
      </c>
      <c r="G1347" s="70" t="s">
        <v>3396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5379</v>
      </c>
      <c r="B1348" s="67">
        <v>1295044838</v>
      </c>
      <c r="C1348" s="72" t="s">
        <v>5380</v>
      </c>
      <c r="D1348" s="69">
        <v>29976206860</v>
      </c>
      <c r="E1348" s="9">
        <v>485</v>
      </c>
      <c r="F1348" s="25">
        <v>43196</v>
      </c>
      <c r="G1348" s="70" t="s">
        <v>3402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5381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3396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5382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5383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5384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3396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5385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3396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5386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5387</v>
      </c>
      <c r="B1355" s="67">
        <v>75678772520</v>
      </c>
      <c r="C1355" s="72" t="s">
        <v>5388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5389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5390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5391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3396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5392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3396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5393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3396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5394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3396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5395</v>
      </c>
      <c r="B1362" s="67"/>
      <c r="C1362" s="18" t="s">
        <v>3506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5396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5397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5398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3396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5399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3396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5400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5401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3396</v>
      </c>
      <c r="H1368" s="9"/>
      <c r="I1368" s="8"/>
      <c r="J1368" s="8"/>
      <c r="K1368" s="8"/>
      <c r="L1368" s="9" t="s">
        <v>3547</v>
      </c>
      <c r="M1368" s="8"/>
    </row>
    <row r="1369" spans="1:13" x14ac:dyDescent="0.25">
      <c r="A1369" s="29" t="s">
        <v>5402</v>
      </c>
      <c r="B1369" s="67"/>
      <c r="C1369" s="29" t="s">
        <v>3506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5403</v>
      </c>
      <c r="B1370" s="67">
        <v>87915170520</v>
      </c>
      <c r="C1370" s="72" t="s">
        <v>5404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5405</v>
      </c>
      <c r="B1371" s="67">
        <v>30693970855</v>
      </c>
      <c r="C1371" s="72" t="s">
        <v>5406</v>
      </c>
      <c r="D1371" s="69">
        <v>6402681610</v>
      </c>
      <c r="E1371" s="9">
        <v>608</v>
      </c>
      <c r="F1371" s="25">
        <v>43012</v>
      </c>
      <c r="G1371" s="70" t="s">
        <v>3402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5407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5408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5409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5410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3396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5411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3396</v>
      </c>
      <c r="H1376" s="9"/>
      <c r="I1376" s="8"/>
      <c r="J1376" s="8"/>
      <c r="K1376" s="8"/>
      <c r="L1376" s="9" t="s">
        <v>3515</v>
      </c>
      <c r="M1376" s="8"/>
    </row>
    <row r="1377" spans="1:13" x14ac:dyDescent="0.25">
      <c r="A1377" s="71" t="s">
        <v>5412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3396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5413</v>
      </c>
      <c r="B1378" s="78" t="s">
        <v>5414</v>
      </c>
      <c r="C1378" s="72"/>
      <c r="D1378" s="69"/>
      <c r="E1378" s="9">
        <v>292</v>
      </c>
      <c r="F1378" s="25">
        <v>43168</v>
      </c>
      <c r="G1378" s="9" t="s">
        <v>3396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5415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5416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3396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5417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3396</v>
      </c>
      <c r="H1381" s="9"/>
      <c r="I1381" s="8"/>
      <c r="J1381" s="8"/>
      <c r="K1381" s="8"/>
      <c r="L1381" s="9" t="s">
        <v>3775</v>
      </c>
      <c r="M1381" s="8"/>
    </row>
    <row r="1382" spans="1:13" x14ac:dyDescent="0.25">
      <c r="A1382" s="71" t="s">
        <v>5418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5419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5420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3396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5421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3396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5422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3396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5423</v>
      </c>
      <c r="B1387" s="67">
        <v>5753509894</v>
      </c>
      <c r="C1387" s="9" t="s">
        <v>3506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5424</v>
      </c>
      <c r="B1388" s="67"/>
      <c r="C1388" s="18" t="s">
        <v>5425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5426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5427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3396</v>
      </c>
      <c r="H1390" s="9"/>
      <c r="I1390" s="8"/>
      <c r="J1390" s="8"/>
      <c r="K1390" s="8"/>
      <c r="L1390" s="9" t="s">
        <v>3515</v>
      </c>
      <c r="M1390" s="8"/>
    </row>
    <row r="1391" spans="1:13" x14ac:dyDescent="0.25">
      <c r="A1391" s="71" t="s">
        <v>5428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3396</v>
      </c>
      <c r="H1391" s="9"/>
      <c r="I1391" s="8"/>
      <c r="J1391" s="8"/>
      <c r="K1391" s="8"/>
      <c r="L1391" s="9" t="s">
        <v>3515</v>
      </c>
      <c r="M1391" s="8"/>
    </row>
    <row r="1392" spans="1:13" x14ac:dyDescent="0.25">
      <c r="A1392" s="13" t="s">
        <v>5429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3396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5430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3402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5431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5432</v>
      </c>
      <c r="B1395" s="67">
        <v>61260606449</v>
      </c>
      <c r="C1395" s="72" t="s">
        <v>5433</v>
      </c>
      <c r="D1395" s="69">
        <v>73505854468</v>
      </c>
      <c r="E1395" s="9">
        <v>608</v>
      </c>
      <c r="F1395" s="25">
        <v>43012</v>
      </c>
      <c r="G1395" s="70" t="s">
        <v>3396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5434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3396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5435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5436</v>
      </c>
      <c r="B1398" s="67">
        <v>68516274853</v>
      </c>
      <c r="C1398" s="18" t="s">
        <v>3506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5437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3396</v>
      </c>
      <c r="H1399" s="9"/>
      <c r="I1399" s="8"/>
      <c r="J1399" s="8"/>
      <c r="K1399" s="8"/>
      <c r="L1399" s="9" t="s">
        <v>3537</v>
      </c>
      <c r="M1399" s="8"/>
    </row>
    <row r="1400" spans="1:13" x14ac:dyDescent="0.25">
      <c r="A1400" s="15" t="s">
        <v>5438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3396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5439</v>
      </c>
      <c r="B1401" s="67">
        <v>85576492820</v>
      </c>
      <c r="C1401" s="72" t="s">
        <v>5440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5441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5442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3396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5443</v>
      </c>
      <c r="B1404" s="67">
        <v>27903916882</v>
      </c>
      <c r="C1404" s="32" t="s">
        <v>5444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5445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3396</v>
      </c>
      <c r="H1405" s="9"/>
      <c r="I1405" s="8"/>
      <c r="J1405" s="8"/>
      <c r="K1405" s="8"/>
      <c r="L1405" s="9" t="s">
        <v>3537</v>
      </c>
      <c r="M1405" s="8"/>
    </row>
    <row r="1406" spans="1:13" x14ac:dyDescent="0.25">
      <c r="A1406" s="71" t="s">
        <v>5446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3402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5447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3396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5448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3396</v>
      </c>
      <c r="H1408" s="9"/>
      <c r="I1408" s="8"/>
      <c r="J1408" s="8"/>
      <c r="K1408" s="8"/>
      <c r="L1408" s="9" t="s">
        <v>3515</v>
      </c>
      <c r="M1408" s="8"/>
    </row>
    <row r="1409" spans="1:13" x14ac:dyDescent="0.25">
      <c r="A1409" s="15" t="s">
        <v>5449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3396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5450</v>
      </c>
      <c r="B1410" s="67">
        <v>754731863</v>
      </c>
      <c r="C1410" s="72" t="s">
        <v>5451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5452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3396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5453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3396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5454</v>
      </c>
      <c r="B1413" s="67" t="s">
        <v>5455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5456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3396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5457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3396</v>
      </c>
      <c r="H1415" s="9"/>
      <c r="I1415" s="8"/>
      <c r="J1415" s="8"/>
      <c r="K1415" s="8"/>
      <c r="L1415" s="9" t="s">
        <v>3515</v>
      </c>
      <c r="M1415" s="8"/>
    </row>
    <row r="1416" spans="1:13" x14ac:dyDescent="0.25">
      <c r="A1416" s="71" t="s">
        <v>5458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3396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5459</v>
      </c>
      <c r="B1417" s="67">
        <v>32045988880</v>
      </c>
      <c r="C1417" s="72" t="s">
        <v>5460</v>
      </c>
      <c r="D1417" s="69">
        <v>28522432880</v>
      </c>
      <c r="E1417" s="9">
        <v>85</v>
      </c>
      <c r="F1417" s="25">
        <v>43109</v>
      </c>
      <c r="G1417" s="70" t="s">
        <v>3396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5461</v>
      </c>
      <c r="B1418" s="67">
        <v>14692639806</v>
      </c>
      <c r="C1418" s="18" t="s">
        <v>3506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5462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5463</v>
      </c>
      <c r="B1420" s="67">
        <v>25745713801</v>
      </c>
      <c r="C1420" s="29" t="s">
        <v>5464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5465</v>
      </c>
      <c r="B1421" s="67">
        <v>10373973802</v>
      </c>
      <c r="C1421" s="72" t="s">
        <v>5466</v>
      </c>
      <c r="D1421" s="69">
        <v>3613530813</v>
      </c>
      <c r="E1421" s="9">
        <v>1752</v>
      </c>
      <c r="F1421" s="25">
        <v>43051</v>
      </c>
      <c r="G1421" s="70" t="s">
        <v>3396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5467</v>
      </c>
      <c r="B1422" s="67">
        <v>25397304859</v>
      </c>
      <c r="C1422" s="29" t="s">
        <v>5468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5469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5470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3396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5471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5472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5473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3396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5474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3396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5475</v>
      </c>
      <c r="B1429" s="67">
        <v>31115215833</v>
      </c>
      <c r="C1429" s="72" t="s">
        <v>5476</v>
      </c>
      <c r="D1429" s="69">
        <v>54134781515</v>
      </c>
      <c r="E1429" s="9">
        <v>608</v>
      </c>
      <c r="F1429" s="25">
        <v>43012</v>
      </c>
      <c r="G1429" s="70" t="s">
        <v>3396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5477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3396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5478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3396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5479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3396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5480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3396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5481</v>
      </c>
      <c r="B1434" s="67">
        <v>35198444863</v>
      </c>
      <c r="C1434" s="72" t="s">
        <v>5482</v>
      </c>
      <c r="D1434" s="69">
        <v>30956969810</v>
      </c>
      <c r="E1434" s="9">
        <v>1489</v>
      </c>
      <c r="F1434" s="25">
        <v>43038</v>
      </c>
      <c r="G1434" s="70" t="s">
        <v>3396</v>
      </c>
      <c r="H1434" s="9"/>
      <c r="I1434" s="8"/>
      <c r="J1434" s="8"/>
      <c r="K1434" s="8"/>
      <c r="L1434" s="9" t="s">
        <v>3537</v>
      </c>
      <c r="M1434" s="8"/>
    </row>
    <row r="1435" spans="1:13" x14ac:dyDescent="0.25">
      <c r="A1435" s="72" t="s">
        <v>5483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5484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3396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5485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3396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5486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3396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5487</v>
      </c>
      <c r="B1439" s="67">
        <v>1930099517</v>
      </c>
      <c r="C1439" s="68" t="s">
        <v>5488</v>
      </c>
      <c r="D1439" s="69">
        <v>91788226534</v>
      </c>
      <c r="E1439" s="9">
        <v>1752</v>
      </c>
      <c r="F1439" s="25">
        <v>43051</v>
      </c>
      <c r="G1439" s="70" t="s">
        <v>3396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5489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5490</v>
      </c>
      <c r="B1441" s="67">
        <v>31068143819</v>
      </c>
      <c r="C1441" s="72" t="s">
        <v>5491</v>
      </c>
      <c r="D1441" s="69">
        <v>27121002809</v>
      </c>
      <c r="E1441" s="9">
        <v>608</v>
      </c>
      <c r="F1441" s="25">
        <v>43012</v>
      </c>
      <c r="G1441" s="70" t="s">
        <v>3402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5492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3396</v>
      </c>
      <c r="H1442" s="9"/>
      <c r="I1442" s="8"/>
      <c r="J1442" s="8"/>
      <c r="K1442" s="8"/>
      <c r="L1442" s="9" t="s">
        <v>3878</v>
      </c>
      <c r="M1442" s="8"/>
    </row>
    <row r="1443" spans="1:13" x14ac:dyDescent="0.25">
      <c r="A1443" s="15" t="s">
        <v>5493</v>
      </c>
      <c r="B1443" s="67">
        <v>33100600800</v>
      </c>
      <c r="C1443" s="72" t="s">
        <v>5494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5495</v>
      </c>
      <c r="B1444" s="67">
        <v>23284980865</v>
      </c>
      <c r="C1444" s="72" t="s">
        <v>5496</v>
      </c>
      <c r="D1444" s="69">
        <v>8170993792</v>
      </c>
      <c r="E1444" s="9">
        <v>1214</v>
      </c>
      <c r="F1444" s="25">
        <v>42989</v>
      </c>
      <c r="G1444" s="70" t="s">
        <v>3396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5497</v>
      </c>
      <c r="B1445" s="67">
        <v>27235231874</v>
      </c>
      <c r="C1445" s="72" t="s">
        <v>5498</v>
      </c>
      <c r="D1445" s="69">
        <v>36182133520</v>
      </c>
      <c r="E1445" s="9">
        <v>1106</v>
      </c>
      <c r="F1445" s="25">
        <v>42965</v>
      </c>
      <c r="G1445" s="70" t="s">
        <v>3396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5499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5500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3396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5501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5502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5503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5504</v>
      </c>
      <c r="B1451" s="67">
        <v>774242809</v>
      </c>
      <c r="C1451" s="72" t="s">
        <v>5505</v>
      </c>
      <c r="D1451" s="69">
        <v>16619607829</v>
      </c>
      <c r="E1451" s="9">
        <v>1824</v>
      </c>
      <c r="F1451" s="25">
        <v>43091</v>
      </c>
      <c r="G1451" s="70" t="s">
        <v>3396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5506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3396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5507</v>
      </c>
      <c r="B1453" s="67">
        <v>34817829850</v>
      </c>
      <c r="C1453" s="72" t="s">
        <v>5508</v>
      </c>
      <c r="D1453" s="69">
        <v>8025534863</v>
      </c>
      <c r="E1453" s="9">
        <v>1241</v>
      </c>
      <c r="F1453" s="25">
        <v>42992</v>
      </c>
      <c r="G1453" s="70" t="s">
        <v>3410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5509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5510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3396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5511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3396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5512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3676</v>
      </c>
      <c r="M1457" s="8"/>
    </row>
    <row r="1458" spans="1:13" x14ac:dyDescent="0.25">
      <c r="A1458" s="14" t="s">
        <v>5513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3396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5514</v>
      </c>
      <c r="B1459" s="67">
        <v>32547457873</v>
      </c>
      <c r="C1459" s="72" t="s">
        <v>5515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5516</v>
      </c>
      <c r="B1460" s="67">
        <v>16784597800</v>
      </c>
      <c r="C1460" s="72" t="s">
        <v>5517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4565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5518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3396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5519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5520</v>
      </c>
      <c r="B1464" s="67">
        <v>2467378403</v>
      </c>
      <c r="C1464" s="72" t="s">
        <v>5521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5522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5523</v>
      </c>
      <c r="B1466" s="67">
        <v>34247512862</v>
      </c>
      <c r="C1466" s="77" t="s">
        <v>5524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3676</v>
      </c>
      <c r="M1466" s="8"/>
    </row>
    <row r="1467" spans="1:13" x14ac:dyDescent="0.25">
      <c r="A1467" s="71" t="s">
        <v>5525</v>
      </c>
      <c r="B1467" s="67" t="s">
        <v>5526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5527</v>
      </c>
      <c r="B1468" s="67">
        <v>47168211889</v>
      </c>
      <c r="C1468" s="72" t="s">
        <v>5528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5529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3396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5530</v>
      </c>
      <c r="B1470" s="67">
        <v>1532239521</v>
      </c>
      <c r="C1470" s="72" t="s">
        <v>5531</v>
      </c>
      <c r="D1470" s="69">
        <v>37104060804</v>
      </c>
      <c r="E1470" s="9">
        <v>810</v>
      </c>
      <c r="F1470" s="25">
        <v>42915</v>
      </c>
      <c r="G1470" s="70" t="s">
        <v>3396</v>
      </c>
      <c r="H1470" s="9"/>
      <c r="I1470" s="8"/>
      <c r="J1470" s="8"/>
      <c r="K1470" s="8"/>
      <c r="L1470" s="9" t="s">
        <v>3515</v>
      </c>
      <c r="M1470" s="8"/>
    </row>
    <row r="1471" spans="1:13" x14ac:dyDescent="0.25">
      <c r="A1471" s="15" t="s">
        <v>5532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3396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5533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3396</v>
      </c>
      <c r="H1472" s="9"/>
      <c r="I1472" s="8"/>
      <c r="J1472" s="8"/>
      <c r="K1472" s="8"/>
      <c r="L1472" s="9" t="s">
        <v>3515</v>
      </c>
      <c r="M1472" s="8"/>
    </row>
    <row r="1473" spans="1:13" x14ac:dyDescent="0.25">
      <c r="A1473" s="71" t="s">
        <v>5534</v>
      </c>
      <c r="B1473" s="67">
        <v>37117512881</v>
      </c>
      <c r="C1473" s="75" t="s">
        <v>5535</v>
      </c>
      <c r="D1473" s="69">
        <v>39740259871</v>
      </c>
      <c r="E1473" s="9">
        <v>1106</v>
      </c>
      <c r="F1473" s="25">
        <v>42965</v>
      </c>
      <c r="G1473" s="70" t="s">
        <v>3396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5536</v>
      </c>
      <c r="B1474" s="67">
        <v>39967942827</v>
      </c>
      <c r="C1474" s="72" t="s">
        <v>5537</v>
      </c>
      <c r="D1474" s="69">
        <v>32777947848</v>
      </c>
      <c r="E1474" s="9">
        <v>1267</v>
      </c>
      <c r="F1474" s="25">
        <v>42998</v>
      </c>
      <c r="G1474" s="70" t="s">
        <v>3396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5538</v>
      </c>
      <c r="B1475" s="67">
        <v>18464307802</v>
      </c>
      <c r="C1475" s="72" t="s">
        <v>5539</v>
      </c>
      <c r="D1475" s="69">
        <v>13642437842</v>
      </c>
      <c r="E1475" s="9">
        <v>608</v>
      </c>
      <c r="F1475" s="25">
        <v>43012</v>
      </c>
      <c r="G1475" s="70" t="s">
        <v>3402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5540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3396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5541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3396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5542</v>
      </c>
      <c r="B1478" s="67">
        <v>91413168515</v>
      </c>
      <c r="C1478" s="72" t="s">
        <v>5543</v>
      </c>
      <c r="D1478" s="69">
        <v>12713438861</v>
      </c>
      <c r="E1478" s="9">
        <v>810</v>
      </c>
      <c r="F1478" s="25">
        <v>42915</v>
      </c>
      <c r="G1478" s="70" t="s">
        <v>3396</v>
      </c>
      <c r="H1478" s="9"/>
      <c r="I1478" s="8"/>
      <c r="J1478" s="8"/>
      <c r="K1478" s="8"/>
      <c r="L1478" s="9" t="s">
        <v>3515</v>
      </c>
      <c r="M1478" s="8"/>
    </row>
    <row r="1479" spans="1:13" x14ac:dyDescent="0.25">
      <c r="A1479" s="72" t="s">
        <v>5544</v>
      </c>
      <c r="B1479" s="67">
        <v>13554461806</v>
      </c>
      <c r="C1479" s="72" t="s">
        <v>5545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5546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3396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5547</v>
      </c>
      <c r="B1481" s="67">
        <v>23473313882</v>
      </c>
      <c r="C1481" s="72" t="s">
        <v>5548</v>
      </c>
      <c r="D1481" s="69">
        <v>51042797404</v>
      </c>
      <c r="E1481" s="9">
        <v>485</v>
      </c>
      <c r="F1481" s="25">
        <v>43196</v>
      </c>
      <c r="G1481" s="70" t="s">
        <v>3402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5549</v>
      </c>
      <c r="B1482" s="67">
        <v>7753877895</v>
      </c>
      <c r="C1482" s="68" t="s">
        <v>5550</v>
      </c>
      <c r="D1482" s="69">
        <v>66725372872</v>
      </c>
      <c r="E1482" s="9">
        <v>1214</v>
      </c>
      <c r="F1482" s="25">
        <v>42989</v>
      </c>
      <c r="G1482" s="70" t="s">
        <v>3396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5551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5552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3396</v>
      </c>
      <c r="H1484" s="9"/>
      <c r="I1484" s="8"/>
      <c r="J1484" s="8"/>
      <c r="K1484" s="8"/>
      <c r="L1484" s="9" t="s">
        <v>3515</v>
      </c>
      <c r="M1484" s="8"/>
    </row>
    <row r="1485" spans="1:13" x14ac:dyDescent="0.25">
      <c r="A1485" s="71" t="s">
        <v>5553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3396</v>
      </c>
      <c r="H1485" s="9"/>
      <c r="I1485" s="8"/>
      <c r="J1485" s="8"/>
      <c r="K1485" s="8"/>
      <c r="L1485" s="9" t="s">
        <v>3515</v>
      </c>
      <c r="M1485" s="8"/>
    </row>
    <row r="1486" spans="1:13" x14ac:dyDescent="0.25">
      <c r="A1486" s="13" t="s">
        <v>5554</v>
      </c>
      <c r="B1486" s="67">
        <v>40779583850</v>
      </c>
      <c r="C1486" s="68" t="s">
        <v>5555</v>
      </c>
      <c r="D1486" s="69">
        <v>36411481890</v>
      </c>
      <c r="E1486" s="9">
        <v>1343</v>
      </c>
      <c r="F1486" s="25">
        <v>43004</v>
      </c>
      <c r="G1486" s="70" t="s">
        <v>3396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5556</v>
      </c>
      <c r="B1487" s="67"/>
      <c r="C1487" s="29" t="s">
        <v>3506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5557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5558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3396</v>
      </c>
      <c r="H1489" s="9"/>
      <c r="I1489" s="8"/>
      <c r="J1489" s="8"/>
      <c r="K1489" s="8"/>
      <c r="L1489" s="9" t="s">
        <v>3515</v>
      </c>
      <c r="M1489" s="8"/>
    </row>
    <row r="1490" spans="1:13" x14ac:dyDescent="0.25">
      <c r="A1490" s="15" t="s">
        <v>5559</v>
      </c>
      <c r="B1490" s="67">
        <v>45854900866</v>
      </c>
      <c r="C1490" s="72" t="s">
        <v>5560</v>
      </c>
      <c r="D1490" s="69">
        <v>23474048813</v>
      </c>
      <c r="E1490" s="9">
        <v>229</v>
      </c>
      <c r="F1490" s="25">
        <v>43151</v>
      </c>
      <c r="G1490" s="70" t="s">
        <v>3396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5561</v>
      </c>
      <c r="B1491" s="67">
        <v>40870285858</v>
      </c>
      <c r="C1491" s="72" t="s">
        <v>5562</v>
      </c>
      <c r="D1491" s="69">
        <v>39638342854</v>
      </c>
      <c r="E1491" s="9">
        <v>229</v>
      </c>
      <c r="F1491" s="25">
        <v>43151</v>
      </c>
      <c r="G1491" s="70" t="s">
        <v>3410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5563</v>
      </c>
      <c r="B1492" s="67">
        <v>43053164809</v>
      </c>
      <c r="C1492" s="71" t="s">
        <v>5564</v>
      </c>
      <c r="D1492" s="69">
        <v>35649973857</v>
      </c>
      <c r="E1492" s="9">
        <v>292</v>
      </c>
      <c r="F1492" s="25">
        <v>43168</v>
      </c>
      <c r="G1492" s="70" t="s">
        <v>3402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5565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5566</v>
      </c>
      <c r="B1494" s="67">
        <v>34727823829</v>
      </c>
      <c r="C1494" s="72" t="s">
        <v>5567</v>
      </c>
      <c r="D1494" s="69">
        <v>33790197807</v>
      </c>
      <c r="E1494" s="9">
        <v>262</v>
      </c>
      <c r="F1494" s="25">
        <v>43160</v>
      </c>
      <c r="G1494" s="70" t="s">
        <v>3402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5568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5569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3396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5570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5571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3396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5572</v>
      </c>
      <c r="B1499" s="67">
        <v>13576812830</v>
      </c>
      <c r="C1499" s="72" t="s">
        <v>5573</v>
      </c>
      <c r="D1499" s="69">
        <v>1075554845</v>
      </c>
      <c r="E1499" s="9">
        <v>1489</v>
      </c>
      <c r="F1499" s="25">
        <v>43038</v>
      </c>
      <c r="G1499" s="70" t="s">
        <v>3396</v>
      </c>
      <c r="H1499" s="9"/>
      <c r="I1499" s="8"/>
      <c r="J1499" s="8"/>
      <c r="K1499" s="8"/>
      <c r="L1499" s="9" t="s">
        <v>3537</v>
      </c>
      <c r="M1499" s="8"/>
    </row>
    <row r="1500" spans="1:13" x14ac:dyDescent="0.25">
      <c r="A1500" s="71" t="s">
        <v>5574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5575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5576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3396</v>
      </c>
      <c r="H1502" s="9"/>
      <c r="I1502" s="8"/>
      <c r="J1502" s="8"/>
      <c r="K1502" s="8"/>
      <c r="L1502" s="9" t="s">
        <v>3515</v>
      </c>
      <c r="M1502" s="8"/>
    </row>
    <row r="1503" spans="1:13" x14ac:dyDescent="0.25">
      <c r="A1503" s="71" t="s">
        <v>5577</v>
      </c>
      <c r="B1503" s="67">
        <v>42490041800</v>
      </c>
      <c r="C1503" s="71" t="s">
        <v>5578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5579</v>
      </c>
      <c r="B1504" s="67">
        <v>37150144829</v>
      </c>
      <c r="C1504" s="72" t="s">
        <v>5580</v>
      </c>
      <c r="D1504" s="69">
        <v>33420633866</v>
      </c>
      <c r="E1504" s="9">
        <v>1417</v>
      </c>
      <c r="F1504" s="25">
        <v>43017</v>
      </c>
      <c r="G1504" s="70" t="s">
        <v>3410</v>
      </c>
      <c r="H1504" s="9"/>
      <c r="I1504" s="8"/>
      <c r="J1504" s="8"/>
      <c r="K1504" s="8"/>
      <c r="L1504" s="9" t="s">
        <v>3630</v>
      </c>
      <c r="M1504" s="8"/>
    </row>
    <row r="1505" spans="1:13" x14ac:dyDescent="0.25">
      <c r="A1505" s="71" t="s">
        <v>5581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5582</v>
      </c>
      <c r="B1506" s="67">
        <v>95482300544</v>
      </c>
      <c r="C1506" s="72" t="s">
        <v>5583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5584</v>
      </c>
      <c r="B1507" s="67">
        <v>3915987590</v>
      </c>
      <c r="C1507" s="72" t="s">
        <v>5585</v>
      </c>
      <c r="D1507" s="69">
        <v>1733607501</v>
      </c>
      <c r="E1507" s="9">
        <v>85</v>
      </c>
      <c r="F1507" s="25">
        <v>43109</v>
      </c>
      <c r="G1507" s="70" t="s">
        <v>3396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5586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3396</v>
      </c>
      <c r="H1508" s="9"/>
      <c r="I1508" s="8"/>
      <c r="J1508" s="8"/>
      <c r="K1508" s="8"/>
      <c r="L1508" s="9" t="s">
        <v>3878</v>
      </c>
      <c r="M1508" s="8"/>
    </row>
    <row r="1509" spans="1:13" x14ac:dyDescent="0.25">
      <c r="A1509" s="71" t="s">
        <v>5587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3396</v>
      </c>
      <c r="H1509" s="9"/>
      <c r="I1509" s="8"/>
      <c r="J1509" s="8"/>
      <c r="K1509" s="8"/>
      <c r="L1509" s="9" t="s">
        <v>3547</v>
      </c>
      <c r="M1509" s="8"/>
    </row>
    <row r="1510" spans="1:13" x14ac:dyDescent="0.25">
      <c r="A1510" s="29" t="s">
        <v>5588</v>
      </c>
      <c r="B1510" s="67"/>
      <c r="C1510" s="18" t="s">
        <v>3506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5589</v>
      </c>
      <c r="B1511" s="80">
        <v>39490354864</v>
      </c>
      <c r="C1511" s="81" t="s">
        <v>5590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5591</v>
      </c>
      <c r="B1512" s="67">
        <v>36190827829</v>
      </c>
      <c r="C1512" s="72" t="s">
        <v>5592</v>
      </c>
      <c r="D1512" s="69">
        <v>6501914809</v>
      </c>
      <c r="E1512" s="9">
        <v>1489</v>
      </c>
      <c r="F1512" s="25">
        <v>43038</v>
      </c>
      <c r="G1512" s="70" t="s">
        <v>3396</v>
      </c>
      <c r="H1512" s="9"/>
      <c r="I1512" s="8"/>
      <c r="J1512" s="8"/>
      <c r="K1512" s="8"/>
      <c r="L1512" s="9" t="s">
        <v>3537</v>
      </c>
      <c r="M1512" s="8"/>
    </row>
    <row r="1513" spans="1:13" x14ac:dyDescent="0.25">
      <c r="A1513" s="71" t="s">
        <v>5593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3396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5594</v>
      </c>
      <c r="B1514" s="67">
        <v>37978221890</v>
      </c>
      <c r="C1514" s="15" t="s">
        <v>5595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5596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3676</v>
      </c>
      <c r="M1515" s="8"/>
    </row>
    <row r="1516" spans="1:13" x14ac:dyDescent="0.25">
      <c r="A1516" s="71" t="s">
        <v>5597</v>
      </c>
      <c r="B1516" s="67">
        <v>23341671854</v>
      </c>
      <c r="C1516" s="72" t="s">
        <v>5598</v>
      </c>
      <c r="D1516" s="69">
        <v>34413431820</v>
      </c>
      <c r="E1516" s="9">
        <v>810</v>
      </c>
      <c r="F1516" s="25">
        <v>42915</v>
      </c>
      <c r="G1516" s="83" t="s">
        <v>3396</v>
      </c>
      <c r="H1516" s="9"/>
      <c r="I1516" s="8"/>
      <c r="J1516" s="8"/>
      <c r="K1516" s="8"/>
      <c r="L1516" s="9" t="s">
        <v>3515</v>
      </c>
      <c r="M1516" s="8"/>
    </row>
    <row r="1517" spans="1:13" x14ac:dyDescent="0.25">
      <c r="A1517" s="71" t="s">
        <v>5599</v>
      </c>
      <c r="B1517" s="67">
        <v>35934079816</v>
      </c>
      <c r="C1517" s="72" t="s">
        <v>5600</v>
      </c>
      <c r="D1517" s="69">
        <v>2511538512</v>
      </c>
      <c r="E1517" s="9">
        <v>262</v>
      </c>
      <c r="F1517" s="25">
        <v>43160</v>
      </c>
      <c r="G1517" s="70" t="s">
        <v>3396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5601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3396</v>
      </c>
      <c r="H1518" s="9"/>
      <c r="I1518" s="8"/>
      <c r="J1518" s="8"/>
      <c r="K1518" s="8"/>
      <c r="L1518" s="9" t="s">
        <v>3547</v>
      </c>
      <c r="M1518" s="8"/>
    </row>
    <row r="1519" spans="1:13" x14ac:dyDescent="0.25">
      <c r="A1519" s="71" t="s">
        <v>5602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3396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5603</v>
      </c>
      <c r="B1520" s="67">
        <v>37395316819</v>
      </c>
      <c r="C1520" s="72" t="s">
        <v>5604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5605</v>
      </c>
      <c r="B1521" s="80">
        <v>47168651854</v>
      </c>
      <c r="C1521" s="50" t="s">
        <v>5606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5607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5608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3396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5609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3396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5610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5611</v>
      </c>
      <c r="B1526" s="67">
        <v>36776791848</v>
      </c>
      <c r="C1526" s="72" t="s">
        <v>5612</v>
      </c>
      <c r="D1526" s="69">
        <v>23340578869</v>
      </c>
      <c r="E1526" s="9">
        <v>608</v>
      </c>
      <c r="F1526" s="25">
        <v>43012</v>
      </c>
      <c r="G1526" s="70" t="s">
        <v>3396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5613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5614</v>
      </c>
      <c r="B1528" s="67">
        <v>32561817830</v>
      </c>
      <c r="C1528" s="72" t="s">
        <v>5615</v>
      </c>
      <c r="D1528" s="69">
        <v>30328335827</v>
      </c>
      <c r="E1528" s="9">
        <v>1824</v>
      </c>
      <c r="F1528" s="25">
        <v>43091</v>
      </c>
      <c r="G1528" s="70" t="s">
        <v>3402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5616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3396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5617</v>
      </c>
      <c r="B1530" s="67">
        <v>36044847829</v>
      </c>
      <c r="C1530" s="72" t="s">
        <v>5618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5619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5620</v>
      </c>
      <c r="B1532" s="67">
        <v>35070422820</v>
      </c>
      <c r="C1532" s="72" t="s">
        <v>5621</v>
      </c>
      <c r="D1532" s="69">
        <v>24871235831</v>
      </c>
      <c r="E1532" s="9">
        <v>292</v>
      </c>
      <c r="F1532" s="25">
        <v>43168</v>
      </c>
      <c r="G1532" s="70" t="s">
        <v>3396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5622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3676</v>
      </c>
      <c r="M1533" s="8"/>
    </row>
    <row r="1534" spans="1:13" x14ac:dyDescent="0.25">
      <c r="A1534" s="15" t="s">
        <v>5623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5624</v>
      </c>
      <c r="B1535" s="67"/>
      <c r="C1535" s="29" t="s">
        <v>5625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5626</v>
      </c>
      <c r="B1536" s="67">
        <v>47240915840</v>
      </c>
      <c r="C1536" s="72"/>
      <c r="D1536" s="69"/>
      <c r="E1536" s="9"/>
      <c r="F1536" s="25"/>
      <c r="G1536" s="70" t="s">
        <v>3396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5627</v>
      </c>
      <c r="B1537" s="67"/>
      <c r="C1537" s="18" t="s">
        <v>3506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5628</v>
      </c>
      <c r="B1538" s="67">
        <v>42424051895</v>
      </c>
      <c r="C1538" s="72" t="s">
        <v>5629</v>
      </c>
      <c r="D1538" s="69">
        <v>34920392869</v>
      </c>
      <c r="E1538" s="9">
        <v>1214</v>
      </c>
      <c r="F1538" s="25">
        <v>42989</v>
      </c>
      <c r="G1538" s="70" t="s">
        <v>3396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5630</v>
      </c>
      <c r="B1539" s="67">
        <v>45298965873</v>
      </c>
      <c r="C1539" s="18" t="s">
        <v>3506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5631</v>
      </c>
      <c r="B1540" s="67">
        <v>48176009857</v>
      </c>
      <c r="C1540" s="18" t="s">
        <v>3506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5632</v>
      </c>
      <c r="B1541" s="67">
        <v>32645353860</v>
      </c>
      <c r="C1541" s="71" t="s">
        <v>5633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5634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3396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5635</v>
      </c>
      <c r="B1543" s="67">
        <v>34899686897</v>
      </c>
      <c r="C1543" s="72" t="s">
        <v>5636</v>
      </c>
      <c r="D1543" s="69">
        <v>34782852835</v>
      </c>
      <c r="E1543" s="9">
        <v>810</v>
      </c>
      <c r="F1543" s="25">
        <v>42915</v>
      </c>
      <c r="G1543" s="70" t="s">
        <v>3396</v>
      </c>
      <c r="H1543" s="76">
        <v>43213</v>
      </c>
      <c r="I1543" s="8"/>
      <c r="J1543" s="8"/>
      <c r="K1543" s="8"/>
      <c r="L1543" s="9" t="s">
        <v>3515</v>
      </c>
      <c r="M1543" s="8"/>
    </row>
    <row r="1544" spans="1:13" x14ac:dyDescent="0.25">
      <c r="A1544" s="71" t="s">
        <v>5637</v>
      </c>
      <c r="B1544" s="67">
        <v>39778910812</v>
      </c>
      <c r="C1544" s="68" t="s">
        <v>5638</v>
      </c>
      <c r="D1544" s="69">
        <v>34703237806</v>
      </c>
      <c r="E1544" s="9">
        <v>1128</v>
      </c>
      <c r="F1544" s="25">
        <v>42972</v>
      </c>
      <c r="G1544" s="70" t="s">
        <v>3396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5639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3676</v>
      </c>
      <c r="M1545" s="8"/>
    </row>
    <row r="1546" spans="1:13" x14ac:dyDescent="0.25">
      <c r="A1546" s="72" t="s">
        <v>5640</v>
      </c>
      <c r="B1546" s="67">
        <v>22429349884</v>
      </c>
      <c r="C1546" s="72" t="s">
        <v>5641</v>
      </c>
      <c r="D1546" s="69">
        <v>32307277897</v>
      </c>
      <c r="E1546" s="9">
        <v>1417</v>
      </c>
      <c r="F1546" s="25">
        <v>43017</v>
      </c>
      <c r="G1546" s="70" t="s">
        <v>3396</v>
      </c>
      <c r="H1546" s="9"/>
      <c r="I1546" s="8"/>
      <c r="J1546" s="8"/>
      <c r="K1546" s="8"/>
      <c r="L1546" s="9" t="s">
        <v>3630</v>
      </c>
      <c r="M1546" s="8"/>
    </row>
    <row r="1547" spans="1:13" x14ac:dyDescent="0.25">
      <c r="A1547" s="13" t="s">
        <v>5642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3396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5643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3676</v>
      </c>
      <c r="M1548" s="8"/>
    </row>
    <row r="1549" spans="1:13" x14ac:dyDescent="0.25">
      <c r="A1549" s="15" t="s">
        <v>5644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3396</v>
      </c>
      <c r="H1549" s="9"/>
      <c r="I1549" s="8"/>
      <c r="J1549" s="8"/>
      <c r="K1549" s="8"/>
      <c r="L1549" s="9" t="s">
        <v>3547</v>
      </c>
      <c r="M1549" s="8"/>
    </row>
    <row r="1550" spans="1:13" x14ac:dyDescent="0.25">
      <c r="A1550" s="15" t="s">
        <v>5645</v>
      </c>
      <c r="B1550" s="67">
        <v>7081215432</v>
      </c>
      <c r="C1550" s="15" t="s">
        <v>5646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3676</v>
      </c>
      <c r="M1550" s="8"/>
    </row>
    <row r="1551" spans="1:13" x14ac:dyDescent="0.25">
      <c r="A1551" s="71" t="s">
        <v>5647</v>
      </c>
      <c r="B1551" s="67">
        <v>37104895809</v>
      </c>
      <c r="C1551" s="72" t="s">
        <v>5648</v>
      </c>
      <c r="D1551" s="69">
        <v>34256763856</v>
      </c>
      <c r="E1551" s="9">
        <v>1752</v>
      </c>
      <c r="F1551" s="25">
        <v>43051</v>
      </c>
      <c r="G1551" s="70" t="s">
        <v>3410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5649</v>
      </c>
      <c r="B1552" s="67"/>
      <c r="C1552" s="29" t="s">
        <v>3506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5650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3676</v>
      </c>
      <c r="M1553" s="8"/>
    </row>
    <row r="1554" spans="1:13" x14ac:dyDescent="0.25">
      <c r="A1554" s="14" t="s">
        <v>5651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3396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5652</v>
      </c>
      <c r="B1555" s="67">
        <v>45862437835</v>
      </c>
      <c r="C1555" s="72" t="s">
        <v>5653</v>
      </c>
      <c r="D1555" s="69">
        <v>2301226280</v>
      </c>
      <c r="E1555" s="9">
        <v>1752</v>
      </c>
      <c r="F1555" s="25">
        <v>43051</v>
      </c>
      <c r="G1555" s="70" t="s">
        <v>3396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5654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3396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5655</v>
      </c>
      <c r="B1557" s="67"/>
      <c r="C1557" s="29" t="s">
        <v>5656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5657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5658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3676</v>
      </c>
      <c r="M1559" s="8"/>
    </row>
    <row r="1560" spans="1:13" x14ac:dyDescent="0.25">
      <c r="A1560" s="71" t="s">
        <v>5659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3396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5660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3396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5661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3396</v>
      </c>
      <c r="H1562" s="9"/>
      <c r="I1562" s="8"/>
      <c r="J1562" s="8"/>
      <c r="K1562" s="8"/>
      <c r="L1562" s="9" t="s">
        <v>3515</v>
      </c>
      <c r="M1562" s="8"/>
    </row>
    <row r="1563" spans="1:13" x14ac:dyDescent="0.25">
      <c r="A1563" s="15" t="s">
        <v>5662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3396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5663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3396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5664</v>
      </c>
      <c r="B1565" s="67">
        <v>33390811826</v>
      </c>
      <c r="C1565" s="72" t="s">
        <v>5665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5666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3396</v>
      </c>
      <c r="H1566" s="9"/>
      <c r="I1566" s="8"/>
      <c r="J1566" s="8"/>
      <c r="K1566" s="8"/>
      <c r="L1566" s="9" t="s">
        <v>3630</v>
      </c>
      <c r="M1566" s="8"/>
    </row>
    <row r="1567" spans="1:13" x14ac:dyDescent="0.25">
      <c r="A1567" s="29" t="s">
        <v>5667</v>
      </c>
      <c r="B1567" s="67">
        <v>22173656813</v>
      </c>
      <c r="C1567" s="18" t="s">
        <v>3506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5668</v>
      </c>
      <c r="B1568" s="67">
        <v>30690514808</v>
      </c>
      <c r="C1568" s="72" t="s">
        <v>5669</v>
      </c>
      <c r="D1568" s="69">
        <v>22622085818</v>
      </c>
      <c r="E1568" s="9">
        <v>423</v>
      </c>
      <c r="F1568" s="25">
        <v>43182</v>
      </c>
      <c r="G1568" s="9" t="s">
        <v>3396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5670</v>
      </c>
      <c r="B1569" s="67">
        <v>43901748865</v>
      </c>
      <c r="C1569" s="72" t="s">
        <v>5671</v>
      </c>
      <c r="D1569" s="69">
        <v>34818027812</v>
      </c>
      <c r="E1569" s="9">
        <v>1824</v>
      </c>
      <c r="F1569" s="25">
        <v>43091</v>
      </c>
      <c r="G1569" s="70" t="s">
        <v>3396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5672</v>
      </c>
      <c r="B1570" s="67"/>
      <c r="C1570" s="18" t="s">
        <v>3506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5673</v>
      </c>
      <c r="B1571" s="67">
        <v>5212444390</v>
      </c>
      <c r="C1571" s="15" t="s">
        <v>5674</v>
      </c>
      <c r="D1571" s="69">
        <v>2231738350</v>
      </c>
      <c r="E1571" s="9">
        <v>292</v>
      </c>
      <c r="F1571" s="25">
        <v>43168</v>
      </c>
      <c r="G1571" s="70" t="s">
        <v>3396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5675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5676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3396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5677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5678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3396</v>
      </c>
      <c r="H1575" s="9"/>
      <c r="I1575" s="8"/>
      <c r="J1575" s="8"/>
      <c r="K1575" s="8"/>
      <c r="L1575" s="9" t="s">
        <v>3515</v>
      </c>
      <c r="M1575" s="8"/>
    </row>
    <row r="1576" spans="1:13" x14ac:dyDescent="0.25">
      <c r="A1576" s="71" t="s">
        <v>5679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3396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5680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5681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5682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5683</v>
      </c>
      <c r="B1580" s="67">
        <v>88436144520</v>
      </c>
      <c r="C1580" s="29" t="s">
        <v>3506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5684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5685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3396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5686</v>
      </c>
      <c r="B1583" s="67">
        <v>4967493580</v>
      </c>
      <c r="C1583" s="15" t="s">
        <v>5687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5688</v>
      </c>
      <c r="B1584" s="67">
        <v>28043649847</v>
      </c>
      <c r="C1584" s="72" t="s">
        <v>5689</v>
      </c>
      <c r="D1584" s="69">
        <v>37064432870</v>
      </c>
      <c r="E1584" s="9">
        <v>117</v>
      </c>
      <c r="F1584" s="25">
        <v>43117</v>
      </c>
      <c r="G1584" s="70" t="s">
        <v>3396</v>
      </c>
      <c r="H1584" s="9"/>
      <c r="I1584" s="8"/>
      <c r="J1584" s="8"/>
      <c r="K1584" s="8"/>
      <c r="L1584" s="9" t="s">
        <v>3547</v>
      </c>
      <c r="M1584" s="8"/>
    </row>
    <row r="1585" spans="1:13" x14ac:dyDescent="0.25">
      <c r="A1585" s="71" t="s">
        <v>5690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3396</v>
      </c>
      <c r="H1585" s="9"/>
      <c r="I1585" s="8"/>
      <c r="J1585" s="8"/>
      <c r="K1585" s="8"/>
      <c r="L1585" s="9" t="s">
        <v>3515</v>
      </c>
      <c r="M1585" s="8"/>
    </row>
    <row r="1586" spans="1:13" x14ac:dyDescent="0.25">
      <c r="A1586" s="73" t="s">
        <v>5691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3396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5692</v>
      </c>
      <c r="B1587" s="67">
        <v>45671290325</v>
      </c>
      <c r="C1587" s="72" t="s">
        <v>5693</v>
      </c>
      <c r="D1587" s="69">
        <v>13019071895</v>
      </c>
      <c r="E1587" s="9">
        <v>117</v>
      </c>
      <c r="F1587" s="25">
        <v>43117</v>
      </c>
      <c r="G1587" s="70" t="s">
        <v>3410</v>
      </c>
      <c r="H1587" s="9"/>
      <c r="I1587" s="8"/>
      <c r="J1587" s="8"/>
      <c r="K1587" s="8"/>
      <c r="L1587" s="9" t="s">
        <v>3547</v>
      </c>
      <c r="M1587" s="8"/>
    </row>
    <row r="1588" spans="1:13" x14ac:dyDescent="0.25">
      <c r="A1588" s="13" t="s">
        <v>5694</v>
      </c>
      <c r="B1588" s="67">
        <v>7677424864</v>
      </c>
      <c r="C1588" s="72" t="s">
        <v>5695</v>
      </c>
      <c r="D1588" s="69">
        <v>6128186831</v>
      </c>
      <c r="E1588" s="9">
        <v>1570</v>
      </c>
      <c r="F1588" s="25">
        <v>43077</v>
      </c>
      <c r="G1588" s="70" t="s">
        <v>3396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5696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5697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3396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5698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3396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5699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5700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3396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5701</v>
      </c>
      <c r="B1594" s="67"/>
      <c r="C1594" s="29" t="s">
        <v>3506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5702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3396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5703</v>
      </c>
      <c r="B1596" s="67">
        <v>47555303850</v>
      </c>
      <c r="C1596" s="18" t="s">
        <v>3506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5704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3396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5705</v>
      </c>
      <c r="B1598" s="67">
        <v>25966733805</v>
      </c>
      <c r="C1598" s="72" t="s">
        <v>5706</v>
      </c>
      <c r="D1598" s="69">
        <v>19681706854</v>
      </c>
      <c r="E1598" s="9">
        <v>1752</v>
      </c>
      <c r="F1598" s="25">
        <v>43051</v>
      </c>
      <c r="G1598" s="70" t="s">
        <v>3402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5707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3396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5708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3396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5709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5710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3396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5711</v>
      </c>
      <c r="B1603" s="67">
        <v>32448230846</v>
      </c>
      <c r="C1603" s="18" t="s">
        <v>5712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5713</v>
      </c>
      <c r="B1604" s="67">
        <v>56151250559</v>
      </c>
      <c r="C1604" s="18" t="s">
        <v>5714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5715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3396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5716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5717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3396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5718</v>
      </c>
      <c r="B1608" s="67">
        <v>36713930840</v>
      </c>
      <c r="C1608" s="68" t="s">
        <v>5719</v>
      </c>
      <c r="D1608" s="69">
        <v>30171047885</v>
      </c>
      <c r="E1608" s="9">
        <v>1128</v>
      </c>
      <c r="F1608" s="25">
        <v>42972</v>
      </c>
      <c r="G1608" s="70" t="s">
        <v>3396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5720</v>
      </c>
      <c r="B1609" s="67">
        <v>37138221827</v>
      </c>
      <c r="C1609" s="29" t="s">
        <v>5721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5722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3396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5723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3396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5724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3396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5725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5726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3396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5727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3396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5728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3396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5729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5730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3396</v>
      </c>
      <c r="H1618" s="9"/>
      <c r="I1618" s="8"/>
      <c r="J1618" s="8"/>
      <c r="K1618" s="8"/>
      <c r="L1618" s="9" t="s">
        <v>3515</v>
      </c>
      <c r="M1618" s="8"/>
    </row>
    <row r="1619" spans="1:13" x14ac:dyDescent="0.25">
      <c r="A1619" s="71" t="s">
        <v>5731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3396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5732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3396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5733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5734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5735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3396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5736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5737</v>
      </c>
      <c r="B1625" s="67">
        <v>37338189897</v>
      </c>
      <c r="C1625" s="72" t="s">
        <v>5738</v>
      </c>
      <c r="D1625" s="69">
        <v>27359655897</v>
      </c>
      <c r="E1625" s="9">
        <v>1824</v>
      </c>
      <c r="F1625" s="25">
        <v>43091</v>
      </c>
      <c r="G1625" s="70" t="s">
        <v>3396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5739</v>
      </c>
      <c r="B1626" s="67">
        <v>45632601854</v>
      </c>
      <c r="C1626" s="32" t="s">
        <v>5740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3676</v>
      </c>
      <c r="M1626" s="8"/>
    </row>
    <row r="1627" spans="1:13" x14ac:dyDescent="0.25">
      <c r="A1627" s="29" t="s">
        <v>5741</v>
      </c>
      <c r="B1627" s="67"/>
      <c r="C1627" s="29" t="s">
        <v>5742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5743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5744</v>
      </c>
      <c r="B1629" s="67">
        <v>38150547886</v>
      </c>
      <c r="C1629" s="72" t="s">
        <v>5745</v>
      </c>
      <c r="D1629" s="69">
        <v>36270820871</v>
      </c>
      <c r="E1629" s="9">
        <v>262</v>
      </c>
      <c r="F1629" s="25">
        <v>43160</v>
      </c>
      <c r="G1629" s="9" t="s">
        <v>3396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5746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5747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5748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5749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5750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3396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5751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3396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5752</v>
      </c>
      <c r="B1636" s="67">
        <v>44852605858</v>
      </c>
      <c r="C1636" s="15" t="s">
        <v>5753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5754</v>
      </c>
      <c r="B1637" s="67">
        <v>42130610862</v>
      </c>
      <c r="C1637" s="29" t="s">
        <v>5755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5756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3396</v>
      </c>
      <c r="H1638" s="9"/>
      <c r="I1638" s="8"/>
      <c r="J1638" s="8"/>
      <c r="K1638" s="8"/>
      <c r="L1638" s="9" t="s">
        <v>3547</v>
      </c>
      <c r="M1638" s="8"/>
    </row>
    <row r="1639" spans="1:13" x14ac:dyDescent="0.25">
      <c r="A1639" s="15" t="s">
        <v>5757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5758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3396</v>
      </c>
      <c r="H1640" s="9"/>
      <c r="I1640" s="8"/>
      <c r="J1640" s="8"/>
      <c r="K1640" s="8"/>
      <c r="L1640" s="9" t="s">
        <v>3547</v>
      </c>
      <c r="M1640" s="8"/>
    </row>
    <row r="1641" spans="1:13" x14ac:dyDescent="0.25">
      <c r="A1641" s="71" t="s">
        <v>5759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3396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5760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5761</v>
      </c>
      <c r="B1643" s="67">
        <v>25399089858</v>
      </c>
      <c r="C1643" s="18" t="s">
        <v>5762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5763</v>
      </c>
      <c r="B1644" s="67">
        <v>36758489817</v>
      </c>
      <c r="C1644" s="72" t="s">
        <v>5764</v>
      </c>
      <c r="D1644" s="69">
        <v>15602238808</v>
      </c>
      <c r="E1644" s="9">
        <v>117</v>
      </c>
      <c r="F1644" s="25">
        <v>43117</v>
      </c>
      <c r="G1644" s="70" t="s">
        <v>3396</v>
      </c>
      <c r="H1644" s="9"/>
      <c r="I1644" s="8"/>
      <c r="J1644" s="8"/>
      <c r="K1644" s="8"/>
      <c r="L1644" s="9" t="s">
        <v>3547</v>
      </c>
      <c r="M1644" s="8"/>
    </row>
    <row r="1645" spans="1:13" x14ac:dyDescent="0.25">
      <c r="A1645" s="71" t="s">
        <v>5765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3396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5766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5767</v>
      </c>
      <c r="B1647" s="67">
        <v>3051791440</v>
      </c>
      <c r="C1647" s="72" t="s">
        <v>5768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5769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3396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5770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5771</v>
      </c>
      <c r="B1650" s="67">
        <v>8774817841</v>
      </c>
      <c r="C1650" s="18" t="s">
        <v>3506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5772</v>
      </c>
      <c r="B1651" s="67">
        <v>15730438850</v>
      </c>
      <c r="C1651" s="72" t="s">
        <v>5773</v>
      </c>
      <c r="D1651" s="69">
        <v>11253544883</v>
      </c>
      <c r="E1651" s="9">
        <v>1628</v>
      </c>
      <c r="F1651" s="25">
        <v>43077</v>
      </c>
      <c r="G1651" s="70" t="s">
        <v>3396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5774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5775</v>
      </c>
      <c r="B1653" s="67">
        <v>16416601800</v>
      </c>
      <c r="C1653" s="72" t="s">
        <v>5776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5777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5778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3396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5779</v>
      </c>
      <c r="B1656" s="67">
        <v>6595999617</v>
      </c>
      <c r="C1656" s="68" t="s">
        <v>5780</v>
      </c>
      <c r="D1656" s="69">
        <v>9929242430</v>
      </c>
      <c r="E1656" s="9">
        <v>1128</v>
      </c>
      <c r="F1656" s="25">
        <v>42972</v>
      </c>
      <c r="G1656" s="70" t="s">
        <v>3396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5781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3396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5782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5783</v>
      </c>
      <c r="B1659" s="67">
        <v>28785359874</v>
      </c>
      <c r="C1659" s="72" t="s">
        <v>5784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5785</v>
      </c>
      <c r="B1660" s="67">
        <v>36460261890</v>
      </c>
      <c r="C1660" s="72" t="s">
        <v>5786</v>
      </c>
      <c r="D1660" s="69">
        <v>7468402841</v>
      </c>
      <c r="E1660" s="9">
        <v>608</v>
      </c>
      <c r="F1660" s="25">
        <v>43012</v>
      </c>
      <c r="G1660" s="70" t="s">
        <v>3396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5787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3396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5788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3396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5789</v>
      </c>
      <c r="B1663" s="67">
        <v>34385358826</v>
      </c>
      <c r="C1663" s="72" t="s">
        <v>5790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5791</v>
      </c>
      <c r="B1664" s="67">
        <v>24820428870</v>
      </c>
      <c r="C1664" s="72" t="s">
        <v>5792</v>
      </c>
      <c r="D1664" s="69">
        <v>22012255833</v>
      </c>
      <c r="E1664" s="9">
        <v>1417</v>
      </c>
      <c r="F1664" s="25">
        <v>43017</v>
      </c>
      <c r="G1664" s="70" t="s">
        <v>3396</v>
      </c>
      <c r="H1664" s="9"/>
      <c r="I1664" s="8"/>
      <c r="J1664" s="8"/>
      <c r="K1664" s="8"/>
      <c r="L1664" s="9" t="s">
        <v>3630</v>
      </c>
      <c r="M1664" s="8"/>
    </row>
    <row r="1665" spans="1:13" x14ac:dyDescent="0.25">
      <c r="A1665" s="29" t="s">
        <v>5793</v>
      </c>
      <c r="B1665" s="67">
        <v>31148609822</v>
      </c>
      <c r="C1665" s="29" t="s">
        <v>5794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5795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3410</v>
      </c>
      <c r="H1666" s="9"/>
      <c r="I1666" s="8"/>
      <c r="J1666" s="8"/>
      <c r="K1666" s="8"/>
      <c r="L1666" s="9" t="s">
        <v>3547</v>
      </c>
      <c r="M1666" s="8"/>
    </row>
    <row r="1667" spans="1:13" x14ac:dyDescent="0.25">
      <c r="A1667" s="14" t="s">
        <v>5796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5796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3396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5797</v>
      </c>
      <c r="B1669" s="67">
        <v>44772896856</v>
      </c>
      <c r="C1669" s="72" t="s">
        <v>5798</v>
      </c>
      <c r="D1669" s="69">
        <v>39313729873</v>
      </c>
      <c r="E1669" s="9">
        <v>117</v>
      </c>
      <c r="F1669" s="25">
        <v>43117</v>
      </c>
      <c r="G1669" s="70" t="s">
        <v>3396</v>
      </c>
      <c r="H1669" s="9"/>
      <c r="I1669" s="8"/>
      <c r="J1669" s="8"/>
      <c r="K1669" s="8"/>
      <c r="L1669" s="9" t="s">
        <v>3547</v>
      </c>
      <c r="M1669" s="8"/>
    </row>
    <row r="1670" spans="1:13" x14ac:dyDescent="0.25">
      <c r="A1670" s="29" t="s">
        <v>5799</v>
      </c>
      <c r="B1670" s="67">
        <v>28501359840</v>
      </c>
      <c r="C1670" s="29" t="s">
        <v>5800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5801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5802</v>
      </c>
      <c r="B1672" s="67">
        <v>30131142828</v>
      </c>
      <c r="C1672" s="77" t="s">
        <v>5803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5804</v>
      </c>
      <c r="B1673" s="67"/>
      <c r="C1673" s="29" t="s">
        <v>3506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5805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3396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5806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3396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5807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3396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5808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3396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5809</v>
      </c>
      <c r="B1678" s="67">
        <v>30319988805</v>
      </c>
      <c r="C1678" s="29" t="s">
        <v>3506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5810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5811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3396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5812</v>
      </c>
      <c r="B1681" s="67">
        <v>1565236122</v>
      </c>
      <c r="C1681" s="72" t="s">
        <v>5813</v>
      </c>
      <c r="D1681" s="69">
        <v>218506589</v>
      </c>
      <c r="E1681" s="9">
        <v>1241</v>
      </c>
      <c r="F1681" s="25">
        <v>42992</v>
      </c>
      <c r="G1681" s="70" t="s">
        <v>3396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5814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5815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3396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5816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5817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5818</v>
      </c>
      <c r="B1686" s="67">
        <v>28842233803</v>
      </c>
      <c r="C1686" s="72" t="s">
        <v>5819</v>
      </c>
      <c r="D1686" s="69">
        <v>39207708892</v>
      </c>
      <c r="E1686" s="9">
        <v>262</v>
      </c>
      <c r="F1686" s="25">
        <v>43160</v>
      </c>
      <c r="G1686" s="70" t="s">
        <v>3402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5820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3396</v>
      </c>
      <c r="H1687" s="9"/>
      <c r="I1687" s="8"/>
      <c r="J1687" s="8"/>
      <c r="K1687" s="8"/>
      <c r="L1687" s="9" t="s">
        <v>3515</v>
      </c>
      <c r="M1687" s="8"/>
    </row>
    <row r="1688" spans="1:13" x14ac:dyDescent="0.25">
      <c r="A1688" s="71" t="s">
        <v>5821</v>
      </c>
      <c r="B1688" s="67">
        <v>39111957883</v>
      </c>
      <c r="C1688" s="72" t="s">
        <v>5822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5823</v>
      </c>
      <c r="B1689" s="67">
        <v>26763450877</v>
      </c>
      <c r="C1689" s="72" t="s">
        <v>5824</v>
      </c>
      <c r="D1689" s="69">
        <v>23405053803</v>
      </c>
      <c r="E1689" s="9">
        <v>292</v>
      </c>
      <c r="F1689" s="25">
        <v>43168</v>
      </c>
      <c r="G1689" s="70" t="s">
        <v>3396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5825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3396</v>
      </c>
      <c r="H1690" s="9"/>
      <c r="I1690" s="8"/>
      <c r="J1690" s="8"/>
      <c r="K1690" s="8"/>
      <c r="L1690" s="9" t="s">
        <v>3547</v>
      </c>
      <c r="M1690" s="8"/>
    </row>
    <row r="1691" spans="1:13" x14ac:dyDescent="0.25">
      <c r="A1691" s="29" t="s">
        <v>5826</v>
      </c>
      <c r="B1691" s="67">
        <v>41696411831</v>
      </c>
      <c r="C1691" s="29" t="s">
        <v>5827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5828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5829</v>
      </c>
      <c r="B1693" s="67"/>
      <c r="C1693" s="18" t="s">
        <v>3506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5830</v>
      </c>
      <c r="B1694" s="67">
        <v>8946062479</v>
      </c>
      <c r="C1694" s="15" t="s">
        <v>5831</v>
      </c>
      <c r="D1694" s="69">
        <v>9671165460</v>
      </c>
      <c r="E1694" s="9">
        <v>292</v>
      </c>
      <c r="F1694" s="25">
        <v>43168</v>
      </c>
      <c r="G1694" s="70" t="s">
        <v>3402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5832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3396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5833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3396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5834</v>
      </c>
      <c r="B1697" s="67"/>
      <c r="C1697" s="18" t="s">
        <v>3506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5835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3396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5836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5837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5838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5839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5840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5841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5842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5843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3396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5844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3396</v>
      </c>
      <c r="H1707" s="9"/>
      <c r="I1707" s="8"/>
      <c r="J1707" s="8"/>
      <c r="K1707" s="8"/>
      <c r="L1707" s="9" t="s">
        <v>3630</v>
      </c>
      <c r="M1707" s="8"/>
    </row>
    <row r="1708" spans="1:13" x14ac:dyDescent="0.25">
      <c r="A1708" s="13" t="s">
        <v>5845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3396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5846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5847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5848</v>
      </c>
      <c r="B1711" s="67"/>
      <c r="C1711" s="18" t="s">
        <v>3506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5849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3396</v>
      </c>
      <c r="H1712" s="9"/>
      <c r="I1712" s="8"/>
      <c r="J1712" s="8"/>
      <c r="K1712" s="8"/>
      <c r="L1712" s="9" t="s">
        <v>3547</v>
      </c>
      <c r="M1712" s="8"/>
    </row>
    <row r="1713" spans="1:13" x14ac:dyDescent="0.25">
      <c r="A1713" s="71" t="s">
        <v>5850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3396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5851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3396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5852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5853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3396</v>
      </c>
      <c r="H1716" s="9"/>
      <c r="I1716" s="8"/>
      <c r="J1716" s="8"/>
      <c r="K1716" s="8"/>
      <c r="L1716" s="9" t="s">
        <v>3515</v>
      </c>
      <c r="M1716" s="8"/>
    </row>
    <row r="1717" spans="1:13" x14ac:dyDescent="0.25">
      <c r="A1717" s="71" t="s">
        <v>5854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5855</v>
      </c>
      <c r="B1718" s="67">
        <v>26903961810</v>
      </c>
      <c r="C1718" s="72" t="s">
        <v>5856</v>
      </c>
      <c r="D1718" s="69">
        <v>40904229904</v>
      </c>
      <c r="E1718" s="9">
        <v>1555</v>
      </c>
      <c r="F1718" s="25">
        <v>43049</v>
      </c>
      <c r="G1718" s="70" t="s">
        <v>3396</v>
      </c>
      <c r="H1718" s="9"/>
      <c r="I1718" s="8"/>
      <c r="J1718" s="8"/>
      <c r="K1718" s="8"/>
      <c r="L1718" s="9" t="s">
        <v>3775</v>
      </c>
      <c r="M1718" s="8"/>
    </row>
    <row r="1719" spans="1:13" x14ac:dyDescent="0.25">
      <c r="A1719" s="18" t="s">
        <v>5857</v>
      </c>
      <c r="B1719" s="67">
        <v>31611651875</v>
      </c>
      <c r="C1719" s="18" t="s">
        <v>5858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5859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3396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5860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5861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3396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5862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5863</v>
      </c>
      <c r="B1724" s="69">
        <v>22580790802</v>
      </c>
      <c r="C1724" s="71" t="s">
        <v>5864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5865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5866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5867</v>
      </c>
      <c r="B1727" s="69">
        <v>88565386520</v>
      </c>
      <c r="C1727" s="15" t="s">
        <v>5868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5869</v>
      </c>
      <c r="B1728" s="67">
        <v>1147816565</v>
      </c>
      <c r="C1728" s="72" t="s">
        <v>5870</v>
      </c>
      <c r="D1728" s="69">
        <v>24692193883</v>
      </c>
      <c r="E1728" s="9">
        <v>262</v>
      </c>
      <c r="F1728" s="25">
        <v>43160</v>
      </c>
      <c r="G1728" s="70" t="s">
        <v>3396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5871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3396</v>
      </c>
      <c r="H1729" s="9"/>
      <c r="I1729" s="8"/>
      <c r="J1729" s="8"/>
      <c r="K1729" s="8"/>
      <c r="L1729" s="9" t="s">
        <v>3515</v>
      </c>
      <c r="M1729" s="8"/>
    </row>
    <row r="1730" spans="1:13" x14ac:dyDescent="0.25">
      <c r="A1730" s="14" t="s">
        <v>5872</v>
      </c>
      <c r="B1730" s="67">
        <v>7039189402</v>
      </c>
      <c r="C1730" s="72" t="s">
        <v>5873</v>
      </c>
      <c r="D1730" s="69">
        <v>5531291558</v>
      </c>
      <c r="E1730" s="9">
        <v>262</v>
      </c>
      <c r="F1730" s="25">
        <v>43160</v>
      </c>
      <c r="G1730" s="70" t="s">
        <v>3396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5874</v>
      </c>
      <c r="B1731" s="67">
        <v>34602647804</v>
      </c>
      <c r="C1731" s="72" t="s">
        <v>5875</v>
      </c>
      <c r="D1731" s="69">
        <v>27640163870</v>
      </c>
      <c r="E1731" s="9">
        <v>229</v>
      </c>
      <c r="F1731" s="25">
        <v>43151</v>
      </c>
      <c r="G1731" s="70" t="s">
        <v>3396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5876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3396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5877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3396</v>
      </c>
      <c r="H1733" s="9"/>
      <c r="I1733" s="8"/>
      <c r="J1733" s="8"/>
      <c r="K1733" s="8"/>
      <c r="L1733" s="9" t="s">
        <v>3878</v>
      </c>
      <c r="M1733" s="8"/>
    </row>
    <row r="1734" spans="1:13" x14ac:dyDescent="0.25">
      <c r="A1734" s="71" t="s">
        <v>5878</v>
      </c>
      <c r="B1734" s="67">
        <v>4656282570</v>
      </c>
      <c r="C1734" s="72" t="s">
        <v>5879</v>
      </c>
      <c r="D1734" s="69">
        <v>85025780578</v>
      </c>
      <c r="E1734" s="9">
        <v>85</v>
      </c>
      <c r="F1734" s="25">
        <v>43109</v>
      </c>
      <c r="G1734" s="70" t="s">
        <v>3396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5880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5881</v>
      </c>
      <c r="B1736" s="67">
        <v>44808773805</v>
      </c>
      <c r="C1736" s="72" t="s">
        <v>5882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5883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3396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5884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5885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3396</v>
      </c>
      <c r="H1739" s="9"/>
      <c r="I1739" s="8"/>
      <c r="J1739" s="8"/>
      <c r="K1739" s="8"/>
      <c r="L1739" s="9" t="s">
        <v>3515</v>
      </c>
      <c r="M1739" s="8"/>
    </row>
    <row r="1740" spans="1:13" x14ac:dyDescent="0.25">
      <c r="A1740" s="71" t="s">
        <v>5886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3410</v>
      </c>
      <c r="H1740" s="9"/>
      <c r="I1740" s="8"/>
      <c r="J1740" s="8"/>
      <c r="K1740" s="8"/>
      <c r="L1740" s="9" t="s">
        <v>3630</v>
      </c>
      <c r="M1740" s="8"/>
    </row>
    <row r="1741" spans="1:13" x14ac:dyDescent="0.25">
      <c r="A1741" s="15" t="s">
        <v>5887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3396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5888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5889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5890</v>
      </c>
      <c r="B1744" s="67">
        <v>19129440491</v>
      </c>
      <c r="C1744" s="72" t="s">
        <v>5891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5892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3396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5893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3396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5894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3396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5895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3396</v>
      </c>
      <c r="H1748" s="9"/>
      <c r="I1748" s="8"/>
      <c r="J1748" s="8"/>
      <c r="K1748" s="8"/>
      <c r="L1748" s="9" t="s">
        <v>3775</v>
      </c>
      <c r="M1748" s="8"/>
    </row>
    <row r="1749" spans="1:13" x14ac:dyDescent="0.25">
      <c r="A1749" s="13" t="s">
        <v>5896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3396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5897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5898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3396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5899</v>
      </c>
      <c r="B1752" s="67">
        <v>15634351871</v>
      </c>
      <c r="C1752" s="72" t="s">
        <v>5900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5901</v>
      </c>
      <c r="B1753" s="67">
        <v>35994306835</v>
      </c>
      <c r="C1753" s="72" t="s">
        <v>5902</v>
      </c>
      <c r="D1753" s="69">
        <v>25021610880</v>
      </c>
      <c r="E1753" s="9">
        <v>262</v>
      </c>
      <c r="F1753" s="25">
        <v>43160</v>
      </c>
      <c r="G1753" s="70" t="s">
        <v>3396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5903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3396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5904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5905</v>
      </c>
      <c r="B1756" s="67">
        <v>32525046854</v>
      </c>
      <c r="C1756" s="29" t="s">
        <v>3506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5906</v>
      </c>
      <c r="B1757" s="67">
        <v>23704553816</v>
      </c>
      <c r="C1757" s="77" t="s">
        <v>5907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3676</v>
      </c>
      <c r="M1757" s="8"/>
    </row>
    <row r="1758" spans="1:13" x14ac:dyDescent="0.25">
      <c r="A1758" s="71" t="s">
        <v>5908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3396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5909</v>
      </c>
      <c r="B1759" s="67">
        <v>3180351543</v>
      </c>
      <c r="C1759" s="72" t="s">
        <v>5910</v>
      </c>
      <c r="D1759" s="69">
        <v>38259838893</v>
      </c>
      <c r="E1759" s="9">
        <v>1752</v>
      </c>
      <c r="F1759" s="25">
        <v>43051</v>
      </c>
      <c r="G1759" s="70" t="s">
        <v>3396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5911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3396</v>
      </c>
      <c r="H1760" s="9"/>
      <c r="I1760" s="8"/>
      <c r="J1760" s="8"/>
      <c r="K1760" s="8"/>
      <c r="L1760" s="9" t="s">
        <v>3515</v>
      </c>
      <c r="M1760" s="8"/>
    </row>
    <row r="1761" spans="1:13" x14ac:dyDescent="0.25">
      <c r="A1761" s="71" t="s">
        <v>5912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3396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5913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5914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3396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5915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3396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5916</v>
      </c>
      <c r="B1765" s="80">
        <v>27034088896</v>
      </c>
      <c r="C1765" s="81" t="s">
        <v>5917</v>
      </c>
      <c r="D1765" s="82">
        <v>31801530831</v>
      </c>
      <c r="E1765" s="47">
        <v>1267</v>
      </c>
      <c r="F1765" s="48">
        <v>42998</v>
      </c>
      <c r="G1765" s="83" t="s">
        <v>3402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5918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5919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5920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3396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5921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3396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5922</v>
      </c>
      <c r="B1770" s="67">
        <v>13035980861</v>
      </c>
      <c r="C1770" s="72" t="s">
        <v>5923</v>
      </c>
      <c r="D1770" s="69">
        <v>60623608553</v>
      </c>
      <c r="E1770" s="9">
        <v>1752</v>
      </c>
      <c r="F1770" s="25">
        <v>43051</v>
      </c>
      <c r="G1770" s="70" t="s">
        <v>3396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5924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5925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3396</v>
      </c>
      <c r="H1772" s="9"/>
      <c r="I1772" s="8"/>
      <c r="J1772" s="8"/>
      <c r="K1772" s="8"/>
      <c r="L1772" s="9" t="s">
        <v>3515</v>
      </c>
      <c r="M1772" s="8"/>
    </row>
    <row r="1773" spans="1:13" x14ac:dyDescent="0.25">
      <c r="A1773" s="29" t="s">
        <v>5926</v>
      </c>
      <c r="B1773" s="67">
        <v>7965453401</v>
      </c>
      <c r="C1773" s="29" t="s">
        <v>5927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5928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3396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5929</v>
      </c>
      <c r="B1775" s="67">
        <v>29335127850</v>
      </c>
      <c r="C1775" s="68" t="s">
        <v>5930</v>
      </c>
      <c r="D1775" s="69">
        <v>18384225877</v>
      </c>
      <c r="E1775" s="9">
        <v>1214</v>
      </c>
      <c r="F1775" s="25">
        <v>42989</v>
      </c>
      <c r="G1775" s="70" t="s">
        <v>3396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5931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3396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5932</v>
      </c>
      <c r="B1777" s="67">
        <v>22530539880</v>
      </c>
      <c r="C1777" s="72" t="s">
        <v>5933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5934</v>
      </c>
      <c r="B1778" s="67">
        <v>22135571873</v>
      </c>
      <c r="C1778" s="72" t="s">
        <v>5935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5936</v>
      </c>
      <c r="B1779" s="67">
        <v>29928831823</v>
      </c>
      <c r="C1779" s="72" t="s">
        <v>5937</v>
      </c>
      <c r="D1779" s="69">
        <v>9500916428</v>
      </c>
      <c r="E1779" s="9">
        <v>810</v>
      </c>
      <c r="F1779" s="25">
        <v>42915</v>
      </c>
      <c r="G1779" s="70" t="s">
        <v>3396</v>
      </c>
      <c r="H1779" s="9"/>
      <c r="I1779" s="8"/>
      <c r="J1779" s="8"/>
      <c r="K1779" s="8"/>
      <c r="L1779" s="9" t="s">
        <v>3515</v>
      </c>
      <c r="M1779" s="8"/>
    </row>
    <row r="1780" spans="1:13" x14ac:dyDescent="0.25">
      <c r="A1780" s="72" t="s">
        <v>5938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5939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3396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5940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5941</v>
      </c>
      <c r="B1783" s="67"/>
      <c r="C1783" s="29" t="s">
        <v>3506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5942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3396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5943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3396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5944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3396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5945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3396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5946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3396</v>
      </c>
      <c r="H1788" s="9"/>
      <c r="I1788" s="8"/>
      <c r="J1788" s="8"/>
      <c r="K1788" s="8"/>
      <c r="L1788" s="9" t="s">
        <v>3515</v>
      </c>
      <c r="M1788" s="8"/>
    </row>
    <row r="1789" spans="1:13" x14ac:dyDescent="0.25">
      <c r="A1789" s="71" t="s">
        <v>5947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3396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5948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3396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5949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3396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5950</v>
      </c>
      <c r="B1792" s="67">
        <v>29652104825</v>
      </c>
      <c r="C1792" s="68" t="s">
        <v>5951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5952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3396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5953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5954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5955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3396</v>
      </c>
      <c r="H1796" s="9"/>
      <c r="I1796" s="8"/>
      <c r="J1796" s="8"/>
      <c r="K1796" s="8"/>
      <c r="L1796" s="9" t="s">
        <v>3878</v>
      </c>
      <c r="M1796" s="8"/>
    </row>
    <row r="1797" spans="1:13" x14ac:dyDescent="0.25">
      <c r="A1797" s="71" t="s">
        <v>5956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3396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5957</v>
      </c>
      <c r="B1798" s="67">
        <v>6896659890</v>
      </c>
      <c r="C1798" s="29" t="s">
        <v>5958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5959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3396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5960</v>
      </c>
      <c r="B1800" s="67">
        <v>60230380506</v>
      </c>
      <c r="C1800" s="72" t="s">
        <v>5961</v>
      </c>
      <c r="D1800" s="69">
        <v>30853536821</v>
      </c>
      <c r="E1800" s="9">
        <v>1570</v>
      </c>
      <c r="F1800" s="25">
        <v>43051</v>
      </c>
      <c r="G1800" s="70" t="s">
        <v>3402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5962</v>
      </c>
      <c r="B1801" s="67">
        <v>44556393817</v>
      </c>
      <c r="C1801" s="72" t="s">
        <v>5963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5964</v>
      </c>
      <c r="B1802" s="67">
        <v>35780076847</v>
      </c>
      <c r="C1802" s="29" t="s">
        <v>5965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5966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3396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5967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3396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5968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5969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5970</v>
      </c>
      <c r="B1807" s="67">
        <v>8265497806</v>
      </c>
      <c r="C1807" s="18" t="s">
        <v>3506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5971</v>
      </c>
      <c r="B1808" s="67">
        <v>27435732877</v>
      </c>
      <c r="C1808" s="29" t="s">
        <v>3506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5972</v>
      </c>
      <c r="B1809" s="67">
        <v>17620421858</v>
      </c>
      <c r="C1809" s="72" t="s">
        <v>5973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5974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3396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5975</v>
      </c>
      <c r="B1811" s="78" t="s">
        <v>5976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5977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3396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5978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5979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5980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3396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5981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3676</v>
      </c>
      <c r="M1816" s="8"/>
    </row>
    <row r="1817" spans="1:13" x14ac:dyDescent="0.25">
      <c r="A1817" s="14" t="s">
        <v>5982</v>
      </c>
      <c r="B1817" s="67">
        <v>24655581883</v>
      </c>
      <c r="C1817" s="72" t="s">
        <v>5983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5984</v>
      </c>
      <c r="B1818" s="67">
        <v>6455171861</v>
      </c>
      <c r="C1818" s="72" t="s">
        <v>5985</v>
      </c>
      <c r="D1818" s="69">
        <v>34375910534</v>
      </c>
      <c r="E1818" s="9">
        <v>1417</v>
      </c>
      <c r="F1818" s="25">
        <v>43017</v>
      </c>
      <c r="G1818" s="70" t="s">
        <v>3396</v>
      </c>
      <c r="H1818" s="9"/>
      <c r="I1818" s="8"/>
      <c r="J1818" s="8"/>
      <c r="K1818" s="8"/>
      <c r="L1818" s="9" t="s">
        <v>3630</v>
      </c>
      <c r="M1818" s="8"/>
    </row>
    <row r="1819" spans="1:13" x14ac:dyDescent="0.25">
      <c r="A1819" s="71" t="s">
        <v>5986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3396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5987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3396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5988</v>
      </c>
      <c r="B1821" s="67">
        <v>16417318850</v>
      </c>
      <c r="C1821" s="72" t="s">
        <v>5989</v>
      </c>
      <c r="D1821" s="69">
        <v>18195940846</v>
      </c>
      <c r="E1821" s="9">
        <v>810</v>
      </c>
      <c r="F1821" s="25">
        <v>42915</v>
      </c>
      <c r="G1821" s="70" t="s">
        <v>3402</v>
      </c>
      <c r="H1821" s="9"/>
      <c r="I1821" s="8"/>
      <c r="J1821" s="8"/>
      <c r="K1821" s="8"/>
      <c r="L1821" s="9" t="s">
        <v>3515</v>
      </c>
      <c r="M1821" s="8"/>
    </row>
    <row r="1822" spans="1:13" x14ac:dyDescent="0.25">
      <c r="A1822" s="14" t="s">
        <v>5990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3396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5991</v>
      </c>
      <c r="B1823" s="67">
        <v>14369207878</v>
      </c>
      <c r="C1823" s="72" t="s">
        <v>5992</v>
      </c>
      <c r="D1823" s="69">
        <v>7358923421</v>
      </c>
      <c r="E1823" s="9">
        <v>292</v>
      </c>
      <c r="F1823" s="25">
        <v>43168</v>
      </c>
      <c r="G1823" s="9" t="s">
        <v>3396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5993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5993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5994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3396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5995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5996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3176</v>
      </c>
      <c r="B1829" s="67" t="s">
        <v>5997</v>
      </c>
      <c r="C1829" s="72" t="s">
        <v>5998</v>
      </c>
      <c r="D1829" s="69">
        <v>43860821822</v>
      </c>
      <c r="E1829" s="9">
        <v>1752</v>
      </c>
      <c r="F1829" s="25">
        <v>43051</v>
      </c>
      <c r="G1829" s="70" t="s">
        <v>3396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3176</v>
      </c>
      <c r="B1830" s="67"/>
      <c r="C1830" s="18" t="s">
        <v>3506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5999</v>
      </c>
      <c r="B1831" s="67">
        <v>32969576856</v>
      </c>
      <c r="C1831" s="72" t="s">
        <v>6000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6001</v>
      </c>
      <c r="B1832" s="67">
        <v>23651706842</v>
      </c>
      <c r="C1832" s="18" t="s">
        <v>6002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6003</v>
      </c>
      <c r="B1833" s="67"/>
      <c r="C1833" s="29" t="s">
        <v>6004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6005</v>
      </c>
      <c r="B1834" s="67">
        <v>24891699809</v>
      </c>
      <c r="C1834" s="72" t="s">
        <v>6006</v>
      </c>
      <c r="D1834" s="69">
        <v>17610300861</v>
      </c>
      <c r="E1834" s="9">
        <v>262</v>
      </c>
      <c r="F1834" s="25">
        <v>43160</v>
      </c>
      <c r="G1834" s="70" t="s">
        <v>3402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6007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3396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6008</v>
      </c>
      <c r="B1836" s="67">
        <v>79465617687</v>
      </c>
      <c r="C1836" s="77" t="s">
        <v>6009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3676</v>
      </c>
      <c r="M1836" s="8"/>
    </row>
    <row r="1837" spans="1:13" x14ac:dyDescent="0.25">
      <c r="A1837" s="29" t="s">
        <v>6010</v>
      </c>
      <c r="B1837" s="67"/>
      <c r="C1837" s="29" t="s">
        <v>3506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6011</v>
      </c>
      <c r="B1838" s="67" t="s">
        <v>6012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6013</v>
      </c>
      <c r="B1839" s="67">
        <v>8545670893</v>
      </c>
      <c r="C1839" s="18" t="s">
        <v>6014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6013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3396</v>
      </c>
      <c r="H1840" s="9"/>
      <c r="I1840" s="8"/>
      <c r="J1840" s="8"/>
      <c r="K1840" s="8"/>
      <c r="L1840" s="9" t="s">
        <v>3515</v>
      </c>
      <c r="M1840" s="8"/>
    </row>
    <row r="1841" spans="1:13" x14ac:dyDescent="0.25">
      <c r="A1841" s="72" t="s">
        <v>6015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6016</v>
      </c>
      <c r="B1842" s="67"/>
      <c r="C1842" s="29" t="s">
        <v>3506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6017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3396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6018</v>
      </c>
      <c r="B1844" s="69">
        <v>84920157487</v>
      </c>
      <c r="C1844" s="71" t="s">
        <v>6019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6020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6021</v>
      </c>
      <c r="B1846" s="67">
        <v>35331745814</v>
      </c>
      <c r="C1846" s="75" t="s">
        <v>6022</v>
      </c>
      <c r="D1846" s="69">
        <v>33184459837</v>
      </c>
      <c r="E1846" s="9">
        <v>1106</v>
      </c>
      <c r="F1846" s="25">
        <v>42965</v>
      </c>
      <c r="G1846" s="70" t="s">
        <v>3396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6023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3396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6024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6025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3396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6026</v>
      </c>
      <c r="B1850" s="67">
        <v>14686278805</v>
      </c>
      <c r="C1850" s="18" t="s">
        <v>3506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6027</v>
      </c>
      <c r="B1851" s="67">
        <v>14857592851</v>
      </c>
      <c r="C1851" s="72" t="s">
        <v>6028</v>
      </c>
      <c r="D1851" s="69">
        <v>35142215885</v>
      </c>
      <c r="E1851" s="9">
        <v>1106</v>
      </c>
      <c r="F1851" s="25">
        <v>42965</v>
      </c>
      <c r="G1851" s="70" t="s">
        <v>3396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6029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3396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6030</v>
      </c>
      <c r="B1853" s="67">
        <v>35714112857</v>
      </c>
      <c r="C1853" s="72" t="s">
        <v>6031</v>
      </c>
      <c r="D1853" s="69">
        <v>32342783850</v>
      </c>
      <c r="E1853" s="9">
        <v>810</v>
      </c>
      <c r="F1853" s="25">
        <v>42915</v>
      </c>
      <c r="G1853" s="70" t="s">
        <v>3396</v>
      </c>
      <c r="H1853" s="9"/>
      <c r="I1853" s="8"/>
      <c r="J1853" s="8"/>
      <c r="K1853" s="8"/>
      <c r="L1853" s="9" t="s">
        <v>3515</v>
      </c>
      <c r="M1853" s="8"/>
    </row>
    <row r="1854" spans="1:13" x14ac:dyDescent="0.25">
      <c r="A1854" s="15" t="s">
        <v>6032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6033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3396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6034</v>
      </c>
      <c r="B1856" s="67">
        <v>22009621859</v>
      </c>
      <c r="C1856" s="72" t="s">
        <v>6035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6036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3396</v>
      </c>
      <c r="H1857" s="9"/>
      <c r="I1857" s="8"/>
      <c r="J1857" s="8"/>
      <c r="K1857" s="8"/>
      <c r="L1857" s="9" t="s">
        <v>3515</v>
      </c>
      <c r="M1857" s="8"/>
    </row>
    <row r="1858" spans="1:13" x14ac:dyDescent="0.25">
      <c r="A1858" s="71" t="s">
        <v>6037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3396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6038</v>
      </c>
      <c r="B1859" s="67">
        <v>32752183879</v>
      </c>
      <c r="C1859" s="72" t="s">
        <v>6039</v>
      </c>
      <c r="D1859" s="69">
        <v>15202346867</v>
      </c>
      <c r="E1859" s="9">
        <v>85</v>
      </c>
      <c r="F1859" s="25">
        <v>43109</v>
      </c>
      <c r="G1859" s="70" t="s">
        <v>3396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6040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6041</v>
      </c>
      <c r="B1861" s="67">
        <v>13622732873</v>
      </c>
      <c r="C1861" s="68"/>
      <c r="D1861" s="69"/>
      <c r="E1861" s="9"/>
      <c r="F1861" s="25"/>
      <c r="G1861" s="70" t="s">
        <v>3396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6042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6043</v>
      </c>
      <c r="B1863" s="67">
        <v>17094778813</v>
      </c>
      <c r="C1863" s="72" t="s">
        <v>6044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6045</v>
      </c>
      <c r="B1864" s="67"/>
      <c r="C1864" s="72" t="s">
        <v>6046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6047</v>
      </c>
      <c r="B1865" s="67">
        <v>43289674878</v>
      </c>
      <c r="C1865" s="72" t="s">
        <v>6048</v>
      </c>
      <c r="D1865" s="69">
        <v>39726735823</v>
      </c>
      <c r="E1865" s="9">
        <v>810</v>
      </c>
      <c r="F1865" s="25">
        <v>42915</v>
      </c>
      <c r="G1865" s="70" t="s">
        <v>3396</v>
      </c>
      <c r="H1865" s="9"/>
      <c r="I1865" s="8"/>
      <c r="J1865" s="8"/>
      <c r="K1865" s="8"/>
      <c r="L1865" s="9" t="s">
        <v>3515</v>
      </c>
      <c r="M1865" s="8"/>
    </row>
    <row r="1866" spans="1:13" x14ac:dyDescent="0.25">
      <c r="A1866" s="29" t="s">
        <v>6049</v>
      </c>
      <c r="B1866" s="67">
        <v>3778856812</v>
      </c>
      <c r="C1866" s="18" t="s">
        <v>3506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6050</v>
      </c>
      <c r="B1867" s="67">
        <v>36074731888</v>
      </c>
      <c r="C1867" s="29" t="s">
        <v>3506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6051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6052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3396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6053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3676</v>
      </c>
      <c r="M1870" s="8"/>
    </row>
    <row r="1871" spans="1:13" x14ac:dyDescent="0.25">
      <c r="A1871" s="71" t="s">
        <v>6054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6055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3396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6056</v>
      </c>
      <c r="B1873" s="67">
        <v>35885861803</v>
      </c>
      <c r="C1873" s="72" t="s">
        <v>6057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6058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6059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3396</v>
      </c>
      <c r="H1875" s="9"/>
      <c r="I1875" s="8"/>
      <c r="J1875" s="8"/>
      <c r="K1875" s="8"/>
      <c r="L1875" s="9" t="s">
        <v>3515</v>
      </c>
      <c r="M1875" s="8"/>
    </row>
    <row r="1876" spans="1:13" x14ac:dyDescent="0.25">
      <c r="A1876" s="13" t="s">
        <v>6060</v>
      </c>
      <c r="B1876" s="67">
        <v>14888258821</v>
      </c>
      <c r="C1876" s="72" t="s">
        <v>6061</v>
      </c>
      <c r="D1876" s="69">
        <v>9173891827</v>
      </c>
      <c r="E1876" s="9">
        <v>229</v>
      </c>
      <c r="F1876" s="25">
        <v>43151</v>
      </c>
      <c r="G1876" s="70" t="s">
        <v>3396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6062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3396</v>
      </c>
      <c r="H1877" s="9"/>
      <c r="I1877" s="8"/>
      <c r="J1877" s="8"/>
      <c r="K1877" s="8"/>
      <c r="L1877" s="9" t="s">
        <v>3878</v>
      </c>
      <c r="M1877" s="8"/>
    </row>
    <row r="1878" spans="1:13" x14ac:dyDescent="0.25">
      <c r="A1878" s="73" t="s">
        <v>6063</v>
      </c>
      <c r="B1878" s="67">
        <v>36238125870</v>
      </c>
      <c r="C1878" s="72" t="s">
        <v>6064</v>
      </c>
      <c r="D1878" s="69">
        <v>44321368391</v>
      </c>
      <c r="E1878" s="9">
        <v>1106</v>
      </c>
      <c r="F1878" s="25">
        <v>42965</v>
      </c>
      <c r="G1878" s="70" t="s">
        <v>3396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6065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3396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6066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6067</v>
      </c>
      <c r="B1881" s="67">
        <v>25970465836</v>
      </c>
      <c r="C1881" s="29" t="s">
        <v>6068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6069</v>
      </c>
      <c r="B1882" s="67">
        <v>26569869825</v>
      </c>
      <c r="C1882" s="15" t="s">
        <v>6070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6071</v>
      </c>
      <c r="B1883" s="67">
        <v>87835053349</v>
      </c>
      <c r="C1883" s="72" t="s">
        <v>6072</v>
      </c>
      <c r="D1883" s="69">
        <v>18172850840</v>
      </c>
      <c r="E1883" s="9">
        <v>1106</v>
      </c>
      <c r="F1883" s="25">
        <v>42965</v>
      </c>
      <c r="G1883" s="70" t="s">
        <v>3396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6073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3676</v>
      </c>
      <c r="M1884" s="8"/>
    </row>
    <row r="1885" spans="1:13" x14ac:dyDescent="0.25">
      <c r="A1885" s="72" t="s">
        <v>6074</v>
      </c>
      <c r="B1885" s="67">
        <v>32747471810</v>
      </c>
      <c r="C1885" s="72" t="s">
        <v>6075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6076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6077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3396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6078</v>
      </c>
      <c r="B1888" s="67">
        <v>31413965822</v>
      </c>
      <c r="C1888" s="72" t="s">
        <v>6079</v>
      </c>
      <c r="D1888" s="69">
        <v>17486425882</v>
      </c>
      <c r="E1888" s="9">
        <v>1106</v>
      </c>
      <c r="F1888" s="25">
        <v>42965</v>
      </c>
      <c r="G1888" s="70" t="s">
        <v>3396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6080</v>
      </c>
      <c r="B1889" s="67">
        <v>35736302861</v>
      </c>
      <c r="C1889" s="72" t="s">
        <v>6081</v>
      </c>
      <c r="D1889" s="69">
        <v>39355200854</v>
      </c>
      <c r="E1889" s="9">
        <v>229</v>
      </c>
      <c r="F1889" s="25">
        <v>43151</v>
      </c>
      <c r="G1889" s="70" t="s">
        <v>3396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6082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3396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6083</v>
      </c>
      <c r="B1891" s="67">
        <v>16364261825</v>
      </c>
      <c r="C1891" s="72" t="s">
        <v>6084</v>
      </c>
      <c r="D1891" s="69">
        <v>3293003427</v>
      </c>
      <c r="E1891" s="9">
        <v>117</v>
      </c>
      <c r="F1891" s="25">
        <v>43117</v>
      </c>
      <c r="G1891" s="70" t="s">
        <v>3396</v>
      </c>
      <c r="H1891" s="9"/>
      <c r="I1891" s="8"/>
      <c r="J1891" s="8"/>
      <c r="K1891" s="8"/>
      <c r="L1891" s="9" t="s">
        <v>3547</v>
      </c>
      <c r="M1891" s="8"/>
    </row>
    <row r="1892" spans="1:13" x14ac:dyDescent="0.25">
      <c r="A1892" s="84" t="s">
        <v>6085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6086</v>
      </c>
      <c r="B1893" s="67">
        <v>33729129856</v>
      </c>
      <c r="C1893" s="72" t="s">
        <v>6087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6088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3396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6089</v>
      </c>
      <c r="B1895" s="67">
        <v>6579182458</v>
      </c>
      <c r="C1895" s="72" t="s">
        <v>6090</v>
      </c>
      <c r="D1895" s="69">
        <v>7424068490</v>
      </c>
      <c r="E1895" s="9">
        <v>810</v>
      </c>
      <c r="F1895" s="25">
        <v>42915</v>
      </c>
      <c r="G1895" s="70" t="s">
        <v>3396</v>
      </c>
      <c r="H1895" s="9"/>
      <c r="I1895" s="8"/>
      <c r="J1895" s="8"/>
      <c r="K1895" s="8"/>
      <c r="L1895" s="9" t="s">
        <v>3515</v>
      </c>
      <c r="M1895" s="8"/>
    </row>
    <row r="1896" spans="1:13" x14ac:dyDescent="0.25">
      <c r="A1896" s="71" t="s">
        <v>6091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6092</v>
      </c>
      <c r="B1897" s="67">
        <v>65195140553</v>
      </c>
      <c r="C1897" s="29" t="s">
        <v>3506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6093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6093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3396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6094</v>
      </c>
      <c r="B1900" s="67">
        <v>17146759806</v>
      </c>
      <c r="C1900" s="72" t="s">
        <v>6095</v>
      </c>
      <c r="D1900" s="69">
        <v>39095494896</v>
      </c>
      <c r="E1900" s="9">
        <v>1262</v>
      </c>
      <c r="F1900" s="25">
        <v>42997</v>
      </c>
      <c r="G1900" s="70" t="s">
        <v>3402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6096</v>
      </c>
      <c r="B1901" s="67">
        <v>3893020403</v>
      </c>
      <c r="C1901" s="68" t="s">
        <v>6097</v>
      </c>
      <c r="D1901" s="69">
        <v>31615704809</v>
      </c>
      <c r="E1901" s="9">
        <v>1128</v>
      </c>
      <c r="F1901" s="25">
        <v>42972</v>
      </c>
      <c r="G1901" s="70" t="s">
        <v>3396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6098</v>
      </c>
      <c r="B1902" s="67">
        <v>70116695404</v>
      </c>
      <c r="C1902" s="72" t="s">
        <v>6099</v>
      </c>
      <c r="D1902" s="69">
        <v>66319943491</v>
      </c>
      <c r="E1902" s="9">
        <v>1106</v>
      </c>
      <c r="F1902" s="25">
        <v>42965</v>
      </c>
      <c r="G1902" s="70" t="s">
        <v>3396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6100</v>
      </c>
      <c r="B1903" s="67"/>
      <c r="C1903" s="29" t="s">
        <v>6101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6102</v>
      </c>
      <c r="B1904" s="67"/>
      <c r="C1904" s="29" t="s">
        <v>3506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6103</v>
      </c>
      <c r="B1905" s="67"/>
      <c r="C1905" s="29" t="s">
        <v>6104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6105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3396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6106</v>
      </c>
      <c r="B1907" s="67">
        <v>6936214436</v>
      </c>
      <c r="C1907" s="72" t="s">
        <v>6107</v>
      </c>
      <c r="D1907" s="69">
        <v>8583452423</v>
      </c>
      <c r="E1907" s="9">
        <v>85</v>
      </c>
      <c r="F1907" s="25">
        <v>43109</v>
      </c>
      <c r="G1907" s="70" t="s">
        <v>3396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6108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3396</v>
      </c>
      <c r="H1908" s="9"/>
      <c r="I1908" s="8"/>
      <c r="J1908" s="8"/>
      <c r="K1908" s="8"/>
      <c r="L1908" s="9" t="s">
        <v>3515</v>
      </c>
      <c r="M1908" s="8"/>
    </row>
    <row r="1909" spans="1:13" x14ac:dyDescent="0.25">
      <c r="A1909" s="15" t="s">
        <v>6109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3396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6110</v>
      </c>
      <c r="B1910" s="67">
        <v>35264817847</v>
      </c>
      <c r="C1910" s="29" t="s">
        <v>3506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6111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6112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3396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6113</v>
      </c>
      <c r="B1913" s="67">
        <v>90046226591</v>
      </c>
      <c r="C1913" s="72" t="s">
        <v>6114</v>
      </c>
      <c r="D1913" s="69">
        <v>74829505591</v>
      </c>
      <c r="E1913" s="9">
        <v>262</v>
      </c>
      <c r="F1913" s="25">
        <v>43160</v>
      </c>
      <c r="G1913" s="9" t="s">
        <v>3396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6115</v>
      </c>
      <c r="B1914" s="67">
        <v>29871369867</v>
      </c>
      <c r="C1914" s="72" t="s">
        <v>6116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6117</v>
      </c>
      <c r="B1915" s="67">
        <v>26681571883</v>
      </c>
      <c r="C1915" s="71" t="s">
        <v>6118</v>
      </c>
      <c r="D1915" s="69">
        <v>18465693897</v>
      </c>
      <c r="E1915" s="9">
        <v>292</v>
      </c>
      <c r="F1915" s="25">
        <v>43168</v>
      </c>
      <c r="G1915" s="70" t="s">
        <v>3396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6119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6120</v>
      </c>
      <c r="B1917" s="67">
        <v>26526680801</v>
      </c>
      <c r="C1917" s="68" t="s">
        <v>6121</v>
      </c>
      <c r="D1917" s="69">
        <v>7117205631</v>
      </c>
      <c r="E1917" s="9">
        <v>1128</v>
      </c>
      <c r="F1917" s="25">
        <v>42972</v>
      </c>
      <c r="G1917" s="70" t="s">
        <v>3396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6122</v>
      </c>
      <c r="B1918" s="67">
        <v>67285902420</v>
      </c>
      <c r="C1918" s="72" t="s">
        <v>4892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3676</v>
      </c>
      <c r="M1918" s="8"/>
    </row>
    <row r="1919" spans="1:13" x14ac:dyDescent="0.25">
      <c r="A1919" s="29" t="s">
        <v>6123</v>
      </c>
      <c r="B1919" s="67"/>
      <c r="C1919" s="18" t="s">
        <v>3506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6124</v>
      </c>
      <c r="B1920" s="67">
        <v>1097111490</v>
      </c>
      <c r="C1920" s="77" t="s">
        <v>6125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3676</v>
      </c>
      <c r="M1920" s="8"/>
    </row>
    <row r="1921" spans="1:13" x14ac:dyDescent="0.25">
      <c r="A1921" s="71" t="s">
        <v>6126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3396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6127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3396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6128</v>
      </c>
      <c r="B1923" s="67">
        <v>16756911856</v>
      </c>
      <c r="C1923" s="72" t="s">
        <v>6129</v>
      </c>
      <c r="D1923" s="69">
        <v>10411415808</v>
      </c>
      <c r="E1923" s="9">
        <v>1752</v>
      </c>
      <c r="F1923" s="25">
        <v>43051</v>
      </c>
      <c r="G1923" s="70" t="s">
        <v>3396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6130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6131</v>
      </c>
      <c r="B1925" s="67"/>
      <c r="C1925" s="72" t="s">
        <v>6132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6133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3402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6134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6135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3396</v>
      </c>
      <c r="H1928" s="9"/>
      <c r="I1928" s="8"/>
      <c r="J1928" s="8"/>
      <c r="K1928" s="8"/>
      <c r="L1928" s="9" t="s">
        <v>3878</v>
      </c>
      <c r="M1928" s="8"/>
    </row>
    <row r="1929" spans="1:13" x14ac:dyDescent="0.25">
      <c r="A1929" s="29" t="s">
        <v>6136</v>
      </c>
      <c r="B1929" s="67"/>
      <c r="C1929" s="29" t="s">
        <v>3506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6137</v>
      </c>
      <c r="B1930" s="67"/>
      <c r="C1930" s="29" t="s">
        <v>6138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6139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3396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6140</v>
      </c>
      <c r="B1932" s="67">
        <v>30900118830</v>
      </c>
      <c r="C1932" s="72" t="s">
        <v>6141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6142</v>
      </c>
      <c r="B1933" s="67">
        <v>64217299400</v>
      </c>
      <c r="C1933" s="18" t="s">
        <v>6143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6144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6145</v>
      </c>
      <c r="B1935" s="67">
        <v>95875409487</v>
      </c>
      <c r="C1935" s="72" t="s">
        <v>6146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6147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6148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3396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6149</v>
      </c>
      <c r="B1938" s="67">
        <v>26655730325</v>
      </c>
      <c r="C1938" s="72" t="s">
        <v>6150</v>
      </c>
      <c r="D1938" s="69">
        <v>59222891520</v>
      </c>
      <c r="E1938" s="9">
        <v>262</v>
      </c>
      <c r="F1938" s="25">
        <v>43160</v>
      </c>
      <c r="G1938" s="70" t="s">
        <v>3396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6151</v>
      </c>
      <c r="B1939" s="67">
        <v>15696788807</v>
      </c>
      <c r="C1939" s="72" t="s">
        <v>6152</v>
      </c>
      <c r="D1939" s="69">
        <v>4231184801</v>
      </c>
      <c r="E1939" s="9">
        <v>1555</v>
      </c>
      <c r="F1939" s="25">
        <v>43049</v>
      </c>
      <c r="G1939" s="70" t="s">
        <v>3396</v>
      </c>
      <c r="H1939" s="9"/>
      <c r="I1939" s="8"/>
      <c r="J1939" s="8"/>
      <c r="K1939" s="8"/>
      <c r="L1939" s="9" t="s">
        <v>3775</v>
      </c>
      <c r="M1939" s="8"/>
    </row>
    <row r="1940" spans="1:13" x14ac:dyDescent="0.25">
      <c r="A1940" s="71" t="s">
        <v>6153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3402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6154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3396</v>
      </c>
      <c r="H1941" s="9"/>
      <c r="I1941" s="8"/>
      <c r="J1941" s="8"/>
      <c r="K1941" s="8"/>
      <c r="L1941" s="9" t="s">
        <v>3547</v>
      </c>
      <c r="M1941" s="8"/>
    </row>
    <row r="1942" spans="1:13" x14ac:dyDescent="0.25">
      <c r="A1942" s="71" t="s">
        <v>6155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3396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6156</v>
      </c>
      <c r="B1943" s="67">
        <v>1280254688</v>
      </c>
      <c r="C1943" s="72" t="s">
        <v>6157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6158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3396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6159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6160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6161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3396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6162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6162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3396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6162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3396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6163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6164</v>
      </c>
      <c r="B1952" s="67">
        <v>33635659843</v>
      </c>
      <c r="C1952" s="29" t="s">
        <v>6165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6166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3396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6166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3676</v>
      </c>
      <c r="M1954" s="8"/>
    </row>
    <row r="1955" spans="1:13" x14ac:dyDescent="0.25">
      <c r="A1955" s="71" t="s">
        <v>6167</v>
      </c>
      <c r="B1955" s="67">
        <v>36841231880</v>
      </c>
      <c r="C1955" s="77" t="s">
        <v>6168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6169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3396</v>
      </c>
      <c r="H1956" s="9"/>
      <c r="I1956" s="8"/>
      <c r="J1956" s="8"/>
      <c r="K1956" s="8"/>
      <c r="L1956" s="9" t="s">
        <v>3537</v>
      </c>
      <c r="M1956" s="8"/>
    </row>
    <row r="1957" spans="1:13" x14ac:dyDescent="0.25">
      <c r="A1957" s="29" t="s">
        <v>6170</v>
      </c>
      <c r="B1957" s="67"/>
      <c r="C1957" s="29" t="s">
        <v>3506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6171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3396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6172</v>
      </c>
      <c r="B1959" s="67"/>
      <c r="C1959" s="29" t="s">
        <v>6173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6174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6175</v>
      </c>
      <c r="B1961" s="67">
        <v>64404714734</v>
      </c>
      <c r="C1961" s="29" t="s">
        <v>6176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6177</v>
      </c>
      <c r="B1962" s="67">
        <v>29783527878</v>
      </c>
      <c r="C1962" s="29" t="s">
        <v>6178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6179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3396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6180</v>
      </c>
      <c r="B1964" s="67">
        <v>70155356372</v>
      </c>
      <c r="C1964" s="18" t="s">
        <v>6181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6182</v>
      </c>
      <c r="B1965" s="67">
        <v>4350125337</v>
      </c>
      <c r="C1965" s="72" t="s">
        <v>6183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6184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3410</v>
      </c>
      <c r="H1966" s="9"/>
      <c r="I1966" s="8"/>
      <c r="J1966" s="8"/>
      <c r="K1966" s="8"/>
      <c r="L1966" s="9" t="s">
        <v>3630</v>
      </c>
      <c r="M1966" s="8"/>
    </row>
    <row r="1967" spans="1:13" x14ac:dyDescent="0.25">
      <c r="A1967" s="72" t="s">
        <v>6185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3396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6186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6187</v>
      </c>
      <c r="B1969" s="67"/>
      <c r="C1969" s="29" t="s">
        <v>3506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6188</v>
      </c>
      <c r="B1970" s="67">
        <v>49628474812</v>
      </c>
      <c r="C1970" s="72" t="s">
        <v>6189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6190</v>
      </c>
      <c r="B1971" s="67">
        <v>37473032852</v>
      </c>
      <c r="C1971" s="72" t="s">
        <v>6191</v>
      </c>
      <c r="D1971" s="69">
        <v>21894541820</v>
      </c>
      <c r="E1971" s="9">
        <v>1824</v>
      </c>
      <c r="F1971" s="25">
        <v>43091</v>
      </c>
      <c r="G1971" s="70" t="s">
        <v>3410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6192</v>
      </c>
      <c r="B1972" s="67">
        <v>36383878875</v>
      </c>
      <c r="C1972" s="72" t="s">
        <v>6193</v>
      </c>
      <c r="D1972" s="69">
        <v>39907872849</v>
      </c>
      <c r="E1972" s="9">
        <v>117</v>
      </c>
      <c r="F1972" s="25">
        <v>43117</v>
      </c>
      <c r="G1972" s="70" t="s">
        <v>3402</v>
      </c>
      <c r="H1972" s="9"/>
      <c r="I1972" s="8"/>
      <c r="J1972" s="8"/>
      <c r="K1972" s="8"/>
      <c r="L1972" s="9" t="s">
        <v>3547</v>
      </c>
      <c r="M1972" s="8"/>
    </row>
    <row r="1973" spans="1:13" x14ac:dyDescent="0.25">
      <c r="A1973" s="71" t="s">
        <v>6194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3396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6195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3396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6195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3396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6195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3396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6196</v>
      </c>
      <c r="B1977" s="80">
        <v>87102331487</v>
      </c>
      <c r="C1977" s="81" t="s">
        <v>6197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3515</v>
      </c>
      <c r="M1977" s="49"/>
    </row>
    <row r="1978" spans="1:13" x14ac:dyDescent="0.25">
      <c r="A1978" s="15" t="s">
        <v>6198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3396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6199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3396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6200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3396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6201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3396</v>
      </c>
      <c r="H1981" s="9"/>
      <c r="I1981" s="8"/>
      <c r="J1981" s="8"/>
      <c r="K1981" s="8"/>
      <c r="L1981" s="9" t="s">
        <v>3547</v>
      </c>
      <c r="M1981" s="8"/>
    </row>
    <row r="1982" spans="1:13" x14ac:dyDescent="0.25">
      <c r="A1982" s="71" t="s">
        <v>6202</v>
      </c>
      <c r="B1982" s="67">
        <v>18360384886</v>
      </c>
      <c r="C1982" s="72" t="s">
        <v>6203</v>
      </c>
      <c r="D1982" s="69">
        <v>28828648848</v>
      </c>
      <c r="E1982" s="9">
        <v>1214</v>
      </c>
      <c r="F1982" s="25">
        <v>42989</v>
      </c>
      <c r="G1982" s="70" t="s">
        <v>3396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6204</v>
      </c>
      <c r="B1983" s="67">
        <v>8224204812</v>
      </c>
      <c r="C1983" s="72" t="s">
        <v>6205</v>
      </c>
      <c r="D1983" s="69">
        <v>5373139823</v>
      </c>
      <c r="E1983" s="9">
        <v>1752</v>
      </c>
      <c r="F1983" s="25">
        <v>43051</v>
      </c>
      <c r="G1983" s="70" t="s">
        <v>3396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6206</v>
      </c>
      <c r="B1984" s="67">
        <v>61232386200</v>
      </c>
      <c r="C1984" s="72" t="s">
        <v>6207</v>
      </c>
      <c r="D1984" s="69">
        <v>30971900310</v>
      </c>
      <c r="E1984" s="9">
        <v>1267</v>
      </c>
      <c r="F1984" s="25">
        <v>42998</v>
      </c>
      <c r="G1984" s="70" t="s">
        <v>3396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6208</v>
      </c>
      <c r="B1985" s="67">
        <v>68688210420</v>
      </c>
      <c r="C1985" s="32" t="s">
        <v>6209</v>
      </c>
      <c r="D1985" s="69">
        <v>3241531805</v>
      </c>
      <c r="E1985" s="9">
        <v>1570</v>
      </c>
      <c r="F1985" s="25">
        <v>43077</v>
      </c>
      <c r="G1985" s="70" t="s">
        <v>3396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6210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3396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6211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3396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6212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6213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3396</v>
      </c>
      <c r="H1989" s="9"/>
      <c r="I1989" s="8"/>
      <c r="J1989" s="8"/>
      <c r="K1989" s="8"/>
      <c r="L1989" s="9" t="s">
        <v>3515</v>
      </c>
      <c r="M1989" s="8"/>
    </row>
    <row r="1990" spans="1:13" x14ac:dyDescent="0.25">
      <c r="A1990" s="71" t="s">
        <v>6214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3396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6215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6216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6217</v>
      </c>
      <c r="B1993" s="67">
        <v>22566146896</v>
      </c>
      <c r="C1993" s="72" t="s">
        <v>6218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6219</v>
      </c>
      <c r="B1994" s="67">
        <v>27957199836</v>
      </c>
      <c r="C1994" s="72" t="s">
        <v>6220</v>
      </c>
      <c r="D1994" s="69">
        <v>14369564808</v>
      </c>
      <c r="E1994" s="9">
        <v>292</v>
      </c>
      <c r="F1994" s="25">
        <v>43168</v>
      </c>
      <c r="G1994" s="70" t="s">
        <v>3396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6221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3396</v>
      </c>
      <c r="H1995" s="9"/>
      <c r="I1995" s="8"/>
      <c r="J1995" s="8"/>
      <c r="K1995" s="8"/>
      <c r="L1995" s="9" t="s">
        <v>3775</v>
      </c>
      <c r="M1995" s="8"/>
    </row>
    <row r="1996" spans="1:13" x14ac:dyDescent="0.25">
      <c r="A1996" s="18" t="s">
        <v>6222</v>
      </c>
      <c r="B1996" s="67"/>
      <c r="C1996" s="18" t="s">
        <v>6223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6224</v>
      </c>
      <c r="B1997" s="67">
        <v>12723195805</v>
      </c>
      <c r="C1997" s="72" t="s">
        <v>6225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6226</v>
      </c>
      <c r="B1998" s="67">
        <v>15731373833</v>
      </c>
      <c r="C1998" s="75" t="s">
        <v>6227</v>
      </c>
      <c r="D1998" s="69">
        <v>12858074801</v>
      </c>
      <c r="E1998" s="9">
        <v>1106</v>
      </c>
      <c r="F1998" s="25">
        <v>42965</v>
      </c>
      <c r="G1998" s="70" t="s">
        <v>3402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6228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3396</v>
      </c>
      <c r="H1999" s="9"/>
      <c r="I1999" s="8"/>
      <c r="J1999" s="8"/>
      <c r="K1999" s="8"/>
      <c r="L1999" s="9" t="s">
        <v>3515</v>
      </c>
      <c r="M1999" s="8"/>
    </row>
    <row r="2000" spans="1:13" x14ac:dyDescent="0.25">
      <c r="A2000" s="71" t="s">
        <v>6229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6230</v>
      </c>
      <c r="B2001" s="67">
        <v>38402878806</v>
      </c>
      <c r="C2001" s="72" t="s">
        <v>6231</v>
      </c>
      <c r="D2001" s="69">
        <v>23700547862</v>
      </c>
      <c r="E2001" s="9">
        <v>262</v>
      </c>
      <c r="F2001" s="25">
        <v>43160</v>
      </c>
      <c r="G2001" s="9" t="s">
        <v>3396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6232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6233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6234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6235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6236</v>
      </c>
      <c r="B2006" s="67">
        <v>27023833862</v>
      </c>
      <c r="C2006" s="29" t="s">
        <v>6237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6238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6239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3396</v>
      </c>
      <c r="H2008" s="9"/>
      <c r="I2008" s="8"/>
      <c r="J2008" s="8"/>
      <c r="K2008" s="8"/>
      <c r="L2008" s="9" t="s">
        <v>3547</v>
      </c>
      <c r="M2008" s="8"/>
    </row>
    <row r="2009" spans="1:13" x14ac:dyDescent="0.25">
      <c r="A2009" s="71" t="s">
        <v>6240</v>
      </c>
      <c r="B2009" s="67">
        <v>38815800344</v>
      </c>
      <c r="C2009" s="72" t="s">
        <v>6241</v>
      </c>
      <c r="D2009" s="69">
        <v>39085252334</v>
      </c>
      <c r="E2009" s="9">
        <v>85</v>
      </c>
      <c r="F2009" s="25">
        <v>43109</v>
      </c>
      <c r="G2009" s="70" t="s">
        <v>3396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6242</v>
      </c>
      <c r="B2010" s="67">
        <v>36154299826</v>
      </c>
      <c r="C2010" s="72" t="s">
        <v>6243</v>
      </c>
      <c r="D2010" s="69">
        <v>34489273843</v>
      </c>
      <c r="E2010" s="9">
        <v>1267</v>
      </c>
      <c r="F2010" s="25">
        <v>42998</v>
      </c>
      <c r="G2010" s="70" t="s">
        <v>3402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6244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3396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6245</v>
      </c>
      <c r="B2012" s="67"/>
      <c r="C2012" s="18" t="s">
        <v>3506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6246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6247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3396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6248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3396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6249</v>
      </c>
      <c r="B2016" s="67">
        <v>64174182434</v>
      </c>
      <c r="C2016" s="72" t="s">
        <v>6250</v>
      </c>
      <c r="D2016" s="69">
        <v>98105183587</v>
      </c>
      <c r="E2016" s="9">
        <v>262</v>
      </c>
      <c r="F2016" s="25">
        <v>43160</v>
      </c>
      <c r="G2016" s="70" t="s">
        <v>3396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6251</v>
      </c>
      <c r="B2017" s="67">
        <v>4148505485</v>
      </c>
      <c r="C2017" s="29" t="s">
        <v>6252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6253</v>
      </c>
      <c r="B2018" s="67">
        <v>39364828372</v>
      </c>
      <c r="C2018" s="72" t="s">
        <v>6254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6255</v>
      </c>
      <c r="B2019" s="67">
        <v>82046042468</v>
      </c>
      <c r="C2019" s="72" t="s">
        <v>6256</v>
      </c>
      <c r="D2019" s="69">
        <v>88251098491</v>
      </c>
      <c r="E2019" s="9">
        <v>85</v>
      </c>
      <c r="F2019" s="25">
        <v>43109</v>
      </c>
      <c r="G2019" s="70" t="s">
        <v>3396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6257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3396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6258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3396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6259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3396</v>
      </c>
      <c r="H2022" s="9"/>
      <c r="I2022" s="8"/>
      <c r="J2022" s="8"/>
      <c r="K2022" s="8"/>
      <c r="L2022" s="9" t="s">
        <v>3630</v>
      </c>
      <c r="M2022" s="8"/>
    </row>
    <row r="2023" spans="1:13" x14ac:dyDescent="0.25">
      <c r="A2023" s="72" t="s">
        <v>6260</v>
      </c>
      <c r="B2023" s="67">
        <v>37806851836</v>
      </c>
      <c r="C2023" s="72" t="s">
        <v>6261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6262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6263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6264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6265</v>
      </c>
      <c r="B2027" s="67">
        <v>27506021811</v>
      </c>
      <c r="C2027" s="72" t="s">
        <v>6266</v>
      </c>
      <c r="D2027" s="69">
        <v>13130281851</v>
      </c>
      <c r="E2027" s="9">
        <v>810</v>
      </c>
      <c r="F2027" s="25">
        <v>42915</v>
      </c>
      <c r="G2027" s="70" t="s">
        <v>3396</v>
      </c>
      <c r="H2027" s="9"/>
      <c r="I2027" s="8"/>
      <c r="J2027" s="8"/>
      <c r="K2027" s="8"/>
      <c r="L2027" s="9" t="s">
        <v>3515</v>
      </c>
      <c r="M2027" s="8"/>
    </row>
    <row r="2028" spans="1:13" x14ac:dyDescent="0.25">
      <c r="A2028" s="15" t="s">
        <v>6267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3396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6268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3396</v>
      </c>
      <c r="H2029" s="9"/>
      <c r="I2029" s="8"/>
      <c r="J2029" s="8"/>
      <c r="K2029" s="8"/>
      <c r="L2029" s="9" t="s">
        <v>3630</v>
      </c>
      <c r="M2029" s="8"/>
    </row>
    <row r="2030" spans="1:13" x14ac:dyDescent="0.25">
      <c r="A2030" s="15" t="s">
        <v>6269</v>
      </c>
      <c r="B2030" s="67">
        <v>660919346</v>
      </c>
      <c r="C2030" s="72" t="s">
        <v>6270</v>
      </c>
      <c r="D2030" s="69">
        <v>296516384</v>
      </c>
      <c r="E2030" s="9">
        <v>262</v>
      </c>
      <c r="F2030" s="25">
        <v>43160</v>
      </c>
      <c r="G2030" s="70" t="s">
        <v>3402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6271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3396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6272</v>
      </c>
      <c r="B2032" s="67">
        <v>55075746500</v>
      </c>
      <c r="C2032" s="72" t="s">
        <v>6273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6274</v>
      </c>
      <c r="B2033" s="67">
        <v>34549590807</v>
      </c>
      <c r="C2033" s="72" t="s">
        <v>6275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6276</v>
      </c>
      <c r="B2034" s="67"/>
      <c r="C2034" s="18" t="s">
        <v>3506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6277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6278</v>
      </c>
      <c r="B2036" s="67">
        <v>41292199873</v>
      </c>
      <c r="C2036" s="72" t="s">
        <v>6279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6280</v>
      </c>
      <c r="B2037" s="67"/>
      <c r="C2037" s="29" t="s">
        <v>3506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6281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6282</v>
      </c>
      <c r="B2039" s="67">
        <v>42318039860</v>
      </c>
      <c r="C2039" s="72" t="s">
        <v>6283</v>
      </c>
      <c r="D2039" s="69">
        <v>23059375801</v>
      </c>
      <c r="E2039" s="9">
        <v>85</v>
      </c>
      <c r="F2039" s="25">
        <v>43109</v>
      </c>
      <c r="G2039" s="70" t="s">
        <v>3396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6284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3396</v>
      </c>
      <c r="H2040" s="9"/>
      <c r="I2040" s="8"/>
      <c r="J2040" s="8"/>
      <c r="K2040" s="8"/>
      <c r="L2040" s="9" t="s">
        <v>3515</v>
      </c>
      <c r="M2040" s="8"/>
    </row>
    <row r="2041" spans="1:13" x14ac:dyDescent="0.25">
      <c r="A2041" s="71" t="s">
        <v>6285</v>
      </c>
      <c r="B2041" s="67">
        <v>2693234573</v>
      </c>
      <c r="C2041" s="71" t="s">
        <v>6286</v>
      </c>
      <c r="D2041" s="69">
        <v>36131987890</v>
      </c>
      <c r="E2041" s="9">
        <v>292</v>
      </c>
      <c r="F2041" s="25">
        <v>43168</v>
      </c>
      <c r="G2041" s="9" t="s">
        <v>3396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6287</v>
      </c>
      <c r="B2042" s="67">
        <v>19677621807</v>
      </c>
      <c r="C2042" s="72" t="s">
        <v>6288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6289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3396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6290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6291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3396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6292</v>
      </c>
      <c r="B2046" s="67">
        <v>22583603825</v>
      </c>
      <c r="C2046" s="72" t="s">
        <v>6293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6294</v>
      </c>
      <c r="B2047" s="67">
        <v>14858077861</v>
      </c>
      <c r="C2047" s="15" t="s">
        <v>6295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6296</v>
      </c>
      <c r="B2048" s="67">
        <v>32291860879</v>
      </c>
      <c r="C2048" s="29" t="s">
        <v>6297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6298</v>
      </c>
      <c r="B2049" s="67">
        <v>76396126320</v>
      </c>
      <c r="C2049" s="72" t="s">
        <v>6299</v>
      </c>
      <c r="D2049" s="69">
        <v>62133390510</v>
      </c>
      <c r="E2049" s="9">
        <v>1262</v>
      </c>
      <c r="F2049" s="25">
        <v>42997</v>
      </c>
      <c r="G2049" s="70" t="s">
        <v>3396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6300</v>
      </c>
      <c r="B2050" s="67">
        <v>34303186880</v>
      </c>
      <c r="C2050" s="72" t="s">
        <v>6301</v>
      </c>
      <c r="D2050" s="69">
        <v>39695431852</v>
      </c>
      <c r="E2050" s="9">
        <v>1570</v>
      </c>
      <c r="F2050" s="25">
        <v>43077</v>
      </c>
      <c r="G2050" s="70" t="s">
        <v>3396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6302</v>
      </c>
      <c r="B2051" s="67">
        <v>14331980880</v>
      </c>
      <c r="C2051" s="8" t="s">
        <v>6303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6302</v>
      </c>
      <c r="B2052" s="67">
        <v>14331980880</v>
      </c>
      <c r="C2052" s="77" t="s">
        <v>6303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6304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6305</v>
      </c>
      <c r="B2054" s="67"/>
      <c r="C2054" s="29" t="s">
        <v>6306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6307</v>
      </c>
      <c r="B2055" s="67">
        <v>31662836848</v>
      </c>
      <c r="C2055" s="72" t="s">
        <v>6308</v>
      </c>
      <c r="D2055" s="69">
        <v>12871784809</v>
      </c>
      <c r="E2055" s="9">
        <v>1570</v>
      </c>
      <c r="F2055" s="25">
        <v>43077</v>
      </c>
      <c r="G2055" s="70" t="s">
        <v>3396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6309</v>
      </c>
      <c r="B2056" s="67">
        <v>39000389372</v>
      </c>
      <c r="C2056" s="72" t="s">
        <v>6310</v>
      </c>
      <c r="D2056" s="69">
        <v>14683732858</v>
      </c>
      <c r="E2056" s="9">
        <v>1417</v>
      </c>
      <c r="F2056" s="25">
        <v>43017</v>
      </c>
      <c r="G2056" s="70" t="s">
        <v>3396</v>
      </c>
      <c r="H2056" s="9"/>
      <c r="I2056" s="8"/>
      <c r="J2056" s="8"/>
      <c r="K2056" s="8"/>
      <c r="L2056" s="9" t="s">
        <v>3630</v>
      </c>
      <c r="M2056" s="8"/>
    </row>
    <row r="2057" spans="1:13" x14ac:dyDescent="0.25">
      <c r="A2057" s="18" t="s">
        <v>6311</v>
      </c>
      <c r="B2057" s="67">
        <v>10349044856</v>
      </c>
      <c r="C2057" s="18" t="s">
        <v>5583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6312</v>
      </c>
      <c r="B2058" s="67">
        <v>25058845873</v>
      </c>
      <c r="C2058" s="71" t="s">
        <v>6313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6314</v>
      </c>
      <c r="B2059" s="67"/>
      <c r="C2059" s="29" t="s">
        <v>6315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6316</v>
      </c>
      <c r="B2060" s="67">
        <v>5088717431</v>
      </c>
      <c r="C2060" s="72" t="s">
        <v>6317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3676</v>
      </c>
      <c r="M2060" s="8"/>
    </row>
    <row r="2061" spans="1:13" x14ac:dyDescent="0.25">
      <c r="A2061" s="13" t="s">
        <v>6318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3396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6319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6320</v>
      </c>
      <c r="B2063" s="67">
        <v>33517044881</v>
      </c>
      <c r="C2063" s="72" t="s">
        <v>6321</v>
      </c>
      <c r="D2063" s="69">
        <v>28076571847</v>
      </c>
      <c r="E2063" s="9">
        <v>85</v>
      </c>
      <c r="F2063" s="25">
        <v>43109</v>
      </c>
      <c r="G2063" s="93" t="s">
        <v>3402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6322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3396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6323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6324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3396</v>
      </c>
      <c r="H2066" s="9"/>
      <c r="I2066" s="8"/>
      <c r="J2066" s="8"/>
      <c r="K2066" s="8"/>
      <c r="L2066" s="9" t="s">
        <v>3775</v>
      </c>
      <c r="M2066" s="8"/>
    </row>
    <row r="2067" spans="1:13" x14ac:dyDescent="0.25">
      <c r="A2067" s="71" t="s">
        <v>6325</v>
      </c>
      <c r="B2067" s="67">
        <v>16488724843</v>
      </c>
      <c r="C2067" s="73" t="s">
        <v>6326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6327</v>
      </c>
      <c r="B2068" s="67">
        <v>22230898876</v>
      </c>
      <c r="C2068" s="18" t="s">
        <v>3506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6328</v>
      </c>
      <c r="B2069" s="67">
        <v>1218219866</v>
      </c>
      <c r="C2069" s="18" t="s">
        <v>3506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6329</v>
      </c>
      <c r="B2070" s="67">
        <v>75696312772</v>
      </c>
      <c r="C2070" s="77" t="s">
        <v>6330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6331</v>
      </c>
      <c r="B2071" s="67">
        <v>12772099873</v>
      </c>
      <c r="C2071" s="29" t="s">
        <v>6332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6333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3676</v>
      </c>
      <c r="M2072" s="8"/>
    </row>
    <row r="2073" spans="1:13" x14ac:dyDescent="0.25">
      <c r="A2073" s="18" t="s">
        <v>1000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1000</v>
      </c>
      <c r="B2074" s="67">
        <v>40312801491</v>
      </c>
      <c r="C2074" s="72" t="s">
        <v>6334</v>
      </c>
      <c r="D2074" s="69">
        <v>36270235823</v>
      </c>
      <c r="E2074" s="9">
        <v>810</v>
      </c>
      <c r="F2074" s="25">
        <v>42915</v>
      </c>
      <c r="G2074" s="70" t="s">
        <v>3396</v>
      </c>
      <c r="H2074" s="9"/>
      <c r="I2074" s="8"/>
      <c r="J2074" s="8"/>
      <c r="K2074" s="8"/>
      <c r="L2074" s="9" t="s">
        <v>3515</v>
      </c>
      <c r="M2074" s="8"/>
    </row>
    <row r="2075" spans="1:13" x14ac:dyDescent="0.25">
      <c r="A2075" s="71" t="s">
        <v>1000</v>
      </c>
      <c r="B2075" s="67">
        <v>13016641895</v>
      </c>
      <c r="C2075" s="72" t="s">
        <v>6335</v>
      </c>
      <c r="D2075" s="69">
        <v>2681565731</v>
      </c>
      <c r="E2075" s="9">
        <v>810</v>
      </c>
      <c r="F2075" s="25">
        <v>42915</v>
      </c>
      <c r="G2075" s="70" t="s">
        <v>3396</v>
      </c>
      <c r="H2075" s="9"/>
      <c r="I2075" s="8"/>
      <c r="J2075" s="8"/>
      <c r="K2075" s="8"/>
      <c r="L2075" s="9" t="s">
        <v>3515</v>
      </c>
      <c r="M2075" s="8"/>
    </row>
    <row r="2076" spans="1:13" x14ac:dyDescent="0.25">
      <c r="A2076" s="71" t="s">
        <v>6336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6337</v>
      </c>
      <c r="B2077" s="67">
        <v>18472653838</v>
      </c>
      <c r="C2077" s="72" t="s">
        <v>6338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6339</v>
      </c>
      <c r="B2078" s="67"/>
      <c r="C2078" s="18" t="s">
        <v>3506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6340</v>
      </c>
      <c r="B2079" s="67">
        <v>21531362885</v>
      </c>
      <c r="C2079" s="72" t="s">
        <v>6341</v>
      </c>
      <c r="D2079" s="69">
        <v>27454333850</v>
      </c>
      <c r="E2079" s="9">
        <v>117</v>
      </c>
      <c r="F2079" s="25">
        <v>43117</v>
      </c>
      <c r="G2079" s="70" t="s">
        <v>3396</v>
      </c>
      <c r="H2079" s="9"/>
      <c r="I2079" s="8"/>
      <c r="J2079" s="8"/>
      <c r="K2079" s="8"/>
      <c r="L2079" s="9" t="s">
        <v>3547</v>
      </c>
      <c r="M2079" s="8"/>
    </row>
    <row r="2080" spans="1:13" x14ac:dyDescent="0.25">
      <c r="A2080" s="13" t="s">
        <v>6340</v>
      </c>
      <c r="B2080" s="67">
        <v>35537854899</v>
      </c>
      <c r="C2080" s="72" t="s">
        <v>6342</v>
      </c>
      <c r="D2080" s="69">
        <v>35365081897</v>
      </c>
      <c r="E2080" s="9">
        <v>1128</v>
      </c>
      <c r="F2080" s="25">
        <v>42972</v>
      </c>
      <c r="G2080" s="70" t="s">
        <v>3396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6343</v>
      </c>
      <c r="B2081" s="67"/>
      <c r="C2081" s="29" t="s">
        <v>6344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6345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3396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6346</v>
      </c>
      <c r="B2083" s="67">
        <v>35483702840</v>
      </c>
      <c r="C2083" s="72" t="s">
        <v>6347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6348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3396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6349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3676</v>
      </c>
      <c r="M2085" s="8"/>
    </row>
    <row r="2086" spans="1:13" x14ac:dyDescent="0.25">
      <c r="A2086" s="72" t="s">
        <v>6350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6351</v>
      </c>
      <c r="B2087" s="67">
        <v>3322258440</v>
      </c>
      <c r="C2087" s="18" t="s">
        <v>6352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6353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6354</v>
      </c>
      <c r="B2089" s="67"/>
      <c r="C2089" s="18" t="s">
        <v>3506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6355</v>
      </c>
      <c r="B2090" s="67">
        <v>25564758897</v>
      </c>
      <c r="C2090" s="72" t="s">
        <v>6356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6357</v>
      </c>
      <c r="B2091" s="67">
        <v>9722276875</v>
      </c>
      <c r="C2091" s="72" t="s">
        <v>6358</v>
      </c>
      <c r="D2091" s="69">
        <v>7777516825</v>
      </c>
      <c r="E2091" s="9">
        <v>810</v>
      </c>
      <c r="F2091" s="25">
        <v>42915</v>
      </c>
      <c r="G2091" s="70" t="s">
        <v>3396</v>
      </c>
      <c r="H2091" s="9"/>
      <c r="I2091" s="8"/>
      <c r="J2091" s="8"/>
      <c r="K2091" s="8"/>
      <c r="L2091" s="9" t="s">
        <v>3515</v>
      </c>
      <c r="M2091" s="8"/>
    </row>
    <row r="2092" spans="1:13" x14ac:dyDescent="0.25">
      <c r="A2092" s="71" t="s">
        <v>6359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6360</v>
      </c>
      <c r="B2093" s="67">
        <v>27192176893</v>
      </c>
      <c r="C2093" s="68" t="s">
        <v>6361</v>
      </c>
      <c r="D2093" s="69">
        <v>8367664825</v>
      </c>
      <c r="E2093" s="9">
        <v>608</v>
      </c>
      <c r="F2093" s="25">
        <v>43012</v>
      </c>
      <c r="G2093" s="70" t="s">
        <v>3396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6362</v>
      </c>
      <c r="B2094" s="67">
        <v>16514255825</v>
      </c>
      <c r="C2094" s="18" t="s">
        <v>6363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6364</v>
      </c>
      <c r="B2095" s="67">
        <v>4809644324</v>
      </c>
      <c r="C2095" s="72" t="s">
        <v>6365</v>
      </c>
      <c r="D2095" s="69">
        <v>31827963808</v>
      </c>
      <c r="E2095" s="9">
        <v>1214</v>
      </c>
      <c r="F2095" s="25">
        <v>42989</v>
      </c>
      <c r="G2095" s="70" t="s">
        <v>3396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6366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3396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6367</v>
      </c>
      <c r="B2097" s="67">
        <v>11894918428</v>
      </c>
      <c r="C2097" s="72" t="s">
        <v>6368</v>
      </c>
      <c r="D2097" s="69">
        <v>37623185810</v>
      </c>
      <c r="E2097" s="9">
        <v>810</v>
      </c>
      <c r="F2097" s="25">
        <v>42915</v>
      </c>
      <c r="G2097" s="70" t="s">
        <v>3396</v>
      </c>
      <c r="H2097" s="9"/>
      <c r="I2097" s="8"/>
      <c r="J2097" s="8"/>
      <c r="K2097" s="8"/>
      <c r="L2097" s="9" t="s">
        <v>3515</v>
      </c>
      <c r="M2097" s="8"/>
    </row>
    <row r="2098" spans="1:13" x14ac:dyDescent="0.25">
      <c r="A2098" s="15" t="s">
        <v>6369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3396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6370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6371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3676</v>
      </c>
      <c r="M2100" s="8"/>
    </row>
    <row r="2101" spans="1:13" x14ac:dyDescent="0.25">
      <c r="A2101" s="15" t="s">
        <v>6372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6373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3396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6374</v>
      </c>
      <c r="B2103" s="67"/>
      <c r="C2103" s="29" t="s">
        <v>3506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6375</v>
      </c>
      <c r="B2104" s="67">
        <v>4241745377</v>
      </c>
      <c r="C2104" s="72" t="s">
        <v>6376</v>
      </c>
      <c r="D2104" s="69">
        <v>4417028303</v>
      </c>
      <c r="E2104" s="9">
        <v>85</v>
      </c>
      <c r="F2104" s="25">
        <v>43109</v>
      </c>
      <c r="G2104" s="70" t="s">
        <v>3396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6377</v>
      </c>
      <c r="B2105" s="67"/>
      <c r="C2105" s="29" t="s">
        <v>6378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6379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3396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6380</v>
      </c>
      <c r="B2107" s="67">
        <v>2182682708</v>
      </c>
      <c r="C2107" s="72" t="s">
        <v>6381</v>
      </c>
      <c r="D2107" s="69">
        <v>1409950727</v>
      </c>
      <c r="E2107" s="9">
        <v>810</v>
      </c>
      <c r="F2107" s="25">
        <v>42915</v>
      </c>
      <c r="G2107" s="70" t="s">
        <v>3410</v>
      </c>
      <c r="H2107" s="9"/>
      <c r="I2107" s="8"/>
      <c r="J2107" s="8"/>
      <c r="K2107" s="8"/>
      <c r="L2107" s="9" t="s">
        <v>3515</v>
      </c>
      <c r="M2107" s="8"/>
    </row>
    <row r="2108" spans="1:13" x14ac:dyDescent="0.25">
      <c r="A2108" s="71" t="s">
        <v>6382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6383</v>
      </c>
      <c r="B2109" s="67">
        <v>11694151808</v>
      </c>
      <c r="C2109" s="72" t="s">
        <v>6384</v>
      </c>
      <c r="D2109" s="69">
        <v>29721167800</v>
      </c>
      <c r="E2109" s="9">
        <v>485</v>
      </c>
      <c r="F2109" s="25">
        <v>43196</v>
      </c>
      <c r="G2109" s="70" t="s">
        <v>3402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6385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3396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6386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6387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3396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6388</v>
      </c>
      <c r="B2113" s="67">
        <v>24613427843</v>
      </c>
      <c r="C2113" s="72" t="s">
        <v>6389</v>
      </c>
      <c r="D2113" s="69">
        <v>6003706821</v>
      </c>
      <c r="E2113" s="9">
        <v>810</v>
      </c>
      <c r="F2113" s="25">
        <v>42915</v>
      </c>
      <c r="G2113" s="70" t="s">
        <v>3396</v>
      </c>
      <c r="H2113" s="76">
        <v>43213</v>
      </c>
      <c r="I2113" s="8"/>
      <c r="J2113" s="8"/>
      <c r="K2113" s="8"/>
      <c r="L2113" s="9" t="s">
        <v>3515</v>
      </c>
      <c r="M2113" s="8"/>
    </row>
    <row r="2114" spans="1:13" x14ac:dyDescent="0.25">
      <c r="A2114" s="72" t="s">
        <v>6390</v>
      </c>
      <c r="B2114" s="67">
        <v>61234508400</v>
      </c>
      <c r="C2114" s="72" t="s">
        <v>6391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6392</v>
      </c>
      <c r="B2115" s="67"/>
      <c r="C2115" s="18" t="s">
        <v>3506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6393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3396</v>
      </c>
      <c r="H2116" s="76">
        <v>43213</v>
      </c>
      <c r="I2116" s="8"/>
      <c r="J2116" s="8"/>
      <c r="K2116" s="8"/>
      <c r="L2116" s="9" t="s">
        <v>3515</v>
      </c>
      <c r="M2116" s="8"/>
    </row>
    <row r="2117" spans="1:13" x14ac:dyDescent="0.25">
      <c r="A2117" s="71" t="s">
        <v>6394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3410</v>
      </c>
      <c r="H2117" s="76">
        <v>43213</v>
      </c>
      <c r="I2117" s="8"/>
      <c r="J2117" s="8"/>
      <c r="K2117" s="8"/>
      <c r="L2117" s="9" t="s">
        <v>3775</v>
      </c>
      <c r="M2117" s="8"/>
    </row>
    <row r="2118" spans="1:13" x14ac:dyDescent="0.25">
      <c r="A2118" s="71" t="s">
        <v>6395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6396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6397</v>
      </c>
      <c r="B2120" s="67">
        <v>3493507364</v>
      </c>
      <c r="C2120" s="72" t="s">
        <v>6398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6399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3396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6400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3396</v>
      </c>
      <c r="H2122" s="9"/>
      <c r="I2122" s="8"/>
      <c r="J2122" s="8"/>
      <c r="K2122" s="8"/>
      <c r="L2122" s="9" t="s">
        <v>3515</v>
      </c>
      <c r="M2122" s="8"/>
    </row>
    <row r="2123" spans="1:13" x14ac:dyDescent="0.25">
      <c r="A2123" s="71" t="s">
        <v>6401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6402</v>
      </c>
      <c r="B2124" s="67">
        <v>31365484858</v>
      </c>
      <c r="C2124" s="71" t="s">
        <v>6403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6404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3396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6405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3396</v>
      </c>
      <c r="H2126" s="9"/>
      <c r="I2126" s="8"/>
      <c r="J2126" s="8"/>
      <c r="K2126" s="8"/>
      <c r="L2126" s="9" t="s">
        <v>3515</v>
      </c>
      <c r="M2126" s="8"/>
    </row>
    <row r="2127" spans="1:13" x14ac:dyDescent="0.25">
      <c r="A2127" s="14" t="s">
        <v>6406</v>
      </c>
      <c r="B2127" s="67">
        <v>69813043504</v>
      </c>
      <c r="C2127" s="72" t="s">
        <v>6407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6408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6409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3396</v>
      </c>
      <c r="H2129" s="9"/>
      <c r="I2129" s="8"/>
      <c r="J2129" s="8"/>
      <c r="K2129" s="8"/>
      <c r="L2129" s="9" t="s">
        <v>3547</v>
      </c>
      <c r="M2129" s="8"/>
    </row>
    <row r="2130" spans="1:13" x14ac:dyDescent="0.25">
      <c r="A2130" s="18" t="s">
        <v>6410</v>
      </c>
      <c r="B2130" s="67">
        <v>15800175845</v>
      </c>
      <c r="C2130" s="18" t="s">
        <v>6411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6412</v>
      </c>
      <c r="B2131" s="67">
        <v>13018290801</v>
      </c>
      <c r="C2131" s="72" t="s">
        <v>6413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6414</v>
      </c>
      <c r="B2132" s="67">
        <v>61505078318</v>
      </c>
      <c r="C2132" s="18" t="s">
        <v>6415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6416</v>
      </c>
      <c r="B2133" s="67">
        <v>6097323824</v>
      </c>
      <c r="C2133" s="72" t="s">
        <v>6417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6418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3396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6419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3396</v>
      </c>
      <c r="H2135" s="76">
        <v>43213</v>
      </c>
      <c r="I2135" s="8"/>
      <c r="J2135" s="8"/>
      <c r="K2135" s="8"/>
      <c r="L2135" s="9" t="s">
        <v>3515</v>
      </c>
      <c r="M2135" s="8"/>
    </row>
    <row r="2136" spans="1:13" x14ac:dyDescent="0.25">
      <c r="A2136" s="71" t="s">
        <v>6420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3396</v>
      </c>
      <c r="H2136" s="76">
        <v>43213</v>
      </c>
      <c r="I2136" s="8"/>
      <c r="J2136" s="8"/>
      <c r="K2136" s="8"/>
      <c r="L2136" s="9" t="s">
        <v>3515</v>
      </c>
      <c r="M2136" s="8"/>
    </row>
    <row r="2137" spans="1:13" x14ac:dyDescent="0.25">
      <c r="A2137" s="71" t="s">
        <v>6421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3396</v>
      </c>
      <c r="H2137" s="76">
        <v>43213</v>
      </c>
      <c r="I2137" s="8"/>
      <c r="J2137" s="8"/>
      <c r="K2137" s="8"/>
      <c r="L2137" s="9" t="s">
        <v>3515</v>
      </c>
      <c r="M2137" s="8"/>
    </row>
    <row r="2138" spans="1:13" x14ac:dyDescent="0.25">
      <c r="A2138" s="71" t="s">
        <v>6422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6423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3396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6424</v>
      </c>
      <c r="B2140" s="67">
        <v>33005130819</v>
      </c>
      <c r="C2140" s="72" t="s">
        <v>6425</v>
      </c>
      <c r="D2140" s="69">
        <v>29843431820</v>
      </c>
      <c r="E2140" s="9">
        <v>117</v>
      </c>
      <c r="F2140" s="25">
        <v>43117</v>
      </c>
      <c r="G2140" s="70" t="s">
        <v>3396</v>
      </c>
      <c r="H2140" s="76">
        <v>43213</v>
      </c>
      <c r="I2140" s="8"/>
      <c r="J2140" s="8"/>
      <c r="K2140" s="8"/>
      <c r="L2140" s="9" t="s">
        <v>3547</v>
      </c>
      <c r="M2140" s="8"/>
    </row>
    <row r="2141" spans="1:13" x14ac:dyDescent="0.25">
      <c r="A2141" s="71" t="s">
        <v>6426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3396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6427</v>
      </c>
      <c r="B2142" s="67">
        <v>42840674866</v>
      </c>
      <c r="C2142" s="72" t="s">
        <v>6428</v>
      </c>
      <c r="D2142" s="69">
        <v>33066015866</v>
      </c>
      <c r="E2142" s="9">
        <v>117</v>
      </c>
      <c r="F2142" s="25">
        <v>43117</v>
      </c>
      <c r="G2142" s="70" t="s">
        <v>3396</v>
      </c>
      <c r="H2142" s="9"/>
      <c r="I2142" s="8"/>
      <c r="J2142" s="8"/>
      <c r="K2142" s="8"/>
      <c r="L2142" s="9" t="s">
        <v>3547</v>
      </c>
      <c r="M2142" s="8"/>
    </row>
    <row r="2143" spans="1:13" x14ac:dyDescent="0.25">
      <c r="A2143" s="71" t="s">
        <v>6429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6430</v>
      </c>
      <c r="B2144" s="67">
        <v>2312065851</v>
      </c>
      <c r="C2144" s="73" t="s">
        <v>6431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6432</v>
      </c>
      <c r="B2145" s="67">
        <v>48549010472</v>
      </c>
      <c r="C2145" s="72" t="s">
        <v>6433</v>
      </c>
      <c r="D2145" s="69">
        <v>7796014830</v>
      </c>
      <c r="E2145" s="9">
        <v>1267</v>
      </c>
      <c r="F2145" s="25">
        <v>42998</v>
      </c>
      <c r="G2145" s="70" t="s">
        <v>3396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6434</v>
      </c>
      <c r="B2146" s="67"/>
      <c r="C2146" s="18" t="s">
        <v>3506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6434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6435</v>
      </c>
      <c r="B2148" s="67">
        <v>38348922890</v>
      </c>
      <c r="C2148" s="72" t="s">
        <v>6436</v>
      </c>
      <c r="D2148" s="69">
        <v>22580367802</v>
      </c>
      <c r="E2148" s="9">
        <v>810</v>
      </c>
      <c r="F2148" s="25">
        <v>42915</v>
      </c>
      <c r="G2148" s="70" t="s">
        <v>3396</v>
      </c>
      <c r="H2148" s="9"/>
      <c r="I2148" s="8"/>
      <c r="J2148" s="8"/>
      <c r="K2148" s="8"/>
      <c r="L2148" s="9" t="s">
        <v>3515</v>
      </c>
      <c r="M2148" s="8"/>
    </row>
    <row r="2149" spans="1:13" x14ac:dyDescent="0.25">
      <c r="A2149" s="72" t="s">
        <v>6437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3396</v>
      </c>
      <c r="H2149" s="9"/>
      <c r="I2149" s="8"/>
      <c r="J2149" s="8"/>
      <c r="K2149" s="8"/>
      <c r="L2149" s="9" t="s">
        <v>3547</v>
      </c>
      <c r="M2149" s="8"/>
    </row>
    <row r="2150" spans="1:13" x14ac:dyDescent="0.25">
      <c r="A2150" s="71" t="s">
        <v>6438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6439</v>
      </c>
      <c r="B2151" s="67">
        <v>36691354800</v>
      </c>
      <c r="C2151" s="72" t="s">
        <v>6440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6441</v>
      </c>
      <c r="B2152" s="67">
        <v>2599679559</v>
      </c>
      <c r="C2152" s="72" t="s">
        <v>6442</v>
      </c>
      <c r="D2152" s="69">
        <v>99002051549</v>
      </c>
      <c r="E2152" s="9">
        <v>1824</v>
      </c>
      <c r="F2152" s="25">
        <v>43091</v>
      </c>
      <c r="G2152" s="70" t="s">
        <v>3410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6443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6444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3396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6445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3396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6446</v>
      </c>
      <c r="B2156" s="67">
        <v>94813078591</v>
      </c>
      <c r="C2156" s="18" t="s">
        <v>6447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6448</v>
      </c>
      <c r="B2157" s="67">
        <v>6522038846</v>
      </c>
      <c r="C2157" s="72" t="s">
        <v>6449</v>
      </c>
      <c r="D2157" s="69">
        <v>390582808</v>
      </c>
      <c r="E2157" s="9">
        <v>292</v>
      </c>
      <c r="F2157" s="25">
        <v>43168</v>
      </c>
      <c r="G2157" s="70" t="s">
        <v>3396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6450</v>
      </c>
      <c r="B2158" s="67">
        <v>70986847402</v>
      </c>
      <c r="C2158" s="72" t="s">
        <v>6451</v>
      </c>
      <c r="D2158" s="69">
        <v>39640099899</v>
      </c>
      <c r="E2158" s="9">
        <v>229</v>
      </c>
      <c r="F2158" s="25">
        <v>43151</v>
      </c>
      <c r="G2158" s="70" t="s">
        <v>3396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6452</v>
      </c>
      <c r="B2159" s="67">
        <v>37737032878</v>
      </c>
      <c r="C2159" s="72" t="s">
        <v>6453</v>
      </c>
      <c r="D2159" s="69">
        <v>24659778819</v>
      </c>
      <c r="E2159" s="9">
        <v>1417</v>
      </c>
      <c r="F2159" s="25">
        <v>43017</v>
      </c>
      <c r="G2159" s="70" t="s">
        <v>3402</v>
      </c>
      <c r="H2159" s="9"/>
      <c r="I2159" s="8"/>
      <c r="J2159" s="8"/>
      <c r="K2159" s="8"/>
      <c r="L2159" s="9" t="s">
        <v>3630</v>
      </c>
      <c r="M2159" s="8"/>
    </row>
    <row r="2160" spans="1:13" x14ac:dyDescent="0.25">
      <c r="A2160" s="71" t="s">
        <v>6454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6455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3396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6456</v>
      </c>
      <c r="B2162" s="67">
        <v>15716959822</v>
      </c>
      <c r="C2162" s="72" t="s">
        <v>6457</v>
      </c>
      <c r="D2162" s="69">
        <v>10451985877</v>
      </c>
      <c r="E2162" s="9">
        <v>262</v>
      </c>
      <c r="F2162" s="25">
        <v>43160</v>
      </c>
      <c r="G2162" s="70" t="s">
        <v>3396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6458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6459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3396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6460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3396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6461</v>
      </c>
      <c r="B2166" s="67">
        <v>32241408875</v>
      </c>
      <c r="C2166" s="72" t="s">
        <v>6462</v>
      </c>
      <c r="D2166" s="69">
        <v>7164250413</v>
      </c>
      <c r="E2166" s="9">
        <v>1824</v>
      </c>
      <c r="F2166" s="25">
        <v>43091</v>
      </c>
      <c r="G2166" s="70" t="s">
        <v>3396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6463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3396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6464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3396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6465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6466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6467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3396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6468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3396</v>
      </c>
      <c r="H2172" s="9"/>
      <c r="I2172" s="8"/>
      <c r="J2172" s="8"/>
      <c r="K2172" s="8"/>
      <c r="L2172" s="9" t="s">
        <v>3630</v>
      </c>
      <c r="M2172" s="8"/>
    </row>
    <row r="2173" spans="1:13" x14ac:dyDescent="0.25">
      <c r="A2173" s="71" t="s">
        <v>6469</v>
      </c>
      <c r="B2173" s="67">
        <v>8983229870</v>
      </c>
      <c r="C2173" s="72" t="s">
        <v>6470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6471</v>
      </c>
      <c r="B2174" s="67">
        <v>9269199894</v>
      </c>
      <c r="C2174" s="72" t="s">
        <v>6472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6473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3396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6474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3396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6475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3396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6476</v>
      </c>
      <c r="B2178" s="67">
        <v>34641758808</v>
      </c>
      <c r="C2178" s="72" t="s">
        <v>6477</v>
      </c>
      <c r="D2178" s="69">
        <v>30083315802</v>
      </c>
      <c r="E2178" s="9">
        <v>810</v>
      </c>
      <c r="F2178" s="25">
        <v>42915</v>
      </c>
      <c r="G2178" s="70" t="s">
        <v>3396</v>
      </c>
      <c r="H2178" s="9"/>
      <c r="I2178" s="8"/>
      <c r="J2178" s="8"/>
      <c r="K2178" s="8"/>
      <c r="L2178" s="9" t="s">
        <v>3515</v>
      </c>
      <c r="M2178" s="8"/>
    </row>
    <row r="2179" spans="1:13" x14ac:dyDescent="0.25">
      <c r="A2179" s="71" t="s">
        <v>6478</v>
      </c>
      <c r="B2179" s="67">
        <v>1335459383</v>
      </c>
      <c r="C2179" s="71" t="s">
        <v>6479</v>
      </c>
      <c r="D2179" s="69">
        <v>2369426381</v>
      </c>
      <c r="E2179" s="9">
        <v>292</v>
      </c>
      <c r="F2179" s="25">
        <v>43168</v>
      </c>
      <c r="G2179" s="70" t="s">
        <v>3396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6480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3396</v>
      </c>
      <c r="H2180" s="9"/>
      <c r="I2180" s="8"/>
      <c r="J2180" s="8"/>
      <c r="K2180" s="8"/>
      <c r="L2180" s="9" t="s">
        <v>3547</v>
      </c>
      <c r="M2180" s="8"/>
    </row>
    <row r="2181" spans="1:13" x14ac:dyDescent="0.25">
      <c r="A2181" s="71" t="s">
        <v>6481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3396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6482</v>
      </c>
      <c r="B2182" s="67">
        <v>38248770826</v>
      </c>
      <c r="C2182" s="29" t="s">
        <v>6483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6484</v>
      </c>
      <c r="B2183" s="67">
        <v>32857847840</v>
      </c>
      <c r="C2183" s="72" t="s">
        <v>6485</v>
      </c>
      <c r="D2183" s="69">
        <v>33885204886</v>
      </c>
      <c r="E2183" s="9">
        <v>810</v>
      </c>
      <c r="F2183" s="25">
        <v>42915</v>
      </c>
      <c r="G2183" s="70" t="s">
        <v>3396</v>
      </c>
      <c r="H2183" s="9"/>
      <c r="I2183" s="8"/>
      <c r="J2183" s="8"/>
      <c r="K2183" s="8"/>
      <c r="L2183" s="9" t="s">
        <v>3515</v>
      </c>
      <c r="M2183" s="8"/>
    </row>
    <row r="2184" spans="1:13" x14ac:dyDescent="0.25">
      <c r="A2184" s="14" t="s">
        <v>6486</v>
      </c>
      <c r="B2184" s="67">
        <v>25367069827</v>
      </c>
      <c r="C2184" s="72" t="s">
        <v>6487</v>
      </c>
      <c r="D2184" s="69">
        <v>28922275855</v>
      </c>
      <c r="E2184" s="9">
        <v>262</v>
      </c>
      <c r="F2184" s="25">
        <v>43160</v>
      </c>
      <c r="G2184" s="70" t="s">
        <v>3402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6488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3396</v>
      </c>
      <c r="H2185" s="9"/>
      <c r="I2185" s="8"/>
      <c r="J2185" s="8"/>
      <c r="K2185" s="8"/>
      <c r="L2185" s="9" t="s">
        <v>3547</v>
      </c>
      <c r="M2185" s="8"/>
    </row>
    <row r="2186" spans="1:13" x14ac:dyDescent="0.25">
      <c r="A2186" s="71" t="s">
        <v>6489</v>
      </c>
      <c r="B2186" s="67">
        <v>29652533866</v>
      </c>
      <c r="C2186" s="72" t="s">
        <v>6490</v>
      </c>
      <c r="D2186" s="69">
        <v>21898199892</v>
      </c>
      <c r="E2186" s="9">
        <v>1752</v>
      </c>
      <c r="F2186" s="25">
        <v>43051</v>
      </c>
      <c r="G2186" s="70" t="s">
        <v>3396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6491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3396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6492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3396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6493</v>
      </c>
      <c r="B2189" s="67">
        <v>34777966836</v>
      </c>
      <c r="C2189" s="72" t="s">
        <v>6494</v>
      </c>
      <c r="D2189" s="69">
        <v>33600648870</v>
      </c>
      <c r="E2189" s="9">
        <v>117</v>
      </c>
      <c r="F2189" s="25">
        <v>43117</v>
      </c>
      <c r="G2189" s="70" t="s">
        <v>3396</v>
      </c>
      <c r="H2189" s="9"/>
      <c r="I2189" s="8"/>
      <c r="J2189" s="8"/>
      <c r="K2189" s="8"/>
      <c r="L2189" s="9" t="s">
        <v>3547</v>
      </c>
      <c r="M2189" s="8"/>
    </row>
    <row r="2190" spans="1:13" x14ac:dyDescent="0.25">
      <c r="A2190" s="29" t="s">
        <v>6495</v>
      </c>
      <c r="B2190" s="67"/>
      <c r="C2190" s="29" t="s">
        <v>6496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6497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3396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6498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6499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3396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6500</v>
      </c>
      <c r="B2194" s="67">
        <v>27082581840</v>
      </c>
      <c r="C2194" s="77" t="s">
        <v>6501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6502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6503</v>
      </c>
      <c r="B2196" s="67">
        <v>40878539859</v>
      </c>
      <c r="C2196" s="72" t="s">
        <v>6504</v>
      </c>
      <c r="D2196" s="69"/>
      <c r="E2196" s="9">
        <v>1489</v>
      </c>
      <c r="F2196" s="25">
        <v>43038</v>
      </c>
      <c r="G2196" s="70" t="s">
        <v>3396</v>
      </c>
      <c r="H2196" s="9"/>
      <c r="I2196" s="8"/>
      <c r="J2196" s="8"/>
      <c r="K2196" s="8"/>
      <c r="L2196" s="9" t="s">
        <v>3537</v>
      </c>
      <c r="M2196" s="8"/>
    </row>
    <row r="2197" spans="1:13" x14ac:dyDescent="0.25">
      <c r="A2197" s="71" t="s">
        <v>6505</v>
      </c>
      <c r="B2197" s="67">
        <v>35643661802</v>
      </c>
      <c r="C2197" s="68" t="s">
        <v>6506</v>
      </c>
      <c r="D2197" s="69">
        <v>34613571898</v>
      </c>
      <c r="E2197" s="9">
        <v>1128</v>
      </c>
      <c r="F2197" s="25">
        <v>42972</v>
      </c>
      <c r="G2197" s="70" t="s">
        <v>3396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6507</v>
      </c>
      <c r="B2198" s="67">
        <v>89251660549</v>
      </c>
      <c r="C2198" s="18" t="s">
        <v>3506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6508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3396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6509</v>
      </c>
      <c r="B2200" s="67">
        <v>28280731814</v>
      </c>
      <c r="C2200" s="68" t="s">
        <v>6510</v>
      </c>
      <c r="D2200" s="69">
        <v>36523032884</v>
      </c>
      <c r="E2200" s="9">
        <v>1128</v>
      </c>
      <c r="F2200" s="25">
        <v>42972</v>
      </c>
      <c r="G2200" s="70" t="s">
        <v>3396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6511</v>
      </c>
      <c r="B2201" s="67">
        <v>12525223802</v>
      </c>
      <c r="C2201" s="68" t="s">
        <v>6512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6513</v>
      </c>
      <c r="B2202" s="67">
        <v>37014825860</v>
      </c>
      <c r="C2202" s="72" t="s">
        <v>6514</v>
      </c>
      <c r="D2202" s="69">
        <v>38869051870</v>
      </c>
      <c r="E2202" s="9">
        <v>1752</v>
      </c>
      <c r="F2202" s="25">
        <v>43051</v>
      </c>
      <c r="G2202" s="70" t="s">
        <v>3396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6515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3396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6516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3396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6517</v>
      </c>
      <c r="B2205" s="67">
        <v>15095801825</v>
      </c>
      <c r="C2205" s="72" t="s">
        <v>6518</v>
      </c>
      <c r="D2205" s="69">
        <v>16417229831</v>
      </c>
      <c r="E2205" s="9">
        <v>85</v>
      </c>
      <c r="F2205" s="25">
        <v>43109</v>
      </c>
      <c r="G2205" s="70" t="s">
        <v>3396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6519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6520</v>
      </c>
      <c r="B2207" s="67">
        <v>58037845249</v>
      </c>
      <c r="C2207" s="72" t="s">
        <v>6521</v>
      </c>
      <c r="D2207" s="69">
        <v>496500333</v>
      </c>
      <c r="E2207" s="9">
        <v>117</v>
      </c>
      <c r="F2207" s="25">
        <v>43117</v>
      </c>
      <c r="G2207" s="70" t="s">
        <v>3396</v>
      </c>
      <c r="H2207" s="9"/>
      <c r="I2207" s="8"/>
      <c r="J2207" s="8"/>
      <c r="K2207" s="8"/>
      <c r="L2207" s="9" t="s">
        <v>3547</v>
      </c>
      <c r="M2207" s="8"/>
    </row>
    <row r="2208" spans="1:13" x14ac:dyDescent="0.25">
      <c r="A2208" s="84" t="s">
        <v>6522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6523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6524</v>
      </c>
      <c r="B2210" s="67">
        <v>4416847858</v>
      </c>
      <c r="C2210" s="72" t="s">
        <v>6525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6526</v>
      </c>
      <c r="B2211" s="67"/>
      <c r="C2211" s="18" t="s">
        <v>3506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6527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3396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6528</v>
      </c>
      <c r="B2213" s="67">
        <v>35325197800</v>
      </c>
      <c r="C2213" s="72" t="s">
        <v>6529</v>
      </c>
      <c r="D2213" s="69">
        <v>38159378840</v>
      </c>
      <c r="E2213" s="9">
        <v>810</v>
      </c>
      <c r="F2213" s="25">
        <v>42915</v>
      </c>
      <c r="G2213" s="70" t="s">
        <v>3396</v>
      </c>
      <c r="H2213" s="9"/>
      <c r="I2213" s="8"/>
      <c r="J2213" s="8"/>
      <c r="K2213" s="8"/>
      <c r="L2213" s="9" t="s">
        <v>3515</v>
      </c>
      <c r="M2213" s="8"/>
    </row>
    <row r="2214" spans="1:13" x14ac:dyDescent="0.25">
      <c r="A2214" s="71" t="s">
        <v>6530</v>
      </c>
      <c r="B2214" s="67">
        <v>37527821884</v>
      </c>
      <c r="C2214" s="72" t="s">
        <v>6531</v>
      </c>
      <c r="D2214" s="69">
        <v>69447810420</v>
      </c>
      <c r="E2214" s="9">
        <v>262</v>
      </c>
      <c r="F2214" s="25">
        <v>43160</v>
      </c>
      <c r="G2214" s="70" t="s">
        <v>3396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6532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3396</v>
      </c>
      <c r="H2215" s="9"/>
      <c r="I2215" s="8"/>
      <c r="J2215" s="8"/>
      <c r="K2215" s="8"/>
      <c r="L2215" s="9" t="s">
        <v>3547</v>
      </c>
      <c r="M2215" s="8"/>
    </row>
    <row r="2216" spans="1:13" x14ac:dyDescent="0.25">
      <c r="A2216" s="15" t="s">
        <v>6533</v>
      </c>
      <c r="B2216" s="67">
        <v>85281050672</v>
      </c>
      <c r="C2216" s="72" t="s">
        <v>6534</v>
      </c>
      <c r="D2216" s="69">
        <v>5490696664</v>
      </c>
      <c r="E2216" s="9">
        <v>229</v>
      </c>
      <c r="F2216" s="25">
        <v>43151</v>
      </c>
      <c r="G2216" s="70" t="s">
        <v>3396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6535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3396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6536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3402</v>
      </c>
      <c r="H2218" s="9"/>
      <c r="I2218" s="8"/>
      <c r="J2218" s="8"/>
      <c r="K2218" s="8"/>
      <c r="L2218" s="9" t="s">
        <v>3547</v>
      </c>
      <c r="M2218" s="8"/>
    </row>
    <row r="2219" spans="1:13" x14ac:dyDescent="0.25">
      <c r="A2219" s="71" t="s">
        <v>6537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6538</v>
      </c>
      <c r="B2220" s="67">
        <v>27851461820</v>
      </c>
      <c r="C2220" s="72" t="s">
        <v>6539</v>
      </c>
      <c r="D2220" s="69">
        <v>27264565882</v>
      </c>
      <c r="E2220" s="9">
        <v>117</v>
      </c>
      <c r="F2220" s="25">
        <v>43117</v>
      </c>
      <c r="G2220" s="70" t="s">
        <v>3396</v>
      </c>
      <c r="H2220" s="9"/>
      <c r="I2220" s="8"/>
      <c r="J2220" s="8"/>
      <c r="K2220" s="8"/>
      <c r="L2220" s="9" t="s">
        <v>3547</v>
      </c>
      <c r="M2220" s="8"/>
    </row>
    <row r="2221" spans="1:13" x14ac:dyDescent="0.25">
      <c r="A2221" s="71" t="s">
        <v>6540</v>
      </c>
      <c r="B2221" s="67">
        <v>32960731832</v>
      </c>
      <c r="C2221" s="77" t="s">
        <v>6541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6542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6543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3396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6544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3396</v>
      </c>
      <c r="H2224" s="9"/>
      <c r="I2224" s="8"/>
      <c r="J2224" s="8"/>
      <c r="K2224" s="8"/>
      <c r="L2224" s="9" t="s">
        <v>3537</v>
      </c>
      <c r="M2224" s="8"/>
    </row>
    <row r="2225" spans="1:13" x14ac:dyDescent="0.25">
      <c r="A2225" s="71" t="s">
        <v>6545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3396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6546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3396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6547</v>
      </c>
      <c r="B2227" s="67"/>
      <c r="C2227" s="18" t="s">
        <v>3506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6548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3396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6549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3396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6550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6551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3396</v>
      </c>
      <c r="H2231" s="9"/>
      <c r="I2231" s="8"/>
      <c r="J2231" s="8"/>
      <c r="K2231" s="8"/>
      <c r="L2231" s="9" t="s">
        <v>3547</v>
      </c>
      <c r="M2231" s="8"/>
    </row>
    <row r="2232" spans="1:13" x14ac:dyDescent="0.25">
      <c r="A2232" s="14" t="s">
        <v>6552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6553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3396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6554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6555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6556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6557</v>
      </c>
      <c r="B2237" s="67">
        <v>22548549844</v>
      </c>
      <c r="C2237" s="77" t="s">
        <v>6558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6559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3396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6560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3396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6561</v>
      </c>
      <c r="B2240" s="67">
        <v>27757716888</v>
      </c>
      <c r="C2240" s="77" t="s">
        <v>6562</v>
      </c>
      <c r="D2240" s="69" t="s">
        <v>6563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6564</v>
      </c>
      <c r="B2241" s="67">
        <v>30926413880</v>
      </c>
      <c r="C2241" s="72" t="s">
        <v>6565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3676</v>
      </c>
      <c r="M2241" s="8"/>
    </row>
    <row r="2242" spans="1:13" x14ac:dyDescent="0.25">
      <c r="A2242" s="71" t="s">
        <v>6566</v>
      </c>
      <c r="B2242" s="67">
        <v>32954076810</v>
      </c>
      <c r="C2242" s="72" t="s">
        <v>6567</v>
      </c>
      <c r="D2242" s="69">
        <v>82353131468</v>
      </c>
      <c r="E2242" s="9">
        <v>292</v>
      </c>
      <c r="F2242" s="25">
        <v>43168</v>
      </c>
      <c r="G2242" s="70" t="s">
        <v>3396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6568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3402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6569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3396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6570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3396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6571</v>
      </c>
      <c r="B2246" s="67">
        <v>23171032805</v>
      </c>
      <c r="C2246" s="72" t="s">
        <v>6572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6573</v>
      </c>
      <c r="B2247" s="67">
        <v>33375182813</v>
      </c>
      <c r="C2247" s="75" t="s">
        <v>6574</v>
      </c>
      <c r="D2247" s="69">
        <v>30178836800</v>
      </c>
      <c r="E2247" s="9">
        <v>1106</v>
      </c>
      <c r="F2247" s="25">
        <v>42965</v>
      </c>
      <c r="G2247" s="70" t="s">
        <v>3396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6575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3396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6576</v>
      </c>
      <c r="B2249" s="67">
        <v>15712243865</v>
      </c>
      <c r="C2249" s="72" t="s">
        <v>6577</v>
      </c>
      <c r="D2249" s="69">
        <v>501095705</v>
      </c>
      <c r="E2249" s="9">
        <v>1752</v>
      </c>
      <c r="F2249" s="25">
        <v>43051</v>
      </c>
      <c r="G2249" s="70" t="s">
        <v>3396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6578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3396</v>
      </c>
      <c r="H2250" s="9"/>
      <c r="I2250" s="8"/>
      <c r="J2250" s="8"/>
      <c r="K2250" s="8"/>
      <c r="L2250" s="9" t="s">
        <v>3515</v>
      </c>
      <c r="M2250" s="8"/>
    </row>
    <row r="2251" spans="1:13" x14ac:dyDescent="0.25">
      <c r="A2251" s="15" t="s">
        <v>6579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3396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6580</v>
      </c>
      <c r="B2252" s="67">
        <v>22403927899</v>
      </c>
      <c r="C2252" s="72" t="s">
        <v>6581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6582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3396</v>
      </c>
      <c r="H2253" s="9"/>
      <c r="I2253" s="8"/>
      <c r="J2253" s="8"/>
      <c r="K2253" s="8"/>
      <c r="L2253" s="9" t="s">
        <v>3547</v>
      </c>
      <c r="M2253" s="8"/>
    </row>
    <row r="2254" spans="1:13" x14ac:dyDescent="0.25">
      <c r="A2254" s="14" t="s">
        <v>6583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6584</v>
      </c>
      <c r="B2255" s="67">
        <v>32624504800</v>
      </c>
      <c r="C2255" s="72" t="s">
        <v>6585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6586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3396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6587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3402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6588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6589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3396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6590</v>
      </c>
      <c r="B2260" s="67">
        <v>14688456832</v>
      </c>
      <c r="C2260" s="72" t="s">
        <v>6591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6592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3396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6593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3396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6594</v>
      </c>
      <c r="B2263" s="67">
        <v>38726646897</v>
      </c>
      <c r="C2263" s="18" t="s">
        <v>6595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6596</v>
      </c>
      <c r="B2264" s="67">
        <v>45171952876</v>
      </c>
      <c r="C2264" s="29" t="s">
        <v>6597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6598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3396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6599</v>
      </c>
      <c r="B2266" s="67">
        <v>36695082871</v>
      </c>
      <c r="C2266" s="72" t="s">
        <v>6600</v>
      </c>
      <c r="D2266" s="69">
        <v>36736721857</v>
      </c>
      <c r="E2266" s="9">
        <v>1241</v>
      </c>
      <c r="F2266" s="25">
        <v>42992</v>
      </c>
      <c r="G2266" s="70" t="s">
        <v>3396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6601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6602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6603</v>
      </c>
      <c r="B2269" s="67">
        <v>42141950864</v>
      </c>
      <c r="C2269" s="72" t="s">
        <v>6604</v>
      </c>
      <c r="D2269" s="69"/>
      <c r="E2269" s="9">
        <v>1214</v>
      </c>
      <c r="F2269" s="25">
        <v>42989</v>
      </c>
      <c r="G2269" s="70" t="s">
        <v>3396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6605</v>
      </c>
      <c r="B2270" s="67">
        <v>47270275858</v>
      </c>
      <c r="C2270" s="72" t="s">
        <v>6606</v>
      </c>
      <c r="D2270" s="69">
        <v>34861975840</v>
      </c>
      <c r="E2270" s="9">
        <v>1824</v>
      </c>
      <c r="F2270" s="25">
        <v>43091</v>
      </c>
      <c r="G2270" s="70" t="s">
        <v>3396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6607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3396</v>
      </c>
      <c r="H2271" s="9"/>
      <c r="I2271" s="8"/>
      <c r="J2271" s="8"/>
      <c r="K2271" s="8"/>
      <c r="L2271" s="9" t="s">
        <v>3547</v>
      </c>
      <c r="M2271" s="8"/>
    </row>
    <row r="2272" spans="1:13" x14ac:dyDescent="0.25">
      <c r="A2272" s="29" t="s">
        <v>6608</v>
      </c>
      <c r="B2272" s="67">
        <v>22899917838</v>
      </c>
      <c r="C2272" s="18" t="s">
        <v>3506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6609</v>
      </c>
      <c r="B2273" s="67"/>
      <c r="C2273" s="29" t="s">
        <v>3506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6610</v>
      </c>
      <c r="B2274" s="67">
        <v>45477385804</v>
      </c>
      <c r="C2274" s="72" t="s">
        <v>6611</v>
      </c>
      <c r="D2274" s="69">
        <v>40972166866</v>
      </c>
      <c r="E2274" s="9">
        <v>1417</v>
      </c>
      <c r="F2274" s="25">
        <v>43017</v>
      </c>
      <c r="G2274" s="70" t="s">
        <v>3396</v>
      </c>
      <c r="H2274" s="9"/>
      <c r="I2274" s="8"/>
      <c r="J2274" s="8"/>
      <c r="K2274" s="8"/>
      <c r="L2274" s="9" t="s">
        <v>3630</v>
      </c>
      <c r="M2274" s="8"/>
    </row>
    <row r="2275" spans="1:13" x14ac:dyDescent="0.25">
      <c r="A2275" s="71" t="s">
        <v>6612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3396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6613</v>
      </c>
      <c r="B2276" s="67"/>
      <c r="C2276" s="29" t="s">
        <v>6614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6615</v>
      </c>
      <c r="B2277" s="67">
        <v>8990461855</v>
      </c>
      <c r="C2277" s="15" t="s">
        <v>6454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6616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6617</v>
      </c>
      <c r="B2279" s="67"/>
      <c r="C2279" s="29" t="s">
        <v>6618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6619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3396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6620</v>
      </c>
      <c r="B2281" s="67">
        <v>38917984827</v>
      </c>
      <c r="C2281" s="72" t="s">
        <v>6621</v>
      </c>
      <c r="D2281" s="69">
        <v>42231603896</v>
      </c>
      <c r="E2281" s="9">
        <v>229</v>
      </c>
      <c r="F2281" s="25">
        <v>43151</v>
      </c>
      <c r="G2281" s="70" t="s">
        <v>3396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6622</v>
      </c>
      <c r="B2282" s="67">
        <v>37870673889</v>
      </c>
      <c r="C2282" s="72" t="s">
        <v>6623</v>
      </c>
      <c r="D2282" s="69">
        <v>2786569516</v>
      </c>
      <c r="E2282" s="9">
        <v>262</v>
      </c>
      <c r="F2282" s="25">
        <v>43160</v>
      </c>
      <c r="G2282" s="70" t="s">
        <v>3396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6624</v>
      </c>
      <c r="B2283" s="67">
        <v>10441616801</v>
      </c>
      <c r="C2283" s="72" t="s">
        <v>6625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6626</v>
      </c>
      <c r="B2284" s="67">
        <v>11702039811</v>
      </c>
      <c r="C2284" s="32" t="s">
        <v>6627</v>
      </c>
      <c r="D2284" s="69">
        <v>14689396884</v>
      </c>
      <c r="E2284" s="9">
        <v>1350</v>
      </c>
      <c r="F2284" s="25">
        <v>43006</v>
      </c>
      <c r="G2284" s="70" t="s">
        <v>3396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6628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3396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6629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6630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6631</v>
      </c>
      <c r="B2288" s="67">
        <v>46959766842</v>
      </c>
      <c r="C2288" s="72" t="s">
        <v>6632</v>
      </c>
      <c r="D2288" s="69">
        <v>40096022876</v>
      </c>
      <c r="E2288" s="9">
        <v>1350</v>
      </c>
      <c r="F2288" s="25">
        <v>43006</v>
      </c>
      <c r="G2288" s="70" t="s">
        <v>3396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6633</v>
      </c>
      <c r="B2289" s="67">
        <v>15147799869</v>
      </c>
      <c r="C2289" s="72" t="s">
        <v>6634</v>
      </c>
      <c r="D2289" s="69">
        <v>18304595893</v>
      </c>
      <c r="E2289" s="9">
        <v>1824</v>
      </c>
      <c r="F2289" s="25">
        <v>43091</v>
      </c>
      <c r="G2289" s="70" t="s">
        <v>3396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6635</v>
      </c>
      <c r="B2290" s="67">
        <v>29012884802</v>
      </c>
      <c r="C2290" s="72" t="s">
        <v>6636</v>
      </c>
      <c r="D2290" s="69">
        <v>16761377854</v>
      </c>
      <c r="E2290" s="9">
        <v>85</v>
      </c>
      <c r="F2290" s="25">
        <v>43109</v>
      </c>
      <c r="G2290" s="70" t="s">
        <v>3396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6637</v>
      </c>
      <c r="B2291" s="67">
        <v>13009518854</v>
      </c>
      <c r="C2291" s="72" t="s">
        <v>6638</v>
      </c>
      <c r="D2291" s="69">
        <v>59636467749</v>
      </c>
      <c r="E2291" s="9">
        <v>1267</v>
      </c>
      <c r="F2291" s="25">
        <v>42998</v>
      </c>
      <c r="G2291" s="70" t="s">
        <v>3410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6639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6640</v>
      </c>
      <c r="B2293" s="67">
        <v>38605259809</v>
      </c>
      <c r="C2293" s="72" t="s">
        <v>6641</v>
      </c>
      <c r="D2293" s="69">
        <v>1090388519</v>
      </c>
      <c r="E2293" s="9">
        <v>117</v>
      </c>
      <c r="F2293" s="25">
        <v>43117</v>
      </c>
      <c r="G2293" s="70" t="s">
        <v>3396</v>
      </c>
      <c r="H2293" s="9"/>
      <c r="I2293" s="8"/>
      <c r="J2293" s="8"/>
      <c r="K2293" s="8"/>
      <c r="L2293" s="9" t="s">
        <v>3547</v>
      </c>
      <c r="M2293" s="8"/>
    </row>
    <row r="2294" spans="1:13" x14ac:dyDescent="0.25">
      <c r="A2294" s="15" t="s">
        <v>6642</v>
      </c>
      <c r="B2294" s="67">
        <v>9333321810</v>
      </c>
      <c r="C2294" s="72" t="s">
        <v>6643</v>
      </c>
      <c r="D2294" s="69">
        <v>16122645818</v>
      </c>
      <c r="E2294" s="9">
        <v>117</v>
      </c>
      <c r="F2294" s="25">
        <v>43117</v>
      </c>
      <c r="G2294" s="70" t="s">
        <v>3396</v>
      </c>
      <c r="H2294" s="9"/>
      <c r="I2294" s="8"/>
      <c r="J2294" s="8"/>
      <c r="K2294" s="8"/>
      <c r="L2294" s="9" t="s">
        <v>3547</v>
      </c>
      <c r="M2294" s="8"/>
    </row>
    <row r="2295" spans="1:13" x14ac:dyDescent="0.25">
      <c r="A2295" s="71" t="s">
        <v>6644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3396</v>
      </c>
      <c r="H2295" s="9"/>
      <c r="I2295" s="8"/>
      <c r="J2295" s="8"/>
      <c r="K2295" s="8"/>
      <c r="L2295" s="9" t="s">
        <v>3515</v>
      </c>
      <c r="M2295" s="8"/>
    </row>
    <row r="2296" spans="1:13" x14ac:dyDescent="0.25">
      <c r="A2296" s="71" t="s">
        <v>6645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6646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6647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6648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6649</v>
      </c>
      <c r="B2300" s="67">
        <v>35810601839</v>
      </c>
      <c r="C2300" s="18" t="s">
        <v>6650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6651</v>
      </c>
      <c r="B2301" s="67">
        <v>32203433841</v>
      </c>
      <c r="C2301" s="72" t="s">
        <v>6652</v>
      </c>
      <c r="D2301" s="69">
        <v>36256617890</v>
      </c>
      <c r="E2301" s="9">
        <v>810</v>
      </c>
      <c r="F2301" s="25">
        <v>42915</v>
      </c>
      <c r="G2301" s="70" t="s">
        <v>3396</v>
      </c>
      <c r="H2301" s="9"/>
      <c r="I2301" s="8"/>
      <c r="J2301" s="8"/>
      <c r="K2301" s="8"/>
      <c r="L2301" s="9" t="s">
        <v>3515</v>
      </c>
      <c r="M2301" s="8"/>
    </row>
    <row r="2302" spans="1:13" x14ac:dyDescent="0.25">
      <c r="A2302" s="72" t="s">
        <v>6653</v>
      </c>
      <c r="B2302" s="67">
        <v>29816586894</v>
      </c>
      <c r="C2302" s="72" t="s">
        <v>6654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6655</v>
      </c>
      <c r="B2303" s="67">
        <v>3087797545</v>
      </c>
      <c r="C2303" s="71" t="s">
        <v>6656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6657</v>
      </c>
      <c r="B2304" s="67">
        <v>44135110851</v>
      </c>
      <c r="C2304" s="18" t="s">
        <v>6658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6659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3396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6660</v>
      </c>
      <c r="B2306" s="67">
        <v>5416929847</v>
      </c>
      <c r="C2306" s="72" t="s">
        <v>6661</v>
      </c>
      <c r="D2306" s="69">
        <v>69220670887</v>
      </c>
      <c r="E2306" s="9">
        <v>292</v>
      </c>
      <c r="F2306" s="25">
        <v>43168</v>
      </c>
      <c r="G2306" s="70" t="s">
        <v>3402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6662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3396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6663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6664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3396</v>
      </c>
      <c r="H2309" s="70"/>
      <c r="I2309" s="8"/>
      <c r="J2309" s="8"/>
      <c r="K2309" s="8"/>
      <c r="L2309" s="9" t="s">
        <v>3630</v>
      </c>
      <c r="M2309" s="8"/>
    </row>
    <row r="2310" spans="1:13" x14ac:dyDescent="0.25">
      <c r="A2310" s="71" t="s">
        <v>6665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3396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6666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6667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3396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6668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3396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6669</v>
      </c>
      <c r="B2314" s="67">
        <v>60363616373</v>
      </c>
      <c r="C2314" s="72" t="s">
        <v>6670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6671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3396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6672</v>
      </c>
      <c r="B2316" s="67">
        <v>6780677833</v>
      </c>
      <c r="C2316" s="29" t="s">
        <v>6673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6674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6675</v>
      </c>
      <c r="B2318" s="67"/>
      <c r="C2318" s="29" t="s">
        <v>3506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6676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6677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6678</v>
      </c>
      <c r="B2321" s="67"/>
      <c r="C2321" s="18" t="s">
        <v>6679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6680</v>
      </c>
      <c r="B2322" s="67">
        <v>47104776800</v>
      </c>
      <c r="C2322" s="72" t="s">
        <v>6681</v>
      </c>
      <c r="D2322" s="69">
        <v>29524413833</v>
      </c>
      <c r="E2322" s="9">
        <v>117</v>
      </c>
      <c r="F2322" s="25">
        <v>43117</v>
      </c>
      <c r="G2322" s="70" t="s">
        <v>3396</v>
      </c>
      <c r="H2322" s="70"/>
      <c r="I2322" s="8"/>
      <c r="J2322" s="8"/>
      <c r="K2322" s="8"/>
      <c r="L2322" s="9" t="s">
        <v>3547</v>
      </c>
      <c r="M2322" s="8"/>
    </row>
    <row r="2323" spans="1:13" x14ac:dyDescent="0.25">
      <c r="A2323" s="71" t="s">
        <v>6682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3396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6683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3396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6684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6685</v>
      </c>
      <c r="B2326" s="67"/>
      <c r="C2326" s="29" t="s">
        <v>6686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6687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3396</v>
      </c>
      <c r="H2327" s="9"/>
      <c r="I2327" s="8"/>
      <c r="J2327" s="8"/>
      <c r="K2327" s="8"/>
      <c r="L2327" s="9" t="s">
        <v>3547</v>
      </c>
      <c r="M2327" s="8"/>
    </row>
    <row r="2328" spans="1:13" x14ac:dyDescent="0.25">
      <c r="A2328" s="71" t="s">
        <v>6688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6689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6690</v>
      </c>
      <c r="B2330" s="67">
        <v>44920823878</v>
      </c>
      <c r="C2330" s="72" t="s">
        <v>6691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6692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6693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6694</v>
      </c>
      <c r="B2333" s="67">
        <v>8665698809</v>
      </c>
      <c r="C2333" s="72" t="s">
        <v>6695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6696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3396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6697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6698</v>
      </c>
      <c r="B2336" s="67">
        <v>37383675860</v>
      </c>
      <c r="C2336" s="72" t="s">
        <v>6699</v>
      </c>
      <c r="D2336" s="69">
        <v>37457320814</v>
      </c>
      <c r="E2336" s="9">
        <v>1824</v>
      </c>
      <c r="F2336" s="25">
        <v>43091</v>
      </c>
      <c r="G2336" s="70" t="s">
        <v>3396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6700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3396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6701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3396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6702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6703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6704</v>
      </c>
      <c r="B2341" s="67">
        <v>36394093882</v>
      </c>
      <c r="C2341" s="72" t="s">
        <v>6705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6706</v>
      </c>
      <c r="B2342" s="80">
        <v>38327155687</v>
      </c>
      <c r="C2342" s="81" t="s">
        <v>6707</v>
      </c>
      <c r="D2342" s="82">
        <v>20534089879</v>
      </c>
      <c r="E2342" s="47">
        <v>1824</v>
      </c>
      <c r="F2342" s="48">
        <v>43091</v>
      </c>
      <c r="G2342" s="83" t="s">
        <v>3410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6708</v>
      </c>
      <c r="B2343" s="67">
        <v>36553625875</v>
      </c>
      <c r="C2343" s="72" t="s">
        <v>6709</v>
      </c>
      <c r="D2343" s="69">
        <v>34615418850</v>
      </c>
      <c r="E2343" s="9">
        <v>608</v>
      </c>
      <c r="F2343" s="25">
        <v>43012</v>
      </c>
      <c r="G2343" s="70" t="s">
        <v>3396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6710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3396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6711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3396</v>
      </c>
      <c r="H2345" s="9"/>
      <c r="I2345" s="8"/>
      <c r="J2345" s="8"/>
      <c r="K2345" s="8"/>
      <c r="L2345" s="9" t="s">
        <v>3515</v>
      </c>
      <c r="M2345" s="8"/>
    </row>
    <row r="2346" spans="1:13" x14ac:dyDescent="0.25">
      <c r="A2346" s="13" t="s">
        <v>6712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3396</v>
      </c>
      <c r="H2346" s="9"/>
      <c r="I2346" s="8"/>
      <c r="J2346" s="8"/>
      <c r="K2346" s="8"/>
      <c r="L2346" s="9" t="s">
        <v>3537</v>
      </c>
      <c r="M2346" s="8"/>
    </row>
    <row r="2347" spans="1:13" x14ac:dyDescent="0.25">
      <c r="A2347" s="71" t="s">
        <v>6713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6714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3396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6715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3396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6716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3396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6717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3396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6718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6719</v>
      </c>
      <c r="B2353" s="67">
        <v>2267811863</v>
      </c>
      <c r="C2353" s="68" t="s">
        <v>6720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6721</v>
      </c>
      <c r="B2354" s="67">
        <v>4640546726</v>
      </c>
      <c r="C2354" s="72" t="s">
        <v>6722</v>
      </c>
      <c r="D2354" s="69">
        <v>72849215791</v>
      </c>
      <c r="E2354" s="9">
        <v>262</v>
      </c>
      <c r="F2354" s="25">
        <v>43160</v>
      </c>
      <c r="G2354" s="70" t="s">
        <v>3396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6723</v>
      </c>
      <c r="B2355" s="67">
        <v>11862093806</v>
      </c>
      <c r="C2355" s="18" t="s">
        <v>3506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6724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3396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6725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3396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6726</v>
      </c>
      <c r="B2358" s="67">
        <v>12983214842</v>
      </c>
      <c r="C2358" s="72" t="s">
        <v>6727</v>
      </c>
      <c r="D2358" s="69">
        <v>33776403802</v>
      </c>
      <c r="E2358" s="9">
        <v>85</v>
      </c>
      <c r="F2358" s="25">
        <v>43109</v>
      </c>
      <c r="G2358" s="70" t="s">
        <v>3396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6728</v>
      </c>
      <c r="B2359" s="67">
        <v>3343521507</v>
      </c>
      <c r="C2359" s="15" t="s">
        <v>6729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6730</v>
      </c>
      <c r="B2360" s="67">
        <v>41812689500</v>
      </c>
      <c r="C2360" s="72" t="s">
        <v>6731</v>
      </c>
      <c r="D2360" s="69">
        <v>14037047837</v>
      </c>
      <c r="E2360" s="9">
        <v>1106</v>
      </c>
      <c r="F2360" s="25">
        <v>42965</v>
      </c>
      <c r="G2360" s="70" t="s">
        <v>3396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6732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6733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3396</v>
      </c>
      <c r="H2362" s="9"/>
      <c r="I2362" s="8"/>
      <c r="J2362" s="8"/>
      <c r="K2362" s="8"/>
      <c r="L2362" s="9" t="s">
        <v>3515</v>
      </c>
      <c r="M2362" s="8"/>
    </row>
    <row r="2363" spans="1:13" x14ac:dyDescent="0.25">
      <c r="A2363" s="71" t="s">
        <v>6734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6735</v>
      </c>
      <c r="B2364" s="67">
        <v>45479391879</v>
      </c>
      <c r="C2364" s="30" t="s">
        <v>6736</v>
      </c>
      <c r="D2364" s="67">
        <v>35624185820</v>
      </c>
      <c r="E2364" s="9">
        <v>1350</v>
      </c>
      <c r="F2364" s="25">
        <v>43006</v>
      </c>
      <c r="G2364" s="70" t="s">
        <v>3396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6737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3410</v>
      </c>
      <c r="H2365" s="9"/>
      <c r="I2365" s="8"/>
      <c r="J2365" s="8"/>
      <c r="K2365" s="8"/>
      <c r="L2365" s="9" t="s">
        <v>3878</v>
      </c>
      <c r="M2365" s="8"/>
    </row>
    <row r="2366" spans="1:13" x14ac:dyDescent="0.25">
      <c r="A2366" s="15" t="s">
        <v>6738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3396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6739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6740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6741</v>
      </c>
      <c r="B2369" s="67">
        <v>36159577840</v>
      </c>
      <c r="C2369" s="72" t="s">
        <v>6742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6743</v>
      </c>
      <c r="B2370" s="67">
        <v>39308828842</v>
      </c>
      <c r="C2370" s="72" t="s">
        <v>6744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6745</v>
      </c>
      <c r="B2371" s="67">
        <v>6619801897</v>
      </c>
      <c r="C2371" s="29" t="s">
        <v>6746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6747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6748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3396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6749</v>
      </c>
      <c r="B2374" s="67">
        <v>36138056850</v>
      </c>
      <c r="C2374" s="72" t="s">
        <v>6750</v>
      </c>
      <c r="D2374" s="69">
        <v>56721897504</v>
      </c>
      <c r="E2374" s="9">
        <v>262</v>
      </c>
      <c r="F2374" s="25">
        <v>43160</v>
      </c>
      <c r="G2374" s="70" t="s">
        <v>3396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6751</v>
      </c>
      <c r="B2375" s="67">
        <v>22365509878</v>
      </c>
      <c r="C2375" s="72" t="s">
        <v>6752</v>
      </c>
      <c r="D2375" s="69">
        <v>9353681839</v>
      </c>
      <c r="E2375" s="9">
        <v>810</v>
      </c>
      <c r="F2375" s="25">
        <v>42915</v>
      </c>
      <c r="G2375" s="70" t="s">
        <v>3396</v>
      </c>
      <c r="H2375" s="9"/>
      <c r="I2375" s="8"/>
      <c r="J2375" s="8"/>
      <c r="K2375" s="8"/>
      <c r="L2375" s="9" t="s">
        <v>3515</v>
      </c>
      <c r="M2375" s="8"/>
    </row>
    <row r="2376" spans="1:13" x14ac:dyDescent="0.25">
      <c r="A2376" s="72" t="s">
        <v>6753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6754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3396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6755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6756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3396</v>
      </c>
      <c r="H2379" s="9"/>
      <c r="I2379" s="8"/>
      <c r="J2379" s="8"/>
      <c r="K2379" s="8"/>
      <c r="L2379" s="9" t="s">
        <v>3775</v>
      </c>
      <c r="M2379" s="8"/>
    </row>
    <row r="2380" spans="1:13" x14ac:dyDescent="0.25">
      <c r="A2380" s="71" t="s">
        <v>6757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3396</v>
      </c>
      <c r="H2380" s="9"/>
      <c r="I2380" s="8"/>
      <c r="J2380" s="8"/>
      <c r="K2380" s="8"/>
      <c r="L2380" s="9" t="s">
        <v>3547</v>
      </c>
      <c r="M2380" s="8"/>
    </row>
    <row r="2381" spans="1:13" x14ac:dyDescent="0.25">
      <c r="A2381" s="71" t="s">
        <v>6758</v>
      </c>
      <c r="B2381" s="67">
        <v>40878398856</v>
      </c>
      <c r="C2381" s="72" t="s">
        <v>6759</v>
      </c>
      <c r="D2381" s="69">
        <v>73226718568</v>
      </c>
      <c r="E2381" s="9">
        <v>262</v>
      </c>
      <c r="F2381" s="25">
        <v>43160</v>
      </c>
      <c r="G2381" s="70" t="s">
        <v>3396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6760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3396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6761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3396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6762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3396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6763</v>
      </c>
      <c r="B2385" s="67">
        <v>33475393387</v>
      </c>
      <c r="C2385" s="72" t="s">
        <v>6764</v>
      </c>
      <c r="D2385" s="69">
        <v>21580260306</v>
      </c>
      <c r="E2385" s="9">
        <v>292</v>
      </c>
      <c r="F2385" s="25">
        <v>43168</v>
      </c>
      <c r="G2385" s="70" t="s">
        <v>3396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6765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6766</v>
      </c>
      <c r="B2387" s="67">
        <v>15114386816</v>
      </c>
      <c r="C2387" s="29" t="s">
        <v>6767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6768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3396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6769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3396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6770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6771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6772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6773</v>
      </c>
      <c r="B2393" s="67">
        <v>38754982839</v>
      </c>
      <c r="C2393" s="72" t="s">
        <v>6774</v>
      </c>
      <c r="D2393" s="69">
        <v>34941494881</v>
      </c>
      <c r="E2393" s="9">
        <v>85</v>
      </c>
      <c r="F2393" s="25">
        <v>43109</v>
      </c>
      <c r="G2393" s="70" t="s">
        <v>3410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6775</v>
      </c>
      <c r="B2394" s="67">
        <v>33401168819</v>
      </c>
      <c r="C2394" s="72" t="s">
        <v>6776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6777</v>
      </c>
      <c r="B2395" s="67">
        <v>42116294843</v>
      </c>
      <c r="C2395" s="72" t="s">
        <v>6778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6779</v>
      </c>
      <c r="B2396" s="67">
        <v>12648968679</v>
      </c>
      <c r="C2396" s="72" t="s">
        <v>6780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6781</v>
      </c>
      <c r="B2397" s="67">
        <v>34361698899</v>
      </c>
      <c r="C2397" s="72" t="s">
        <v>6782</v>
      </c>
      <c r="D2397" s="69">
        <v>21266025839</v>
      </c>
      <c r="E2397" s="9">
        <v>1489</v>
      </c>
      <c r="F2397" s="25">
        <v>43038</v>
      </c>
      <c r="G2397" s="70" t="s">
        <v>3396</v>
      </c>
      <c r="H2397" s="9"/>
      <c r="I2397" s="8"/>
      <c r="J2397" s="8"/>
      <c r="K2397" s="8"/>
      <c r="L2397" s="9" t="s">
        <v>3537</v>
      </c>
      <c r="M2397" s="8"/>
    </row>
    <row r="2398" spans="1:13" x14ac:dyDescent="0.25">
      <c r="A2398" s="71" t="s">
        <v>6783</v>
      </c>
      <c r="B2398" s="67">
        <v>12835905812</v>
      </c>
      <c r="C2398" s="72" t="s">
        <v>6784</v>
      </c>
      <c r="D2398" s="69">
        <v>26821342890</v>
      </c>
      <c r="E2398" s="9">
        <v>262</v>
      </c>
      <c r="F2398" s="25">
        <v>43160</v>
      </c>
      <c r="G2398" s="70" t="s">
        <v>3402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6785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3396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6786</v>
      </c>
      <c r="B2400" s="67">
        <v>22713517826</v>
      </c>
      <c r="C2400" s="72" t="s">
        <v>6787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6788</v>
      </c>
      <c r="B2401" s="67">
        <v>28467390808</v>
      </c>
      <c r="C2401" s="72" t="s">
        <v>6789</v>
      </c>
      <c r="D2401" s="69">
        <v>90847547</v>
      </c>
      <c r="E2401" s="9">
        <v>810</v>
      </c>
      <c r="F2401" s="25">
        <v>42915</v>
      </c>
      <c r="G2401" s="70" t="s">
        <v>3396</v>
      </c>
      <c r="H2401" s="9"/>
      <c r="I2401" s="8"/>
      <c r="J2401" s="8"/>
      <c r="K2401" s="8"/>
      <c r="L2401" s="9" t="s">
        <v>3515</v>
      </c>
      <c r="M2401" s="8"/>
    </row>
    <row r="2402" spans="1:13" x14ac:dyDescent="0.25">
      <c r="A2402" s="71" t="s">
        <v>6790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3396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6791</v>
      </c>
      <c r="B2403" s="67">
        <v>32033541878</v>
      </c>
      <c r="C2403" s="72" t="s">
        <v>6792</v>
      </c>
      <c r="D2403" s="69">
        <v>19674006877</v>
      </c>
      <c r="E2403" s="9">
        <v>1752</v>
      </c>
      <c r="F2403" s="25">
        <v>43051</v>
      </c>
      <c r="G2403" s="70" t="s">
        <v>3396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6793</v>
      </c>
      <c r="B2404" s="67">
        <v>23241720896</v>
      </c>
      <c r="C2404" s="18" t="s">
        <v>6794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6795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6796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3396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6797</v>
      </c>
      <c r="B2407" s="67">
        <v>1889333360</v>
      </c>
      <c r="C2407" s="72" t="s">
        <v>6798</v>
      </c>
      <c r="D2407" s="69">
        <v>580003302</v>
      </c>
      <c r="E2407" s="9">
        <v>1241</v>
      </c>
      <c r="F2407" s="25">
        <v>42992</v>
      </c>
      <c r="G2407" s="70" t="s">
        <v>3396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6799</v>
      </c>
      <c r="B2408" s="67">
        <v>40321655800</v>
      </c>
      <c r="C2408" s="72" t="s">
        <v>6800</v>
      </c>
      <c r="D2408" s="69">
        <v>37378835803</v>
      </c>
      <c r="E2408" s="9">
        <v>810</v>
      </c>
      <c r="F2408" s="25">
        <v>42915</v>
      </c>
      <c r="G2408" s="70" t="s">
        <v>3396</v>
      </c>
      <c r="H2408" s="9"/>
      <c r="I2408" s="8"/>
      <c r="J2408" s="8"/>
      <c r="K2408" s="8"/>
      <c r="L2408" s="9" t="s">
        <v>3515</v>
      </c>
      <c r="M2408" s="8"/>
    </row>
    <row r="2409" spans="1:13" x14ac:dyDescent="0.25">
      <c r="A2409" s="14" t="s">
        <v>6801</v>
      </c>
      <c r="B2409" s="67">
        <v>5117256557</v>
      </c>
      <c r="C2409" s="72" t="s">
        <v>6802</v>
      </c>
      <c r="D2409" s="69">
        <v>5063737544</v>
      </c>
      <c r="E2409" s="9">
        <v>262</v>
      </c>
      <c r="F2409" s="25">
        <v>43160</v>
      </c>
      <c r="G2409" s="70" t="s">
        <v>3402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6803</v>
      </c>
      <c r="B2410" s="67">
        <v>21863985832</v>
      </c>
      <c r="C2410" s="72" t="s">
        <v>6804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6805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3396</v>
      </c>
      <c r="H2411" s="9"/>
      <c r="I2411" s="8"/>
      <c r="J2411" s="8"/>
      <c r="K2411" s="8"/>
      <c r="L2411" s="9" t="s">
        <v>3630</v>
      </c>
      <c r="M2411" s="8"/>
    </row>
    <row r="2412" spans="1:13" x14ac:dyDescent="0.25">
      <c r="A2412" s="18" t="s">
        <v>6806</v>
      </c>
      <c r="B2412" s="67">
        <v>31694477851</v>
      </c>
      <c r="C2412" s="18" t="s">
        <v>6807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6808</v>
      </c>
      <c r="B2413" s="67">
        <v>14690610827</v>
      </c>
      <c r="C2413" s="72" t="s">
        <v>6809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6810</v>
      </c>
      <c r="B2414" s="67">
        <v>1740803523</v>
      </c>
      <c r="C2414" s="72" t="s">
        <v>6811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6812</v>
      </c>
      <c r="B2415" s="67">
        <v>23328195840</v>
      </c>
      <c r="C2415" s="72" t="s">
        <v>6813</v>
      </c>
      <c r="D2415" s="69">
        <v>770249310</v>
      </c>
      <c r="E2415" s="9">
        <v>810</v>
      </c>
      <c r="F2415" s="25">
        <v>42915</v>
      </c>
      <c r="G2415" s="70" t="s">
        <v>3396</v>
      </c>
      <c r="H2415" s="9"/>
      <c r="I2415" s="8"/>
      <c r="J2415" s="8"/>
      <c r="K2415" s="8"/>
      <c r="L2415" s="9" t="s">
        <v>3515</v>
      </c>
      <c r="M2415" s="8"/>
    </row>
    <row r="2416" spans="1:13" x14ac:dyDescent="0.25">
      <c r="A2416" s="71" t="s">
        <v>6814</v>
      </c>
      <c r="B2416" s="67">
        <v>28082388862</v>
      </c>
      <c r="C2416" s="72" t="s">
        <v>6815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6816</v>
      </c>
      <c r="B2417" s="67">
        <v>43054747867</v>
      </c>
      <c r="C2417" s="29" t="s">
        <v>6817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6818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6819</v>
      </c>
      <c r="B2419" s="67">
        <v>89863704504</v>
      </c>
      <c r="C2419" s="72" t="s">
        <v>6820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6821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6822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3396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6823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6824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3396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6825</v>
      </c>
      <c r="B2424" s="67">
        <v>33538686823</v>
      </c>
      <c r="C2424" s="72" t="s">
        <v>6826</v>
      </c>
      <c r="D2424" s="69">
        <v>37104062858</v>
      </c>
      <c r="E2424" s="9">
        <v>810</v>
      </c>
      <c r="F2424" s="25">
        <v>42915</v>
      </c>
      <c r="G2424" s="9" t="s">
        <v>3396</v>
      </c>
      <c r="H2424" s="9"/>
      <c r="I2424" s="8"/>
      <c r="J2424" s="8"/>
      <c r="K2424" s="8"/>
      <c r="L2424" s="9" t="s">
        <v>3515</v>
      </c>
      <c r="M2424" s="8"/>
    </row>
    <row r="2425" spans="1:13" x14ac:dyDescent="0.25">
      <c r="A2425" s="18" t="s">
        <v>6827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6828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3396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6829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6830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3396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6831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3396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6832</v>
      </c>
      <c r="B2430" s="67"/>
      <c r="C2430" s="29" t="s">
        <v>3506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6833</v>
      </c>
      <c r="B2431" s="67">
        <v>39308964860</v>
      </c>
      <c r="C2431" s="72" t="s">
        <v>6834</v>
      </c>
      <c r="D2431" s="69">
        <v>39308963898</v>
      </c>
      <c r="E2431" s="9">
        <v>229</v>
      </c>
      <c r="F2431" s="25">
        <v>43151</v>
      </c>
      <c r="G2431" s="70" t="s">
        <v>3396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6835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3396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6836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3396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6837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6838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3396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6839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6840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6841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6842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3396</v>
      </c>
      <c r="H2439" s="9"/>
      <c r="I2439" s="8"/>
      <c r="J2439" s="8"/>
      <c r="K2439" s="8"/>
      <c r="L2439" s="9" t="s">
        <v>3547</v>
      </c>
      <c r="M2439" s="8"/>
    </row>
    <row r="2440" spans="1:13" x14ac:dyDescent="0.25">
      <c r="A2440" s="71" t="s">
        <v>6843</v>
      </c>
      <c r="B2440" s="67">
        <v>36344864818</v>
      </c>
      <c r="C2440" s="72" t="s">
        <v>6844</v>
      </c>
      <c r="D2440" s="69">
        <v>35601867810</v>
      </c>
      <c r="E2440" s="9">
        <v>810</v>
      </c>
      <c r="F2440" s="25">
        <v>42915</v>
      </c>
      <c r="G2440" s="70" t="s">
        <v>3396</v>
      </c>
      <c r="H2440" s="9"/>
      <c r="I2440" s="8"/>
      <c r="J2440" s="8"/>
      <c r="K2440" s="8"/>
      <c r="L2440" s="9" t="s">
        <v>3515</v>
      </c>
      <c r="M2440" s="8"/>
    </row>
    <row r="2441" spans="1:13" x14ac:dyDescent="0.25">
      <c r="A2441" s="29" t="s">
        <v>6845</v>
      </c>
      <c r="B2441" s="67"/>
      <c r="C2441" s="29" t="s">
        <v>3506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6846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3396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6847</v>
      </c>
      <c r="B2443" s="67">
        <v>23969560861</v>
      </c>
      <c r="C2443" s="72" t="s">
        <v>6848</v>
      </c>
      <c r="D2443" s="69">
        <v>16141701850</v>
      </c>
      <c r="E2443" s="9">
        <v>1267</v>
      </c>
      <c r="F2443" s="25">
        <v>42998</v>
      </c>
      <c r="G2443" s="70" t="s">
        <v>3396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6849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6850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3396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6851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3396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6852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6853</v>
      </c>
      <c r="B2448" s="67">
        <v>35193151817</v>
      </c>
      <c r="C2448" s="72" t="s">
        <v>6854</v>
      </c>
      <c r="D2448" s="69">
        <v>26084005829</v>
      </c>
      <c r="E2448" s="9">
        <v>229</v>
      </c>
      <c r="F2448" s="25">
        <v>43151</v>
      </c>
      <c r="G2448" s="70" t="s">
        <v>3396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6855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6856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6857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3396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6858</v>
      </c>
      <c r="B2452" s="67">
        <v>34674605857</v>
      </c>
      <c r="C2452" s="72" t="s">
        <v>6859</v>
      </c>
      <c r="D2452" s="69">
        <v>36771603830</v>
      </c>
      <c r="E2452" s="9">
        <v>810</v>
      </c>
      <c r="F2452" s="25">
        <v>42915</v>
      </c>
      <c r="G2452" s="70" t="s">
        <v>3396</v>
      </c>
      <c r="H2452" s="9"/>
      <c r="I2452" s="8"/>
      <c r="J2452" s="8"/>
      <c r="K2452" s="8"/>
      <c r="L2452" s="9" t="s">
        <v>3515</v>
      </c>
      <c r="M2452" s="8"/>
    </row>
    <row r="2453" spans="1:13" x14ac:dyDescent="0.25">
      <c r="A2453" s="71" t="s">
        <v>6860</v>
      </c>
      <c r="B2453" s="67">
        <v>33248807857</v>
      </c>
      <c r="C2453" s="72" t="s">
        <v>6861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6862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3396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6863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3396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6864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6865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3396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6866</v>
      </c>
      <c r="B2458" s="67">
        <v>7143855901</v>
      </c>
      <c r="C2458" s="18" t="s">
        <v>3506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6867</v>
      </c>
      <c r="B2459" s="67"/>
      <c r="C2459" s="29" t="s">
        <v>3506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6868</v>
      </c>
      <c r="B2460" s="67">
        <v>5365375505</v>
      </c>
      <c r="C2460" s="68" t="s">
        <v>6869</v>
      </c>
      <c r="D2460" s="69">
        <v>34658162857</v>
      </c>
      <c r="E2460" s="9">
        <v>1128</v>
      </c>
      <c r="F2460" s="25">
        <v>42972</v>
      </c>
      <c r="G2460" s="70" t="s">
        <v>3396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6870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6871</v>
      </c>
      <c r="B2462" s="67">
        <v>66691990404</v>
      </c>
      <c r="C2462" s="29" t="s">
        <v>6872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6873</v>
      </c>
      <c r="B2463" s="67">
        <v>60347000355</v>
      </c>
      <c r="C2463" s="72" t="s">
        <v>6874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6875</v>
      </c>
      <c r="B2464" s="67">
        <v>37467543808</v>
      </c>
      <c r="C2464" s="72" t="s">
        <v>6876</v>
      </c>
      <c r="D2464" s="69">
        <v>40552745804</v>
      </c>
      <c r="E2464" s="9">
        <v>229</v>
      </c>
      <c r="F2464" s="25">
        <v>43151</v>
      </c>
      <c r="G2464" s="70" t="s">
        <v>3396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6877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6878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6879</v>
      </c>
      <c r="B2467" s="67"/>
      <c r="C2467" s="18" t="s">
        <v>3506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6880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3396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6881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6882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6883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6884</v>
      </c>
      <c r="B2472" s="67"/>
      <c r="C2472" s="18" t="s">
        <v>3506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6885</v>
      </c>
      <c r="B2473" s="67">
        <v>34907942818</v>
      </c>
      <c r="C2473" s="72" t="s">
        <v>6886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6887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6888</v>
      </c>
      <c r="B2475" s="67">
        <v>40642684820</v>
      </c>
      <c r="C2475" s="72" t="s">
        <v>6889</v>
      </c>
      <c r="D2475" s="69">
        <v>43189527890</v>
      </c>
      <c r="E2475" s="9">
        <v>292</v>
      </c>
      <c r="F2475" s="25">
        <v>43168</v>
      </c>
      <c r="G2475" s="70" t="s">
        <v>3396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6890</v>
      </c>
      <c r="B2476" s="67">
        <v>36401343893</v>
      </c>
      <c r="C2476" s="72" t="s">
        <v>6891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3676</v>
      </c>
      <c r="M2476" s="8"/>
    </row>
    <row r="2477" spans="1:13" x14ac:dyDescent="0.25">
      <c r="A2477" s="15" t="s">
        <v>6892</v>
      </c>
      <c r="B2477" s="67">
        <v>10413301460</v>
      </c>
      <c r="C2477" s="72" t="s">
        <v>6893</v>
      </c>
      <c r="D2477" s="69">
        <v>10931047404</v>
      </c>
      <c r="E2477" s="9">
        <v>117</v>
      </c>
      <c r="F2477" s="25">
        <v>43117</v>
      </c>
      <c r="G2477" s="70" t="s">
        <v>3396</v>
      </c>
      <c r="H2477" s="9"/>
      <c r="I2477" s="8"/>
      <c r="J2477" s="8"/>
      <c r="K2477" s="8"/>
      <c r="L2477" s="9" t="s">
        <v>3547</v>
      </c>
      <c r="M2477" s="8"/>
    </row>
    <row r="2478" spans="1:13" x14ac:dyDescent="0.25">
      <c r="A2478" s="15" t="s">
        <v>6894</v>
      </c>
      <c r="B2478" s="67">
        <v>42030087866</v>
      </c>
      <c r="C2478" s="72" t="s">
        <v>6895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6896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6897</v>
      </c>
      <c r="B2480" s="67">
        <v>38302413801</v>
      </c>
      <c r="C2480" s="77" t="s">
        <v>6898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6899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3396</v>
      </c>
      <c r="H2481" s="9"/>
      <c r="I2481" s="8"/>
      <c r="J2481" s="8"/>
      <c r="K2481" s="8"/>
      <c r="L2481" s="9" t="s">
        <v>3515</v>
      </c>
      <c r="M2481" s="8"/>
    </row>
    <row r="2482" spans="1:13" x14ac:dyDescent="0.25">
      <c r="A2482" s="71" t="s">
        <v>6900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6901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3402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6902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3396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6903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3396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6904</v>
      </c>
      <c r="B2486" s="67">
        <v>34034498315</v>
      </c>
      <c r="C2486" s="72" t="s">
        <v>6905</v>
      </c>
      <c r="D2486" s="69">
        <v>30620015349</v>
      </c>
      <c r="E2486" s="9">
        <v>1470</v>
      </c>
      <c r="F2486" s="25">
        <v>43031</v>
      </c>
      <c r="G2486" s="70" t="s">
        <v>3396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6906</v>
      </c>
      <c r="B2487" s="67">
        <v>38027861810</v>
      </c>
      <c r="C2487" s="72" t="s">
        <v>6907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6908</v>
      </c>
      <c r="B2488" s="67">
        <v>34557275818</v>
      </c>
      <c r="C2488" s="72" t="s">
        <v>6909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6910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3396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6911</v>
      </c>
      <c r="B2490" s="67"/>
      <c r="C2490" s="29" t="s">
        <v>6912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6913</v>
      </c>
      <c r="B2491" s="67">
        <v>40298877830</v>
      </c>
      <c r="C2491" s="72" t="s">
        <v>6914</v>
      </c>
      <c r="D2491" s="69">
        <v>5551703576</v>
      </c>
      <c r="E2491" s="9">
        <v>262</v>
      </c>
      <c r="F2491" s="25">
        <v>43160</v>
      </c>
      <c r="G2491" s="70" t="s">
        <v>3396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6915</v>
      </c>
      <c r="B2492" s="67">
        <v>36295512895</v>
      </c>
      <c r="C2492" s="72" t="s">
        <v>6916</v>
      </c>
      <c r="D2492" s="69">
        <v>29129585805</v>
      </c>
      <c r="E2492" s="9">
        <v>292</v>
      </c>
      <c r="F2492" s="25">
        <v>43168</v>
      </c>
      <c r="G2492" s="70" t="s">
        <v>3396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6917</v>
      </c>
      <c r="B2493" s="67">
        <v>13188101830</v>
      </c>
      <c r="C2493" s="72" t="s">
        <v>6918</v>
      </c>
      <c r="D2493" s="69">
        <v>55072399320</v>
      </c>
      <c r="E2493" s="9">
        <v>1752</v>
      </c>
      <c r="F2493" s="25">
        <v>43051</v>
      </c>
      <c r="G2493" s="70" t="s">
        <v>3402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6919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6920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3396</v>
      </c>
      <c r="H2495" s="9"/>
      <c r="I2495" s="8"/>
      <c r="J2495" s="8"/>
      <c r="K2495" s="8"/>
      <c r="L2495" s="9" t="s">
        <v>3537</v>
      </c>
      <c r="M2495" s="8"/>
    </row>
    <row r="2496" spans="1:13" x14ac:dyDescent="0.25">
      <c r="A2496" s="71" t="s">
        <v>6921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6922</v>
      </c>
      <c r="B2497" s="67">
        <v>18468597864</v>
      </c>
      <c r="C2497" s="72" t="s">
        <v>6923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6924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3396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6925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3396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6926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3396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6927</v>
      </c>
      <c r="B2501" s="67">
        <v>23134916843</v>
      </c>
      <c r="C2501" s="72" t="s">
        <v>6928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6929</v>
      </c>
      <c r="B2502" s="67">
        <v>60939966468</v>
      </c>
      <c r="C2502" s="72" t="s">
        <v>6930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6931</v>
      </c>
      <c r="B2503" s="67"/>
      <c r="C2503" s="29" t="s">
        <v>6932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6933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3396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6934</v>
      </c>
      <c r="B2505" s="67">
        <v>33594407810</v>
      </c>
      <c r="C2505" s="68" t="s">
        <v>6935</v>
      </c>
      <c r="D2505" s="69">
        <v>5613611777</v>
      </c>
      <c r="E2505" s="9">
        <v>1128</v>
      </c>
      <c r="F2505" s="25">
        <v>42972</v>
      </c>
      <c r="G2505" s="70" t="s">
        <v>3396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6936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3396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6937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6938</v>
      </c>
      <c r="B2508" s="67">
        <v>38404903832</v>
      </c>
      <c r="C2508" s="72" t="s">
        <v>6939</v>
      </c>
      <c r="D2508" s="69">
        <v>35612360819</v>
      </c>
      <c r="E2508" s="9">
        <v>810</v>
      </c>
      <c r="F2508" s="25">
        <v>42915</v>
      </c>
      <c r="G2508" s="70" t="s">
        <v>3396</v>
      </c>
      <c r="H2508" s="9"/>
      <c r="I2508" s="8"/>
      <c r="J2508" s="8"/>
      <c r="K2508" s="8"/>
      <c r="L2508" s="9" t="s">
        <v>3515</v>
      </c>
      <c r="M2508" s="8"/>
    </row>
    <row r="2509" spans="1:13" x14ac:dyDescent="0.25">
      <c r="A2509" s="71" t="s">
        <v>6940</v>
      </c>
      <c r="B2509" s="67">
        <v>33198410843</v>
      </c>
      <c r="C2509" s="72" t="s">
        <v>6941</v>
      </c>
      <c r="D2509" s="69">
        <v>32853865843</v>
      </c>
      <c r="E2509" s="9">
        <v>810</v>
      </c>
      <c r="F2509" s="25">
        <v>42915</v>
      </c>
      <c r="G2509" s="70" t="s">
        <v>3396</v>
      </c>
      <c r="H2509" s="9"/>
      <c r="I2509" s="8"/>
      <c r="J2509" s="8"/>
      <c r="K2509" s="8"/>
      <c r="L2509" s="9" t="s">
        <v>3515</v>
      </c>
      <c r="M2509" s="8"/>
    </row>
    <row r="2510" spans="1:13" x14ac:dyDescent="0.25">
      <c r="A2510" s="71" t="s">
        <v>6942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3396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6943</v>
      </c>
      <c r="B2511" s="67">
        <v>46962268831</v>
      </c>
      <c r="C2511" s="72" t="s">
        <v>6944</v>
      </c>
      <c r="D2511" s="69">
        <v>40564058831</v>
      </c>
      <c r="E2511" s="9">
        <v>1752</v>
      </c>
      <c r="F2511" s="25">
        <v>43051</v>
      </c>
      <c r="G2511" s="70" t="s">
        <v>3410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6945</v>
      </c>
      <c r="B2512" s="67">
        <v>33337344860</v>
      </c>
      <c r="C2512" s="72" t="s">
        <v>6946</v>
      </c>
      <c r="D2512" s="69">
        <v>33436663867</v>
      </c>
      <c r="E2512" s="9">
        <v>810</v>
      </c>
      <c r="F2512" s="25">
        <v>42915</v>
      </c>
      <c r="G2512" s="70" t="s">
        <v>3396</v>
      </c>
      <c r="H2512" s="9"/>
      <c r="I2512" s="8"/>
      <c r="J2512" s="8"/>
      <c r="K2512" s="8"/>
      <c r="L2512" s="9" t="s">
        <v>3515</v>
      </c>
      <c r="M2512" s="8"/>
    </row>
    <row r="2513" spans="1:13" x14ac:dyDescent="0.25">
      <c r="A2513" s="14" t="s">
        <v>6947</v>
      </c>
      <c r="B2513" s="67">
        <v>11587518694</v>
      </c>
      <c r="C2513" s="72" t="s">
        <v>6948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6949</v>
      </c>
      <c r="B2514" s="67">
        <v>37957151809</v>
      </c>
      <c r="C2514" s="72" t="s">
        <v>6950</v>
      </c>
      <c r="D2514" s="69">
        <v>28342788814</v>
      </c>
      <c r="E2514" s="9">
        <v>1570</v>
      </c>
      <c r="F2514" s="25">
        <v>43077</v>
      </c>
      <c r="G2514" s="70" t="s">
        <v>3396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6951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3676</v>
      </c>
      <c r="M2515" s="8"/>
    </row>
    <row r="2516" spans="1:13" x14ac:dyDescent="0.25">
      <c r="A2516" s="29" t="s">
        <v>6952</v>
      </c>
      <c r="B2516" s="67">
        <v>35434226852</v>
      </c>
      <c r="C2516" s="29" t="s">
        <v>6953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6954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3396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6955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3396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6956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3396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6957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6958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6959</v>
      </c>
      <c r="B2522" s="67">
        <v>31989585809</v>
      </c>
      <c r="C2522" s="72" t="s">
        <v>6960</v>
      </c>
      <c r="D2522" s="69">
        <v>4312861919</v>
      </c>
      <c r="E2522" s="9">
        <v>1824</v>
      </c>
      <c r="F2522" s="25">
        <v>43091</v>
      </c>
      <c r="G2522" s="70" t="s">
        <v>3410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6961</v>
      </c>
      <c r="B2523" s="67">
        <v>30264611802</v>
      </c>
      <c r="C2523" s="29" t="s">
        <v>6962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6963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3396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6964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3396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6965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3396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6966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3396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6967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6968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6969</v>
      </c>
      <c r="B2530" s="67">
        <v>31117169880</v>
      </c>
      <c r="C2530" s="72" t="s">
        <v>6970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6971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3396</v>
      </c>
      <c r="H2531" s="9"/>
      <c r="I2531" s="8"/>
      <c r="J2531" s="8"/>
      <c r="K2531" s="8"/>
      <c r="L2531" s="9" t="s">
        <v>3547</v>
      </c>
      <c r="M2531" s="8"/>
    </row>
    <row r="2532" spans="1:13" x14ac:dyDescent="0.25">
      <c r="A2532" s="29" t="s">
        <v>6972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6973</v>
      </c>
      <c r="B2533" s="67">
        <v>34800386896</v>
      </c>
      <c r="C2533" s="72" t="s">
        <v>6974</v>
      </c>
      <c r="D2533" s="69">
        <v>33748068808</v>
      </c>
      <c r="E2533" s="9">
        <v>810</v>
      </c>
      <c r="F2533" s="25">
        <v>42915</v>
      </c>
      <c r="G2533" s="70" t="s">
        <v>3396</v>
      </c>
      <c r="H2533" s="9"/>
      <c r="I2533" s="8"/>
      <c r="J2533" s="8"/>
      <c r="K2533" s="8"/>
      <c r="L2533" s="9" t="s">
        <v>3515</v>
      </c>
      <c r="M2533" s="8"/>
    </row>
    <row r="2534" spans="1:13" x14ac:dyDescent="0.25">
      <c r="A2534" s="72" t="s">
        <v>6975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6976</v>
      </c>
      <c r="B2535" s="67">
        <v>38858760867</v>
      </c>
      <c r="C2535" s="68" t="s">
        <v>6977</v>
      </c>
      <c r="D2535" s="69">
        <v>37279553842</v>
      </c>
      <c r="E2535" s="9">
        <v>1128</v>
      </c>
      <c r="F2535" s="25">
        <v>42972</v>
      </c>
      <c r="G2535" s="70" t="s">
        <v>3396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6978</v>
      </c>
      <c r="B2536" s="67">
        <v>43621579800</v>
      </c>
      <c r="C2536" s="29" t="s">
        <v>3506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6979</v>
      </c>
      <c r="B2537" s="67">
        <v>37412192825</v>
      </c>
      <c r="C2537" s="72" t="s">
        <v>6980</v>
      </c>
      <c r="D2537" s="69">
        <v>27576214830</v>
      </c>
      <c r="E2537" s="9">
        <v>1489</v>
      </c>
      <c r="F2537" s="25">
        <v>43038</v>
      </c>
      <c r="G2537" s="70" t="s">
        <v>3396</v>
      </c>
      <c r="H2537" s="9"/>
      <c r="I2537" s="8"/>
      <c r="J2537" s="8"/>
      <c r="K2537" s="8"/>
      <c r="L2537" s="9" t="s">
        <v>3537</v>
      </c>
      <c r="M2537" s="8"/>
    </row>
    <row r="2538" spans="1:13" x14ac:dyDescent="0.25">
      <c r="A2538" s="71" t="s">
        <v>6981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3396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6982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3396</v>
      </c>
      <c r="H2539" s="9"/>
      <c r="I2539" s="8"/>
      <c r="J2539" s="8"/>
      <c r="K2539" s="8"/>
      <c r="L2539" s="9" t="s">
        <v>3515</v>
      </c>
      <c r="M2539" s="8"/>
    </row>
    <row r="2540" spans="1:13" x14ac:dyDescent="0.25">
      <c r="A2540" s="71" t="s">
        <v>6983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6984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6985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6986</v>
      </c>
      <c r="B2543" s="67">
        <v>36613563803</v>
      </c>
      <c r="C2543" s="72" t="s">
        <v>6987</v>
      </c>
      <c r="D2543" s="69">
        <v>27798369899</v>
      </c>
      <c r="E2543" s="9">
        <v>292</v>
      </c>
      <c r="F2543" s="25">
        <v>43168</v>
      </c>
      <c r="G2543" s="70" t="s">
        <v>3396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6988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6989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3396</v>
      </c>
      <c r="H2545" s="9"/>
      <c r="I2545" s="8"/>
      <c r="J2545" s="8"/>
      <c r="K2545" s="8"/>
      <c r="L2545" s="9" t="s">
        <v>3515</v>
      </c>
      <c r="M2545" s="8"/>
    </row>
    <row r="2546" spans="1:13" ht="30" x14ac:dyDescent="0.25">
      <c r="A2546" s="91" t="s">
        <v>6990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3396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6991</v>
      </c>
      <c r="B2547" s="67">
        <v>2950068545</v>
      </c>
      <c r="C2547" s="15" t="s">
        <v>6992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6993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3396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6994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3402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6995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6996</v>
      </c>
      <c r="B2551" s="67">
        <v>44618522453</v>
      </c>
      <c r="C2551" s="68" t="s">
        <v>6997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6998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3396</v>
      </c>
      <c r="H2552" s="9"/>
      <c r="I2552" s="8"/>
      <c r="J2552" s="8"/>
      <c r="K2552" s="8"/>
      <c r="L2552" s="9" t="s">
        <v>3547</v>
      </c>
      <c r="M2552" s="8"/>
    </row>
    <row r="2553" spans="1:13" x14ac:dyDescent="0.25">
      <c r="A2553" s="71" t="s">
        <v>6999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3396</v>
      </c>
      <c r="H2553" s="9"/>
      <c r="I2553" s="8"/>
      <c r="J2553" s="8"/>
      <c r="K2553" s="8"/>
      <c r="L2553" s="9" t="s">
        <v>3630</v>
      </c>
      <c r="M2553" s="8"/>
    </row>
    <row r="2554" spans="1:13" x14ac:dyDescent="0.25">
      <c r="A2554" s="71" t="s">
        <v>7000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7001</v>
      </c>
      <c r="B2555" s="67">
        <v>26333731862</v>
      </c>
      <c r="C2555" s="72" t="s">
        <v>7002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7003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3676</v>
      </c>
      <c r="M2556" s="8"/>
    </row>
    <row r="2557" spans="1:13" x14ac:dyDescent="0.25">
      <c r="A2557" s="71" t="s">
        <v>7004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3396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7005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3396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7006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3396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7007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3396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7008</v>
      </c>
      <c r="B2561" s="67">
        <v>2035513545</v>
      </c>
      <c r="C2561" s="77" t="s">
        <v>7009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7010</v>
      </c>
      <c r="B2562" s="67">
        <v>32375610881</v>
      </c>
      <c r="C2562" s="72" t="s">
        <v>7011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7012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3396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7013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3396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7014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7015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3396</v>
      </c>
      <c r="H2566" s="9"/>
      <c r="I2566" s="8"/>
      <c r="J2566" s="8"/>
      <c r="K2566" s="8"/>
      <c r="L2566" s="9" t="s">
        <v>3537</v>
      </c>
      <c r="M2566" s="8"/>
    </row>
    <row r="2567" spans="1:13" x14ac:dyDescent="0.25">
      <c r="A2567" s="71" t="s">
        <v>7016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3396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7017</v>
      </c>
      <c r="B2568" s="67">
        <v>28040254892</v>
      </c>
      <c r="C2568" s="72" t="s">
        <v>7018</v>
      </c>
      <c r="D2568" s="69">
        <v>27414145808</v>
      </c>
      <c r="E2568" s="9">
        <v>810</v>
      </c>
      <c r="F2568" s="25">
        <v>42915</v>
      </c>
      <c r="G2568" s="70" t="s">
        <v>3396</v>
      </c>
      <c r="H2568" s="25">
        <v>42921</v>
      </c>
      <c r="I2568" s="8"/>
      <c r="J2568" s="8"/>
      <c r="K2568" s="8"/>
      <c r="L2568" s="9" t="s">
        <v>3515</v>
      </c>
      <c r="M2568" s="8"/>
    </row>
    <row r="2569" spans="1:13" x14ac:dyDescent="0.25">
      <c r="A2569" s="71" t="s">
        <v>7019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3396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7020</v>
      </c>
      <c r="B2570" s="67">
        <v>19585439859</v>
      </c>
      <c r="C2570" s="72" t="s">
        <v>7021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7022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3396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7023</v>
      </c>
      <c r="B2572" s="67">
        <v>33167057831</v>
      </c>
      <c r="C2572" s="18" t="s">
        <v>3506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7024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3396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7025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3396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7026</v>
      </c>
      <c r="B2575" s="67">
        <v>41360953841</v>
      </c>
      <c r="C2575" s="72" t="s">
        <v>7027</v>
      </c>
      <c r="D2575" s="69">
        <v>39212484859</v>
      </c>
      <c r="E2575" s="9">
        <v>117</v>
      </c>
      <c r="F2575" s="25">
        <v>43117</v>
      </c>
      <c r="G2575" s="70" t="s">
        <v>3396</v>
      </c>
      <c r="H2575" s="25">
        <v>43151</v>
      </c>
      <c r="I2575" s="8"/>
      <c r="J2575" s="8"/>
      <c r="K2575" s="8"/>
      <c r="L2575" s="9" t="s">
        <v>3547</v>
      </c>
      <c r="M2575" s="8"/>
    </row>
    <row r="2576" spans="1:13" x14ac:dyDescent="0.25">
      <c r="A2576" s="15" t="s">
        <v>7028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3396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7029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3396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7030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3396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7031</v>
      </c>
      <c r="B2579" s="67"/>
      <c r="C2579" s="29" t="s">
        <v>3506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7032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7033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3396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7034</v>
      </c>
      <c r="B2582" s="67">
        <v>39407601889</v>
      </c>
      <c r="C2582" s="72" t="s">
        <v>7035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7036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3396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2515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7037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3396</v>
      </c>
      <c r="H2585" s="25">
        <v>42921</v>
      </c>
      <c r="I2585" s="8"/>
      <c r="J2585" s="8"/>
      <c r="K2585" s="8"/>
      <c r="L2585" s="9" t="s">
        <v>3515</v>
      </c>
      <c r="M2585" s="8"/>
    </row>
    <row r="2586" spans="1:13" x14ac:dyDescent="0.25">
      <c r="A2586" s="71" t="s">
        <v>7038</v>
      </c>
      <c r="B2586" s="67">
        <v>40831453826</v>
      </c>
      <c r="C2586" s="72" t="s">
        <v>7039</v>
      </c>
      <c r="D2586" s="69">
        <v>41787837858</v>
      </c>
      <c r="E2586" s="9">
        <v>1214</v>
      </c>
      <c r="F2586" s="25">
        <v>42989</v>
      </c>
      <c r="G2586" s="70" t="s">
        <v>3396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7040</v>
      </c>
      <c r="B2587" s="67">
        <v>23043868811</v>
      </c>
      <c r="C2587" s="18" t="s">
        <v>7041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7042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3396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7043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3396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7044</v>
      </c>
      <c r="B2590" s="67">
        <v>11739082850</v>
      </c>
      <c r="C2590" s="72" t="s">
        <v>7045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7046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3396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7047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3396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7048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3396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7049</v>
      </c>
      <c r="B2594" s="67">
        <v>36782552809</v>
      </c>
      <c r="C2594" s="72" t="s">
        <v>7050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7051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7052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3396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7053</v>
      </c>
      <c r="B2597" s="67">
        <v>28249902874</v>
      </c>
      <c r="C2597" s="29" t="s">
        <v>7054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7055</v>
      </c>
      <c r="B2598" s="67">
        <v>36169238836</v>
      </c>
      <c r="C2598" s="77" t="s">
        <v>7056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7057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3396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7058</v>
      </c>
      <c r="B2600" s="67">
        <v>30886267870</v>
      </c>
      <c r="C2600" s="29" t="s">
        <v>7059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7060</v>
      </c>
      <c r="B2601" s="67"/>
      <c r="C2601" s="29" t="s">
        <v>7061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7062</v>
      </c>
      <c r="B2602" s="67">
        <v>26107569847</v>
      </c>
      <c r="C2602" s="77" t="s">
        <v>7063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7064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3396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7065</v>
      </c>
      <c r="B2604" s="67">
        <v>13516251875</v>
      </c>
      <c r="C2604" s="68" t="s">
        <v>7066</v>
      </c>
      <c r="D2604" s="69">
        <v>10146756851</v>
      </c>
      <c r="E2604" s="9">
        <v>1214</v>
      </c>
      <c r="F2604" s="25">
        <v>42989</v>
      </c>
      <c r="G2604" s="70" t="s">
        <v>3396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7067</v>
      </c>
      <c r="B2605" s="67">
        <v>3597715486</v>
      </c>
      <c r="C2605" s="72" t="s">
        <v>7068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7069</v>
      </c>
      <c r="B2606" s="67">
        <v>1563161532</v>
      </c>
      <c r="C2606" s="68" t="s">
        <v>7070</v>
      </c>
      <c r="D2606" s="69">
        <v>92557732591</v>
      </c>
      <c r="E2606" s="9">
        <v>1128</v>
      </c>
      <c r="F2606" s="25">
        <v>42972</v>
      </c>
      <c r="G2606" s="70" t="s">
        <v>3396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7071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7072</v>
      </c>
      <c r="B2608" s="67">
        <v>31914362861</v>
      </c>
      <c r="C2608" s="72" t="s">
        <v>7073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3676</v>
      </c>
      <c r="M2608" s="8"/>
    </row>
    <row r="2609" spans="1:13" x14ac:dyDescent="0.25">
      <c r="A2609" s="18" t="s">
        <v>7074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7075</v>
      </c>
      <c r="B2610" s="67">
        <v>35218693855</v>
      </c>
      <c r="C2610" s="72" t="s">
        <v>7076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7077</v>
      </c>
      <c r="B2611" s="67">
        <v>30947166874</v>
      </c>
      <c r="C2611" s="72" t="s">
        <v>7078</v>
      </c>
      <c r="D2611" s="69">
        <v>1304805506</v>
      </c>
      <c r="E2611" s="9">
        <v>1241</v>
      </c>
      <c r="F2611" s="25">
        <v>42992</v>
      </c>
      <c r="G2611" s="70" t="s">
        <v>3396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7079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7080</v>
      </c>
      <c r="B2613" s="67">
        <v>3632265593</v>
      </c>
      <c r="C2613" s="72" t="s">
        <v>7081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7082</v>
      </c>
      <c r="B2614" s="67">
        <v>9500687801</v>
      </c>
      <c r="C2614" s="77" t="s">
        <v>7083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3676</v>
      </c>
      <c r="M2614" s="8"/>
    </row>
    <row r="2615" spans="1:13" x14ac:dyDescent="0.25">
      <c r="A2615" s="71" t="s">
        <v>7084</v>
      </c>
      <c r="B2615" s="67">
        <v>78808405400</v>
      </c>
      <c r="C2615" s="72" t="s">
        <v>7085</v>
      </c>
      <c r="D2615" s="69">
        <v>6840084400</v>
      </c>
      <c r="E2615" s="9">
        <v>1824</v>
      </c>
      <c r="F2615" s="25">
        <v>43091</v>
      </c>
      <c r="G2615" s="70" t="s">
        <v>3396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7086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3396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7087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7088</v>
      </c>
      <c r="B2618" s="67">
        <v>37500289820</v>
      </c>
      <c r="C2618" s="68" t="s">
        <v>7089</v>
      </c>
      <c r="D2618" s="69">
        <v>26607571867</v>
      </c>
      <c r="E2618" s="9">
        <v>1350</v>
      </c>
      <c r="F2618" s="25">
        <v>43006</v>
      </c>
      <c r="G2618" s="70" t="s">
        <v>3396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7090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7091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3396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7092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7093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3396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7094</v>
      </c>
      <c r="B2623" s="67">
        <v>8192130800</v>
      </c>
      <c r="C2623" s="72" t="s">
        <v>7095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7096</v>
      </c>
      <c r="B2624" s="67">
        <v>26853070879</v>
      </c>
      <c r="C2624" s="18" t="s">
        <v>7097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7098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3396</v>
      </c>
      <c r="H2625" s="25">
        <v>43027</v>
      </c>
      <c r="I2625" s="8"/>
      <c r="J2625" s="8"/>
      <c r="K2625" s="8"/>
      <c r="L2625" s="9" t="s">
        <v>3630</v>
      </c>
      <c r="M2625" s="8"/>
    </row>
    <row r="2626" spans="1:13" x14ac:dyDescent="0.25">
      <c r="A2626" s="13" t="s">
        <v>7099</v>
      </c>
      <c r="B2626" s="67">
        <v>27440063864</v>
      </c>
      <c r="C2626" s="68" t="s">
        <v>7100</v>
      </c>
      <c r="D2626" s="69">
        <v>66533287400</v>
      </c>
      <c r="E2626" s="9">
        <v>1241</v>
      </c>
      <c r="F2626" s="25">
        <v>42992</v>
      </c>
      <c r="G2626" s="70" t="s">
        <v>3396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7101</v>
      </c>
      <c r="B2627" s="67">
        <v>32362879852</v>
      </c>
      <c r="C2627" s="72" t="s">
        <v>7102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3676</v>
      </c>
      <c r="M2627" s="8"/>
    </row>
    <row r="2628" spans="1:13" x14ac:dyDescent="0.25">
      <c r="A2628" s="15" t="s">
        <v>7103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3396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7104</v>
      </c>
      <c r="B2629" s="67">
        <v>37904123843</v>
      </c>
      <c r="C2629" s="72" t="s">
        <v>7105</v>
      </c>
      <c r="D2629" s="69">
        <v>16565739897</v>
      </c>
      <c r="E2629" s="9">
        <v>292</v>
      </c>
      <c r="F2629" s="25">
        <v>43168</v>
      </c>
      <c r="G2629" s="70" t="s">
        <v>3396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7106</v>
      </c>
      <c r="B2630" s="67">
        <v>30775860883</v>
      </c>
      <c r="C2630" s="72" t="s">
        <v>7107</v>
      </c>
      <c r="D2630" s="69">
        <v>34227894808</v>
      </c>
      <c r="E2630" s="9">
        <v>1359</v>
      </c>
      <c r="F2630" s="25">
        <v>43006</v>
      </c>
      <c r="G2630" s="70" t="s">
        <v>3396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7108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3396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7109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3396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7110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3396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7111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3396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7112</v>
      </c>
      <c r="B2635" s="67">
        <v>29287401802</v>
      </c>
      <c r="C2635" s="72" t="s">
        <v>7113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6992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3396</v>
      </c>
      <c r="H2636" s="25">
        <v>43151</v>
      </c>
      <c r="I2636" s="8"/>
      <c r="J2636" s="8"/>
      <c r="K2636" s="8"/>
      <c r="L2636" s="9" t="s">
        <v>3547</v>
      </c>
      <c r="M2636" s="8"/>
    </row>
    <row r="2637" spans="1:13" x14ac:dyDescent="0.25">
      <c r="A2637" s="71" t="s">
        <v>7114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7115</v>
      </c>
      <c r="B2638" s="67">
        <v>36051425837</v>
      </c>
      <c r="C2638" s="77" t="s">
        <v>7116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7117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3396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7118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3676</v>
      </c>
      <c r="M2640" s="8"/>
    </row>
    <row r="2641" spans="1:13" x14ac:dyDescent="0.25">
      <c r="A2641" s="72" t="s">
        <v>7119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7120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3396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7121</v>
      </c>
      <c r="B2643" s="67">
        <v>3212055375</v>
      </c>
      <c r="C2643" s="77" t="s">
        <v>7122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7123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3396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7124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3396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7125</v>
      </c>
      <c r="B2646" s="67">
        <v>11452168890</v>
      </c>
      <c r="C2646" s="72" t="s">
        <v>7126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7127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7128</v>
      </c>
      <c r="B2648" s="67">
        <v>31856157865</v>
      </c>
      <c r="C2648" s="72" t="s">
        <v>7129</v>
      </c>
      <c r="D2648" s="69">
        <v>94552967568</v>
      </c>
      <c r="E2648" s="9">
        <v>810</v>
      </c>
      <c r="F2648" s="25">
        <v>42915</v>
      </c>
      <c r="G2648" s="70" t="s">
        <v>3396</v>
      </c>
      <c r="H2648" s="25">
        <v>42921</v>
      </c>
      <c r="I2648" s="8"/>
      <c r="J2648" s="8"/>
      <c r="K2648" s="8"/>
      <c r="L2648" s="9" t="s">
        <v>3515</v>
      </c>
      <c r="M2648" s="8"/>
    </row>
    <row r="2649" spans="1:13" x14ac:dyDescent="0.25">
      <c r="A2649" s="71" t="s">
        <v>7130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3396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7131</v>
      </c>
      <c r="B2650" s="67">
        <v>37478827810</v>
      </c>
      <c r="C2650" s="72" t="s">
        <v>7132</v>
      </c>
      <c r="D2650" s="69">
        <v>37591131842</v>
      </c>
      <c r="E2650" s="9">
        <v>292</v>
      </c>
      <c r="F2650" s="25">
        <v>43168</v>
      </c>
      <c r="G2650" s="70" t="s">
        <v>3396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7133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3396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7134</v>
      </c>
      <c r="B2652" s="67">
        <v>23465596870</v>
      </c>
      <c r="C2652" s="72" t="s">
        <v>7135</v>
      </c>
      <c r="D2652" s="69">
        <v>23522451848</v>
      </c>
      <c r="E2652" s="9">
        <v>292</v>
      </c>
      <c r="F2652" s="25">
        <v>43168</v>
      </c>
      <c r="G2652" s="70" t="s">
        <v>3396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7136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3676</v>
      </c>
      <c r="M2653" s="8"/>
    </row>
    <row r="2654" spans="1:13" x14ac:dyDescent="0.25">
      <c r="A2654" s="73" t="s">
        <v>7137</v>
      </c>
      <c r="B2654" s="67">
        <v>34274784835</v>
      </c>
      <c r="C2654" s="72" t="s">
        <v>7138</v>
      </c>
      <c r="D2654" s="69">
        <v>19379885890</v>
      </c>
      <c r="E2654" s="9">
        <v>810</v>
      </c>
      <c r="F2654" s="25">
        <v>42915</v>
      </c>
      <c r="G2654" s="70" t="s">
        <v>3396</v>
      </c>
      <c r="H2654" s="25">
        <v>42921</v>
      </c>
      <c r="I2654" s="8"/>
      <c r="J2654" s="8"/>
      <c r="K2654" s="8"/>
      <c r="L2654" s="9" t="s">
        <v>3515</v>
      </c>
      <c r="M2654" s="8"/>
    </row>
    <row r="2655" spans="1:13" x14ac:dyDescent="0.25">
      <c r="A2655" s="71" t="s">
        <v>7139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3396</v>
      </c>
      <c r="H2655" s="25">
        <v>42921</v>
      </c>
      <c r="I2655" s="8"/>
      <c r="J2655" s="8"/>
      <c r="K2655" s="8"/>
      <c r="L2655" s="9" t="s">
        <v>3515</v>
      </c>
      <c r="M2655" s="8"/>
    </row>
    <row r="2656" spans="1:13" x14ac:dyDescent="0.25">
      <c r="A2656" s="71" t="s">
        <v>7140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3396</v>
      </c>
      <c r="H2656" s="25">
        <v>42921</v>
      </c>
      <c r="I2656" s="8"/>
      <c r="J2656" s="8"/>
      <c r="K2656" s="8"/>
      <c r="L2656" s="9" t="s">
        <v>3515</v>
      </c>
      <c r="M2656" s="8"/>
    </row>
    <row r="2657" spans="1:13" x14ac:dyDescent="0.25">
      <c r="A2657" s="71" t="s">
        <v>7141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3396</v>
      </c>
      <c r="H2657" s="25">
        <v>43151</v>
      </c>
      <c r="I2657" s="8"/>
      <c r="J2657" s="8"/>
      <c r="K2657" s="8"/>
      <c r="L2657" s="9" t="s">
        <v>3547</v>
      </c>
      <c r="M2657" s="8"/>
    </row>
    <row r="2658" spans="1:13" x14ac:dyDescent="0.25">
      <c r="A2658" s="71" t="s">
        <v>7142</v>
      </c>
      <c r="B2658" s="67">
        <v>41491764856</v>
      </c>
      <c r="C2658" s="72" t="s">
        <v>7143</v>
      </c>
      <c r="D2658" s="69">
        <v>91076447520</v>
      </c>
      <c r="E2658" s="9">
        <v>292</v>
      </c>
      <c r="F2658" s="25">
        <v>43168</v>
      </c>
      <c r="G2658" s="70" t="s">
        <v>3396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7144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3396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7145</v>
      </c>
      <c r="B2660" s="67">
        <v>32962624820</v>
      </c>
      <c r="C2660" s="72" t="s">
        <v>7146</v>
      </c>
      <c r="D2660" s="69">
        <v>3430918871</v>
      </c>
      <c r="E2660" s="9"/>
      <c r="F2660" s="25"/>
      <c r="G2660" s="70" t="s">
        <v>3396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7147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3402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7148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7149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7150</v>
      </c>
      <c r="B2664" s="67" t="s">
        <v>7151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7152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3396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7153</v>
      </c>
      <c r="B2666" s="67">
        <v>99048957753</v>
      </c>
      <c r="C2666" s="29" t="s">
        <v>7154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7155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7156</v>
      </c>
      <c r="B2668" s="67">
        <v>11234152851</v>
      </c>
      <c r="C2668" s="72" t="s">
        <v>7157</v>
      </c>
      <c r="D2668" s="69">
        <v>11353668886</v>
      </c>
      <c r="E2668" s="9">
        <v>117</v>
      </c>
      <c r="F2668" s="25">
        <v>43117</v>
      </c>
      <c r="G2668" s="70" t="s">
        <v>3396</v>
      </c>
      <c r="H2668" s="25">
        <v>43151</v>
      </c>
      <c r="I2668" s="8"/>
      <c r="J2668" s="8"/>
      <c r="K2668" s="8"/>
      <c r="L2668" s="9" t="s">
        <v>3547</v>
      </c>
      <c r="M2668" s="8"/>
    </row>
    <row r="2669" spans="1:13" x14ac:dyDescent="0.25">
      <c r="A2669" s="14" t="s">
        <v>7158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7159</v>
      </c>
      <c r="B2670" s="67">
        <v>39109326812</v>
      </c>
      <c r="C2670" s="29" t="s">
        <v>7160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7161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3396</v>
      </c>
      <c r="H2671" s="25">
        <v>42921</v>
      </c>
      <c r="I2671" s="8"/>
      <c r="J2671" s="8"/>
      <c r="K2671" s="8"/>
      <c r="L2671" s="9" t="s">
        <v>3515</v>
      </c>
      <c r="M2671" s="8"/>
    </row>
    <row r="2672" spans="1:13" x14ac:dyDescent="0.25">
      <c r="A2672" s="71" t="s">
        <v>7162</v>
      </c>
      <c r="B2672" s="67">
        <v>33211970819</v>
      </c>
      <c r="C2672" s="72" t="s">
        <v>7163</v>
      </c>
      <c r="D2672" s="69">
        <v>22546816802</v>
      </c>
      <c r="E2672" s="9">
        <v>810</v>
      </c>
      <c r="F2672" s="25">
        <v>42915</v>
      </c>
      <c r="G2672" s="70" t="s">
        <v>3396</v>
      </c>
      <c r="H2672" s="25">
        <v>42921</v>
      </c>
      <c r="I2672" s="8"/>
      <c r="J2672" s="8"/>
      <c r="K2672" s="8"/>
      <c r="L2672" s="9" t="s">
        <v>3515</v>
      </c>
      <c r="M2672" s="8"/>
    </row>
    <row r="2673" spans="1:13" x14ac:dyDescent="0.25">
      <c r="A2673" s="71" t="s">
        <v>7164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3396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7165</v>
      </c>
      <c r="B2674" s="67">
        <v>45170442890</v>
      </c>
      <c r="C2674" s="18" t="s">
        <v>3506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7166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3396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7167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3396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7168</v>
      </c>
      <c r="B2677" s="67"/>
      <c r="C2677" s="71" t="s">
        <v>7169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7170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7171</v>
      </c>
      <c r="B2679" s="67"/>
      <c r="C2679" s="29" t="s">
        <v>3506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7172</v>
      </c>
      <c r="B2680" s="67">
        <v>1846996490</v>
      </c>
      <c r="C2680" s="72" t="s">
        <v>7173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7174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3396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7175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3396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7176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3396</v>
      </c>
      <c r="H2683" s="25">
        <v>43027</v>
      </c>
      <c r="I2683" s="8"/>
      <c r="J2683" s="8"/>
      <c r="K2683" s="8"/>
      <c r="L2683" s="9" t="s">
        <v>3630</v>
      </c>
      <c r="M2683" s="8"/>
    </row>
    <row r="2684" spans="1:13" x14ac:dyDescent="0.25">
      <c r="A2684" s="13" t="s">
        <v>7177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3396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7178</v>
      </c>
      <c r="B2685" s="67"/>
      <c r="C2685" s="29" t="s">
        <v>3506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7179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3396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7180</v>
      </c>
      <c r="B2687" s="67">
        <v>18033634871</v>
      </c>
      <c r="C2687" s="72" t="s">
        <v>7181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7182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7183</v>
      </c>
      <c r="B2689" s="67">
        <v>16155105839</v>
      </c>
      <c r="C2689" s="72" t="s">
        <v>7184</v>
      </c>
      <c r="D2689" s="69">
        <v>53581717468</v>
      </c>
      <c r="E2689" s="9">
        <v>1359</v>
      </c>
      <c r="F2689" s="25">
        <v>43006</v>
      </c>
      <c r="G2689" s="70" t="s">
        <v>3396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7185</v>
      </c>
      <c r="B2690" s="67">
        <v>33244692877</v>
      </c>
      <c r="C2690" s="72" t="s">
        <v>7186</v>
      </c>
      <c r="D2690" s="69">
        <v>7582246802</v>
      </c>
      <c r="E2690" s="9">
        <v>1417</v>
      </c>
      <c r="F2690" s="25">
        <v>43017</v>
      </c>
      <c r="G2690" s="70" t="s">
        <v>3396</v>
      </c>
      <c r="H2690" s="25">
        <v>43027</v>
      </c>
      <c r="I2690" s="8"/>
      <c r="J2690" s="8"/>
      <c r="K2690" s="8"/>
      <c r="L2690" s="9" t="s">
        <v>3630</v>
      </c>
      <c r="M2690" s="8"/>
    </row>
    <row r="2691" spans="1:13" x14ac:dyDescent="0.25">
      <c r="A2691" s="71" t="s">
        <v>7187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7188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7189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7190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7191</v>
      </c>
      <c r="B2695" s="67">
        <v>8715634795</v>
      </c>
      <c r="C2695" s="72" t="s">
        <v>7192</v>
      </c>
      <c r="D2695" s="69">
        <v>30386378827</v>
      </c>
      <c r="E2695" s="9">
        <v>1106</v>
      </c>
      <c r="F2695" s="25">
        <v>42965</v>
      </c>
      <c r="G2695" s="70" t="s">
        <v>3396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7193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3396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7194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3396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7195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7196</v>
      </c>
      <c r="B2699" s="67">
        <v>85941933517</v>
      </c>
      <c r="C2699" s="72" t="s">
        <v>7197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7198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7199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7200</v>
      </c>
      <c r="B2702" s="67"/>
      <c r="C2702" s="18" t="s">
        <v>3506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7201</v>
      </c>
      <c r="B2703" s="67">
        <v>39766945845</v>
      </c>
      <c r="C2703" s="72" t="s">
        <v>7202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7203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3396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7204</v>
      </c>
      <c r="B2705" s="67">
        <v>16374846826</v>
      </c>
      <c r="C2705" s="72" t="s">
        <v>7205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7206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7207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3396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7208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3396</v>
      </c>
      <c r="H2708" s="9"/>
      <c r="I2708" s="8"/>
      <c r="J2708" s="8"/>
      <c r="K2708" s="8"/>
      <c r="L2708" s="9" t="s">
        <v>3775</v>
      </c>
      <c r="M2708" s="8"/>
    </row>
    <row r="2709" spans="1:13" x14ac:dyDescent="0.25">
      <c r="A2709" s="71" t="s">
        <v>7209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3396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7210</v>
      </c>
      <c r="B2710" s="67">
        <v>14337129898</v>
      </c>
      <c r="C2710" s="77" t="s">
        <v>7211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7212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3396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7213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3396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7214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7215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7216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3396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7217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7218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7219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3410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7220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3396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7221</v>
      </c>
      <c r="B2720" s="67">
        <v>38482003844</v>
      </c>
      <c r="C2720" s="72" t="s">
        <v>7222</v>
      </c>
      <c r="D2720" s="69">
        <v>34337869840</v>
      </c>
      <c r="E2720" s="9">
        <v>117</v>
      </c>
      <c r="F2720" s="25">
        <v>43117</v>
      </c>
      <c r="G2720" s="70" t="s">
        <v>3396</v>
      </c>
      <c r="H2720" s="25">
        <v>43151</v>
      </c>
      <c r="I2720" s="8"/>
      <c r="J2720" s="8"/>
      <c r="K2720" s="8"/>
      <c r="L2720" s="9" t="s">
        <v>3547</v>
      </c>
      <c r="M2720" s="8"/>
    </row>
    <row r="2721" spans="1:13" x14ac:dyDescent="0.25">
      <c r="A2721" s="71" t="s">
        <v>7223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7224</v>
      </c>
      <c r="B2722" s="67">
        <v>33079736818</v>
      </c>
      <c r="C2722" s="72" t="s">
        <v>7225</v>
      </c>
      <c r="D2722" s="69">
        <v>35642667807</v>
      </c>
      <c r="E2722" s="9">
        <v>262</v>
      </c>
      <c r="F2722" s="25">
        <v>43160</v>
      </c>
      <c r="G2722" s="70" t="s">
        <v>3396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7226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7227</v>
      </c>
      <c r="B2724" s="67">
        <v>31620090813</v>
      </c>
      <c r="C2724" s="72" t="s">
        <v>7228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7229</v>
      </c>
      <c r="B2725" s="67">
        <v>39621579805</v>
      </c>
      <c r="C2725" s="77" t="s">
        <v>7230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7231</v>
      </c>
      <c r="B2726" s="67">
        <v>221267328</v>
      </c>
      <c r="C2726" s="72" t="s">
        <v>7232</v>
      </c>
      <c r="D2726" s="69">
        <v>98610830306</v>
      </c>
      <c r="E2726" s="9">
        <v>85</v>
      </c>
      <c r="F2726" s="25">
        <v>43109</v>
      </c>
      <c r="G2726" s="70" t="s">
        <v>3396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7233</v>
      </c>
      <c r="B2727" s="67">
        <v>35706262888</v>
      </c>
      <c r="C2727" s="71" t="s">
        <v>7234</v>
      </c>
      <c r="D2727" s="69">
        <v>28992397836</v>
      </c>
      <c r="E2727" s="9">
        <v>292</v>
      </c>
      <c r="F2727" s="25">
        <v>43168</v>
      </c>
      <c r="G2727" s="9" t="s">
        <v>3396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7235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3396</v>
      </c>
      <c r="H2728" s="25">
        <v>42921</v>
      </c>
      <c r="I2728" s="8"/>
      <c r="J2728" s="8"/>
      <c r="K2728" s="8"/>
      <c r="L2728" s="9" t="s">
        <v>3515</v>
      </c>
      <c r="M2728" s="8"/>
    </row>
    <row r="2729" spans="1:13" x14ac:dyDescent="0.25">
      <c r="A2729" s="71" t="s">
        <v>7236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3396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7237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7238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3396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7239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7240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7241</v>
      </c>
      <c r="B2734" s="67">
        <v>34393827880</v>
      </c>
      <c r="C2734" s="72" t="s">
        <v>7242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7243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7244</v>
      </c>
      <c r="B2736" s="67">
        <v>35679630826</v>
      </c>
      <c r="C2736" s="72" t="s">
        <v>7245</v>
      </c>
      <c r="D2736" s="69">
        <v>34083542861</v>
      </c>
      <c r="E2736" s="9">
        <v>1752</v>
      </c>
      <c r="F2736" s="25">
        <v>43051</v>
      </c>
      <c r="G2736" s="70" t="s">
        <v>3396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7246</v>
      </c>
      <c r="B2737" s="67">
        <v>34949006800</v>
      </c>
      <c r="C2737" s="18" t="s">
        <v>7247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7248</v>
      </c>
      <c r="B2738" s="67">
        <v>1157524559</v>
      </c>
      <c r="C2738" s="72" t="s">
        <v>7249</v>
      </c>
      <c r="D2738" s="69">
        <v>1436524512</v>
      </c>
      <c r="E2738" s="9">
        <v>117</v>
      </c>
      <c r="F2738" s="25">
        <v>43117</v>
      </c>
      <c r="G2738" s="70" t="s">
        <v>3402</v>
      </c>
      <c r="H2738" s="25">
        <v>43151</v>
      </c>
      <c r="I2738" s="8"/>
      <c r="J2738" s="8"/>
      <c r="K2738" s="8"/>
      <c r="L2738" s="9" t="s">
        <v>3547</v>
      </c>
      <c r="M2738" s="8"/>
    </row>
    <row r="2739" spans="1:13" x14ac:dyDescent="0.25">
      <c r="A2739" s="71" t="s">
        <v>7250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3396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7251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3396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7252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3396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7253</v>
      </c>
      <c r="B2742" s="67">
        <v>21686263830</v>
      </c>
      <c r="C2742" s="29" t="s">
        <v>7254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7255</v>
      </c>
      <c r="B2743" s="67">
        <v>22497995800</v>
      </c>
      <c r="C2743" s="18" t="s">
        <v>7256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7257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3396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7258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7259</v>
      </c>
      <c r="B2746" s="67">
        <v>40291692877</v>
      </c>
      <c r="C2746" s="72" t="s">
        <v>7260</v>
      </c>
      <c r="D2746" s="69">
        <v>1566073367</v>
      </c>
      <c r="E2746" s="9">
        <v>810</v>
      </c>
      <c r="F2746" s="25">
        <v>42915</v>
      </c>
      <c r="G2746" s="70" t="s">
        <v>3396</v>
      </c>
      <c r="H2746" s="25">
        <v>42921</v>
      </c>
      <c r="I2746" s="8"/>
      <c r="J2746" s="8"/>
      <c r="K2746" s="8"/>
      <c r="L2746" s="9" t="s">
        <v>3515</v>
      </c>
      <c r="M2746" s="8"/>
    </row>
    <row r="2747" spans="1:13" x14ac:dyDescent="0.25">
      <c r="A2747" s="72" t="s">
        <v>7261</v>
      </c>
      <c r="B2747" s="67">
        <v>11767064896</v>
      </c>
      <c r="C2747" s="72" t="s">
        <v>7262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7263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3396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7264</v>
      </c>
      <c r="B2749" s="67">
        <v>49009893391</v>
      </c>
      <c r="C2749" s="72" t="s">
        <v>7265</v>
      </c>
      <c r="D2749" s="69">
        <v>37349813368</v>
      </c>
      <c r="E2749" s="9">
        <v>292</v>
      </c>
      <c r="F2749" s="25">
        <v>43168</v>
      </c>
      <c r="G2749" s="70" t="s">
        <v>3396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7266</v>
      </c>
      <c r="B2750" s="67">
        <v>92361587572</v>
      </c>
      <c r="C2750" s="72" t="s">
        <v>7267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7268</v>
      </c>
      <c r="B2751" s="67">
        <v>17487435890</v>
      </c>
      <c r="C2751" s="72" t="s">
        <v>7269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7270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3396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7271</v>
      </c>
      <c r="B2753" s="67">
        <v>86815121615</v>
      </c>
      <c r="C2753" s="72" t="s">
        <v>7272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7273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7274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7275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3396</v>
      </c>
      <c r="H2756" s="25">
        <v>42921</v>
      </c>
      <c r="I2756" s="8"/>
      <c r="J2756" s="8"/>
      <c r="K2756" s="8"/>
      <c r="L2756" s="9" t="s">
        <v>3515</v>
      </c>
      <c r="M2756" s="8"/>
    </row>
    <row r="2757" spans="1:13" x14ac:dyDescent="0.25">
      <c r="A2757" s="72" t="s">
        <v>7276</v>
      </c>
      <c r="B2757" s="67">
        <v>25261161800</v>
      </c>
      <c r="C2757" s="72" t="s">
        <v>7277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7278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3396</v>
      </c>
      <c r="H2758" s="25">
        <v>43151</v>
      </c>
      <c r="I2758" s="8"/>
      <c r="J2758" s="8"/>
      <c r="K2758" s="8"/>
      <c r="L2758" s="9" t="s">
        <v>3547</v>
      </c>
      <c r="M2758" s="8"/>
    </row>
    <row r="2759" spans="1:13" x14ac:dyDescent="0.25">
      <c r="A2759" s="71" t="s">
        <v>7279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3396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7280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7281</v>
      </c>
      <c r="B2761" s="67">
        <v>22638604879</v>
      </c>
      <c r="C2761" s="72" t="s">
        <v>7282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7283</v>
      </c>
      <c r="B2762" s="67" t="s">
        <v>7284</v>
      </c>
      <c r="C2762" s="18" t="s">
        <v>7285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7286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7287</v>
      </c>
      <c r="B2764" s="67">
        <v>32880462886</v>
      </c>
      <c r="C2764" s="72" t="s">
        <v>7288</v>
      </c>
      <c r="D2764" s="69">
        <v>30845711806</v>
      </c>
      <c r="E2764" s="9">
        <v>810</v>
      </c>
      <c r="F2764" s="25">
        <v>42915</v>
      </c>
      <c r="G2764" s="70" t="s">
        <v>3396</v>
      </c>
      <c r="H2764" s="25">
        <v>42921</v>
      </c>
      <c r="I2764" s="8"/>
      <c r="J2764" s="8"/>
      <c r="K2764" s="8"/>
      <c r="L2764" s="9" t="s">
        <v>3515</v>
      </c>
      <c r="M2764" s="8"/>
    </row>
    <row r="2765" spans="1:13" x14ac:dyDescent="0.25">
      <c r="A2765" s="29" t="s">
        <v>7289</v>
      </c>
      <c r="B2765" s="67">
        <v>31228758883</v>
      </c>
      <c r="C2765" s="29" t="s">
        <v>7290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7291</v>
      </c>
      <c r="B2766" s="67">
        <v>40443218846</v>
      </c>
      <c r="C2766" s="88" t="s">
        <v>7292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7293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3396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7294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3402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7295</v>
      </c>
      <c r="B2769" s="67"/>
      <c r="C2769" s="29" t="s">
        <v>7296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7297</v>
      </c>
      <c r="B2770" s="67">
        <v>34462426860</v>
      </c>
      <c r="C2770" s="72" t="s">
        <v>7298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3676</v>
      </c>
      <c r="M2770" s="8"/>
    </row>
    <row r="2771" spans="1:13" x14ac:dyDescent="0.25">
      <c r="A2771" s="15" t="s">
        <v>7299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3396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7300</v>
      </c>
      <c r="B2772" s="67">
        <v>39600488827</v>
      </c>
      <c r="C2772" s="72" t="s">
        <v>7301</v>
      </c>
      <c r="D2772" s="69">
        <v>34795746885</v>
      </c>
      <c r="E2772" s="9">
        <v>292</v>
      </c>
      <c r="F2772" s="25">
        <v>43168</v>
      </c>
      <c r="G2772" s="70" t="s">
        <v>3396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7302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7303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3410</v>
      </c>
      <c r="H2774" s="25">
        <v>42921</v>
      </c>
      <c r="I2774" s="8"/>
      <c r="J2774" s="8"/>
      <c r="K2774" s="8"/>
      <c r="L2774" s="9" t="s">
        <v>3515</v>
      </c>
      <c r="M2774" s="8"/>
    </row>
    <row r="2775" spans="1:13" x14ac:dyDescent="0.25">
      <c r="A2775" s="71" t="s">
        <v>7304</v>
      </c>
      <c r="B2775" s="67">
        <v>32768872822</v>
      </c>
      <c r="C2775" s="72" t="s">
        <v>7305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7306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3396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7307</v>
      </c>
      <c r="B2777" s="67">
        <v>85942588104</v>
      </c>
      <c r="C2777" s="88" t="s">
        <v>7308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7309</v>
      </c>
      <c r="B2778" s="67"/>
      <c r="C2778" s="29" t="s">
        <v>3506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7310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3396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7311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3396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7312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7313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7314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3396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7315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3396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7316</v>
      </c>
      <c r="B2785" s="67">
        <v>30834349876</v>
      </c>
      <c r="C2785" s="72" t="s">
        <v>7317</v>
      </c>
      <c r="D2785" s="69">
        <v>58355561520</v>
      </c>
      <c r="E2785" s="9">
        <v>262</v>
      </c>
      <c r="F2785" s="25">
        <v>43160</v>
      </c>
      <c r="G2785" s="70" t="s">
        <v>3396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7318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3396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7319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3402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7320</v>
      </c>
      <c r="B2788" s="67">
        <v>22682142818</v>
      </c>
      <c r="C2788" s="72" t="s">
        <v>6121</v>
      </c>
      <c r="D2788" s="69">
        <v>22853401847</v>
      </c>
      <c r="E2788" s="9">
        <v>117</v>
      </c>
      <c r="F2788" s="25">
        <v>43117</v>
      </c>
      <c r="G2788" s="70" t="s">
        <v>3396</v>
      </c>
      <c r="H2788" s="25">
        <v>43151</v>
      </c>
      <c r="I2788" s="8"/>
      <c r="J2788" s="8"/>
      <c r="K2788" s="8"/>
      <c r="L2788" s="9" t="s">
        <v>3547</v>
      </c>
      <c r="M2788" s="8"/>
    </row>
    <row r="2789" spans="1:13" x14ac:dyDescent="0.25">
      <c r="A2789" s="71" t="s">
        <v>7321</v>
      </c>
      <c r="B2789" s="67">
        <v>32700235886</v>
      </c>
      <c r="C2789" s="72" t="s">
        <v>7322</v>
      </c>
      <c r="D2789" s="69">
        <v>30542314886</v>
      </c>
      <c r="E2789" s="9">
        <v>292</v>
      </c>
      <c r="F2789" s="25">
        <v>43168</v>
      </c>
      <c r="G2789" s="70" t="s">
        <v>3396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7323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7324</v>
      </c>
      <c r="B2791" s="67">
        <v>12487731877</v>
      </c>
      <c r="C2791" s="72" t="s">
        <v>7325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7326</v>
      </c>
      <c r="B2792" s="67" t="s">
        <v>7327</v>
      </c>
      <c r="C2792" s="88" t="s">
        <v>7328</v>
      </c>
      <c r="D2792" s="69" t="s">
        <v>7329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7330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3396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7331</v>
      </c>
      <c r="B2794" s="67">
        <v>35705436840</v>
      </c>
      <c r="C2794" s="88" t="s">
        <v>7332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7333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3410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7334</v>
      </c>
      <c r="B2796" s="67">
        <v>34086913801</v>
      </c>
      <c r="C2796" s="72" t="s">
        <v>7335</v>
      </c>
      <c r="D2796" s="69">
        <v>31013050800</v>
      </c>
      <c r="E2796" s="9">
        <v>229</v>
      </c>
      <c r="F2796" s="25">
        <v>43151</v>
      </c>
      <c r="G2796" s="70" t="s">
        <v>3396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7336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3396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7337</v>
      </c>
      <c r="B2798" s="67">
        <v>24648996828</v>
      </c>
      <c r="C2798" s="72" t="s">
        <v>7338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7339</v>
      </c>
      <c r="B2799" s="67">
        <v>87445824472</v>
      </c>
      <c r="C2799" s="72" t="s">
        <v>7340</v>
      </c>
      <c r="D2799" s="69">
        <v>30439764874</v>
      </c>
      <c r="E2799" s="9">
        <v>1417</v>
      </c>
      <c r="F2799" s="25">
        <v>43017</v>
      </c>
      <c r="G2799" s="70" t="s">
        <v>3396</v>
      </c>
      <c r="H2799" s="25">
        <v>43027</v>
      </c>
      <c r="I2799" s="8"/>
      <c r="J2799" s="8"/>
      <c r="K2799" s="8"/>
      <c r="L2799" s="9" t="s">
        <v>3630</v>
      </c>
      <c r="M2799" s="8"/>
    </row>
    <row r="2800" spans="1:13" x14ac:dyDescent="0.25">
      <c r="A2800" s="71" t="s">
        <v>7341</v>
      </c>
      <c r="B2800" s="67">
        <v>25630230840</v>
      </c>
      <c r="C2800" s="77" t="s">
        <v>7342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3676</v>
      </c>
      <c r="M2800" s="8"/>
    </row>
    <row r="2801" spans="1:13" x14ac:dyDescent="0.25">
      <c r="A2801" s="71" t="s">
        <v>7343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3396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7344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3396</v>
      </c>
      <c r="H2802" s="25">
        <v>43027</v>
      </c>
      <c r="I2802" s="8"/>
      <c r="J2802" s="8"/>
      <c r="K2802" s="8"/>
      <c r="L2802" s="9" t="s">
        <v>3630</v>
      </c>
      <c r="M2802" s="8"/>
    </row>
    <row r="2803" spans="1:13" x14ac:dyDescent="0.25">
      <c r="A2803" s="71" t="s">
        <v>7345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7346</v>
      </c>
      <c r="B2804" s="67">
        <v>17128618830</v>
      </c>
      <c r="C2804" s="72" t="s">
        <v>7347</v>
      </c>
      <c r="D2804" s="69">
        <v>69305315534</v>
      </c>
      <c r="E2804" s="9">
        <v>810</v>
      </c>
      <c r="F2804" s="25">
        <v>42915</v>
      </c>
      <c r="G2804" s="70" t="s">
        <v>3402</v>
      </c>
      <c r="H2804" s="25">
        <v>42921</v>
      </c>
      <c r="I2804" s="8"/>
      <c r="J2804" s="8"/>
      <c r="K2804" s="8"/>
      <c r="L2804" s="9" t="s">
        <v>3515</v>
      </c>
      <c r="M2804" s="8"/>
    </row>
    <row r="2805" spans="1:13" x14ac:dyDescent="0.25">
      <c r="A2805" s="71" t="s">
        <v>7348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7349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7350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7351</v>
      </c>
      <c r="B2808" s="67">
        <v>79572421468</v>
      </c>
      <c r="C2808" s="29" t="s">
        <v>7352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7353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3396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7354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7355</v>
      </c>
      <c r="B2811" s="67">
        <v>44518427866</v>
      </c>
      <c r="C2811" s="72" t="s">
        <v>7356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7357</v>
      </c>
      <c r="B2812" s="67">
        <v>35625515840</v>
      </c>
      <c r="C2812" s="72" t="s">
        <v>7358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7359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7360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3676</v>
      </c>
      <c r="M2814" s="8"/>
    </row>
    <row r="2815" spans="1:13" x14ac:dyDescent="0.25">
      <c r="A2815" s="18" t="s">
        <v>7361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7362</v>
      </c>
      <c r="B2816" s="67">
        <v>40663707803</v>
      </c>
      <c r="C2816" s="72" t="s">
        <v>7363</v>
      </c>
      <c r="D2816" s="69">
        <v>35138540807</v>
      </c>
      <c r="E2816" s="9">
        <v>262</v>
      </c>
      <c r="F2816" s="25">
        <v>43160</v>
      </c>
      <c r="G2816" s="70" t="s">
        <v>3396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7364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7365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7366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3396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7367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3396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7368</v>
      </c>
      <c r="B2821" s="67"/>
      <c r="C2821" s="29" t="s">
        <v>7369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7370</v>
      </c>
      <c r="B2822" s="67">
        <v>40874659850</v>
      </c>
      <c r="C2822" s="77" t="s">
        <v>7371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3676</v>
      </c>
      <c r="M2822" s="8"/>
    </row>
    <row r="2823" spans="1:13" x14ac:dyDescent="0.25">
      <c r="A2823" s="29" t="s">
        <v>7372</v>
      </c>
      <c r="B2823" s="67"/>
      <c r="C2823" s="29" t="s">
        <v>7373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7374</v>
      </c>
      <c r="B2824" s="67">
        <v>37028047814</v>
      </c>
      <c r="C2824" s="72" t="s">
        <v>7375</v>
      </c>
      <c r="D2824" s="69">
        <v>34812554896</v>
      </c>
      <c r="E2824" s="9">
        <v>1824</v>
      </c>
      <c r="F2824" s="25">
        <v>43091</v>
      </c>
      <c r="G2824" s="70" t="s">
        <v>3396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7376</v>
      </c>
      <c r="B2825" s="67">
        <v>10774591650</v>
      </c>
      <c r="C2825" s="72" t="s">
        <v>7377</v>
      </c>
      <c r="D2825" s="69">
        <v>33230795822</v>
      </c>
      <c r="E2825" s="9">
        <v>292</v>
      </c>
      <c r="F2825" s="25">
        <v>43168</v>
      </c>
      <c r="G2825" s="70" t="s">
        <v>3396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7378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3396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7379</v>
      </c>
      <c r="B2827" s="67">
        <v>42779099810</v>
      </c>
      <c r="C2827" s="18" t="s">
        <v>7380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7381</v>
      </c>
      <c r="B2828" s="67">
        <v>50748310835</v>
      </c>
      <c r="C2828" s="18" t="s">
        <v>7382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7383</v>
      </c>
      <c r="B2829" s="67">
        <v>42651266850</v>
      </c>
      <c r="C2829" s="72" t="s">
        <v>7384</v>
      </c>
      <c r="D2829" s="69">
        <v>3580715429</v>
      </c>
      <c r="E2829" s="9">
        <v>1350</v>
      </c>
      <c r="F2829" s="25">
        <v>43006</v>
      </c>
      <c r="G2829" s="70" t="s">
        <v>3396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7385</v>
      </c>
      <c r="B2830" s="67">
        <v>36474824808</v>
      </c>
      <c r="C2830" s="72" t="s">
        <v>7386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7387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7388</v>
      </c>
      <c r="B2832" s="67">
        <v>22034628845</v>
      </c>
      <c r="C2832" s="72" t="s">
        <v>7389</v>
      </c>
      <c r="D2832" s="69">
        <v>26990288515</v>
      </c>
      <c r="E2832" s="9">
        <v>1555</v>
      </c>
      <c r="F2832" s="25">
        <v>43049</v>
      </c>
      <c r="G2832" s="70" t="s">
        <v>3396</v>
      </c>
      <c r="H2832" s="9"/>
      <c r="I2832" s="8"/>
      <c r="J2832" s="8"/>
      <c r="K2832" s="8"/>
      <c r="L2832" s="9" t="s">
        <v>3775</v>
      </c>
      <c r="M2832" s="8"/>
    </row>
    <row r="2833" spans="1:13" x14ac:dyDescent="0.25">
      <c r="A2833" s="71" t="s">
        <v>7390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7391</v>
      </c>
      <c r="B2834" s="67">
        <v>10782475876</v>
      </c>
      <c r="C2834" s="72" t="s">
        <v>7392</v>
      </c>
      <c r="D2834" s="69">
        <v>616947895</v>
      </c>
      <c r="E2834" s="9">
        <v>1214</v>
      </c>
      <c r="F2834" s="25">
        <v>42989</v>
      </c>
      <c r="G2834" s="70" t="s">
        <v>3396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7393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3396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7394</v>
      </c>
      <c r="B2836" s="67"/>
      <c r="C2836" s="18" t="s">
        <v>3506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7395</v>
      </c>
      <c r="B2837" s="67">
        <v>42151049809</v>
      </c>
      <c r="C2837" s="68" t="s">
        <v>7396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7397</v>
      </c>
      <c r="B2838" s="67">
        <v>38785656828</v>
      </c>
      <c r="C2838" s="18" t="s">
        <v>7398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7399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7400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3396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7401</v>
      </c>
      <c r="B2841" s="67">
        <v>22815009854</v>
      </c>
      <c r="C2841" s="77" t="s">
        <v>7402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7403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3402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7404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7405</v>
      </c>
      <c r="B2844" s="67">
        <v>40506629813</v>
      </c>
      <c r="C2844" s="72" t="s">
        <v>7406</v>
      </c>
      <c r="D2844" s="69">
        <v>32485329800</v>
      </c>
      <c r="E2844" s="9">
        <v>262</v>
      </c>
      <c r="F2844" s="25">
        <v>43160</v>
      </c>
      <c r="G2844" s="70" t="s">
        <v>3396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7407</v>
      </c>
      <c r="B2845" s="67">
        <v>31504729897</v>
      </c>
      <c r="C2845" s="68" t="s">
        <v>7408</v>
      </c>
      <c r="D2845" s="69">
        <v>24816878840</v>
      </c>
      <c r="E2845" s="9">
        <v>1214</v>
      </c>
      <c r="F2845" s="25">
        <v>42989</v>
      </c>
      <c r="G2845" s="70" t="s">
        <v>3396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7409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3396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7410</v>
      </c>
      <c r="B2847" s="67">
        <v>12925287700</v>
      </c>
      <c r="C2847" s="72" t="s">
        <v>7411</v>
      </c>
      <c r="D2847" s="69">
        <v>37253983807</v>
      </c>
      <c r="E2847" s="9">
        <v>1752</v>
      </c>
      <c r="F2847" s="25">
        <v>43051</v>
      </c>
      <c r="G2847" s="70" t="s">
        <v>3396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7412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3676</v>
      </c>
      <c r="M2848" s="8"/>
    </row>
    <row r="2849" spans="1:13" x14ac:dyDescent="0.25">
      <c r="A2849" s="71" t="s">
        <v>7413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3396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7414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3396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7415</v>
      </c>
      <c r="B2851" s="67">
        <v>26735743873</v>
      </c>
      <c r="C2851" s="72" t="s">
        <v>7416</v>
      </c>
      <c r="D2851" s="69">
        <v>14913845810</v>
      </c>
      <c r="E2851" s="9">
        <v>1214</v>
      </c>
      <c r="F2851" s="25">
        <v>42989</v>
      </c>
      <c r="G2851" s="70" t="s">
        <v>3402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7417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3396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7418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3396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7419</v>
      </c>
      <c r="B2854" s="67">
        <v>26193222863</v>
      </c>
      <c r="C2854" s="18" t="s">
        <v>7420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7421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7422</v>
      </c>
      <c r="B2856" s="67">
        <v>3381508890</v>
      </c>
      <c r="C2856" s="72" t="s">
        <v>7423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3676</v>
      </c>
      <c r="M2856" s="8"/>
    </row>
    <row r="2857" spans="1:13" x14ac:dyDescent="0.25">
      <c r="A2857" s="15" t="s">
        <v>7424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3396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7425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7426</v>
      </c>
      <c r="B2859" s="67">
        <v>11507771843</v>
      </c>
      <c r="C2859" s="72" t="s">
        <v>7427</v>
      </c>
      <c r="D2859" s="69">
        <v>6898979876</v>
      </c>
      <c r="E2859" s="9">
        <v>292</v>
      </c>
      <c r="F2859" s="25">
        <v>43168</v>
      </c>
      <c r="G2859" s="70" t="s">
        <v>3396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7428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3396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7429</v>
      </c>
      <c r="B2861" s="67">
        <v>42597970850</v>
      </c>
      <c r="C2861" s="72" t="s">
        <v>7430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7431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7432</v>
      </c>
      <c r="B2863" s="67"/>
      <c r="C2863" s="29" t="s">
        <v>7433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7434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3396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7435</v>
      </c>
      <c r="B2865" s="67">
        <v>48081983805</v>
      </c>
      <c r="C2865" s="77" t="s">
        <v>7436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7437</v>
      </c>
      <c r="B2866" s="67">
        <v>43249836826</v>
      </c>
      <c r="C2866" s="72" t="s">
        <v>7438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7439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3396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7440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7441</v>
      </c>
      <c r="B2869" s="67">
        <v>11894872681</v>
      </c>
      <c r="C2869" s="72" t="s">
        <v>7442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7443</v>
      </c>
      <c r="B2870" s="67">
        <v>40155044885</v>
      </c>
      <c r="C2870" s="72" t="s">
        <v>7444</v>
      </c>
      <c r="D2870" s="69">
        <v>34935837888</v>
      </c>
      <c r="E2870" s="9">
        <v>292</v>
      </c>
      <c r="F2870" s="25">
        <v>43168</v>
      </c>
      <c r="G2870" s="9" t="s">
        <v>3396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7445</v>
      </c>
      <c r="B2871" s="67">
        <v>35165262898</v>
      </c>
      <c r="C2871" s="68" t="s">
        <v>7446</v>
      </c>
      <c r="D2871" s="69">
        <v>34112749805</v>
      </c>
      <c r="E2871" s="9">
        <v>1241</v>
      </c>
      <c r="F2871" s="25">
        <v>42992</v>
      </c>
      <c r="G2871" s="70" t="s">
        <v>3396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7447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3396</v>
      </c>
      <c r="H2872" s="25">
        <v>43151</v>
      </c>
      <c r="I2872" s="8"/>
      <c r="J2872" s="8"/>
      <c r="K2872" s="8"/>
      <c r="L2872" s="9" t="s">
        <v>3547</v>
      </c>
      <c r="M2872" s="8"/>
    </row>
    <row r="2873" spans="1:13" x14ac:dyDescent="0.25">
      <c r="A2873" s="72" t="s">
        <v>7448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7449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3396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7450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3396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7451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3396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7452</v>
      </c>
      <c r="B2877" s="67">
        <v>40770970885</v>
      </c>
      <c r="C2877" s="72" t="s">
        <v>7453</v>
      </c>
      <c r="D2877" s="69">
        <v>43652847890</v>
      </c>
      <c r="E2877" s="9">
        <v>117</v>
      </c>
      <c r="F2877" s="25">
        <v>43117</v>
      </c>
      <c r="G2877" s="70" t="s">
        <v>3396</v>
      </c>
      <c r="H2877" s="25">
        <v>43151</v>
      </c>
      <c r="I2877" s="8"/>
      <c r="J2877" s="8"/>
      <c r="K2877" s="8"/>
      <c r="L2877" s="9" t="s">
        <v>3547</v>
      </c>
      <c r="M2877" s="8"/>
    </row>
    <row r="2878" spans="1:13" x14ac:dyDescent="0.25">
      <c r="A2878" s="29" t="s">
        <v>7454</v>
      </c>
      <c r="B2878" s="67"/>
      <c r="C2878" s="18" t="s">
        <v>3506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7455</v>
      </c>
      <c r="B2879" s="67">
        <v>38462624800</v>
      </c>
      <c r="C2879" s="18" t="s">
        <v>3506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7456</v>
      </c>
      <c r="B2880" s="67">
        <v>30942876890</v>
      </c>
      <c r="C2880" s="72" t="s">
        <v>7457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7458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3396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7459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3396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7460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3396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7461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7462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3396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7463</v>
      </c>
      <c r="B2886" s="67">
        <v>28965520819</v>
      </c>
      <c r="C2886" s="72" t="s">
        <v>7464</v>
      </c>
      <c r="D2886" s="69">
        <v>8432372447</v>
      </c>
      <c r="E2886" s="9">
        <v>1824</v>
      </c>
      <c r="F2886" s="25">
        <v>43091</v>
      </c>
      <c r="G2886" s="70" t="s">
        <v>3402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7465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7466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3676</v>
      </c>
      <c r="M2888" s="8"/>
    </row>
    <row r="2889" spans="1:13" x14ac:dyDescent="0.25">
      <c r="A2889" s="71" t="s">
        <v>7467</v>
      </c>
      <c r="B2889" s="67">
        <v>31336065818</v>
      </c>
      <c r="C2889" s="72" t="s">
        <v>7468</v>
      </c>
      <c r="D2889" s="69">
        <v>43264481804</v>
      </c>
      <c r="E2889" s="9">
        <v>1214</v>
      </c>
      <c r="F2889" s="25">
        <v>42989</v>
      </c>
      <c r="G2889" s="70" t="s">
        <v>3396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7469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7470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3396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7471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3396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7472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3396</v>
      </c>
      <c r="H2893" s="25">
        <v>43027</v>
      </c>
      <c r="I2893" s="8"/>
      <c r="J2893" s="8"/>
      <c r="K2893" s="8"/>
      <c r="L2893" s="9" t="s">
        <v>3878</v>
      </c>
      <c r="M2893" s="8"/>
    </row>
    <row r="2894" spans="1:13" x14ac:dyDescent="0.25">
      <c r="A2894" s="15" t="s">
        <v>7473</v>
      </c>
      <c r="B2894" s="67">
        <v>2655794494</v>
      </c>
      <c r="C2894" s="72" t="s">
        <v>7474</v>
      </c>
      <c r="D2894" s="69">
        <v>96385081591</v>
      </c>
      <c r="E2894" s="9">
        <v>117</v>
      </c>
      <c r="F2894" s="25">
        <v>43117</v>
      </c>
      <c r="G2894" s="70" t="s">
        <v>3396</v>
      </c>
      <c r="H2894" s="25">
        <v>43151</v>
      </c>
      <c r="I2894" s="8"/>
      <c r="J2894" s="8"/>
      <c r="K2894" s="8"/>
      <c r="L2894" s="9" t="s">
        <v>3547</v>
      </c>
      <c r="M2894" s="8"/>
    </row>
    <row r="2895" spans="1:13" x14ac:dyDescent="0.25">
      <c r="A2895" s="71" t="s">
        <v>7475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3396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7476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3396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7477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3396</v>
      </c>
      <c r="H2897" s="9"/>
      <c r="I2897" s="9">
        <v>229</v>
      </c>
      <c r="J2897" s="25">
        <v>43151</v>
      </c>
      <c r="K2897" s="25">
        <v>43158</v>
      </c>
      <c r="L2897" s="9" t="s">
        <v>3537</v>
      </c>
      <c r="M2897" s="25"/>
    </row>
    <row r="2898" spans="1:13" x14ac:dyDescent="0.25">
      <c r="A2898" s="71" t="s">
        <v>7478</v>
      </c>
      <c r="B2898" s="67">
        <v>38085002809</v>
      </c>
      <c r="C2898" s="72" t="s">
        <v>7479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7480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3396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7481</v>
      </c>
      <c r="B2900" s="67">
        <v>23357346877</v>
      </c>
      <c r="C2900" s="72" t="s">
        <v>7482</v>
      </c>
      <c r="D2900" s="69">
        <v>39917830880</v>
      </c>
      <c r="E2900" s="9">
        <v>1555</v>
      </c>
      <c r="F2900" s="25">
        <v>43049</v>
      </c>
      <c r="G2900" s="70" t="s">
        <v>3396</v>
      </c>
      <c r="H2900" s="9"/>
      <c r="I2900" s="8"/>
      <c r="J2900" s="8"/>
      <c r="K2900" s="8"/>
      <c r="L2900" s="9" t="s">
        <v>3775</v>
      </c>
      <c r="M2900" s="8"/>
    </row>
    <row r="2901" spans="1:13" x14ac:dyDescent="0.25">
      <c r="A2901" s="71" t="s">
        <v>7483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7484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3396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7485</v>
      </c>
      <c r="B2903" s="67">
        <v>33733642805</v>
      </c>
      <c r="C2903" s="72" t="s">
        <v>7486</v>
      </c>
      <c r="D2903" s="69">
        <v>1860087590</v>
      </c>
      <c r="E2903" s="9">
        <v>85</v>
      </c>
      <c r="F2903" s="25">
        <v>43109</v>
      </c>
      <c r="G2903" s="70" t="s">
        <v>3396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7487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3396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7488</v>
      </c>
      <c r="B2905" s="67">
        <v>5387678802</v>
      </c>
      <c r="C2905" s="72" t="s">
        <v>7489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7490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3396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7491</v>
      </c>
      <c r="B2907" s="67">
        <v>41173451846</v>
      </c>
      <c r="C2907" s="72" t="s">
        <v>7492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7493</v>
      </c>
      <c r="B2908" s="67">
        <v>36432395801</v>
      </c>
      <c r="C2908" s="77" t="s">
        <v>7494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7495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7496</v>
      </c>
      <c r="B2910" s="67">
        <v>28196011890</v>
      </c>
      <c r="C2910" s="72" t="s">
        <v>7497</v>
      </c>
      <c r="D2910" s="69">
        <v>73582980553</v>
      </c>
      <c r="E2910" s="9">
        <v>1262</v>
      </c>
      <c r="F2910" s="25">
        <v>42997</v>
      </c>
      <c r="G2910" s="70" t="s">
        <v>3396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7498</v>
      </c>
      <c r="B2911" s="67">
        <v>8710545409</v>
      </c>
      <c r="C2911" s="72" t="s">
        <v>7499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7500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7501</v>
      </c>
      <c r="B2913" s="67">
        <v>27279265880</v>
      </c>
      <c r="C2913" s="77" t="s">
        <v>7502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7503</v>
      </c>
      <c r="B2914" s="67">
        <v>2973007844</v>
      </c>
      <c r="C2914" s="18" t="s">
        <v>3506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7504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7505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3396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7506</v>
      </c>
      <c r="B2917" s="67">
        <v>97080756391</v>
      </c>
      <c r="C2917" s="68" t="s">
        <v>7507</v>
      </c>
      <c r="D2917" s="69">
        <v>78464463391</v>
      </c>
      <c r="E2917" s="9">
        <v>1343</v>
      </c>
      <c r="F2917" s="25">
        <v>43004</v>
      </c>
      <c r="G2917" s="70" t="s">
        <v>3396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7508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7509</v>
      </c>
      <c r="B2919" s="67">
        <v>542688778</v>
      </c>
      <c r="C2919" s="18" t="s">
        <v>3506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7510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7511</v>
      </c>
      <c r="B2921" s="67">
        <v>19521938854</v>
      </c>
      <c r="C2921" s="72" t="s">
        <v>7512</v>
      </c>
      <c r="D2921" s="69">
        <v>16398980506</v>
      </c>
      <c r="E2921" s="9">
        <v>1214</v>
      </c>
      <c r="F2921" s="25">
        <v>42989</v>
      </c>
      <c r="G2921" s="70" t="s">
        <v>3396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7513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7514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3396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7515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3396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7516</v>
      </c>
      <c r="B2925" s="67">
        <v>81710763272</v>
      </c>
      <c r="C2925" s="77" t="s">
        <v>7517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7518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3396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7519</v>
      </c>
      <c r="B2927" s="67">
        <v>35453812850</v>
      </c>
      <c r="C2927" s="18" t="s">
        <v>7520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7521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7522</v>
      </c>
      <c r="B2929" s="67">
        <v>22665008807</v>
      </c>
      <c r="C2929" s="72" t="s">
        <v>7523</v>
      </c>
      <c r="D2929" s="69">
        <v>35575903800</v>
      </c>
      <c r="E2929" s="9">
        <v>262</v>
      </c>
      <c r="F2929" s="25">
        <v>43160</v>
      </c>
      <c r="G2929" s="9" t="s">
        <v>3396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7524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3396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7525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7526</v>
      </c>
      <c r="B2932" s="67">
        <v>60615920357</v>
      </c>
      <c r="C2932" s="72" t="s">
        <v>7527</v>
      </c>
      <c r="D2932" s="69">
        <v>4818511358</v>
      </c>
      <c r="E2932" s="9">
        <v>292</v>
      </c>
      <c r="F2932" s="25">
        <v>43168</v>
      </c>
      <c r="G2932" s="9" t="s">
        <v>3396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7528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3396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7529</v>
      </c>
      <c r="B2934" s="67">
        <v>31633338851</v>
      </c>
      <c r="C2934" s="72" t="s">
        <v>7530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3676</v>
      </c>
      <c r="M2934" s="8"/>
    </row>
    <row r="2935" spans="1:13" x14ac:dyDescent="0.25">
      <c r="A2935" s="71" t="s">
        <v>7531</v>
      </c>
      <c r="B2935" s="67">
        <v>42518509801</v>
      </c>
      <c r="C2935" s="72" t="s">
        <v>7532</v>
      </c>
      <c r="D2935" s="69">
        <v>36320707844</v>
      </c>
      <c r="E2935" s="9">
        <v>1752</v>
      </c>
      <c r="F2935" s="25">
        <v>43051</v>
      </c>
      <c r="G2935" s="70" t="s">
        <v>3410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7533</v>
      </c>
      <c r="B2936" s="67">
        <v>22958464806</v>
      </c>
      <c r="C2936" s="72" t="s">
        <v>7534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7535</v>
      </c>
      <c r="B2937" s="67">
        <v>31152044850</v>
      </c>
      <c r="C2937" s="72" t="s">
        <v>7536</v>
      </c>
      <c r="D2937" s="69">
        <v>31152043889</v>
      </c>
      <c r="E2937" s="9">
        <v>1128</v>
      </c>
      <c r="F2937" s="25">
        <v>42972</v>
      </c>
      <c r="G2937" s="70" t="s">
        <v>3396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7537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3396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7538</v>
      </c>
      <c r="B2939" s="80">
        <v>35805723859</v>
      </c>
      <c r="C2939" s="81" t="s">
        <v>7539</v>
      </c>
      <c r="D2939" s="82">
        <v>12726161855</v>
      </c>
      <c r="E2939" s="47">
        <v>1824</v>
      </c>
      <c r="F2939" s="48">
        <v>43091</v>
      </c>
      <c r="G2939" s="83" t="s">
        <v>3402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7540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3396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7541</v>
      </c>
      <c r="B2941" s="67">
        <v>7358002431</v>
      </c>
      <c r="C2941" s="72" t="s">
        <v>7542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7543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3396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7544</v>
      </c>
      <c r="B2943" s="67">
        <v>43354497807</v>
      </c>
      <c r="C2943" s="72" t="s">
        <v>7545</v>
      </c>
      <c r="D2943" s="69">
        <v>40802896855</v>
      </c>
      <c r="E2943" s="9">
        <v>1214</v>
      </c>
      <c r="F2943" s="25">
        <v>42989</v>
      </c>
      <c r="G2943" s="70" t="s">
        <v>3396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7546</v>
      </c>
      <c r="B2944" s="67">
        <v>43586522800</v>
      </c>
      <c r="C2944" s="68" t="s">
        <v>7547</v>
      </c>
      <c r="D2944" s="69">
        <v>43586522800</v>
      </c>
      <c r="E2944" s="9">
        <v>1128</v>
      </c>
      <c r="F2944" s="25">
        <v>42972</v>
      </c>
      <c r="G2944" s="70" t="s">
        <v>3396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7548</v>
      </c>
      <c r="B2945" s="67">
        <v>17447067865</v>
      </c>
      <c r="C2945" s="72" t="s">
        <v>7549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7550</v>
      </c>
      <c r="B2946" s="67">
        <v>3568560542</v>
      </c>
      <c r="C2946" s="72" t="s">
        <v>7551</v>
      </c>
      <c r="D2946" s="69">
        <v>4078587500</v>
      </c>
      <c r="E2946" s="9">
        <v>1106</v>
      </c>
      <c r="F2946" s="25">
        <v>42965</v>
      </c>
      <c r="G2946" s="70" t="s">
        <v>3396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7552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7553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7554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3547</v>
      </c>
      <c r="M2949" s="8"/>
    </row>
    <row r="2950" spans="1:13" x14ac:dyDescent="0.25">
      <c r="A2950" s="71" t="s">
        <v>7555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3396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7556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3396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7557</v>
      </c>
      <c r="B2952" s="67"/>
      <c r="C2952" s="29" t="s">
        <v>7558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7559</v>
      </c>
      <c r="B2953" s="67">
        <v>1326462857</v>
      </c>
      <c r="C2953" s="72" t="s">
        <v>7560</v>
      </c>
      <c r="D2953" s="69">
        <v>4906141838</v>
      </c>
      <c r="E2953" s="9">
        <v>229</v>
      </c>
      <c r="F2953" s="25">
        <v>43151</v>
      </c>
      <c r="G2953" s="70" t="s">
        <v>3396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7561</v>
      </c>
      <c r="B2954" s="67">
        <v>7722903428</v>
      </c>
      <c r="C2954" s="29" t="s">
        <v>7562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7563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7564</v>
      </c>
      <c r="B2956" s="67">
        <v>37794411874</v>
      </c>
      <c r="C2956" s="72" t="s">
        <v>7565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7566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7567</v>
      </c>
      <c r="B2958" s="67">
        <v>34093287856</v>
      </c>
      <c r="C2958" s="68" t="s">
        <v>7568</v>
      </c>
      <c r="D2958" s="69">
        <v>1517221536</v>
      </c>
      <c r="E2958" s="9">
        <v>1489</v>
      </c>
      <c r="F2958" s="25"/>
      <c r="G2958" s="70" t="s">
        <v>3396</v>
      </c>
      <c r="H2958" s="9"/>
      <c r="I2958" s="8"/>
      <c r="J2958" s="8"/>
      <c r="K2958" s="8"/>
      <c r="L2958" s="9" t="s">
        <v>3537</v>
      </c>
      <c r="M2958" s="8"/>
    </row>
    <row r="2959" spans="1:13" x14ac:dyDescent="0.25">
      <c r="A2959" s="71" t="s">
        <v>7569</v>
      </c>
      <c r="B2959" s="67">
        <v>29289559845</v>
      </c>
      <c r="C2959" s="72" t="s">
        <v>7570</v>
      </c>
      <c r="D2959" s="69">
        <v>25585724827</v>
      </c>
      <c r="E2959" s="9">
        <v>1752</v>
      </c>
      <c r="F2959" s="25">
        <v>43051</v>
      </c>
      <c r="G2959" s="70" t="s">
        <v>3396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7571</v>
      </c>
      <c r="B2960" s="67"/>
      <c r="C2960" s="29" t="s">
        <v>7572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7573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7574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7575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7576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7577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3396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7578</v>
      </c>
      <c r="B2966" s="67">
        <v>32368859802</v>
      </c>
      <c r="C2966" s="68" t="s">
        <v>7579</v>
      </c>
      <c r="D2966" s="69">
        <v>28517056876</v>
      </c>
      <c r="E2966" s="9">
        <v>1343</v>
      </c>
      <c r="F2966" s="25">
        <v>43004</v>
      </c>
      <c r="G2966" s="70" t="s">
        <v>3396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7580</v>
      </c>
      <c r="B2967" s="67">
        <v>35104711803</v>
      </c>
      <c r="C2967" s="72" t="s">
        <v>7581</v>
      </c>
      <c r="D2967" s="69">
        <v>34881906844</v>
      </c>
      <c r="E2967" s="9">
        <v>292</v>
      </c>
      <c r="F2967" s="25">
        <v>43168</v>
      </c>
      <c r="G2967" s="9" t="s">
        <v>3396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7582</v>
      </c>
      <c r="B2968" s="67">
        <v>23093033802</v>
      </c>
      <c r="C2968" s="29" t="s">
        <v>7583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7584</v>
      </c>
      <c r="B2969" s="67">
        <v>92605494420</v>
      </c>
      <c r="C2969" s="72" t="s">
        <v>7585</v>
      </c>
      <c r="D2969" s="69">
        <v>37622834866</v>
      </c>
      <c r="E2969" s="9">
        <v>608</v>
      </c>
      <c r="F2969" s="25">
        <v>43012</v>
      </c>
      <c r="G2969" s="70" t="s">
        <v>3396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7586</v>
      </c>
      <c r="B2970" s="67">
        <v>27646989843</v>
      </c>
      <c r="C2970" s="72" t="s">
        <v>7587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7588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3396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7589</v>
      </c>
      <c r="B2972" s="67">
        <v>29312608860</v>
      </c>
      <c r="C2972" s="29" t="s">
        <v>7590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7591</v>
      </c>
      <c r="B2973" s="67"/>
      <c r="C2973" s="29" t="s">
        <v>7592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7593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3396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7594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7595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7596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7597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7598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7599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3396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7600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3396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7601</v>
      </c>
      <c r="B2982" s="67">
        <v>13562151810</v>
      </c>
      <c r="C2982" s="72" t="s">
        <v>7602</v>
      </c>
      <c r="D2982" s="69">
        <v>47393076772</v>
      </c>
      <c r="E2982" s="9">
        <v>292</v>
      </c>
      <c r="F2982" s="25">
        <v>43168</v>
      </c>
      <c r="G2982" s="70" t="s">
        <v>3402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7603</v>
      </c>
      <c r="B2983" s="67">
        <v>10488541832</v>
      </c>
      <c r="C2983" s="72" t="s">
        <v>7604</v>
      </c>
      <c r="D2983" s="69">
        <v>8437233860</v>
      </c>
      <c r="E2983" s="9">
        <v>229</v>
      </c>
      <c r="F2983" s="25">
        <v>43151</v>
      </c>
      <c r="G2983" s="70" t="s">
        <v>3396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7605</v>
      </c>
      <c r="B2984" s="67">
        <v>52291168894</v>
      </c>
      <c r="C2984" s="29" t="s">
        <v>3506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7606</v>
      </c>
      <c r="B2985" s="67">
        <v>32455945855</v>
      </c>
      <c r="C2985" s="77" t="s">
        <v>7607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7608</v>
      </c>
      <c r="B2986" s="67">
        <v>7127228663</v>
      </c>
      <c r="C2986" s="72" t="s">
        <v>7609</v>
      </c>
      <c r="D2986" s="69">
        <v>18053058833</v>
      </c>
      <c r="E2986" s="9">
        <v>1628</v>
      </c>
      <c r="F2986" s="25">
        <v>43077</v>
      </c>
      <c r="G2986" s="70" t="s">
        <v>3396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7610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3396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7611</v>
      </c>
      <c r="B2988" s="67">
        <v>32318059888</v>
      </c>
      <c r="C2988" s="68" t="s">
        <v>7612</v>
      </c>
      <c r="D2988" s="69">
        <v>38564888807</v>
      </c>
      <c r="E2988" s="9">
        <v>1128</v>
      </c>
      <c r="F2988" s="25">
        <v>42972</v>
      </c>
      <c r="G2988" s="70" t="s">
        <v>3396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7613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7614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3396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7615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3396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7616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3396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7617</v>
      </c>
      <c r="B2993" s="67">
        <v>45255799866</v>
      </c>
      <c r="C2993" s="72" t="s">
        <v>7618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7619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3396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7620</v>
      </c>
      <c r="B2995" s="67">
        <v>37570860829</v>
      </c>
      <c r="C2995" s="72" t="s">
        <v>7621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7622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3396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7623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7624</v>
      </c>
      <c r="B2998" s="67">
        <v>25712620847</v>
      </c>
      <c r="C2998" s="18" t="s">
        <v>7625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7626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3676</v>
      </c>
      <c r="M2999" s="8"/>
    </row>
    <row r="3000" spans="1:13" x14ac:dyDescent="0.25">
      <c r="A3000" s="72" t="s">
        <v>7627</v>
      </c>
      <c r="B3000" s="67">
        <v>40000949809</v>
      </c>
      <c r="C3000" s="72" t="s">
        <v>7628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3676</v>
      </c>
      <c r="M3000" s="8"/>
    </row>
    <row r="3001" spans="1:13" x14ac:dyDescent="0.25">
      <c r="A3001" s="71" t="s">
        <v>7629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7630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7631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7632</v>
      </c>
      <c r="B3004" s="67"/>
      <c r="C3004" s="29" t="s">
        <v>3506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7633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3396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7634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7635</v>
      </c>
      <c r="B3007" s="67">
        <v>13517396893</v>
      </c>
      <c r="C3007" s="72" t="s">
        <v>7636</v>
      </c>
      <c r="D3007" s="69">
        <v>61574252453</v>
      </c>
      <c r="E3007" s="9">
        <v>262</v>
      </c>
      <c r="F3007" s="25">
        <v>43160</v>
      </c>
      <c r="G3007" s="70" t="s">
        <v>3402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7637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3396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7638</v>
      </c>
      <c r="B3009" s="67"/>
      <c r="C3009" s="29" t="s">
        <v>7639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7640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3396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7641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3396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7642</v>
      </c>
      <c r="B3012" s="67">
        <v>4609966654</v>
      </c>
      <c r="C3012" s="72" t="s">
        <v>7643</v>
      </c>
      <c r="D3012" s="69">
        <v>28402756867</v>
      </c>
      <c r="E3012" s="9">
        <v>292</v>
      </c>
      <c r="F3012" s="25">
        <v>43168</v>
      </c>
      <c r="G3012" s="70" t="s">
        <v>3396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7644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3396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7645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3396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7646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7647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3396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7648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7648</v>
      </c>
      <c r="B3018" s="67"/>
      <c r="C3018" s="18" t="s">
        <v>3506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7649</v>
      </c>
      <c r="B3019" s="67"/>
      <c r="C3019" s="29" t="s">
        <v>3506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7650</v>
      </c>
      <c r="B3020" s="67">
        <v>40882575880</v>
      </c>
      <c r="C3020" s="72" t="s">
        <v>7651</v>
      </c>
      <c r="D3020" s="69">
        <v>39163987848</v>
      </c>
      <c r="E3020" s="9">
        <v>292</v>
      </c>
      <c r="F3020" s="25">
        <v>43168</v>
      </c>
      <c r="G3020" s="70" t="s">
        <v>3396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7652</v>
      </c>
      <c r="B3021" s="67"/>
      <c r="C3021" s="29" t="s">
        <v>3506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7653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7654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3396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7655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7656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7657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7658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3396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7659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7660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7661</v>
      </c>
      <c r="B3030" s="67"/>
      <c r="C3030" s="29" t="s">
        <v>3506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7662</v>
      </c>
      <c r="B3031" s="67">
        <v>44374068856</v>
      </c>
      <c r="C3031" s="72" t="s">
        <v>7663</v>
      </c>
      <c r="D3031" s="69">
        <v>34698741823</v>
      </c>
      <c r="E3031" s="9">
        <v>1489</v>
      </c>
      <c r="F3031" s="25">
        <v>43038</v>
      </c>
      <c r="G3031" s="70" t="s">
        <v>3396</v>
      </c>
      <c r="H3031" s="9"/>
      <c r="I3031" s="8"/>
      <c r="J3031" s="8"/>
      <c r="K3031" s="8"/>
      <c r="L3031" s="9" t="s">
        <v>3537</v>
      </c>
      <c r="M3031" s="8"/>
    </row>
    <row r="3032" spans="1:13" x14ac:dyDescent="0.25">
      <c r="A3032" s="71" t="s">
        <v>7664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7665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3676</v>
      </c>
      <c r="M3033" s="8"/>
    </row>
    <row r="3034" spans="1:13" x14ac:dyDescent="0.25">
      <c r="A3034" s="71" t="s">
        <v>7666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7667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3396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7668</v>
      </c>
      <c r="B3036" s="67">
        <v>46812344869</v>
      </c>
      <c r="C3036" s="72" t="s">
        <v>7669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7670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3396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7671</v>
      </c>
      <c r="B3038" s="67">
        <v>70659834634</v>
      </c>
      <c r="C3038" s="68" t="s">
        <v>7672</v>
      </c>
      <c r="D3038" s="69">
        <v>70558795404</v>
      </c>
      <c r="E3038" s="9">
        <v>1267</v>
      </c>
      <c r="F3038" s="25">
        <v>42998</v>
      </c>
      <c r="G3038" s="70" t="s">
        <v>3396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7673</v>
      </c>
      <c r="B3039" s="67"/>
      <c r="C3039" s="72" t="s">
        <v>7674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7675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3396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7676</v>
      </c>
      <c r="B3041" s="67">
        <v>3867219630</v>
      </c>
      <c r="C3041" s="72" t="s">
        <v>7677</v>
      </c>
      <c r="D3041" s="69">
        <v>4268294503</v>
      </c>
      <c r="E3041" s="9">
        <v>1824</v>
      </c>
      <c r="F3041" s="25">
        <v>43091</v>
      </c>
      <c r="G3041" s="70" t="s">
        <v>3396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7678</v>
      </c>
      <c r="B3042" s="67">
        <v>27084341870</v>
      </c>
      <c r="C3042" s="72" t="s">
        <v>3700</v>
      </c>
      <c r="D3042" s="69">
        <v>70639957315</v>
      </c>
      <c r="E3042" s="9">
        <v>1214</v>
      </c>
      <c r="F3042" s="25">
        <v>42989</v>
      </c>
      <c r="G3042" s="70" t="s">
        <v>3402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7679</v>
      </c>
      <c r="B3043" s="67">
        <v>29697189870</v>
      </c>
      <c r="C3043" s="72" t="s">
        <v>7680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7681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3396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7682</v>
      </c>
      <c r="B3045" s="67">
        <v>4055380810</v>
      </c>
      <c r="C3045" s="29" t="s">
        <v>3506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7683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3396</v>
      </c>
      <c r="H3046" s="25">
        <v>43027</v>
      </c>
      <c r="I3046" s="8"/>
      <c r="J3046" s="8"/>
      <c r="K3046" s="8"/>
      <c r="L3046" s="9" t="s">
        <v>3630</v>
      </c>
      <c r="M3046" s="8"/>
    </row>
    <row r="3047" spans="1:13" x14ac:dyDescent="0.25">
      <c r="A3047" s="16" t="s">
        <v>7684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7685</v>
      </c>
      <c r="B3048" s="67">
        <v>99038862504</v>
      </c>
      <c r="C3048" s="72" t="s">
        <v>7686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7687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3396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7688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3396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7689</v>
      </c>
      <c r="B3051" s="67">
        <v>22505123888</v>
      </c>
      <c r="C3051" s="72" t="s">
        <v>7690</v>
      </c>
      <c r="D3051" s="69">
        <v>39819234808</v>
      </c>
      <c r="E3051" s="9">
        <v>1752</v>
      </c>
      <c r="F3051" s="25">
        <v>43051</v>
      </c>
      <c r="G3051" s="70" t="s">
        <v>3396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7691</v>
      </c>
      <c r="B3052" s="67"/>
      <c r="C3052" s="29" t="s">
        <v>3506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7692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7693</v>
      </c>
      <c r="B3054" s="67">
        <v>34850143890</v>
      </c>
      <c r="C3054" s="72" t="s">
        <v>7694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7695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3396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7696</v>
      </c>
      <c r="B3056" s="67">
        <v>17852199879</v>
      </c>
      <c r="C3056" s="72" t="s">
        <v>7697</v>
      </c>
      <c r="D3056" s="69">
        <v>15255063827</v>
      </c>
      <c r="E3056" s="9">
        <v>1128</v>
      </c>
      <c r="F3056" s="25">
        <v>42972</v>
      </c>
      <c r="G3056" s="70" t="s">
        <v>3396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7698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3396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7699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7700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3396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7" priority="5" stopIfTrue="1"/>
  </conditionalFormatting>
  <conditionalFormatting sqref="A3:A128">
    <cfRule type="duplicateValues" dxfId="16" priority="4" stopIfTrue="1"/>
  </conditionalFormatting>
  <conditionalFormatting sqref="A3:A626">
    <cfRule type="duplicateValues" dxfId="15" priority="1" stopIfTrue="1"/>
  </conditionalFormatting>
  <conditionalFormatting sqref="B2684">
    <cfRule type="duplicateValues" dxfId="14" priority="3" stopIfTrue="1"/>
  </conditionalFormatting>
  <conditionalFormatting sqref="C689">
    <cfRule type="duplicateValues" dxfId="1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7" sqref="F7"/>
    </sheetView>
  </sheetViews>
  <sheetFormatPr defaultRowHeight="20.25" customHeight="1" x14ac:dyDescent="0.25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 x14ac:dyDescent="0.25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 x14ac:dyDescent="0.25">
      <c r="C7" s="269" t="s">
        <v>99</v>
      </c>
      <c r="D7" s="269" t="s">
        <v>369</v>
      </c>
      <c r="E7" s="269" t="s">
        <v>370</v>
      </c>
      <c r="F7" s="269" t="s">
        <v>372</v>
      </c>
      <c r="G7" s="270" t="s">
        <v>374</v>
      </c>
    </row>
    <row r="8" spans="3:7" ht="20.25" customHeight="1" x14ac:dyDescent="0.25">
      <c r="C8" s="269" t="s">
        <v>99</v>
      </c>
      <c r="D8" s="269" t="s">
        <v>542</v>
      </c>
      <c r="E8" s="269" t="s">
        <v>543</v>
      </c>
      <c r="F8" s="269" t="s">
        <v>545</v>
      </c>
      <c r="G8" s="270" t="s">
        <v>546</v>
      </c>
    </row>
    <row r="9" spans="3:7" ht="20.25" customHeight="1" x14ac:dyDescent="0.25">
      <c r="C9" s="269" t="s">
        <v>99</v>
      </c>
      <c r="D9" s="269" t="s">
        <v>576</v>
      </c>
      <c r="E9" s="269" t="s">
        <v>577</v>
      </c>
      <c r="F9" s="269" t="s">
        <v>579</v>
      </c>
      <c r="G9" s="270" t="s">
        <v>580</v>
      </c>
    </row>
    <row r="10" spans="3:7" ht="20.25" customHeight="1" x14ac:dyDescent="0.25">
      <c r="C10" s="269" t="s">
        <v>99</v>
      </c>
      <c r="D10" s="269" t="s">
        <v>585</v>
      </c>
      <c r="E10" s="269" t="s">
        <v>586</v>
      </c>
      <c r="F10" s="269" t="s">
        <v>588</v>
      </c>
      <c r="G10" s="270" t="s">
        <v>589</v>
      </c>
    </row>
    <row r="11" spans="3:7" ht="20.25" customHeight="1" x14ac:dyDescent="0.25">
      <c r="C11" s="269" t="s">
        <v>99</v>
      </c>
      <c r="D11" s="269" t="s">
        <v>797</v>
      </c>
      <c r="E11" s="269" t="s">
        <v>798</v>
      </c>
      <c r="F11" s="269" t="s">
        <v>800</v>
      </c>
      <c r="G11" s="270" t="s">
        <v>801</v>
      </c>
    </row>
    <row r="12" spans="3:7" ht="20.25" customHeight="1" x14ac:dyDescent="0.25">
      <c r="C12" s="269" t="s">
        <v>99</v>
      </c>
      <c r="D12" s="271" t="s">
        <v>861</v>
      </c>
      <c r="E12" s="271" t="s">
        <v>862</v>
      </c>
      <c r="F12" s="269" t="s">
        <v>864</v>
      </c>
      <c r="G12" s="270" t="s">
        <v>865</v>
      </c>
    </row>
    <row r="13" spans="3:7" ht="20.25" customHeight="1" x14ac:dyDescent="0.25">
      <c r="C13" s="269" t="s">
        <v>99</v>
      </c>
      <c r="D13" s="269" t="s">
        <v>871</v>
      </c>
      <c r="E13" s="271" t="s">
        <v>872</v>
      </c>
      <c r="F13" s="269" t="s">
        <v>874</v>
      </c>
      <c r="G13" s="270" t="s">
        <v>875</v>
      </c>
    </row>
    <row r="14" spans="3:7" ht="20.25" customHeight="1" x14ac:dyDescent="0.25">
      <c r="C14" s="269" t="s">
        <v>99</v>
      </c>
      <c r="D14" s="269" t="s">
        <v>881</v>
      </c>
      <c r="E14" s="271" t="s">
        <v>882</v>
      </c>
      <c r="F14" s="269" t="s">
        <v>884</v>
      </c>
      <c r="G14" s="270" t="s">
        <v>885</v>
      </c>
    </row>
    <row r="15" spans="3:7" ht="20.25" customHeight="1" x14ac:dyDescent="0.25">
      <c r="C15" s="269" t="s">
        <v>99</v>
      </c>
      <c r="D15" s="269" t="s">
        <v>915</v>
      </c>
      <c r="E15" s="269" t="s">
        <v>916</v>
      </c>
      <c r="F15" s="269" t="s">
        <v>918</v>
      </c>
      <c r="G15" s="270" t="s">
        <v>919</v>
      </c>
    </row>
    <row r="16" spans="3:7" ht="20.25" customHeight="1" x14ac:dyDescent="0.25">
      <c r="C16" s="269" t="s">
        <v>99</v>
      </c>
      <c r="D16" s="269" t="s">
        <v>965</v>
      </c>
      <c r="E16" s="269" t="s">
        <v>966</v>
      </c>
      <c r="F16" s="269" t="s">
        <v>968</v>
      </c>
      <c r="G16" s="270" t="s">
        <v>969</v>
      </c>
    </row>
    <row r="17" spans="3:7" ht="20.25" customHeight="1" x14ac:dyDescent="0.25">
      <c r="C17" s="269" t="s">
        <v>99</v>
      </c>
      <c r="D17" s="269" t="s">
        <v>1046</v>
      </c>
      <c r="E17" s="269" t="s">
        <v>1047</v>
      </c>
      <c r="F17" s="269" t="s">
        <v>1049</v>
      </c>
      <c r="G17" s="270" t="s">
        <v>1051</v>
      </c>
    </row>
    <row r="18" spans="3:7" ht="20.25" customHeight="1" x14ac:dyDescent="0.25">
      <c r="C18" s="269" t="s">
        <v>99</v>
      </c>
      <c r="D18" s="269" t="s">
        <v>1052</v>
      </c>
      <c r="E18" s="269" t="s">
        <v>1056</v>
      </c>
      <c r="F18" s="269" t="s">
        <v>1058</v>
      </c>
      <c r="G18" s="270" t="s">
        <v>1059</v>
      </c>
    </row>
    <row r="19" spans="3:7" ht="20.25" customHeight="1" x14ac:dyDescent="0.25">
      <c r="C19" s="269" t="s">
        <v>99</v>
      </c>
      <c r="D19" s="269" t="s">
        <v>1069</v>
      </c>
      <c r="E19" s="269" t="s">
        <v>1070</v>
      </c>
      <c r="F19" s="269" t="s">
        <v>1072</v>
      </c>
      <c r="G19" s="270" t="s">
        <v>1074</v>
      </c>
    </row>
    <row r="20" spans="3:7" ht="20.25" customHeight="1" x14ac:dyDescent="0.25">
      <c r="C20" s="269" t="s">
        <v>99</v>
      </c>
      <c r="D20" s="269" t="s">
        <v>1075</v>
      </c>
      <c r="E20" s="269" t="s">
        <v>1076</v>
      </c>
      <c r="F20" s="269" t="s">
        <v>1078</v>
      </c>
      <c r="G20" s="270" t="s">
        <v>1079</v>
      </c>
    </row>
    <row r="21" spans="3:7" ht="20.25" customHeight="1" x14ac:dyDescent="0.25">
      <c r="C21" s="269" t="s">
        <v>99</v>
      </c>
      <c r="D21" s="269" t="s">
        <v>1167</v>
      </c>
      <c r="E21" s="269" t="s">
        <v>1171</v>
      </c>
      <c r="F21" s="269" t="s">
        <v>1173</v>
      </c>
      <c r="G21" s="270" t="s">
        <v>1174</v>
      </c>
    </row>
    <row r="22" spans="3:7" ht="20.25" customHeight="1" x14ac:dyDescent="0.25">
      <c r="C22" s="269" t="s">
        <v>99</v>
      </c>
      <c r="D22" s="269" t="s">
        <v>1193</v>
      </c>
      <c r="E22" s="269" t="s">
        <v>1197</v>
      </c>
      <c r="F22" s="269" t="s">
        <v>1199</v>
      </c>
      <c r="G22" s="270" t="s">
        <v>1200</v>
      </c>
    </row>
    <row r="23" spans="3:7" ht="20.25" customHeight="1" x14ac:dyDescent="0.25">
      <c r="C23" s="269" t="s">
        <v>99</v>
      </c>
      <c r="D23" s="269" t="s">
        <v>1236</v>
      </c>
      <c r="E23" s="269" t="s">
        <v>1240</v>
      </c>
      <c r="F23" s="269" t="s">
        <v>1239</v>
      </c>
      <c r="G23" s="270" t="s">
        <v>1241</v>
      </c>
    </row>
    <row r="24" spans="3:7" ht="20.25" customHeight="1" x14ac:dyDescent="0.25">
      <c r="C24" s="269" t="s">
        <v>99</v>
      </c>
      <c r="D24" s="269" t="s">
        <v>1288</v>
      </c>
      <c r="E24" s="269" t="s">
        <v>1289</v>
      </c>
      <c r="F24" s="269" t="s">
        <v>1291</v>
      </c>
      <c r="G24" s="270" t="s">
        <v>1293</v>
      </c>
    </row>
    <row r="25" spans="3:7" ht="20.25" customHeight="1" x14ac:dyDescent="0.25">
      <c r="C25" s="269" t="s">
        <v>99</v>
      </c>
      <c r="D25" s="269" t="s">
        <v>1307</v>
      </c>
      <c r="E25" s="269" t="s">
        <v>1311</v>
      </c>
      <c r="F25" s="269" t="s">
        <v>1313</v>
      </c>
      <c r="G25" s="270" t="s">
        <v>1315</v>
      </c>
    </row>
    <row r="26" spans="3:7" ht="20.25" customHeight="1" x14ac:dyDescent="0.25">
      <c r="C26" s="269" t="s">
        <v>99</v>
      </c>
      <c r="D26" s="269" t="s">
        <v>1343</v>
      </c>
      <c r="E26" s="269" t="s">
        <v>1344</v>
      </c>
      <c r="F26" s="269" t="s">
        <v>1346</v>
      </c>
      <c r="G26" s="270" t="s">
        <v>1347</v>
      </c>
    </row>
    <row r="27" spans="3:7" ht="20.25" customHeight="1" x14ac:dyDescent="0.25">
      <c r="C27" s="269" t="s">
        <v>99</v>
      </c>
      <c r="D27" s="269" t="s">
        <v>1467</v>
      </c>
      <c r="E27" s="269" t="s">
        <v>1468</v>
      </c>
      <c r="F27" s="269" t="s">
        <v>1470</v>
      </c>
      <c r="G27" s="270" t="s">
        <v>1471</v>
      </c>
    </row>
    <row r="28" spans="3:7" ht="20.25" customHeight="1" x14ac:dyDescent="0.25">
      <c r="C28" s="269" t="s">
        <v>99</v>
      </c>
      <c r="D28" s="269" t="s">
        <v>1547</v>
      </c>
      <c r="E28" s="269" t="s">
        <v>1548</v>
      </c>
      <c r="F28" s="269" t="s">
        <v>1550</v>
      </c>
      <c r="G28" s="270" t="s">
        <v>1551</v>
      </c>
    </row>
    <row r="29" spans="3:7" ht="20.25" customHeight="1" x14ac:dyDescent="0.25">
      <c r="C29" s="269" t="s">
        <v>99</v>
      </c>
      <c r="D29" s="269" t="s">
        <v>1562</v>
      </c>
      <c r="E29" s="269" t="s">
        <v>1563</v>
      </c>
      <c r="F29" s="269" t="s">
        <v>1565</v>
      </c>
      <c r="G29" s="270" t="s">
        <v>1566</v>
      </c>
    </row>
    <row r="30" spans="3:7" ht="20.25" customHeight="1" x14ac:dyDescent="0.25">
      <c r="C30" s="269" t="s">
        <v>99</v>
      </c>
      <c r="D30" s="269" t="s">
        <v>1572</v>
      </c>
      <c r="E30" s="269" t="s">
        <v>1573</v>
      </c>
      <c r="F30" s="269" t="s">
        <v>1575</v>
      </c>
      <c r="G30" s="270" t="s">
        <v>1577</v>
      </c>
    </row>
    <row r="31" spans="3:7" ht="20.25" customHeight="1" x14ac:dyDescent="0.25">
      <c r="C31" s="269" t="s">
        <v>99</v>
      </c>
      <c r="D31" s="269" t="s">
        <v>1605</v>
      </c>
      <c r="E31" s="269" t="s">
        <v>1609</v>
      </c>
      <c r="F31" s="269" t="s">
        <v>1611</v>
      </c>
      <c r="G31" s="270" t="s">
        <v>1612</v>
      </c>
    </row>
    <row r="32" spans="3:7" ht="20.25" customHeight="1" x14ac:dyDescent="0.25">
      <c r="C32" s="269" t="s">
        <v>99</v>
      </c>
      <c r="D32" s="269" t="s">
        <v>1733</v>
      </c>
      <c r="E32" s="269" t="s">
        <v>1734</v>
      </c>
      <c r="F32" s="269" t="s">
        <v>1736</v>
      </c>
      <c r="G32" s="270" t="s">
        <v>1737</v>
      </c>
    </row>
    <row r="33" spans="3:7" ht="20.25" customHeight="1" x14ac:dyDescent="0.25">
      <c r="C33" s="269" t="s">
        <v>99</v>
      </c>
      <c r="D33" s="270" t="s">
        <v>1794</v>
      </c>
      <c r="E33" s="270" t="s">
        <v>1798</v>
      </c>
      <c r="F33" s="270" t="s">
        <v>1797</v>
      </c>
      <c r="G33" s="270" t="s">
        <v>1799</v>
      </c>
    </row>
    <row r="34" spans="3:7" ht="20.25" customHeight="1" x14ac:dyDescent="0.25">
      <c r="C34" s="269" t="s">
        <v>99</v>
      </c>
      <c r="D34" s="270" t="s">
        <v>1804</v>
      </c>
      <c r="E34" s="270" t="s">
        <v>1805</v>
      </c>
      <c r="F34" s="270" t="s">
        <v>1807</v>
      </c>
      <c r="G34" s="270" t="s">
        <v>1808</v>
      </c>
    </row>
    <row r="35" spans="3:7" ht="20.25" customHeight="1" x14ac:dyDescent="0.25">
      <c r="C35" s="269" t="s">
        <v>99</v>
      </c>
      <c r="D35" s="270" t="s">
        <v>1809</v>
      </c>
      <c r="E35" s="270" t="s">
        <v>1810</v>
      </c>
      <c r="F35" s="270" t="s">
        <v>1812</v>
      </c>
      <c r="G35" s="270" t="s">
        <v>1813</v>
      </c>
    </row>
    <row r="36" spans="3:7" ht="20.25" customHeight="1" x14ac:dyDescent="0.25">
      <c r="C36" s="170"/>
      <c r="D36" s="267"/>
      <c r="E36" s="268"/>
      <c r="F36" s="268"/>
      <c r="G36" s="316"/>
    </row>
    <row r="37" spans="3:7" ht="20.25" customHeight="1" x14ac:dyDescent="0.25">
      <c r="C37" s="134"/>
      <c r="D37" s="168"/>
      <c r="E37" s="166"/>
      <c r="F37" s="166"/>
      <c r="G37" s="317"/>
    </row>
    <row r="38" spans="3:7" ht="20.25" customHeight="1" x14ac:dyDescent="0.25">
      <c r="C38" s="134"/>
      <c r="D38" s="168"/>
      <c r="E38" s="166"/>
      <c r="F38" s="318"/>
      <c r="G38" s="165"/>
    </row>
    <row r="39" spans="3:7" ht="20.25" customHeight="1" x14ac:dyDescent="0.25">
      <c r="C39" s="134"/>
      <c r="D39" s="168"/>
      <c r="E39" s="166"/>
      <c r="F39" s="318"/>
      <c r="G39" s="165"/>
    </row>
    <row r="40" spans="3:7" ht="20.25" customHeight="1" x14ac:dyDescent="0.25">
      <c r="C40" s="134"/>
      <c r="D40" s="168"/>
      <c r="E40" s="166"/>
      <c r="F40" s="166"/>
      <c r="G40" s="317"/>
    </row>
    <row r="41" spans="3:7" ht="20.25" customHeight="1" x14ac:dyDescent="0.25">
      <c r="C41" s="134"/>
      <c r="D41" s="168"/>
      <c r="E41" s="166"/>
      <c r="F41" s="318"/>
      <c r="G41" s="317"/>
    </row>
    <row r="42" spans="3:7" ht="20.25" customHeight="1" x14ac:dyDescent="0.25">
      <c r="C42" s="134"/>
      <c r="D42" s="168"/>
      <c r="E42" s="166"/>
      <c r="F42" s="318"/>
      <c r="G42" s="317"/>
    </row>
    <row r="43" spans="3:7" ht="20.25" customHeight="1" x14ac:dyDescent="0.25">
      <c r="C43" s="134" t="s">
        <v>99</v>
      </c>
      <c r="D43" s="168" t="s">
        <v>2953</v>
      </c>
      <c r="E43" s="166">
        <v>45063</v>
      </c>
      <c r="F43" s="166" t="s">
        <v>33</v>
      </c>
      <c r="G43" s="317" t="s">
        <v>113</v>
      </c>
    </row>
    <row r="44" spans="3:7" ht="20.25" customHeight="1" x14ac:dyDescent="0.25">
      <c r="C44" s="134" t="s">
        <v>99</v>
      </c>
      <c r="D44" s="319" t="s">
        <v>2954</v>
      </c>
      <c r="E44" s="166">
        <v>45063</v>
      </c>
      <c r="F44" s="134" t="s">
        <v>103</v>
      </c>
      <c r="G44" s="317" t="s">
        <v>113</v>
      </c>
    </row>
    <row r="45" spans="3:7" ht="20.25" customHeight="1" x14ac:dyDescent="0.25">
      <c r="C45" s="134" t="s">
        <v>99</v>
      </c>
      <c r="D45" s="168" t="s">
        <v>1933</v>
      </c>
      <c r="E45" s="166">
        <v>45063</v>
      </c>
      <c r="F45" s="166" t="s">
        <v>33</v>
      </c>
      <c r="G45" s="317" t="s">
        <v>113</v>
      </c>
    </row>
    <row r="46" spans="3:7" ht="20.25" customHeight="1" x14ac:dyDescent="0.25">
      <c r="C46" s="134" t="s">
        <v>99</v>
      </c>
      <c r="D46" s="168" t="s">
        <v>1939</v>
      </c>
      <c r="E46" s="166">
        <v>45063</v>
      </c>
      <c r="F46" s="166" t="s">
        <v>33</v>
      </c>
      <c r="G46" s="317" t="s">
        <v>113</v>
      </c>
    </row>
    <row r="47" spans="3:7" ht="20.25" customHeight="1" x14ac:dyDescent="0.25">
      <c r="C47" s="134" t="s">
        <v>99</v>
      </c>
      <c r="D47" s="168" t="s">
        <v>7701</v>
      </c>
      <c r="E47" s="167">
        <v>45054</v>
      </c>
      <c r="F47" s="166" t="s">
        <v>33</v>
      </c>
      <c r="G47" s="317" t="s">
        <v>113</v>
      </c>
    </row>
    <row r="48" spans="3:7" ht="20.25" customHeight="1" x14ac:dyDescent="0.25">
      <c r="C48" s="134" t="s">
        <v>99</v>
      </c>
      <c r="D48" s="168" t="s">
        <v>2510</v>
      </c>
      <c r="E48" s="166">
        <v>45051</v>
      </c>
      <c r="F48" s="166" t="s">
        <v>33</v>
      </c>
      <c r="G48" s="317" t="s">
        <v>113</v>
      </c>
    </row>
    <row r="49" spans="4:4" ht="20.25" customHeight="1" x14ac:dyDescent="0.25">
      <c r="D49" s="160"/>
    </row>
    <row r="50" spans="4:4" ht="20.25" customHeight="1" x14ac:dyDescent="0.25">
      <c r="D50" s="138"/>
    </row>
    <row r="51" spans="4:4" ht="20.25" customHeight="1" x14ac:dyDescent="0.25">
      <c r="D51" s="138"/>
    </row>
    <row r="52" spans="4:4" ht="20.25" customHeight="1" x14ac:dyDescent="0.25">
      <c r="D52" s="138"/>
    </row>
    <row r="53" spans="4:4" ht="20.25" customHeight="1" x14ac:dyDescent="0.25">
      <c r="D53" s="138"/>
    </row>
    <row r="54" spans="4:4" ht="20.25" customHeight="1" x14ac:dyDescent="0.25">
      <c r="D54" s="154"/>
    </row>
    <row r="55" spans="4:4" ht="20.25" customHeight="1" x14ac:dyDescent="0.25">
      <c r="D55" s="135"/>
    </row>
    <row r="56" spans="4:4" ht="20.25" customHeight="1" x14ac:dyDescent="0.25">
      <c r="D56" s="138"/>
    </row>
    <row r="57" spans="4:4" ht="20.25" customHeight="1" x14ac:dyDescent="0.25">
      <c r="D57" s="158"/>
    </row>
    <row r="58" spans="4:4" ht="20.25" customHeight="1" x14ac:dyDescent="0.25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DEPLAN</vt:lpstr>
      <vt:lpstr>Quantitativo Fora da Demanda</vt:lpstr>
      <vt:lpstr>Listas (não utilizar)</vt:lpstr>
      <vt:lpstr>QUANT COND</vt:lpstr>
      <vt:lpstr>OFÍCIOS</vt:lpstr>
      <vt:lpstr>Planilha4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2026-09-14T19:39:54Z</dcterms:modified>
  <cp:category/>
  <cp:contentStatus/>
</cp:coreProperties>
</file>