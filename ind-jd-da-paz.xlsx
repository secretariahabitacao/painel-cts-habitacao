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NORTE/Jd da Paz/Planilha Controle/"/>
    </mc:Choice>
  </mc:AlternateContent>
  <xr:revisionPtr revIDLastSave="82413" documentId="8_{DAC6C9CA-70D7-4111-A0A7-BC6755E560D9}" xr6:coauthVersionLast="47" xr6:coauthVersionMax="47" xr10:uidLastSave="{839265EC-CBCA-41CB-98F3-1AB0E0E1F1B2}"/>
  <bookViews>
    <workbookView xWindow="28680" yWindow="-120" windowWidth="29040" windowHeight="15720" xr2:uid="{00000000-000D-0000-FFFF-FFFF00000000}"/>
  </bookViews>
  <sheets>
    <sheet name="PRIORIDADES" sheetId="20" r:id="rId1"/>
    <sheet name="Planilha1" sheetId="21" r:id="rId2"/>
    <sheet name="Quantitativo Fora da Demanda" sheetId="19" state="hidden" r:id="rId3"/>
    <sheet name="Listas (não utilizar)" sheetId="4" state="hidden" r:id="rId4"/>
    <sheet name="QUANT COND" sheetId="16" state="hidden" r:id="rId5"/>
    <sheet name="OFÍCIOS" sheetId="5" state="hidden" r:id="rId6"/>
    <sheet name="DEPLAN" sheetId="24" r:id="rId7"/>
    <sheet name="Planilha4" sheetId="25" r:id="rId8"/>
  </sheets>
  <externalReferences>
    <externalReference r:id="rId9"/>
  </externalReferences>
  <definedNames>
    <definedName name="_xlnm._FilterDatabase" localSheetId="3" hidden="1">'Listas (não utilizar)'!$A$1:$J$1</definedName>
    <definedName name="_xlnm._FilterDatabase" localSheetId="5" hidden="1">OFÍCIOS!$A$2:$U$3059</definedName>
    <definedName name="_xlnm._FilterDatabase" localSheetId="0" hidden="1">PRIORIDADES!$A$13:$CY$416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3" hidden="1">'Listas (não utilizar)'!$F$2:$F$5</definedName>
    <definedName name="Z_39E29B6F_0D66_48AE_A716_BFBE8B532288_.wvu.FilterData" localSheetId="3" hidden="1">'Listas (não utilizar)'!$F$2:$F$5</definedName>
    <definedName name="Z_3C855A2D_2F8A_450A_853C_257A0FC222AF_.wvu.FilterData" localSheetId="3" hidden="1">'Listas (não utilizar)'!$F$2:$F$5</definedName>
    <definedName name="Z_8296C81D_E0C9_43D9_ADA1_0E4705448C59_.wvu.FilterData" localSheetId="3" hidden="1">'Listas (não utilizar)'!$A$1:$F$17</definedName>
    <definedName name="Z_A598ACE7_C3E8_4400_B80E_E7BA9453B8A3_.wvu.FilterData" localSheetId="3" hidden="1">'Listas (não utilizar)'!$F$2:$F$5</definedName>
    <definedName name="Z_AD69B6D1_19BC_4940_B666_EDC66A6E168F_.wvu.FilterData" localSheetId="3" hidden="1">'Listas (não utilizar)'!$A$1:$F$17</definedName>
    <definedName name="Z_C81C67C3_BEE5_43B5_A898_4FF9A711A2FF_.wvu.FilterData" localSheetId="3" hidden="1">'Listas (não utilizar)'!$F$2:$F$5</definedName>
    <definedName name="Z_D4268A78_2B91_4AE5_BC6A_318CAE2503F1_.wvu.FilterData" localSheetId="3" hidden="1">'Listas (não utilizar)'!$F$2:$F$5</definedName>
    <definedName name="Z_D8EF893F_7CCC_418F_8546_BBB4DB0B16B5_.wvu.FilterData" localSheetId="3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339" i="20" l="1"/>
  <c r="BD339" i="20"/>
  <c r="BC339" i="20"/>
  <c r="BE311" i="20"/>
  <c r="BD311" i="20"/>
  <c r="BC311" i="20"/>
  <c r="BE303" i="20"/>
  <c r="BD303" i="20"/>
  <c r="BC303" i="20"/>
  <c r="BE192" i="20"/>
  <c r="BD192" i="20"/>
  <c r="BC192" i="20"/>
  <c r="BE60" i="20"/>
  <c r="BD60" i="20"/>
  <c r="BC60" i="20"/>
  <c r="BE56" i="20"/>
  <c r="BD56" i="20"/>
  <c r="BC56" i="20"/>
  <c r="BE55" i="20"/>
  <c r="BD55" i="20"/>
  <c r="BC55" i="20"/>
  <c r="BE47" i="20"/>
  <c r="BD47" i="20"/>
  <c r="BC47" i="20"/>
  <c r="BE49" i="20"/>
  <c r="BD49" i="20"/>
  <c r="BC49" i="20"/>
  <c r="BE35" i="20"/>
  <c r="BD35" i="20"/>
  <c r="BC35" i="20"/>
  <c r="BE57" i="20"/>
  <c r="BD57" i="20"/>
  <c r="BC57" i="20"/>
  <c r="BC15" i="20"/>
  <c r="BD15" i="20"/>
  <c r="BE15" i="20"/>
  <c r="BC16" i="20"/>
  <c r="BD16" i="20"/>
  <c r="BE16" i="20"/>
  <c r="BC17" i="20"/>
  <c r="BD17" i="20"/>
  <c r="BE17" i="20"/>
  <c r="BC18" i="20"/>
  <c r="BD18" i="20"/>
  <c r="BE18" i="20"/>
  <c r="BC19" i="20"/>
  <c r="BD19" i="20"/>
  <c r="BE19" i="20"/>
  <c r="BC20" i="20"/>
  <c r="BD20" i="20"/>
  <c r="BE20" i="20"/>
  <c r="BC21" i="20"/>
  <c r="BD21" i="20"/>
  <c r="BE21" i="20"/>
  <c r="BC22" i="20"/>
  <c r="BD22" i="20"/>
  <c r="BE22" i="20"/>
  <c r="BC23" i="20"/>
  <c r="BD23" i="20"/>
  <c r="BE23" i="20"/>
  <c r="BC24" i="20"/>
  <c r="BD24" i="20"/>
  <c r="BE24" i="20"/>
  <c r="BC25" i="20"/>
  <c r="BD25" i="20"/>
  <c r="BE25" i="20"/>
  <c r="BC26" i="20"/>
  <c r="BD26" i="20"/>
  <c r="BE26" i="20"/>
  <c r="BC27" i="20"/>
  <c r="BD27" i="20"/>
  <c r="BE27" i="20"/>
  <c r="BC334" i="20"/>
  <c r="BD334" i="20"/>
  <c r="BE334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50" i="20"/>
  <c r="BD50" i="20"/>
  <c r="BE50" i="20"/>
  <c r="BC36" i="20"/>
  <c r="BD36" i="20"/>
  <c r="BE36" i="20"/>
  <c r="BC37" i="20"/>
  <c r="BD37" i="20"/>
  <c r="BE37" i="20"/>
  <c r="BC38" i="20"/>
  <c r="BD38" i="20"/>
  <c r="BE38" i="20"/>
  <c r="BC39" i="20"/>
  <c r="BD39" i="20"/>
  <c r="BE39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BC45" i="20"/>
  <c r="BD45" i="20"/>
  <c r="BE45" i="20"/>
  <c r="BC46" i="20"/>
  <c r="BD46" i="20"/>
  <c r="BE46" i="20"/>
  <c r="BC28" i="20"/>
  <c r="BD28" i="20"/>
  <c r="BE28" i="20"/>
  <c r="BC48" i="20"/>
  <c r="BD48" i="20"/>
  <c r="BE48" i="20"/>
  <c r="BC51" i="20"/>
  <c r="BD51" i="20"/>
  <c r="BE51" i="20"/>
  <c r="BC52" i="20"/>
  <c r="BD52" i="20"/>
  <c r="BE52" i="20"/>
  <c r="BC53" i="20"/>
  <c r="BD53" i="20"/>
  <c r="BE53" i="20"/>
  <c r="BC54" i="20"/>
  <c r="BD54" i="20"/>
  <c r="BE54" i="20"/>
  <c r="BC58" i="20"/>
  <c r="BD58" i="20"/>
  <c r="BE58" i="20"/>
  <c r="BC191" i="20"/>
  <c r="BD191" i="20"/>
  <c r="BE191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69" i="20"/>
  <c r="BD69" i="20"/>
  <c r="BE69" i="20"/>
  <c r="BC70" i="20"/>
  <c r="BD70" i="20"/>
  <c r="BE70" i="20"/>
  <c r="BC71" i="20"/>
  <c r="BD71" i="20"/>
  <c r="BE71" i="20"/>
  <c r="BC72" i="20"/>
  <c r="BD72" i="20"/>
  <c r="BE72" i="20"/>
  <c r="BC73" i="20"/>
  <c r="BD73" i="20"/>
  <c r="BE73" i="20"/>
  <c r="BC74" i="20"/>
  <c r="BD74" i="20"/>
  <c r="BE74" i="20"/>
  <c r="BC75" i="20"/>
  <c r="BD75" i="20"/>
  <c r="BE75" i="20"/>
  <c r="BC76" i="20"/>
  <c r="BD76" i="20"/>
  <c r="BE76" i="20"/>
  <c r="BC77" i="20"/>
  <c r="BD77" i="20"/>
  <c r="BE77" i="20"/>
  <c r="BC78" i="20"/>
  <c r="BD78" i="20"/>
  <c r="BE78" i="20"/>
  <c r="BC79" i="20"/>
  <c r="BD79" i="20"/>
  <c r="BE79" i="20"/>
  <c r="BC80" i="20"/>
  <c r="BD80" i="20"/>
  <c r="BE80" i="20"/>
  <c r="BC81" i="20"/>
  <c r="BD81" i="20"/>
  <c r="BE81" i="20"/>
  <c r="BC82" i="20"/>
  <c r="BD82" i="20"/>
  <c r="BE82" i="20"/>
  <c r="BC83" i="20"/>
  <c r="BD83" i="20"/>
  <c r="BE83" i="20"/>
  <c r="BC84" i="20"/>
  <c r="BD84" i="20"/>
  <c r="BE84" i="20"/>
  <c r="BC85" i="20"/>
  <c r="BD85" i="20"/>
  <c r="BE85" i="20"/>
  <c r="BC86" i="20"/>
  <c r="BD86" i="20"/>
  <c r="BE86" i="20"/>
  <c r="BC87" i="20"/>
  <c r="BD87" i="20"/>
  <c r="BE87" i="20"/>
  <c r="BC88" i="20"/>
  <c r="BD88" i="20"/>
  <c r="BE88" i="20"/>
  <c r="BC89" i="20"/>
  <c r="BD89" i="20"/>
  <c r="BE89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99" i="20"/>
  <c r="BD99" i="20"/>
  <c r="BE99" i="20"/>
  <c r="BC100" i="20"/>
  <c r="BD100" i="20"/>
  <c r="BE100" i="20"/>
  <c r="BC101" i="20"/>
  <c r="BD101" i="20"/>
  <c r="BE101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106" i="20"/>
  <c r="BD106" i="20"/>
  <c r="BE106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16" i="20"/>
  <c r="BD116" i="20"/>
  <c r="BE116" i="20"/>
  <c r="BC117" i="20"/>
  <c r="BD117" i="20"/>
  <c r="BE117" i="20"/>
  <c r="BC118" i="20"/>
  <c r="BD118" i="20"/>
  <c r="BE118" i="20"/>
  <c r="BC119" i="20"/>
  <c r="BD119" i="20"/>
  <c r="BE119" i="20"/>
  <c r="BC120" i="20"/>
  <c r="BD120" i="20"/>
  <c r="BE120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7" i="20"/>
  <c r="BD127" i="20"/>
  <c r="BE127" i="20"/>
  <c r="BC128" i="20"/>
  <c r="BD128" i="20"/>
  <c r="BE128" i="20"/>
  <c r="BC129" i="20"/>
  <c r="BD129" i="20"/>
  <c r="BE129" i="20"/>
  <c r="BC130" i="20"/>
  <c r="BD130" i="20"/>
  <c r="BE130" i="20"/>
  <c r="BC131" i="20"/>
  <c r="BD131" i="20"/>
  <c r="BE131" i="20"/>
  <c r="BC132" i="20"/>
  <c r="BD132" i="20"/>
  <c r="BE132" i="20"/>
  <c r="BC133" i="20"/>
  <c r="BD133" i="20"/>
  <c r="BE133" i="20"/>
  <c r="BC134" i="20"/>
  <c r="BD134" i="20"/>
  <c r="BE134" i="20"/>
  <c r="BC135" i="20"/>
  <c r="BD135" i="20"/>
  <c r="BE135" i="20"/>
  <c r="BC136" i="20"/>
  <c r="BD136" i="20"/>
  <c r="BE136" i="20"/>
  <c r="BC137" i="20"/>
  <c r="BD137" i="20"/>
  <c r="BE137" i="20"/>
  <c r="BC138" i="20"/>
  <c r="BD138" i="20"/>
  <c r="BE138" i="20"/>
  <c r="BC139" i="20"/>
  <c r="BD139" i="20"/>
  <c r="BE139" i="20"/>
  <c r="BC140" i="20"/>
  <c r="BD140" i="20"/>
  <c r="BE140" i="20"/>
  <c r="BC141" i="20"/>
  <c r="BD141" i="20"/>
  <c r="BE141" i="20"/>
  <c r="BC142" i="20"/>
  <c r="BD142" i="20"/>
  <c r="BE142" i="20"/>
  <c r="BC143" i="20"/>
  <c r="BD143" i="20"/>
  <c r="BE143" i="20"/>
  <c r="BC144" i="20"/>
  <c r="BD144" i="20"/>
  <c r="BE144" i="20"/>
  <c r="BC145" i="20"/>
  <c r="BD145" i="20"/>
  <c r="BE145" i="20"/>
  <c r="BC146" i="20"/>
  <c r="BD146" i="20"/>
  <c r="BE146" i="20"/>
  <c r="BC147" i="20"/>
  <c r="BD147" i="20"/>
  <c r="BE147" i="20"/>
  <c r="BC148" i="20"/>
  <c r="BD148" i="20"/>
  <c r="BE148" i="20"/>
  <c r="BC149" i="20"/>
  <c r="BD149" i="20"/>
  <c r="BE149" i="20"/>
  <c r="BC150" i="20"/>
  <c r="BD150" i="20"/>
  <c r="BE150" i="20"/>
  <c r="BC151" i="20"/>
  <c r="BD151" i="20"/>
  <c r="BE151" i="20"/>
  <c r="BC152" i="20"/>
  <c r="BD152" i="20"/>
  <c r="BE152" i="20"/>
  <c r="BC153" i="20"/>
  <c r="BD153" i="20"/>
  <c r="BE153" i="20"/>
  <c r="BC154" i="20"/>
  <c r="BD154" i="20"/>
  <c r="BE154" i="20"/>
  <c r="BC155" i="20"/>
  <c r="BD155" i="20"/>
  <c r="BE155" i="20"/>
  <c r="BC156" i="20"/>
  <c r="BD156" i="20"/>
  <c r="BE156" i="20"/>
  <c r="BC157" i="20"/>
  <c r="BD157" i="20"/>
  <c r="BE157" i="20"/>
  <c r="BC158" i="20"/>
  <c r="BD158" i="20"/>
  <c r="BE158" i="20"/>
  <c r="BC159" i="20"/>
  <c r="BD159" i="20"/>
  <c r="BE159" i="20"/>
  <c r="BC160" i="20"/>
  <c r="BD160" i="20"/>
  <c r="BE160" i="20"/>
  <c r="BC161" i="20"/>
  <c r="BD161" i="20"/>
  <c r="BE161" i="20"/>
  <c r="BC162" i="20"/>
  <c r="BD162" i="20"/>
  <c r="BE162" i="20"/>
  <c r="BC163" i="20"/>
  <c r="BD163" i="20"/>
  <c r="BE163" i="20"/>
  <c r="BC164" i="20"/>
  <c r="BD164" i="20"/>
  <c r="BE164" i="20"/>
  <c r="BC165" i="20"/>
  <c r="BD165" i="20"/>
  <c r="BE165" i="20"/>
  <c r="BC166" i="20"/>
  <c r="BD166" i="20"/>
  <c r="BE166" i="20"/>
  <c r="BC167" i="20"/>
  <c r="BD167" i="20"/>
  <c r="BE167" i="20"/>
  <c r="BC168" i="20"/>
  <c r="BD168" i="20"/>
  <c r="BE168" i="20"/>
  <c r="BC169" i="20"/>
  <c r="BD169" i="20"/>
  <c r="BE169" i="20"/>
  <c r="BC59" i="20"/>
  <c r="BD59" i="20"/>
  <c r="BE59" i="20"/>
  <c r="BC171" i="20"/>
  <c r="BD171" i="20"/>
  <c r="BE171" i="20"/>
  <c r="BC172" i="20"/>
  <c r="BD172" i="20"/>
  <c r="BE172" i="20"/>
  <c r="BC173" i="20"/>
  <c r="BD173" i="20"/>
  <c r="BE173" i="20"/>
  <c r="BC174" i="20"/>
  <c r="BD174" i="20"/>
  <c r="BE174" i="20"/>
  <c r="BC175" i="20"/>
  <c r="BD175" i="20"/>
  <c r="BE175" i="20"/>
  <c r="BC176" i="20"/>
  <c r="BD176" i="20"/>
  <c r="BE176" i="20"/>
  <c r="BC177" i="20"/>
  <c r="BD177" i="20"/>
  <c r="BE177" i="20"/>
  <c r="BC178" i="20"/>
  <c r="BD178" i="20"/>
  <c r="BE178" i="20"/>
  <c r="BC179" i="20"/>
  <c r="BD179" i="20"/>
  <c r="BE179" i="20"/>
  <c r="BC180" i="20"/>
  <c r="BD180" i="20"/>
  <c r="BE180" i="20"/>
  <c r="BC181" i="20"/>
  <c r="BD181" i="20"/>
  <c r="BE181" i="20"/>
  <c r="BC182" i="20"/>
  <c r="BD182" i="20"/>
  <c r="BE182" i="20"/>
  <c r="BC183" i="20"/>
  <c r="BD183" i="20"/>
  <c r="BE183" i="20"/>
  <c r="BC184" i="20"/>
  <c r="BD184" i="20"/>
  <c r="BE184" i="20"/>
  <c r="BC185" i="20"/>
  <c r="BD185" i="20"/>
  <c r="BE185" i="20"/>
  <c r="BC186" i="20"/>
  <c r="BD186" i="20"/>
  <c r="BE186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170" i="20"/>
  <c r="BD170" i="20"/>
  <c r="BE170" i="20"/>
  <c r="BC193" i="20"/>
  <c r="BD193" i="20"/>
  <c r="BE193" i="20"/>
  <c r="BC194" i="20"/>
  <c r="BD194" i="20"/>
  <c r="BE194" i="20"/>
  <c r="BC195" i="20"/>
  <c r="BD195" i="20"/>
  <c r="BE195" i="20"/>
  <c r="BC196" i="20"/>
  <c r="BD196" i="20"/>
  <c r="BE196" i="20"/>
  <c r="BC197" i="20"/>
  <c r="BD197" i="20"/>
  <c r="BE197" i="20"/>
  <c r="BC198" i="20"/>
  <c r="BD198" i="20"/>
  <c r="BE198" i="20"/>
  <c r="BC199" i="20"/>
  <c r="BD199" i="20"/>
  <c r="BE199" i="20"/>
  <c r="BC200" i="20"/>
  <c r="BD200" i="20"/>
  <c r="BE200" i="20"/>
  <c r="BC201" i="20"/>
  <c r="BD201" i="20"/>
  <c r="BE201" i="20"/>
  <c r="BC202" i="20"/>
  <c r="BD202" i="20"/>
  <c r="BE202" i="20"/>
  <c r="BC203" i="20"/>
  <c r="BD203" i="20"/>
  <c r="BE203" i="20"/>
  <c r="BC204" i="20"/>
  <c r="BD204" i="20"/>
  <c r="BE204" i="20"/>
  <c r="BC205" i="20"/>
  <c r="BD205" i="20"/>
  <c r="BE205" i="20"/>
  <c r="BC206" i="20"/>
  <c r="BD206" i="20"/>
  <c r="BE206" i="20"/>
  <c r="BC207" i="20"/>
  <c r="BD207" i="20"/>
  <c r="BE207" i="20"/>
  <c r="BC208" i="20"/>
  <c r="BD208" i="20"/>
  <c r="BE208" i="20"/>
  <c r="BC209" i="20"/>
  <c r="BD209" i="20"/>
  <c r="BE209" i="20"/>
  <c r="BC210" i="20"/>
  <c r="BD210" i="20"/>
  <c r="BE210" i="20"/>
  <c r="BC211" i="20"/>
  <c r="BD211" i="20"/>
  <c r="BE211" i="20"/>
  <c r="BC212" i="20"/>
  <c r="BD212" i="20"/>
  <c r="BE212" i="20"/>
  <c r="BC213" i="20"/>
  <c r="BD213" i="20"/>
  <c r="BE213" i="20"/>
  <c r="BC214" i="20"/>
  <c r="BD214" i="20"/>
  <c r="BE214" i="20"/>
  <c r="BC215" i="20"/>
  <c r="BD215" i="20"/>
  <c r="BE215" i="20"/>
  <c r="BC216" i="20"/>
  <c r="BD216" i="20"/>
  <c r="BE216" i="20"/>
  <c r="BC217" i="20"/>
  <c r="BD217" i="20"/>
  <c r="BE217" i="20"/>
  <c r="BC218" i="20"/>
  <c r="BD218" i="20"/>
  <c r="BE218" i="20"/>
  <c r="BC219" i="20"/>
  <c r="BD219" i="20"/>
  <c r="BE219" i="20"/>
  <c r="BC220" i="20"/>
  <c r="BD220" i="20"/>
  <c r="BE220" i="20"/>
  <c r="BC221" i="20"/>
  <c r="BD221" i="20"/>
  <c r="BE221" i="20"/>
  <c r="BC222" i="20"/>
  <c r="BD222" i="20"/>
  <c r="BE222" i="20"/>
  <c r="BC223" i="20"/>
  <c r="BD223" i="20"/>
  <c r="BE223" i="20"/>
  <c r="BC224" i="20"/>
  <c r="BD224" i="20"/>
  <c r="BE224" i="20"/>
  <c r="BC225" i="20"/>
  <c r="BD225" i="20"/>
  <c r="BE225" i="20"/>
  <c r="BC226" i="20"/>
  <c r="BD226" i="20"/>
  <c r="BE226" i="20"/>
  <c r="BC227" i="20"/>
  <c r="BD227" i="20"/>
  <c r="BE227" i="20"/>
  <c r="BC228" i="20"/>
  <c r="BD228" i="20"/>
  <c r="BE228" i="20"/>
  <c r="BC229" i="20"/>
  <c r="BD229" i="20"/>
  <c r="BE229" i="20"/>
  <c r="BC230" i="20"/>
  <c r="BD230" i="20"/>
  <c r="BE230" i="20"/>
  <c r="BC231" i="20"/>
  <c r="BD231" i="20"/>
  <c r="BE231" i="20"/>
  <c r="BC232" i="20"/>
  <c r="BD232" i="20"/>
  <c r="BE232" i="20"/>
  <c r="BC233" i="20"/>
  <c r="BD233" i="20"/>
  <c r="BE233" i="20"/>
  <c r="BC234" i="20"/>
  <c r="BD234" i="20"/>
  <c r="BE234" i="20"/>
  <c r="BC235" i="20"/>
  <c r="BD235" i="20"/>
  <c r="BE235" i="20"/>
  <c r="BC236" i="20"/>
  <c r="BD236" i="20"/>
  <c r="BE236" i="20"/>
  <c r="BC237" i="20"/>
  <c r="BD237" i="20"/>
  <c r="BE237" i="20"/>
  <c r="BC238" i="20"/>
  <c r="BD238" i="20"/>
  <c r="BE238" i="20"/>
  <c r="BC239" i="20"/>
  <c r="BD239" i="20"/>
  <c r="BE239" i="20"/>
  <c r="BC240" i="20"/>
  <c r="BD240" i="20"/>
  <c r="BE240" i="20"/>
  <c r="BC241" i="20"/>
  <c r="BD241" i="20"/>
  <c r="BE241" i="20"/>
  <c r="BC242" i="20"/>
  <c r="BD242" i="20"/>
  <c r="BE242" i="20"/>
  <c r="BC243" i="20"/>
  <c r="BD243" i="20"/>
  <c r="BE243" i="20"/>
  <c r="BC244" i="20"/>
  <c r="BD244" i="20"/>
  <c r="BE244" i="20"/>
  <c r="BC245" i="20"/>
  <c r="BD245" i="20"/>
  <c r="BE245" i="20"/>
  <c r="BC246" i="20"/>
  <c r="BD246" i="20"/>
  <c r="BE246" i="20"/>
  <c r="BC247" i="20"/>
  <c r="BD247" i="20"/>
  <c r="BE247" i="20"/>
  <c r="BC248" i="20"/>
  <c r="BD248" i="20"/>
  <c r="BE248" i="20"/>
  <c r="BC249" i="20"/>
  <c r="BD249" i="20"/>
  <c r="BE249" i="20"/>
  <c r="BC250" i="20"/>
  <c r="BD250" i="20"/>
  <c r="BE250" i="20"/>
  <c r="BC251" i="20"/>
  <c r="BD251" i="20"/>
  <c r="BE251" i="20"/>
  <c r="BC252" i="20"/>
  <c r="BD252" i="20"/>
  <c r="BE252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BC257" i="20"/>
  <c r="BD257" i="20"/>
  <c r="BE257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264" i="20"/>
  <c r="BD264" i="20"/>
  <c r="BE264" i="20"/>
  <c r="BC265" i="20"/>
  <c r="BD265" i="20"/>
  <c r="BE265" i="20"/>
  <c r="BC266" i="20"/>
  <c r="BD266" i="20"/>
  <c r="BE266" i="20"/>
  <c r="BC267" i="20"/>
  <c r="BD267" i="20"/>
  <c r="BE267" i="20"/>
  <c r="BC268" i="20"/>
  <c r="BD268" i="20"/>
  <c r="BE268" i="20"/>
  <c r="BC269" i="20"/>
  <c r="BD269" i="20"/>
  <c r="BE269" i="20"/>
  <c r="BC270" i="20"/>
  <c r="BD270" i="20"/>
  <c r="BE270" i="20"/>
  <c r="BC271" i="20"/>
  <c r="BD271" i="20"/>
  <c r="BE271" i="20"/>
  <c r="BC272" i="20"/>
  <c r="BD272" i="20"/>
  <c r="BE272" i="20"/>
  <c r="BC273" i="20"/>
  <c r="BD273" i="20"/>
  <c r="BE273" i="20"/>
  <c r="BC274" i="20"/>
  <c r="BD274" i="20"/>
  <c r="BE274" i="20"/>
  <c r="BC275" i="20"/>
  <c r="BD275" i="20"/>
  <c r="BE275" i="20"/>
  <c r="BC276" i="20"/>
  <c r="BD276" i="20"/>
  <c r="BE276" i="20"/>
  <c r="BC277" i="20"/>
  <c r="BD277" i="20"/>
  <c r="BE277" i="20"/>
  <c r="BC278" i="20"/>
  <c r="BD278" i="20"/>
  <c r="BE278" i="20"/>
  <c r="BC279" i="20"/>
  <c r="BD279" i="20"/>
  <c r="BE279" i="20"/>
  <c r="BC280" i="20"/>
  <c r="BD280" i="20"/>
  <c r="BE280" i="20"/>
  <c r="BC281" i="20"/>
  <c r="BD281" i="20"/>
  <c r="BE281" i="20"/>
  <c r="BC282" i="20"/>
  <c r="BD282" i="20"/>
  <c r="BE282" i="20"/>
  <c r="BC283" i="20"/>
  <c r="BD283" i="20"/>
  <c r="BE283" i="20"/>
  <c r="BC284" i="20"/>
  <c r="BD284" i="20"/>
  <c r="BE284" i="20"/>
  <c r="BC285" i="20"/>
  <c r="BD285" i="20"/>
  <c r="BE285" i="20"/>
  <c r="BC286" i="20"/>
  <c r="BD286" i="20"/>
  <c r="BE286" i="20"/>
  <c r="BC287" i="20"/>
  <c r="BD287" i="20"/>
  <c r="BE287" i="20"/>
  <c r="BC288" i="20"/>
  <c r="BD288" i="20"/>
  <c r="BE288" i="20"/>
  <c r="BC289" i="20"/>
  <c r="BD289" i="20"/>
  <c r="BE289" i="20"/>
  <c r="BC290" i="20"/>
  <c r="BD290" i="20"/>
  <c r="BE290" i="20"/>
  <c r="BC291" i="20"/>
  <c r="BD291" i="20"/>
  <c r="BE291" i="20"/>
  <c r="BC292" i="20"/>
  <c r="BD292" i="20"/>
  <c r="BE292" i="20"/>
  <c r="BC293" i="20"/>
  <c r="BD293" i="20"/>
  <c r="BE293" i="20"/>
  <c r="BC294" i="20"/>
  <c r="BD294" i="20"/>
  <c r="BE294" i="20"/>
  <c r="BC295" i="20"/>
  <c r="BD295" i="20"/>
  <c r="BE295" i="20"/>
  <c r="BC296" i="20"/>
  <c r="BD296" i="20"/>
  <c r="BE296" i="20"/>
  <c r="BC297" i="20"/>
  <c r="BD297" i="20"/>
  <c r="BE297" i="20"/>
  <c r="BC298" i="20"/>
  <c r="BD298" i="20"/>
  <c r="BE298" i="20"/>
  <c r="BC299" i="20"/>
  <c r="BD299" i="20"/>
  <c r="BE299" i="20"/>
  <c r="BC300" i="20"/>
  <c r="BD300" i="20"/>
  <c r="BE300" i="20"/>
  <c r="BC301" i="20"/>
  <c r="BD301" i="20"/>
  <c r="BE301" i="20"/>
  <c r="BC302" i="20"/>
  <c r="BD302" i="20"/>
  <c r="BE302" i="20"/>
  <c r="BC304" i="20"/>
  <c r="BD304" i="20"/>
  <c r="BE304" i="20"/>
  <c r="BC305" i="20"/>
  <c r="BD305" i="20"/>
  <c r="BE305" i="20"/>
  <c r="BC306" i="20"/>
  <c r="BD306" i="20"/>
  <c r="BE306" i="20"/>
  <c r="BC307" i="20"/>
  <c r="BD307" i="20"/>
  <c r="BE307" i="20"/>
  <c r="BC308" i="20"/>
  <c r="BD308" i="20"/>
  <c r="BE308" i="20"/>
  <c r="BC309" i="20"/>
  <c r="BD309" i="20"/>
  <c r="BE309" i="20"/>
  <c r="BC310" i="20"/>
  <c r="BD310" i="20"/>
  <c r="BE310" i="20"/>
  <c r="BC312" i="20"/>
  <c r="BD312" i="20"/>
  <c r="BE312" i="20"/>
  <c r="BC313" i="20"/>
  <c r="BD313" i="20"/>
  <c r="BE313" i="20"/>
  <c r="BC314" i="20"/>
  <c r="BD314" i="20"/>
  <c r="BE314" i="20"/>
  <c r="BC315" i="20"/>
  <c r="BD315" i="20"/>
  <c r="BE315" i="20"/>
  <c r="BD316" i="20"/>
  <c r="BE316" i="20"/>
  <c r="BC317" i="20"/>
  <c r="BD317" i="20"/>
  <c r="BE317" i="20"/>
  <c r="BD318" i="20"/>
  <c r="BE318" i="20"/>
  <c r="BC319" i="20"/>
  <c r="BD319" i="20"/>
  <c r="BE319" i="20"/>
  <c r="BC320" i="20"/>
  <c r="BD320" i="20"/>
  <c r="BE320" i="20"/>
  <c r="BC321" i="20"/>
  <c r="BD321" i="20"/>
  <c r="BE321" i="20"/>
  <c r="BC322" i="20"/>
  <c r="BD322" i="20"/>
  <c r="BE322" i="20"/>
  <c r="BC323" i="20"/>
  <c r="BD323" i="20"/>
  <c r="BE323" i="20"/>
  <c r="BC324" i="20"/>
  <c r="BD324" i="20"/>
  <c r="BE324" i="20"/>
  <c r="BC325" i="20"/>
  <c r="BD325" i="20"/>
  <c r="BE325" i="20"/>
  <c r="BC326" i="20"/>
  <c r="BD326" i="20"/>
  <c r="BE326" i="20"/>
  <c r="BC327" i="20"/>
  <c r="BD327" i="20"/>
  <c r="BE327" i="20"/>
  <c r="BC328" i="20"/>
  <c r="BD328" i="20"/>
  <c r="BE328" i="20"/>
  <c r="BC329" i="20"/>
  <c r="BD329" i="20"/>
  <c r="BE329" i="20"/>
  <c r="BC330" i="20"/>
  <c r="BD330" i="20"/>
  <c r="BE330" i="20"/>
  <c r="BC331" i="20"/>
  <c r="BD331" i="20"/>
  <c r="BE331" i="20"/>
  <c r="BC332" i="20"/>
  <c r="BD332" i="20"/>
  <c r="BE332" i="20"/>
  <c r="BC333" i="20"/>
  <c r="BD333" i="20"/>
  <c r="BE333" i="20"/>
  <c r="BC335" i="20"/>
  <c r="BD335" i="20"/>
  <c r="BE335" i="20"/>
  <c r="BC336" i="20"/>
  <c r="BD336" i="20"/>
  <c r="BE336" i="20"/>
  <c r="BC337" i="20"/>
  <c r="BD337" i="20"/>
  <c r="BE337" i="20"/>
  <c r="BC338" i="20"/>
  <c r="BD338" i="20"/>
  <c r="BE338" i="20"/>
  <c r="BC340" i="20"/>
  <c r="BD340" i="20"/>
  <c r="BE340" i="20"/>
  <c r="BC341" i="20"/>
  <c r="BD341" i="20"/>
  <c r="BE341" i="20"/>
  <c r="BC342" i="20"/>
  <c r="BD342" i="20"/>
  <c r="BE342" i="20"/>
  <c r="BC343" i="20"/>
  <c r="BD343" i="20"/>
  <c r="BE343" i="20"/>
  <c r="BC344" i="20"/>
  <c r="BD344" i="20"/>
  <c r="BE344" i="20"/>
  <c r="BC345" i="20"/>
  <c r="BD345" i="20"/>
  <c r="BE345" i="20"/>
  <c r="BC346" i="20"/>
  <c r="BD346" i="20"/>
  <c r="BE346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1" i="20"/>
  <c r="BD351" i="20"/>
  <c r="BE351" i="20"/>
  <c r="BC352" i="20"/>
  <c r="BD352" i="20"/>
  <c r="BE352" i="20"/>
  <c r="BC353" i="20"/>
  <c r="BD353" i="20"/>
  <c r="BE353" i="20"/>
  <c r="BC354" i="20"/>
  <c r="BD354" i="20"/>
  <c r="BE354" i="20"/>
  <c r="BC355" i="20"/>
  <c r="BD355" i="20"/>
  <c r="BE355" i="20"/>
  <c r="BC356" i="20"/>
  <c r="BD356" i="20"/>
  <c r="BE356" i="20"/>
  <c r="BC357" i="20"/>
  <c r="BD357" i="20"/>
  <c r="BE357" i="20"/>
  <c r="BC358" i="20"/>
  <c r="BD358" i="20"/>
  <c r="BE358" i="20"/>
  <c r="BC359" i="20"/>
  <c r="BD359" i="20"/>
  <c r="BE359" i="20"/>
  <c r="BC360" i="20"/>
  <c r="BD360" i="20"/>
  <c r="BE360" i="20"/>
  <c r="BC361" i="20"/>
  <c r="BD361" i="20"/>
  <c r="BE361" i="20"/>
  <c r="BC362" i="20"/>
  <c r="BD362" i="20"/>
  <c r="BE362" i="20"/>
  <c r="BC363" i="20"/>
  <c r="BD363" i="20"/>
  <c r="BE363" i="20"/>
  <c r="BC364" i="20"/>
  <c r="BD364" i="20"/>
  <c r="BE364" i="20"/>
  <c r="BC365" i="20"/>
  <c r="BD365" i="20"/>
  <c r="BE365" i="20"/>
  <c r="BC366" i="20"/>
  <c r="BD366" i="20"/>
  <c r="BE366" i="20"/>
  <c r="BC367" i="20"/>
  <c r="BD367" i="20"/>
  <c r="BE367" i="20"/>
  <c r="BC368" i="20"/>
  <c r="BD368" i="20"/>
  <c r="BE368" i="20"/>
  <c r="BC369" i="20"/>
  <c r="BD369" i="20"/>
  <c r="BE369" i="20"/>
  <c r="BC370" i="20"/>
  <c r="BD370" i="20"/>
  <c r="BE370" i="20"/>
  <c r="BC371" i="20"/>
  <c r="BD371" i="20"/>
  <c r="BE371" i="20"/>
  <c r="BC372" i="20"/>
  <c r="BD372" i="20"/>
  <c r="BE372" i="20"/>
  <c r="BC373" i="20"/>
  <c r="BD373" i="20"/>
  <c r="BE373" i="20"/>
  <c r="BC374" i="20"/>
  <c r="BD374" i="20"/>
  <c r="BE374" i="20"/>
  <c r="BC375" i="20"/>
  <c r="BD375" i="20"/>
  <c r="BE375" i="20"/>
  <c r="BC376" i="20"/>
  <c r="BD376" i="20"/>
  <c r="BE376" i="20"/>
  <c r="BC377" i="20"/>
  <c r="BD377" i="20"/>
  <c r="BE377" i="20"/>
  <c r="BC378" i="20"/>
  <c r="BD378" i="20"/>
  <c r="BE378" i="20"/>
  <c r="BC379" i="20"/>
  <c r="BD379" i="20"/>
  <c r="BE379" i="20"/>
  <c r="BC380" i="20"/>
  <c r="BD380" i="20"/>
  <c r="BE380" i="20"/>
  <c r="BC381" i="20"/>
  <c r="BD381" i="20"/>
  <c r="BE381" i="20"/>
  <c r="BC382" i="20"/>
  <c r="BD382" i="20"/>
  <c r="BE382" i="20"/>
  <c r="BC383" i="20"/>
  <c r="BD383" i="20"/>
  <c r="BE383" i="20"/>
  <c r="BC384" i="20"/>
  <c r="BD384" i="20"/>
  <c r="BE384" i="20"/>
  <c r="BC385" i="20"/>
  <c r="BD385" i="20"/>
  <c r="BE385" i="20"/>
  <c r="BC386" i="20"/>
  <c r="BD386" i="20"/>
  <c r="BE386" i="20"/>
  <c r="BC387" i="20"/>
  <c r="BD387" i="20"/>
  <c r="BE387" i="20"/>
  <c r="BC388" i="20"/>
  <c r="BD388" i="20"/>
  <c r="BE388" i="20"/>
  <c r="BC389" i="20"/>
  <c r="BD389" i="20"/>
  <c r="BE389" i="20"/>
  <c r="BC390" i="20"/>
  <c r="BD390" i="20"/>
  <c r="BE390" i="20"/>
  <c r="BC391" i="20"/>
  <c r="BD391" i="20"/>
  <c r="BE391" i="20"/>
  <c r="BC392" i="20"/>
  <c r="BD392" i="20"/>
  <c r="BE392" i="20"/>
  <c r="BC393" i="20"/>
  <c r="BD393" i="20"/>
  <c r="BE393" i="20"/>
  <c r="BC394" i="20"/>
  <c r="BD394" i="20"/>
  <c r="BE394" i="20"/>
  <c r="BC395" i="20"/>
  <c r="BD395" i="20"/>
  <c r="BE395" i="20"/>
  <c r="BC396" i="20"/>
  <c r="BD396" i="20"/>
  <c r="BE396" i="20"/>
  <c r="BC397" i="20"/>
  <c r="BD397" i="20"/>
  <c r="BE397" i="20"/>
  <c r="BC398" i="20"/>
  <c r="BD398" i="20"/>
  <c r="BE398" i="20"/>
  <c r="BC399" i="20"/>
  <c r="BD399" i="20"/>
  <c r="BE399" i="20"/>
  <c r="BC400" i="20"/>
  <c r="BD400" i="20"/>
  <c r="BE400" i="20"/>
  <c r="BC401" i="20"/>
  <c r="BD401" i="20"/>
  <c r="BE401" i="20"/>
  <c r="BC402" i="20"/>
  <c r="BD402" i="20"/>
  <c r="BE402" i="20"/>
  <c r="BC403" i="20"/>
  <c r="BD403" i="20"/>
  <c r="BE403" i="20"/>
  <c r="BC404" i="20"/>
  <c r="BD404" i="20"/>
  <c r="BE404" i="20"/>
  <c r="BC405" i="20"/>
  <c r="BD405" i="20"/>
  <c r="BE405" i="20"/>
  <c r="BC406" i="20"/>
  <c r="BD406" i="20"/>
  <c r="BE406" i="20"/>
  <c r="BC407" i="20"/>
  <c r="BD407" i="20"/>
  <c r="BE407" i="20"/>
  <c r="BC408" i="20"/>
  <c r="BD408" i="20"/>
  <c r="BE408" i="20"/>
  <c r="BC409" i="20"/>
  <c r="BD409" i="20"/>
  <c r="BE409" i="20"/>
  <c r="BC410" i="20"/>
  <c r="BD410" i="20"/>
  <c r="BE410" i="20"/>
  <c r="BC411" i="20"/>
  <c r="BD411" i="20"/>
  <c r="BE411" i="20"/>
  <c r="BC412" i="20"/>
  <c r="BD412" i="20"/>
  <c r="BE412" i="20"/>
  <c r="BC413" i="20"/>
  <c r="BD413" i="20"/>
  <c r="BE413" i="20"/>
  <c r="BC414" i="20"/>
  <c r="BD414" i="20"/>
  <c r="BE414" i="20"/>
  <c r="BC415" i="20"/>
  <c r="BD415" i="20"/>
  <c r="BE415" i="20"/>
  <c r="BC416" i="20"/>
  <c r="BD416" i="20"/>
  <c r="BE416" i="20"/>
  <c r="BE14" i="20"/>
  <c r="BD14" i="20"/>
  <c r="BC14" i="20"/>
  <c r="AH50" i="20"/>
  <c r="AH56" i="20"/>
  <c r="AH15" i="20"/>
  <c r="AH103" i="20"/>
  <c r="AH98" i="20"/>
  <c r="AH99" i="20"/>
  <c r="AH101" i="20"/>
  <c r="AH110" i="20"/>
  <c r="AH119" i="20"/>
  <c r="AH122" i="20"/>
  <c r="AH134" i="20"/>
  <c r="AH142" i="20"/>
  <c r="AH230" i="20"/>
  <c r="AH245" i="20"/>
  <c r="AH247" i="20"/>
  <c r="AH298" i="20"/>
  <c r="AH295" i="20"/>
  <c r="AH258" i="20"/>
  <c r="AH112" i="20"/>
  <c r="AH114" i="20"/>
  <c r="AH113" i="20"/>
  <c r="AH261" i="20"/>
  <c r="AH226" i="20"/>
  <c r="AH175" i="20"/>
  <c r="AH151" i="20"/>
  <c r="AH165" i="20"/>
  <c r="AH80" i="20"/>
  <c r="AH177" i="20"/>
  <c r="AH300" i="20"/>
  <c r="AH172" i="20"/>
  <c r="AH238" i="20"/>
  <c r="AH206" i="20"/>
  <c r="AH250" i="20"/>
  <c r="AH312" i="20"/>
  <c r="AH268" i="20"/>
  <c r="AH309" i="20"/>
  <c r="AH307" i="20"/>
  <c r="AH324" i="20"/>
  <c r="AH306" i="20"/>
  <c r="AH202" i="20"/>
  <c r="AH209" i="20"/>
  <c r="AH106" i="20"/>
  <c r="AH176" i="20"/>
  <c r="AG150" i="20"/>
  <c r="AG246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<sst xmlns="http://schemas.openxmlformats.org/spreadsheetml/2006/main" count="22933" uniqueCount="7680">
  <si>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</si>
  <si>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</si>
  <si>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</si>
  <si>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</si>
  <si>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</si>
  <si>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</si>
  <si>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</si>
  <si>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</si>
  <si>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</si>
  <si>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</si>
  <si>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</si>
  <si>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</si>
  <si>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</si>
  <si>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</si>
  <si>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</si>
  <si>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</si>
  <si>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</si>
  <si>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</si>
  <si>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</si>
  <si>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</si>
  <si>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</si>
  <si>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</si>
  <si>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</si>
  <si>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</si>
  <si>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</si>
  <si>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</si>
  <si>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</si>
  <si>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</si>
  <si>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</si>
  <si>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</si>
  <si>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</si>
  <si>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</si>
  <si>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</si>
  <si>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</si>
  <si>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</si>
  <si>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</si>
  <si>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</si>
  <si>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</si>
  <si>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</si>
  <si>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</si>
  <si>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</si>
  <si>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</si>
  <si>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</si>
  <si>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</si>
  <si>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                                        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</si>
  <si>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</si>
  <si>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</si>
  <si>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</si>
  <si>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</si>
  <si>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</si>
  <si>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</si>
  <si>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</si>
  <si>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</si>
  <si>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                                                        AUXÍLIO ALUGUEL ÁREA</t>
  </si>
  <si>
    <t>No PROCESSO SEI                                                               (AUXÍLIO ALUGUEL)</t>
  </si>
  <si>
    <t>ANÁLISE DTS                                              CADASTRO + CHECAGEM DUPLO</t>
  </si>
  <si>
    <t>INSTRUÇÃO PROCESSO SEI                                                     DTS</t>
  </si>
  <si>
    <t>ANÁLISE CTS                                                                      ASSINATURA GABINETE</t>
  </si>
  <si>
    <t>DATA PUBLICAÇÃO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</si>
  <si>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</si>
  <si>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</si>
  <si>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</si>
  <si>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</si>
  <si>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</si>
  <si>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</si>
  <si>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</si>
  <si>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</si>
  <si>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</si>
  <si>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</si>
  <si>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</si>
  <si>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      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</si>
  <si>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</si>
  <si>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</si>
  <si>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</si>
  <si>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</si>
  <si>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</si>
  <si>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</si>
  <si>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</si>
  <si>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                               DTS</t>
  </si>
  <si>
    <t>ASSINATURA  DIRETOR          DTS</t>
  </si>
  <si>
    <t>ELABORAÇÃO DESPACHO CTS</t>
  </si>
  <si>
    <t>ASSINATURA DESPACHO GABINETE</t>
  </si>
  <si>
    <t>PUBLICAÇÃO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</si>
  <si>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</si>
  <si>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</si>
  <si>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</si>
  <si>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</si>
  <si>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</si>
  <si>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</si>
  <si>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</si>
  <si>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</si>
  <si>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                          BLOQUEIO AA</t>
  </si>
  <si>
    <t>SOLICITAÇÃO                          BLOQUEIO AA  DTS</t>
  </si>
  <si>
    <t>SOLICITAÇÃO                           BLOQUEIO AA</t>
  </si>
  <si>
    <t>DATA BLOQUEIO AA</t>
  </si>
  <si>
    <t>DESPACHO EXCLUSÃO GABINETE</t>
  </si>
  <si>
    <t>PUBLICAÇÃO DOC</t>
  </si>
  <si>
    <t>ENCAMINHAMENTO SOLICITAÇÃO       EXCLUSÃO DEPLAN</t>
  </si>
  <si>
    <t>ENCERRAMENTO PROCESSO DTS</t>
  </si>
  <si>
    <t>JARDIM DA PAZ</t>
  </si>
  <si>
    <t>--</t>
  </si>
  <si>
    <t>001/0002/A</t>
  </si>
  <si>
    <t xml:space="preserve">OCUPADO </t>
  </si>
  <si>
    <t xml:space="preserve">RESIDENCIAL </t>
  </si>
  <si>
    <t xml:space="preserve">PROPRIETARIO RESIDENTE </t>
  </si>
  <si>
    <t xml:space="preserve">ANTONIO PEREIRA DE SOUSA FILHO </t>
  </si>
  <si>
    <t>53.491.875-X</t>
  </si>
  <si>
    <t>171.419.538-41</t>
  </si>
  <si>
    <t xml:space="preserve">PROPRIETÁRIO RESIDENTE </t>
  </si>
  <si>
    <t>6014.2023/0004057-3</t>
  </si>
  <si>
    <t>FINALIZADO</t>
  </si>
  <si>
    <t>SEM PENDÊNCIA</t>
  </si>
  <si>
    <t>6014.2025/0006755-6</t>
  </si>
  <si>
    <t>LIBERADO DEMOLIÇÃO</t>
  </si>
  <si>
    <t>AGUARDANDO PUBLICAÇÃO DOC</t>
  </si>
  <si>
    <t>001/0024/A</t>
  </si>
  <si>
    <t>ADELINO ALVES DE OLIVEIRA</t>
  </si>
  <si>
    <t>62.039.464-X</t>
  </si>
  <si>
    <t>049.453.845-76</t>
  </si>
  <si>
    <t>6014.2025/0007835-3</t>
  </si>
  <si>
    <t>001/0025/A</t>
  </si>
  <si>
    <t>FRANCISCO DOS SANTOS SILVA</t>
  </si>
  <si>
    <t>36.287.243-0</t>
  </si>
  <si>
    <t>647.650.914-49</t>
  </si>
  <si>
    <t>6014.2026/0004731-0</t>
  </si>
  <si>
    <t>LIBERADO INSTRUÇÃO</t>
  </si>
  <si>
    <t>EM BLOCO</t>
  </si>
  <si>
    <t>001/0026/A</t>
  </si>
  <si>
    <t>JOSE IZIDIO DA SILVA</t>
  </si>
  <si>
    <t>52.314.655-3</t>
  </si>
  <si>
    <t>038.880.484-00</t>
  </si>
  <si>
    <t>6014.2025/0005796-8</t>
  </si>
  <si>
    <t>001/0030/A</t>
  </si>
  <si>
    <t>SHEILA CRISTINA SANTANA OLIVEIRA DA SILVA</t>
  </si>
  <si>
    <t>47.583.786-1</t>
  </si>
  <si>
    <t>438.043.778-74</t>
  </si>
  <si>
    <t>6014.2026/0004758-1</t>
  </si>
  <si>
    <t>001/0031/A</t>
  </si>
  <si>
    <t>GIOVANNA SANTANA SOUZA</t>
  </si>
  <si>
    <t>49.367.082-8</t>
  </si>
  <si>
    <t>451.340.278-46</t>
  </si>
  <si>
    <t>6014.2025/0008194-0</t>
  </si>
  <si>
    <t>002/0001/A</t>
  </si>
  <si>
    <t xml:space="preserve">ARIANA MARIA DA CRUZ </t>
  </si>
  <si>
    <t>35.427.321-8</t>
  </si>
  <si>
    <t>336.960.408-60</t>
  </si>
  <si>
    <t>6014.2025/0006736-0</t>
  </si>
  <si>
    <t>002/0001/B</t>
  </si>
  <si>
    <t>GIOVANNA DA CRUZ GUIMRÃES</t>
  </si>
  <si>
    <t>57.089.732-4</t>
  </si>
  <si>
    <t>519.860.378-35</t>
  </si>
  <si>
    <t xml:space="preserve">AUXILIO ALUGUEL </t>
  </si>
  <si>
    <t>002/0001/C</t>
  </si>
  <si>
    <t xml:space="preserve">MAYARA DA CRUZ SILVA </t>
  </si>
  <si>
    <t>56.399.761-8</t>
  </si>
  <si>
    <t>483.262.338-97</t>
  </si>
  <si>
    <t>002/0002/A</t>
  </si>
  <si>
    <t>ROSILENE RODRIGUES ARAUJO</t>
  </si>
  <si>
    <t>-</t>
  </si>
  <si>
    <t>079.066.246-96</t>
  </si>
  <si>
    <t>Planilha de SEHAB/PROJ com nome errado "Rosilene Rodrigues de Araujo"</t>
  </si>
  <si>
    <t>6014.2025/0006612-6</t>
  </si>
  <si>
    <t>002/0003/A</t>
  </si>
  <si>
    <t>LUZIANE XAVIER VITALINO</t>
  </si>
  <si>
    <t>64.518.047-6</t>
  </si>
  <si>
    <t>054.147.773-06</t>
  </si>
  <si>
    <t>6014.2025/0008261-0</t>
  </si>
  <si>
    <t>003/0001/A</t>
  </si>
  <si>
    <t>FERNANDO CARDOSO DE SOUSA</t>
  </si>
  <si>
    <t>58.394.485-1</t>
  </si>
  <si>
    <t>022.825.363-20</t>
  </si>
  <si>
    <t>6014.2025/0006765-3</t>
  </si>
  <si>
    <t>003/0002/A</t>
  </si>
  <si>
    <t>ADEVANIA PEREIRA DE OLIVEIRA</t>
  </si>
  <si>
    <t>3269746-5</t>
  </si>
  <si>
    <t>082.548.114-74</t>
  </si>
  <si>
    <t>AGUARDANDO ASSINATURA SECRETÁRIO</t>
  </si>
  <si>
    <t>TERMO ASSINADO SECRETÁRIO</t>
  </si>
  <si>
    <t>004/0031/A</t>
  </si>
  <si>
    <t>ANTONIO CLEITON LEANDRO SOUSA</t>
  </si>
  <si>
    <t>56.610.744-2</t>
  </si>
  <si>
    <t>016.118.553-30</t>
  </si>
  <si>
    <t>6014.2025/0005835-2</t>
  </si>
  <si>
    <t>005/0033/A</t>
  </si>
  <si>
    <t>FABIANA SANTOS DA SILVA</t>
  </si>
  <si>
    <t>50.072.444-1</t>
  </si>
  <si>
    <t>388.561.488-03</t>
  </si>
  <si>
    <t xml:space="preserve">144630722
</t>
  </si>
  <si>
    <t>6014.2026/0003142-1</t>
  </si>
  <si>
    <t>AGUARDANDO ELABORAÇÃO</t>
  </si>
  <si>
    <t>005/0033/B</t>
  </si>
  <si>
    <t>GRESSY MAURA DA SILVA</t>
  </si>
  <si>
    <t>45.671.319-0</t>
  </si>
  <si>
    <t>475.926.618-61</t>
  </si>
  <si>
    <t>004/0033/A</t>
  </si>
  <si>
    <t xml:space="preserve">JOVERLENE DE ARAUJO ALVES </t>
  </si>
  <si>
    <t>68.485.561-6</t>
  </si>
  <si>
    <t>049.930.453-52</t>
  </si>
  <si>
    <t>6014.2025/0005761-5</t>
  </si>
  <si>
    <t>004/0048/A</t>
  </si>
  <si>
    <t>IVÂNIA MARIA VIEIRA</t>
  </si>
  <si>
    <t>7.802.387</t>
  </si>
  <si>
    <t>079.294.564-63</t>
  </si>
  <si>
    <t>6014.2025/0008238-5</t>
  </si>
  <si>
    <t>004/0049/A</t>
  </si>
  <si>
    <t xml:space="preserve">ANDERSON GOMES DA SILVA </t>
  </si>
  <si>
    <t>39.402.174-5</t>
  </si>
  <si>
    <t>411.371.978-03</t>
  </si>
  <si>
    <t>6014.2025/0005772-0</t>
  </si>
  <si>
    <t>004/0056/A</t>
  </si>
  <si>
    <t xml:space="preserve">EUNICY SANTOS DOS SANTOS </t>
  </si>
  <si>
    <t>36.832.290-7</t>
  </si>
  <si>
    <t>334.435.938-01</t>
  </si>
  <si>
    <t>AUXILIO ALUGUEL</t>
  </si>
  <si>
    <t>004/0058/A</t>
  </si>
  <si>
    <t xml:space="preserve">LUCIMEIRE PEREIRA DOS SANTOS </t>
  </si>
  <si>
    <t>35.629.437-7</t>
  </si>
  <si>
    <t>358.587.058-98</t>
  </si>
  <si>
    <t>6014.2025/0005903-0</t>
  </si>
  <si>
    <t>004/0068/A</t>
  </si>
  <si>
    <t>SALVIANO DUARTE DE LIMA</t>
  </si>
  <si>
    <t>56.000.552-0</t>
  </si>
  <si>
    <t>016.228.743-74</t>
  </si>
  <si>
    <t> 6014.2026/0002180-9</t>
  </si>
  <si>
    <t>004/0069/A</t>
  </si>
  <si>
    <t xml:space="preserve">LORENA GONÇALVES MOREIRA SANTOS </t>
  </si>
  <si>
    <t>66.181.694-1</t>
  </si>
  <si>
    <t>145.814.926-96</t>
  </si>
  <si>
    <t>005/0010/A</t>
  </si>
  <si>
    <t xml:space="preserve">NATALICIA CARLA NASCIMENTO SANTOS </t>
  </si>
  <si>
    <t>56.586.589-4</t>
  </si>
  <si>
    <t>040.235.935-67</t>
  </si>
  <si>
    <t>005/0014/A</t>
  </si>
  <si>
    <t xml:space="preserve">LIVIA ALVES DE OLIVEIRA </t>
  </si>
  <si>
    <t>58.598.180-2</t>
  </si>
  <si>
    <t>062.772.525-26</t>
  </si>
  <si>
    <t>6014.2025/0006776-9</t>
  </si>
  <si>
    <t>005/0016/A</t>
  </si>
  <si>
    <t xml:space="preserve">MARIA ALVES DE ARAUJO </t>
  </si>
  <si>
    <t>56.681.977-6</t>
  </si>
  <si>
    <t>025.262.773-37</t>
  </si>
  <si>
    <t>6014.2025/0006795-5</t>
  </si>
  <si>
    <t>005/0016/B</t>
  </si>
  <si>
    <t>MARIA MARCIA ALVES DE ARAUJO</t>
  </si>
  <si>
    <t>67.137.926-4</t>
  </si>
  <si>
    <t>023.493.773-42</t>
  </si>
  <si>
    <t>6014.2025/0006810-2</t>
  </si>
  <si>
    <t>005/0021/A</t>
  </si>
  <si>
    <t>SHEILA SILVANA DOS SANTOS RODRIGUES</t>
  </si>
  <si>
    <t>24.141.622-X</t>
  </si>
  <si>
    <t>179.804.598-22</t>
  </si>
  <si>
    <t>Laudo e planilha o nome está divergente "Sheila Silvana dos Santos"</t>
  </si>
  <si>
    <t>6014.2025/0007379-3</t>
  </si>
  <si>
    <t>005/0021/B</t>
  </si>
  <si>
    <t>EMERSON RODRIGUES DE SOUSA</t>
  </si>
  <si>
    <t>49.324.530-3</t>
  </si>
  <si>
    <t>425.129.238-35</t>
  </si>
  <si>
    <t>6014.2025/0006814-5</t>
  </si>
  <si>
    <t>005/0021/C</t>
  </si>
  <si>
    <t xml:space="preserve">FRANCISCO LOPES DA SILVA </t>
  </si>
  <si>
    <t>24.897.872-X</t>
  </si>
  <si>
    <t>143.996.378-97</t>
  </si>
  <si>
    <t>6014.2025/0006843-9</t>
  </si>
  <si>
    <t>005/0021/D</t>
  </si>
  <si>
    <t>SAMANTA DOS SANTOS SILVA</t>
  </si>
  <si>
    <t>50.072.608-5</t>
  </si>
  <si>
    <t>474.443.738-92</t>
  </si>
  <si>
    <t>6014.2025/0008313-6</t>
  </si>
  <si>
    <t>005/0022/A</t>
  </si>
  <si>
    <t>JOSIEL DOURADO DE JESUS</t>
  </si>
  <si>
    <t>59.460.506-4</t>
  </si>
  <si>
    <t>046.234.685-42</t>
  </si>
  <si>
    <t> 6014.2026/0002176-0</t>
  </si>
  <si>
    <t>005/0022/B</t>
  </si>
  <si>
    <t>OZINDA DOS SANTOS</t>
  </si>
  <si>
    <t>37.711.214-8</t>
  </si>
  <si>
    <t>026.503.415-99</t>
  </si>
  <si>
    <t>6014.2026/0001947-2</t>
  </si>
  <si>
    <t>013/0039/C</t>
  </si>
  <si>
    <t xml:space="preserve">INQUILINO </t>
  </si>
  <si>
    <t>COSMO VIEIRA DA SILVA</t>
  </si>
  <si>
    <t>55.682.429-5</t>
  </si>
  <si>
    <t>827.787.104-00</t>
  </si>
  <si>
    <t>6014.2024/0000799-3</t>
  </si>
  <si>
    <t>LEONILDO LAURENTINO DA SILVA</t>
  </si>
  <si>
    <t>60.394.480-2</t>
  </si>
  <si>
    <t>111.918.974-86</t>
  </si>
  <si>
    <t xml:space="preserve">PROPRIETÁRIO NÃO RESIDENTE </t>
  </si>
  <si>
    <t>6014.2026/0002178-7</t>
  </si>
  <si>
    <t>006/0015/A</t>
  </si>
  <si>
    <t xml:space="preserve">ROSIMEIRE OLIVEIRA GOMES DA SILVA </t>
  </si>
  <si>
    <t>62.180.734-5</t>
  </si>
  <si>
    <t>054.249.134-66</t>
  </si>
  <si>
    <t>006/0015/B</t>
  </si>
  <si>
    <t>KATHEELEN REGIANE APARECIDA ROQUE BUENO</t>
  </si>
  <si>
    <t>493.610.928-20</t>
  </si>
  <si>
    <t>6014.2026/0002177-9</t>
  </si>
  <si>
    <t>006/0016/A</t>
  </si>
  <si>
    <t>CARLOS MARTIM DOS SANTOS BARBOSA</t>
  </si>
  <si>
    <t>59.850.574-X</t>
  </si>
  <si>
    <t>039.064.903-19</t>
  </si>
  <si>
    <t xml:space="preserve"> 6014.2023/0004057-3</t>
  </si>
  <si>
    <t>6014.2026/0002163-9</t>
  </si>
  <si>
    <t>006/0016/B</t>
  </si>
  <si>
    <t xml:space="preserve">ANA PAULA SIQUEIRA DE ARAUJO </t>
  </si>
  <si>
    <t>32.961.472-1</t>
  </si>
  <si>
    <t>220.548.858-94</t>
  </si>
  <si>
    <t>6014.2025/0006733-5</t>
  </si>
  <si>
    <t>006/0017/A</t>
  </si>
  <si>
    <t>ALICIO DOS SANTOS</t>
  </si>
  <si>
    <t>13.382.018</t>
  </si>
  <si>
    <t>072.696.866-88</t>
  </si>
  <si>
    <t>6014.2025/0008094-3</t>
  </si>
  <si>
    <t>006/0017/B</t>
  </si>
  <si>
    <t>AILTON DOS SANTOS</t>
  </si>
  <si>
    <t>15.535.297</t>
  </si>
  <si>
    <t>097.400.536-37</t>
  </si>
  <si>
    <t xml:space="preserve"> 6014.2025/0008114-1</t>
  </si>
  <si>
    <t>006/0018/A</t>
  </si>
  <si>
    <t>CARLOS HENRIQUE VALENTINI</t>
  </si>
  <si>
    <t>11.731.944-2</t>
  </si>
  <si>
    <t>011.369.628-08</t>
  </si>
  <si>
    <t>6014.2025/0008123-0</t>
  </si>
  <si>
    <t>013/0111/B</t>
  </si>
  <si>
    <t xml:space="preserve">CATIA SILEIDE REZENDE </t>
  </si>
  <si>
    <t>25.050.260-4</t>
  </si>
  <si>
    <t>148.657.658-32</t>
  </si>
  <si>
    <t>6014.2026/0002609-6</t>
  </si>
  <si>
    <t>013/0121/A</t>
  </si>
  <si>
    <t>EDIVÂNIO GOMES DOS SANTOS</t>
  </si>
  <si>
    <t>53.084.109-5</t>
  </si>
  <si>
    <t>439.209.838-90</t>
  </si>
  <si>
    <t>6014.2026/0002428-0</t>
  </si>
  <si>
    <t>006/0039/A</t>
  </si>
  <si>
    <t>WAGNER CLAUDIO ROCHA BARBOSA</t>
  </si>
  <si>
    <t>62.227.251-2</t>
  </si>
  <si>
    <t>418.674.518-83</t>
  </si>
  <si>
    <t> 6014.2026/0002175-2</t>
  </si>
  <si>
    <t>006/0039/C</t>
  </si>
  <si>
    <t>DORIANY LEÃO ROCHA</t>
  </si>
  <si>
    <t>57.739.536-1</t>
  </si>
  <si>
    <t>067.875.453-55</t>
  </si>
  <si>
    <t>6014.2026/0000001-1</t>
  </si>
  <si>
    <t>013/0014/A</t>
  </si>
  <si>
    <t xml:space="preserve">VAZIO </t>
  </si>
  <si>
    <t xml:space="preserve">ESTHER DE OLIVEIRA </t>
  </si>
  <si>
    <t>63.561.548-4</t>
  </si>
  <si>
    <t>531.758.388-80</t>
  </si>
  <si>
    <t>6014.2026/0003071-9</t>
  </si>
  <si>
    <t>013/0136/B</t>
  </si>
  <si>
    <t>JEFRIN CHERILEN STETER DE RESTREPO</t>
  </si>
  <si>
    <t>32.729.601-X</t>
  </si>
  <si>
    <t>302.359.148-27</t>
  </si>
  <si>
    <t xml:space="preserve">152344345
</t>
  </si>
  <si>
    <t>6014.2026/0003127-8</t>
  </si>
  <si>
    <t>009/0001/A</t>
  </si>
  <si>
    <t>SERGIO DINIZ DA SILVA</t>
  </si>
  <si>
    <t>37.201.250-4</t>
  </si>
  <si>
    <t>352.433.318-48</t>
  </si>
  <si>
    <t>6014.2025/0000163-6</t>
  </si>
  <si>
    <t>RECUSA ENTREGAR IMÓVEL</t>
  </si>
  <si>
    <t>009/0001/B</t>
  </si>
  <si>
    <t>RIKELME DA SILVA SOUSA</t>
  </si>
  <si>
    <t>069081412019-8</t>
  </si>
  <si>
    <t>633.218.873-12</t>
  </si>
  <si>
    <t>6014.2024/0005895-4</t>
  </si>
  <si>
    <t>012/0001/A</t>
  </si>
  <si>
    <t>ALDA MARIA SANTOS DA SILVA</t>
  </si>
  <si>
    <t>65.857.772-4</t>
  </si>
  <si>
    <t>530.742.033-15</t>
  </si>
  <si>
    <t>AUXÍLIO ALUGUEL</t>
  </si>
  <si>
    <t> </t>
  </si>
  <si>
    <t>012/0001/B</t>
  </si>
  <si>
    <t xml:space="preserve">COMERCIAL </t>
  </si>
  <si>
    <t>012/0002/A</t>
  </si>
  <si>
    <t>BERENICE GONZAGA DE ALMEIDA</t>
  </si>
  <si>
    <t>37.095.701-5</t>
  </si>
  <si>
    <t>288.275.108-77</t>
  </si>
  <si>
    <t>Declaração de endereço e termo demolição e chaves, o CPF está errado.</t>
  </si>
  <si>
    <t>6014.2025/0003385-6</t>
  </si>
  <si>
    <t>012/0002/B</t>
  </si>
  <si>
    <t>LUCINEIDE SANTANA QUEIROZ</t>
  </si>
  <si>
    <t>12.722.668-00</t>
  </si>
  <si>
    <t>027.986.565-16</t>
  </si>
  <si>
    <t>RECEBEU INDENIZAÇÃO PELO SELO 012/0002/A</t>
  </si>
  <si>
    <t>6014.2025/0004948-5</t>
  </si>
  <si>
    <t>012/0002/C</t>
  </si>
  <si>
    <t>INQUILINO</t>
  </si>
  <si>
    <t>TALINE FREITAS DE MOURA</t>
  </si>
  <si>
    <t>52.271.413-4</t>
  </si>
  <si>
    <t>569.415.338-38</t>
  </si>
  <si>
    <t>YURI DE JESUS ALMEIDA</t>
  </si>
  <si>
    <t>50.072.705-3</t>
  </si>
  <si>
    <t>515.808.118-25</t>
  </si>
  <si>
    <t>6014.2025/0008304-7</t>
  </si>
  <si>
    <t>012/0003/A</t>
  </si>
  <si>
    <t xml:space="preserve">MATHEUS SANTANA SANTOS </t>
  </si>
  <si>
    <t>50.985.114-9</t>
  </si>
  <si>
    <t>541.524.718-16</t>
  </si>
  <si>
    <t>28-abr-26</t>
  </si>
  <si>
    <t>098493266</t>
  </si>
  <si>
    <t>6014.2026/0003119-7</t>
  </si>
  <si>
    <t>012/0003/B</t>
  </si>
  <si>
    <t>SIDINEI SANTANA SANTOS</t>
  </si>
  <si>
    <t>66.085.961-0</t>
  </si>
  <si>
    <t>298.249.808-14</t>
  </si>
  <si>
    <t>6014.2025/0000166-0</t>
  </si>
  <si>
    <t>012/0004/A</t>
  </si>
  <si>
    <t>CLEDIOMAR PEREIRA NEVES</t>
  </si>
  <si>
    <t>15.586.765- 20</t>
  </si>
  <si>
    <t>053.477.805-41</t>
  </si>
  <si>
    <t>15.586.765-20</t>
  </si>
  <si>
    <t>012/0004/B</t>
  </si>
  <si>
    <t>JENIFER FERREIRA LOPES DA SILVA</t>
  </si>
  <si>
    <t>52.564.146-4</t>
  </si>
  <si>
    <t>492.313.528-06</t>
  </si>
  <si>
    <t>15586765 20</t>
  </si>
  <si>
    <t>012/0004/C</t>
  </si>
  <si>
    <t>012/0004/D</t>
  </si>
  <si>
    <t>PAOLA FERREIRA LOPES SILVA</t>
  </si>
  <si>
    <t>52.564.115-4</t>
  </si>
  <si>
    <t>493.750.508-40</t>
  </si>
  <si>
    <t>012/0004/E</t>
  </si>
  <si>
    <t>012/0004/F</t>
  </si>
  <si>
    <t>012/0005/A</t>
  </si>
  <si>
    <t>MIRIÃ DE ASSIS GOMES</t>
  </si>
  <si>
    <t>38.851.394-9</t>
  </si>
  <si>
    <t>449.896.248-66</t>
  </si>
  <si>
    <t>012/0008/A</t>
  </si>
  <si>
    <t>INSTITUCIONAL</t>
  </si>
  <si>
    <t>IGREJA</t>
  </si>
  <si>
    <t>MIKAEL JONATAS DE OLIVEIRA REGO</t>
  </si>
  <si>
    <t>60.892.424-6</t>
  </si>
  <si>
    <t>508.038.858-73</t>
  </si>
  <si>
    <t>6014.2025/0004955-8</t>
  </si>
  <si>
    <t>012/0008/B</t>
  </si>
  <si>
    <t>ISMAEL CARLOS CARDOSO DA SILVA</t>
  </si>
  <si>
    <t>54.325.021-0</t>
  </si>
  <si>
    <t>017.490.143-78</t>
  </si>
  <si>
    <t>RAQUEL APARECIDA DE OLIVEIRA</t>
  </si>
  <si>
    <t>24.908.381-4</t>
  </si>
  <si>
    <t>196.511.548-96</t>
  </si>
  <si>
    <t>6014.2024/0006714-7</t>
  </si>
  <si>
    <t>012/0008/C</t>
  </si>
  <si>
    <t>MARIA SERRATE DE CARVALHO RODRIGUES</t>
  </si>
  <si>
    <t>001.233.533-94</t>
  </si>
  <si>
    <t>HELDER RODRIGUES LOPES</t>
  </si>
  <si>
    <t>47.558.420-X</t>
  </si>
  <si>
    <t>371.338.258-13</t>
  </si>
  <si>
    <t>6014.2024/0003949-6</t>
  </si>
  <si>
    <t>012/0008/D</t>
  </si>
  <si>
    <t>MARIA VERONICA FERREIRA DA SILVA</t>
  </si>
  <si>
    <t>68.082.765-1</t>
  </si>
  <si>
    <t>078.452.774-10</t>
  </si>
  <si>
    <t>DAIANA MARYLIN AMBRÓSIO REGO</t>
  </si>
  <si>
    <t>37.807.484-2</t>
  </si>
  <si>
    <t>427.766.588-85</t>
  </si>
  <si>
    <t>6014.2024/0003894-5</t>
  </si>
  <si>
    <t>012/0008/E</t>
  </si>
  <si>
    <t>MURILO JHONATAS DE OLIVEIRA</t>
  </si>
  <si>
    <t>49.234.393-7</t>
  </si>
  <si>
    <t>440.347.428-44</t>
  </si>
  <si>
    <t>6014.2024/0006099-1</t>
  </si>
  <si>
    <t>012/0009/B</t>
  </si>
  <si>
    <t>LINDOMAR VIEIRA DE CARVALHO</t>
  </si>
  <si>
    <t>9.954.705-3</t>
  </si>
  <si>
    <t>954.011.058-00</t>
  </si>
  <si>
    <t>NÃO TEM ATENDIMENTO</t>
  </si>
  <si>
    <t>RECEBEU INDENIZAÇÃO PELO SELO 012/0009/C</t>
  </si>
  <si>
    <t>012/0009/C</t>
  </si>
  <si>
    <t>LILIANE DE MENDONÇA GOMES</t>
  </si>
  <si>
    <t>39.262.463-1</t>
  </si>
  <si>
    <t>370.848.948-96</t>
  </si>
  <si>
    <t>6014.2025/0005011-4</t>
  </si>
  <si>
    <t>012/0010/A</t>
  </si>
  <si>
    <t>JOAO PEDRO MOREIRA FURLAN RIBAS</t>
  </si>
  <si>
    <t>58.308.924-0</t>
  </si>
  <si>
    <t>479.818.858-17</t>
  </si>
  <si>
    <t xml:space="preserve">GEOVANNA LAILA FERNANDES </t>
  </si>
  <si>
    <t>52.270.813-4</t>
  </si>
  <si>
    <t>488.818.098-93</t>
  </si>
  <si>
    <t>012/0010/B</t>
  </si>
  <si>
    <t>EDNILSON HONORATO</t>
  </si>
  <si>
    <t>32.900.813-4</t>
  </si>
  <si>
    <t>263.112.968-70</t>
  </si>
  <si>
    <t>KAROLINE ADRIANA FERNANDES DA SILVA</t>
  </si>
  <si>
    <t>52.270.805-5</t>
  </si>
  <si>
    <t>560.505.678-67</t>
  </si>
  <si>
    <t>012/0010/C</t>
  </si>
  <si>
    <t>LILIAN CRISTINA BUENO DA SILVA</t>
  </si>
  <si>
    <t>40.668.160-0</t>
  </si>
  <si>
    <t>350.041.528-88</t>
  </si>
  <si>
    <t>REINALDO RODRIGUES DA SILVA</t>
  </si>
  <si>
    <t>19.098.881-2</t>
  </si>
  <si>
    <t>062.948.538-00</t>
  </si>
  <si>
    <t>012/0010/D</t>
  </si>
  <si>
    <t>REINAN RODRIGUES DA SILVA</t>
  </si>
  <si>
    <t>38.586.120-5</t>
  </si>
  <si>
    <t>494.278.058-62</t>
  </si>
  <si>
    <t>012/0010/E</t>
  </si>
  <si>
    <t>KERY RODRIGUES DA SILVA</t>
  </si>
  <si>
    <t>38.587.885-0</t>
  </si>
  <si>
    <t>560.478.418-48</t>
  </si>
  <si>
    <t>012/0010/F</t>
  </si>
  <si>
    <t>012/0010/G</t>
  </si>
  <si>
    <t>012/0010/H</t>
  </si>
  <si>
    <t xml:space="preserve">HANNA LEONORA DE JESUS </t>
  </si>
  <si>
    <t>45.938.311-5</t>
  </si>
  <si>
    <t>457.900.558-93</t>
  </si>
  <si>
    <t>012/0013/A</t>
  </si>
  <si>
    <t>LAÍS SANTOS DE JESUS</t>
  </si>
  <si>
    <t>50.073.727-7</t>
  </si>
  <si>
    <t>479.314.558-27</t>
  </si>
  <si>
    <t>6014.2024/0002016-7</t>
  </si>
  <si>
    <t>012/0013/B</t>
  </si>
  <si>
    <t>ELIENE DOS SANTOS VILAS BOAS</t>
  </si>
  <si>
    <t>50.073.651-7</t>
  </si>
  <si>
    <t>824.667.185-53</t>
  </si>
  <si>
    <t>6014.2024/0002545-2</t>
  </si>
  <si>
    <t>012/0013/C</t>
  </si>
  <si>
    <t>VALERIA DE FREITAS SOUZA MENDES</t>
  </si>
  <si>
    <t>58.719.993-3</t>
  </si>
  <si>
    <t>121.725.176-66</t>
  </si>
  <si>
    <t>6014.2024/0002533-9</t>
  </si>
  <si>
    <t>012/0016/A</t>
  </si>
  <si>
    <t>IDALICIA DE SOUZA NOGUEIRA</t>
  </si>
  <si>
    <t>37.844.002-0</t>
  </si>
  <si>
    <t>286.776.078-03</t>
  </si>
  <si>
    <t>6014.2024/0004297-7</t>
  </si>
  <si>
    <t>012/0016/B</t>
  </si>
  <si>
    <t>PAULA RENATA GONÇALVES</t>
  </si>
  <si>
    <t>43.827.957-8</t>
  </si>
  <si>
    <t>339.642.888-96</t>
  </si>
  <si>
    <t>6014.2025/0002227-7</t>
  </si>
  <si>
    <t>012/0016/C</t>
  </si>
  <si>
    <t>RAILDA GONÇALVES DO ANJO</t>
  </si>
  <si>
    <t>26.309.639-7</t>
  </si>
  <si>
    <t>153.044.208-70</t>
  </si>
  <si>
    <t>6014.2024/0002495-2</t>
  </si>
  <si>
    <t>012/0016/D</t>
  </si>
  <si>
    <t>ADRIANO GOMES DA SILVA</t>
  </si>
  <si>
    <t>47.564.121-8</t>
  </si>
  <si>
    <t>344.330.068-58</t>
  </si>
  <si>
    <t>6014.2024/0002555-0</t>
  </si>
  <si>
    <t>012/0016/E</t>
  </si>
  <si>
    <t>DINALVA PEREIRA DOS SANTOS</t>
  </si>
  <si>
    <t>53.611.780-9</t>
  </si>
  <si>
    <t>288.820.245-04</t>
  </si>
  <si>
    <t>6014.2024/0002060-4</t>
  </si>
  <si>
    <t>012/0016/F</t>
  </si>
  <si>
    <t>JOSE ADÃO GUERINO</t>
  </si>
  <si>
    <t>20.642.526-0</t>
  </si>
  <si>
    <t>702.117.018-15</t>
  </si>
  <si>
    <t>6014.2024/0006090-8</t>
  </si>
  <si>
    <t>012/0016/G</t>
  </si>
  <si>
    <t>LUZIA GONÇALVES PIRES</t>
  </si>
  <si>
    <t>38.290.334-1</t>
  </si>
  <si>
    <t>051.306.398-63</t>
  </si>
  <si>
    <t>6014.2024/0004462-7</t>
  </si>
  <si>
    <t>012/0016/H</t>
  </si>
  <si>
    <t>CREUZA PEREIRA DOS SANTOS</t>
  </si>
  <si>
    <t>10.814.271-1</t>
  </si>
  <si>
    <t>221.057.968-69</t>
  </si>
  <si>
    <t>012/0018/A</t>
  </si>
  <si>
    <t>BIANCA DE PAULA SANTOS AMBROSIO</t>
  </si>
  <si>
    <t>56.954.202-9</t>
  </si>
  <si>
    <t>518.724.088-93</t>
  </si>
  <si>
    <t>6014.2025/0000499-6</t>
  </si>
  <si>
    <t>012/0018/B</t>
  </si>
  <si>
    <t>JULIANA SUELI AMBROSIO REGO</t>
  </si>
  <si>
    <t>49.281.941-5</t>
  </si>
  <si>
    <t>394.981.398-57</t>
  </si>
  <si>
    <t>012/0019/C</t>
  </si>
  <si>
    <t>SIDINEIA MARIA SANTANA SANTOS</t>
  </si>
  <si>
    <t>67.795.572-8</t>
  </si>
  <si>
    <t>335.369.788-86</t>
  </si>
  <si>
    <t>6014.2025/0004075-5</t>
  </si>
  <si>
    <t>012/0020/C</t>
  </si>
  <si>
    <t>GEZONILDA DE LIRA</t>
  </si>
  <si>
    <t>39.368.579-2</t>
  </si>
  <si>
    <t>039.048.704-08</t>
  </si>
  <si>
    <t>6014.2024/0002037-0</t>
  </si>
  <si>
    <t>012/0022/A</t>
  </si>
  <si>
    <t>SIDNEI MOZAR</t>
  </si>
  <si>
    <t>27.937.387-9</t>
  </si>
  <si>
    <t>263.963.708-83</t>
  </si>
  <si>
    <t>012/0022/B</t>
  </si>
  <si>
    <t xml:space="preserve">PROPRIETARIO NÃO RESIDENTE </t>
  </si>
  <si>
    <t xml:space="preserve">HENRIQUE TONON MOZAR </t>
  </si>
  <si>
    <t>64.996.149-3</t>
  </si>
  <si>
    <t>568.666.088-30</t>
  </si>
  <si>
    <t>6014.2025/0006298-8</t>
  </si>
  <si>
    <t>012/0023/C</t>
  </si>
  <si>
    <t>TIFFANY NUNES CARNEIRO</t>
  </si>
  <si>
    <t>59.476.689-8</t>
  </si>
  <si>
    <t>552.744.878-23</t>
  </si>
  <si>
    <t>6014.2024/0002481-2</t>
  </si>
  <si>
    <t>012/0023/D</t>
  </si>
  <si>
    <t>GABRIELE TENORIO SILVA</t>
  </si>
  <si>
    <t>50.076.202-8</t>
  </si>
  <si>
    <t>474.894.128-62</t>
  </si>
  <si>
    <t>6014.2024/0004496-1</t>
  </si>
  <si>
    <t>012/0023/E</t>
  </si>
  <si>
    <t>ANTONIO FRANCINALDO SILVA</t>
  </si>
  <si>
    <t>32.107.127-X</t>
  </si>
  <si>
    <t>212.779.278-55</t>
  </si>
  <si>
    <t>6014.2024/0004110-5</t>
  </si>
  <si>
    <t>012/0023/F</t>
  </si>
  <si>
    <t>CARLOS EDUARDO ACIOLE ELEUTÉRIO</t>
  </si>
  <si>
    <t>68.558.210-3</t>
  </si>
  <si>
    <t>091.826.804-42</t>
  </si>
  <si>
    <t>WALQUIRIA CRISTINA ALVES SILVA</t>
  </si>
  <si>
    <t>36.189.762-5</t>
  </si>
  <si>
    <t>026.257.004-16</t>
  </si>
  <si>
    <t>6014.2024/0004079-6</t>
  </si>
  <si>
    <t>012/0023/G</t>
  </si>
  <si>
    <t>JOHN S FRANCOIS</t>
  </si>
  <si>
    <t>F289831-Q</t>
  </si>
  <si>
    <t>709.329.972-52</t>
  </si>
  <si>
    <t>MARLUCE LEONOR TENORIO</t>
  </si>
  <si>
    <t>26.600.946-3</t>
  </si>
  <si>
    <t>272.916.808-75</t>
  </si>
  <si>
    <t>6014.2024/0004018-4</t>
  </si>
  <si>
    <t>012/0024/C</t>
  </si>
  <si>
    <t>EVELYN PAMELA DA SILVA</t>
  </si>
  <si>
    <t>53.334.839-0</t>
  </si>
  <si>
    <t>580.913.268-58</t>
  </si>
  <si>
    <t>GALDINO SANTOS AMARAL</t>
  </si>
  <si>
    <t>58.822.856-4</t>
  </si>
  <si>
    <t>338.199.668-11</t>
  </si>
  <si>
    <t>6014.2024/0004084-2</t>
  </si>
  <si>
    <t>012/0024/D</t>
  </si>
  <si>
    <t>RAIMUNDO DE FRANCA BISPO</t>
  </si>
  <si>
    <t>49.381.013-4</t>
  </si>
  <si>
    <t>323.718.388-10</t>
  </si>
  <si>
    <t>6014.2025/0000504-6</t>
  </si>
  <si>
    <t>012/0025/C</t>
  </si>
  <si>
    <t>MARIA NEIDE PEREIRA DOS SANTOS</t>
  </si>
  <si>
    <t>23.032.587-7</t>
  </si>
  <si>
    <t>445.597.985-91</t>
  </si>
  <si>
    <t>6014.2025/0000502-0</t>
  </si>
  <si>
    <t>012/0025/D</t>
  </si>
  <si>
    <t>ROSINEA APARECIDA FERNANDES</t>
  </si>
  <si>
    <t>58.320.989-0</t>
  </si>
  <si>
    <t>037.588.096-81</t>
  </si>
  <si>
    <t>6014.2024/0002484-7</t>
  </si>
  <si>
    <t>012/0025/E</t>
  </si>
  <si>
    <t>ALINE PAULA NUNES DOS SANTOS</t>
  </si>
  <si>
    <t>47.391.863-8</t>
  </si>
  <si>
    <t>408.836.298-52</t>
  </si>
  <si>
    <t>Temo Indenização e declaração endereço nome incompleto.</t>
  </si>
  <si>
    <t>6014.2025/0000341-8</t>
  </si>
  <si>
    <t>012/0026/C</t>
  </si>
  <si>
    <t>DANILO SANTANA DE ALMEIDA</t>
  </si>
  <si>
    <t>50.073.331-4</t>
  </si>
  <si>
    <t>506.505.968-38</t>
  </si>
  <si>
    <t>6014.2024/0004505-4</t>
  </si>
  <si>
    <t>012/0026/D</t>
  </si>
  <si>
    <t>SIVONEIA MARIA SANTANA SANTOS</t>
  </si>
  <si>
    <t>37.120.066-0</t>
  </si>
  <si>
    <t>296.466.218-56</t>
  </si>
  <si>
    <t>6014.2025/0004971-0</t>
  </si>
  <si>
    <t>012/0027/A</t>
  </si>
  <si>
    <t>EDIVALDO NUNES CABRAL JÚNIOR</t>
  </si>
  <si>
    <t>52.270.789-0</t>
  </si>
  <si>
    <t>473.373.668-17</t>
  </si>
  <si>
    <t>6014.2025/0005781-0</t>
  </si>
  <si>
    <t>012/0027/B</t>
  </si>
  <si>
    <t>JÉSSICA DOS SANTOS CABRAL SILVA</t>
  </si>
  <si>
    <t>52.276.733-6</t>
  </si>
  <si>
    <t>528.409.098-55</t>
  </si>
  <si>
    <t>6014.2024/0004661-1</t>
  </si>
  <si>
    <t>012/0027/C</t>
  </si>
  <si>
    <t>CLAUDIA DOS SANTOS CABRAL</t>
  </si>
  <si>
    <t>52.270.781-6</t>
  </si>
  <si>
    <t>435.383.698-60</t>
  </si>
  <si>
    <t>6014.2024/0005932-2</t>
  </si>
  <si>
    <t>012/0027/D</t>
  </si>
  <si>
    <t>RAFAEL RODRIGUES DOS SANTOS</t>
  </si>
  <si>
    <t>64.683.421-6</t>
  </si>
  <si>
    <t>071.147.264-57</t>
  </si>
  <si>
    <t>6014.2024/0002491-0</t>
  </si>
  <si>
    <t>012/0027/E</t>
  </si>
  <si>
    <t>COMÉRCIO</t>
  </si>
  <si>
    <t xml:space="preserve">NÃO RESIDENCIAL </t>
  </si>
  <si>
    <t>MARIA SIRLEI DOS SANTOS</t>
  </si>
  <si>
    <t>66.428.564-8</t>
  </si>
  <si>
    <t>244.358.318-05</t>
  </si>
  <si>
    <t>6014.2024/0004698-0</t>
  </si>
  <si>
    <t>012/0028/A</t>
  </si>
  <si>
    <t>CULTO RELIGIOSO</t>
  </si>
  <si>
    <t>LEANDRO DO CARMO GALEOTI</t>
  </si>
  <si>
    <t>27.677.291.X</t>
  </si>
  <si>
    <t>307.199.118-50</t>
  </si>
  <si>
    <t>6014.2025/0000323-0</t>
  </si>
  <si>
    <t>012/0029/A</t>
  </si>
  <si>
    <t>VALDELICE RESENDE CERQUEIRA</t>
  </si>
  <si>
    <t>27.246.412-0</t>
  </si>
  <si>
    <t>287.951.028-76</t>
  </si>
  <si>
    <t>012/0030/A</t>
  </si>
  <si>
    <t>JOSEFA DOS SANTOS</t>
  </si>
  <si>
    <t>25.515.416-1</t>
  </si>
  <si>
    <t>156.774.598-95</t>
  </si>
  <si>
    <t>6014.2026/0004709-3</t>
  </si>
  <si>
    <t>012/0045/A</t>
  </si>
  <si>
    <t>MARIA DE LOURDES RIBEIRO DA CRUZ</t>
  </si>
  <si>
    <t>55.861.285-4</t>
  </si>
  <si>
    <t>938.574.465-87</t>
  </si>
  <si>
    <t>012/0045/B</t>
  </si>
  <si>
    <t>GERUZA DA CRUZ DOS SANTOS</t>
  </si>
  <si>
    <t>50.113.798-1</t>
  </si>
  <si>
    <t>024.958.925-74</t>
  </si>
  <si>
    <t>GERUZA DA CRUZ DOS SANTOS.</t>
  </si>
  <si>
    <t>012/0045/C</t>
  </si>
  <si>
    <t>ZILDA DE JESUS MEIRA</t>
  </si>
  <si>
    <t>36.022.301-1</t>
  </si>
  <si>
    <t>324.133.878-97</t>
  </si>
  <si>
    <t>ZILDA DE JESUS MEIRA.</t>
  </si>
  <si>
    <t>012/0045/D</t>
  </si>
  <si>
    <t>TAMILES MEIRA ALVES</t>
  </si>
  <si>
    <t>47.759.742-7</t>
  </si>
  <si>
    <t>430.759.108-99</t>
  </si>
  <si>
    <t>012/0045/E</t>
  </si>
  <si>
    <t>TIAGO MEIRA ALVES</t>
  </si>
  <si>
    <t>54.991.262-9</t>
  </si>
  <si>
    <t>479.564.098-02</t>
  </si>
  <si>
    <t>012/0046/A</t>
  </si>
  <si>
    <t>EDNO MENDES OLIVEIRA</t>
  </si>
  <si>
    <t>50.376.944-7</t>
  </si>
  <si>
    <t>008.290.695-50</t>
  </si>
  <si>
    <t>6014.2023/0005241-5</t>
  </si>
  <si>
    <t>012/0052/C</t>
  </si>
  <si>
    <t>VERUSCA PIRES DOMINGUES</t>
  </si>
  <si>
    <t>30.584.735-1</t>
  </si>
  <si>
    <t>339.340.788-00</t>
  </si>
  <si>
    <t>ADENAILDES DE JESUS SANTOS</t>
  </si>
  <si>
    <t>54.991.529-1</t>
  </si>
  <si>
    <t>036.829.705-50</t>
  </si>
  <si>
    <t>6014.2024/0004323-0</t>
  </si>
  <si>
    <t>012/0052/D</t>
  </si>
  <si>
    <t>MARIA DA CONCEIÇÃO BISPO ALVES SANTOS</t>
  </si>
  <si>
    <t>50.550.150-8</t>
  </si>
  <si>
    <t>003.024.125-14</t>
  </si>
  <si>
    <t>6014.2024/0004997-1</t>
  </si>
  <si>
    <t>012/0056/A</t>
  </si>
  <si>
    <t>MARIA JOSÉ GONÇALVES</t>
  </si>
  <si>
    <t>34.822.403-5</t>
  </si>
  <si>
    <t>803.584.116-53</t>
  </si>
  <si>
    <t>6014.2024/0005899-7</t>
  </si>
  <si>
    <t>012/0056/B</t>
  </si>
  <si>
    <t>GABRIEL DE CARVALHO</t>
  </si>
  <si>
    <t>28.616.955-1</t>
  </si>
  <si>
    <t>188.656.718-23</t>
  </si>
  <si>
    <t>6014.2024/0005927-6</t>
  </si>
  <si>
    <t>012/0056/C</t>
  </si>
  <si>
    <t>OPTOU RECEBER INDENIZAÇÃO PELO SELO 012/0056/B</t>
  </si>
  <si>
    <t>012/0057/A</t>
  </si>
  <si>
    <t xml:space="preserve">RUTILENE DOS SANTOS </t>
  </si>
  <si>
    <t>50.072.703-x</t>
  </si>
  <si>
    <t>029.837.048-40</t>
  </si>
  <si>
    <t>THAINARA FRANCISCA DA SILVA</t>
  </si>
  <si>
    <t>425.740.628-33</t>
  </si>
  <si>
    <t>012/0057/B</t>
  </si>
  <si>
    <t>LEONARDO JUCA FURTADO</t>
  </si>
  <si>
    <t>57.669.385-6</t>
  </si>
  <si>
    <t>102.896.694-64</t>
  </si>
  <si>
    <t>ARISTON SANTOS DA SILVA</t>
  </si>
  <si>
    <t>289.519.928-02</t>
  </si>
  <si>
    <t>012/0057/C</t>
  </si>
  <si>
    <t>OSMARINA SANTOS DA SILVA</t>
  </si>
  <si>
    <t>50.960.863-2</t>
  </si>
  <si>
    <t>224.453.663-72</t>
  </si>
  <si>
    <t>6014.2024/0004439-2</t>
  </si>
  <si>
    <t>012/0057/D</t>
  </si>
  <si>
    <t>6014.2026/0004747-6</t>
  </si>
  <si>
    <t>012/0057/E</t>
  </si>
  <si>
    <t>MANUELA ARAUJO AMARAL</t>
  </si>
  <si>
    <t>560.095.418-24</t>
  </si>
  <si>
    <t>OPTOU POR RECEBER INDENIZAÇÃO PELO SELO 012/0057/C</t>
  </si>
  <si>
    <t>012/0058/A</t>
  </si>
  <si>
    <t xml:space="preserve">JEFERSON DE OLIVEIRA DA SILVA </t>
  </si>
  <si>
    <t>38.272.236-X</t>
  </si>
  <si>
    <t>456.687.768-08</t>
  </si>
  <si>
    <t>6014.2025/0006287-2</t>
  </si>
  <si>
    <t>012/0058/B</t>
  </si>
  <si>
    <t>HELIO ERONIDES DA SILVA</t>
  </si>
  <si>
    <t>23.471.930-8</t>
  </si>
  <si>
    <t>132.181.138-14</t>
  </si>
  <si>
    <t>6014.2025/0004082-8</t>
  </si>
  <si>
    <t>012/0059/A</t>
  </si>
  <si>
    <t>CARLOS ADRIANO MACIEL DOS ANJOS</t>
  </si>
  <si>
    <t>37.283.870-4</t>
  </si>
  <si>
    <t>315.568.798-30</t>
  </si>
  <si>
    <t>6014.2024/0005996-9</t>
  </si>
  <si>
    <t>012/0059/B</t>
  </si>
  <si>
    <t>MARISOL DOS SANTOS SOUZA</t>
  </si>
  <si>
    <t>52.271.417-1</t>
  </si>
  <si>
    <t>244.173.028-20</t>
  </si>
  <si>
    <t>MARISOL DOS SANTOS SOUZA.</t>
  </si>
  <si>
    <t>6014.2024/0002154-6</t>
  </si>
  <si>
    <t>012/0059/C</t>
  </si>
  <si>
    <t>JOSEFA SEBASTIANA DOS SANTOS</t>
  </si>
  <si>
    <t>39.774.156-X</t>
  </si>
  <si>
    <t>647.631.614-15</t>
  </si>
  <si>
    <t>6014.2025/0007378-5</t>
  </si>
  <si>
    <t>012/0060/A</t>
  </si>
  <si>
    <t>APARECIDO FLORÊNCIO DA ANUNCIAÇÃO</t>
  </si>
  <si>
    <t>39.025.959-7</t>
  </si>
  <si>
    <t>343.938.858-13</t>
  </si>
  <si>
    <t>APARECIDO FLORÊNCIO ANUNCIAÇÃO</t>
  </si>
  <si>
    <t>6014.2024/0002019-1</t>
  </si>
  <si>
    <t>012/0060/B</t>
  </si>
  <si>
    <t>MARIA DAS GRAÇAS SILVA SANTOS</t>
  </si>
  <si>
    <t>22.169.320-8</t>
  </si>
  <si>
    <t>114.626.928-50</t>
  </si>
  <si>
    <t>MARIA DAS GRAÇAS SILVA SANTOS.</t>
  </si>
  <si>
    <t>6014.2024/0003930-5</t>
  </si>
  <si>
    <t>012/0061/A</t>
  </si>
  <si>
    <t>MÔNICA NASCIMENTO DOS SANTOS</t>
  </si>
  <si>
    <t>50.074.034-3</t>
  </si>
  <si>
    <t>386.788.088-37</t>
  </si>
  <si>
    <t>6014.2024/0004526-7</t>
  </si>
  <si>
    <t>012/0061/B</t>
  </si>
  <si>
    <t>PAULO FLORÊNCIO DA ANUNCIAÇÃO</t>
  </si>
  <si>
    <t>52.312.369-3</t>
  </si>
  <si>
    <t>305.692.758-73</t>
  </si>
  <si>
    <t>6014.2024/0002128-7</t>
  </si>
  <si>
    <t>012/0062/A</t>
  </si>
  <si>
    <t xml:space="preserve">ERIVALDO ALVES RODRIGUES </t>
  </si>
  <si>
    <t>69.634.545-6</t>
  </si>
  <si>
    <t>123.923.785-00</t>
  </si>
  <si>
    <t>GILVAN BRITO DA SILVA</t>
  </si>
  <si>
    <t>68.325.410-8</t>
  </si>
  <si>
    <t>075.300.265-50</t>
  </si>
  <si>
    <t>6014.2024/0006158-0</t>
  </si>
  <si>
    <t>012/0062/B</t>
  </si>
  <si>
    <t>RAILDA DE JESUS SANTOS</t>
  </si>
  <si>
    <t>68.155.979-2</t>
  </si>
  <si>
    <t>070.692.585-85</t>
  </si>
  <si>
    <t>ADENILDO ROSA CHAVES</t>
  </si>
  <si>
    <t>54.245.892-5</t>
  </si>
  <si>
    <t>259.887.268-10</t>
  </si>
  <si>
    <t>6014.2024/0006137-8</t>
  </si>
  <si>
    <t>012/0062/C</t>
  </si>
  <si>
    <t>SILMARA DE JESUS BARRETO FONSECA</t>
  </si>
  <si>
    <t>59.162.922-7</t>
  </si>
  <si>
    <t>472.091.398-93</t>
  </si>
  <si>
    <t>6014.2024/0002143-0</t>
  </si>
  <si>
    <t>012/0063/A</t>
  </si>
  <si>
    <t>CARLEUZA MARIA DA SILVA DOS SANTOS</t>
  </si>
  <si>
    <t>54.575.080-5</t>
  </si>
  <si>
    <t>706.718.505-04</t>
  </si>
  <si>
    <t>6014.2025/0003390-2</t>
  </si>
  <si>
    <t>012/0063/B</t>
  </si>
  <si>
    <t>IGOR DA SILVA LOPES</t>
  </si>
  <si>
    <t>56.602.717-3</t>
  </si>
  <si>
    <t>496.102.298-59</t>
  </si>
  <si>
    <t>6014.2025/0000176-8</t>
  </si>
  <si>
    <t>012/0064/A</t>
  </si>
  <si>
    <t>ROSELI GALVÃO DE OLIVEIRA</t>
  </si>
  <si>
    <t>35.858.094-8</t>
  </si>
  <si>
    <t>286.633.188-55</t>
  </si>
  <si>
    <t>6014.2025/0003400-3</t>
  </si>
  <si>
    <t>012/0064/B</t>
  </si>
  <si>
    <t>DENISE GALVÃO DE OLIVEIRA</t>
  </si>
  <si>
    <t>49.010.890-8</t>
  </si>
  <si>
    <t>428.673.248-74</t>
  </si>
  <si>
    <t>6014.2024/0005980-2</t>
  </si>
  <si>
    <t>012/0064/C</t>
  </si>
  <si>
    <t>ERIVALDO FREITAS DOS SANTOS</t>
  </si>
  <si>
    <t>56.788.161-1</t>
  </si>
  <si>
    <t>035.276.314-02</t>
  </si>
  <si>
    <t>6014.2025/0003412-7</t>
  </si>
  <si>
    <t>012/0065/A</t>
  </si>
  <si>
    <t>FERNANDA DE JESUS ALMEIDA</t>
  </si>
  <si>
    <t>53.084.899-5</t>
  </si>
  <si>
    <t>521.589.488-41</t>
  </si>
  <si>
    <t>6014.2024/0002029-9</t>
  </si>
  <si>
    <t>012/0065/B</t>
  </si>
  <si>
    <t>REGINALDO PEREIRA DE ALMEIDA</t>
  </si>
  <si>
    <t>53.382.680-9</t>
  </si>
  <si>
    <t>319.047.988-70</t>
  </si>
  <si>
    <t>6014.2024/0005060-0</t>
  </si>
  <si>
    <t>012/0065/C</t>
  </si>
  <si>
    <t>AMANDA DE JESUS ALMEIDA</t>
  </si>
  <si>
    <t>54.574.451-9</t>
  </si>
  <si>
    <t>072.443.335-01</t>
  </si>
  <si>
    <t>6014.2024/0002547-9</t>
  </si>
  <si>
    <t>012/0065/D</t>
  </si>
  <si>
    <t>TIAGO DE JESUS ALMEIDA</t>
  </si>
  <si>
    <t>54.574.452-0</t>
  </si>
  <si>
    <t>074.420.805-02</t>
  </si>
  <si>
    <t>6014.2024/0003920-8</t>
  </si>
  <si>
    <t>012/0066/A</t>
  </si>
  <si>
    <t>MARIA GORETE DE LIMA</t>
  </si>
  <si>
    <t>52.030.520-6</t>
  </si>
  <si>
    <t>805.578.055-20</t>
  </si>
  <si>
    <t>6014.2024/0004451-1</t>
  </si>
  <si>
    <t>013/0012/A</t>
  </si>
  <si>
    <t>ANA CRISTINA DA SILVA MELO</t>
  </si>
  <si>
    <t>19.517.306-5</t>
  </si>
  <si>
    <t>129.590.468-38</t>
  </si>
  <si>
    <t>013/0012/B</t>
  </si>
  <si>
    <t>LUCAS DA SILVA MELO</t>
  </si>
  <si>
    <t>43.940.244-X</t>
  </si>
  <si>
    <t>380.893.448-44</t>
  </si>
  <si>
    <t>6014.2025/0004100-0</t>
  </si>
  <si>
    <t>013/0013/A</t>
  </si>
  <si>
    <t>LUZILEIDE DE SOUZA BRITO</t>
  </si>
  <si>
    <t>66.485.634-2</t>
  </si>
  <si>
    <t>833.204.315-87</t>
  </si>
  <si>
    <t>6014.2024/0000994-5</t>
  </si>
  <si>
    <t>013/0039/B</t>
  </si>
  <si>
    <t>MARIA JOCICLEIA SANCHES SOUSA</t>
  </si>
  <si>
    <t>68.790.513-8</t>
  </si>
  <si>
    <t>614.099.293-10</t>
  </si>
  <si>
    <t>OSMARINO MACENA DA SILVA</t>
  </si>
  <si>
    <t>32.618.91-3</t>
  </si>
  <si>
    <t>084.231.924-74</t>
  </si>
  <si>
    <t>6014.2026/0002181-7</t>
  </si>
  <si>
    <t>013/0014/B</t>
  </si>
  <si>
    <t>ROSELI DE OLIVEIRA</t>
  </si>
  <si>
    <t>45.077.655-4</t>
  </si>
  <si>
    <t>394.055.808-76</t>
  </si>
  <si>
    <t>6014.2025/0004988-4</t>
  </si>
  <si>
    <t>013/0015/A</t>
  </si>
  <si>
    <t>FLAVIA DUARTE DE CARVALHO</t>
  </si>
  <si>
    <t>58.925.074-7</t>
  </si>
  <si>
    <t>487.162.578-80</t>
  </si>
  <si>
    <t>6014.2024/0002690-4</t>
  </si>
  <si>
    <t>013/0015/B</t>
  </si>
  <si>
    <t>MARIA JOSÉ DE SOUZA</t>
  </si>
  <si>
    <t>52.235.607-2</t>
  </si>
  <si>
    <t>019.420.195-30</t>
  </si>
  <si>
    <t>6014.2024/0002476-6</t>
  </si>
  <si>
    <t>013/0015/C</t>
  </si>
  <si>
    <t>LARISSA MENDES CANABARRO</t>
  </si>
  <si>
    <t>58.894.234-0</t>
  </si>
  <si>
    <t>501.042.308-19</t>
  </si>
  <si>
    <t>6014.2023/0005043-9</t>
  </si>
  <si>
    <t>013/0031/A</t>
  </si>
  <si>
    <t>CELSON JESUS DOS SANTOS</t>
  </si>
  <si>
    <t>55.268.730-3</t>
  </si>
  <si>
    <t>048.967.135-75</t>
  </si>
  <si>
    <t>6014.2024/0003917-8</t>
  </si>
  <si>
    <t>013/0031/C</t>
  </si>
  <si>
    <t>BRUNA LETICIA DA SILVA</t>
  </si>
  <si>
    <t>43.579.007-9</t>
  </si>
  <si>
    <t>367.224.278-03</t>
  </si>
  <si>
    <t>6014.2023/0005235-0</t>
  </si>
  <si>
    <t>013/0032/A</t>
  </si>
  <si>
    <t>POLIANA MAGALHÃES VIEIRA</t>
  </si>
  <si>
    <t>49.367.885-2</t>
  </si>
  <si>
    <t>901.097.388-37</t>
  </si>
  <si>
    <t>6014.2024/0002985-7</t>
  </si>
  <si>
    <t>013/0032/B</t>
  </si>
  <si>
    <t>IRENIO JESUS DA SILVA</t>
  </si>
  <si>
    <t>52.412.574-0</t>
  </si>
  <si>
    <t>359.439.045-49</t>
  </si>
  <si>
    <t>6014.2025/0004102-6</t>
  </si>
  <si>
    <t>013/0032/C</t>
  </si>
  <si>
    <t>APARECIDA BARBOSA BRUNO</t>
  </si>
  <si>
    <t>25.284.130-X</t>
  </si>
  <si>
    <t>155.611.308-03</t>
  </si>
  <si>
    <t>013/0033/A</t>
  </si>
  <si>
    <t>IRENI JESUS DOS SANTOS</t>
  </si>
  <si>
    <t>38.293.451-9</t>
  </si>
  <si>
    <t>375.635.268-46</t>
  </si>
  <si>
    <t>013/0034/A</t>
  </si>
  <si>
    <t>VALDELICE OLIVEIRA SILVA DE SOUZA</t>
  </si>
  <si>
    <t>64.243.209-0</t>
  </si>
  <si>
    <t>040.796.991-82</t>
  </si>
  <si>
    <t>VALDELICE OLIVEIRA SILVA</t>
  </si>
  <si>
    <t>6014.2024/0000655-5</t>
  </si>
  <si>
    <t>013/0035/A</t>
  </si>
  <si>
    <t>ADRIANA NUNES DE ARAUJO</t>
  </si>
  <si>
    <t>39.843.407-4</t>
  </si>
  <si>
    <t>089.945.726-60</t>
  </si>
  <si>
    <t>6014.2023/0005044-7</t>
  </si>
  <si>
    <t>013/0036/A</t>
  </si>
  <si>
    <t>DAVI RIBEIRO DOS SANTOS</t>
  </si>
  <si>
    <t>39.477.786-4</t>
  </si>
  <si>
    <t>001.760.405-28</t>
  </si>
  <si>
    <t>6014.2023/0005045-5</t>
  </si>
  <si>
    <t>013/0037/A</t>
  </si>
  <si>
    <t>CLAUDIO SEVERIANO DA SILVA</t>
  </si>
  <si>
    <t>65.082.664-4</t>
  </si>
  <si>
    <t>938.448.402-49</t>
  </si>
  <si>
    <t>6014.2023/0005046-3</t>
  </si>
  <si>
    <t>013/0037/B</t>
  </si>
  <si>
    <t>MARIA JOSE DA SILVA</t>
  </si>
  <si>
    <t>54.467.457-1</t>
  </si>
  <si>
    <t>603.791.972-00</t>
  </si>
  <si>
    <t>6014.2023/0005239-3</t>
  </si>
  <si>
    <t>013/0037/C</t>
  </si>
  <si>
    <t>SÉRGIO SEVERIANO DA SILVA</t>
  </si>
  <si>
    <t>52.336.098-8</t>
  </si>
  <si>
    <t>863.741.092-87</t>
  </si>
  <si>
    <t>6014.2024/0000284-3</t>
  </si>
  <si>
    <t>013/0038/A</t>
  </si>
  <si>
    <t>MAURICIO PEREIRA DE SOUZA</t>
  </si>
  <si>
    <t>64.198.461.3</t>
  </si>
  <si>
    <t>034.610.975-27</t>
  </si>
  <si>
    <t>034.610.975.27</t>
  </si>
  <si>
    <t>6014.2024/0004301-9</t>
  </si>
  <si>
    <t>013/0038/B</t>
  </si>
  <si>
    <t xml:space="preserve">TANISLEIA ALVES DE OLIVEIRA </t>
  </si>
  <si>
    <t>59.700.886-3</t>
  </si>
  <si>
    <t>022.446.865-07</t>
  </si>
  <si>
    <t>6014.2024/0002753-6</t>
  </si>
  <si>
    <t>013/0038/C</t>
  </si>
  <si>
    <t>MAISA MARTINS DO REGO</t>
  </si>
  <si>
    <t>55.559.482-8</t>
  </si>
  <si>
    <t>471.139.238-60</t>
  </si>
  <si>
    <t>6014.2024/0002658-0</t>
  </si>
  <si>
    <t>013/0039/A</t>
  </si>
  <si>
    <t>MARIA GORETTI DA SILVA DOS SANTOS</t>
  </si>
  <si>
    <t>55.856.883-X</t>
  </si>
  <si>
    <t>101.660.894-27</t>
  </si>
  <si>
    <t>6014.2025/0000145-8</t>
  </si>
  <si>
    <t>007/0116/A</t>
  </si>
  <si>
    <t>RAFAEL JESUINO DA SILVA</t>
  </si>
  <si>
    <t>56.746.598-6</t>
  </si>
  <si>
    <t>494.753.928-31</t>
  </si>
  <si>
    <t xml:space="preserve">152344214
</t>
  </si>
  <si>
    <t>6014.2026/0003090-5</t>
  </si>
  <si>
    <t>006/0019/A</t>
  </si>
  <si>
    <t>EDELSON NILO DE SOUZA</t>
  </si>
  <si>
    <t>57.245.280-9</t>
  </si>
  <si>
    <t>114.653.686-04</t>
  </si>
  <si>
    <t>6014.2026/0003048-4</t>
  </si>
  <si>
    <t>013/0040/A</t>
  </si>
  <si>
    <t xml:space="preserve">WAGNER DOS SANTOS ARAUJO </t>
  </si>
  <si>
    <t>53.077.062-3</t>
  </si>
  <si>
    <t>008.020.125-31</t>
  </si>
  <si>
    <t>CORREÇÃO ÁREA - TROCA SECRETÁRIO</t>
  </si>
  <si>
    <t>6014.2025/0002535-7</t>
  </si>
  <si>
    <t>013/0040/B</t>
  </si>
  <si>
    <t>MARIA ALICE SANCHES OLIVEIRA</t>
  </si>
  <si>
    <t>69.006.588-7</t>
  </si>
  <si>
    <t>613.787.893-77</t>
  </si>
  <si>
    <t>AILTON ALEXANDRE DA SILVA</t>
  </si>
  <si>
    <t>003.511.855-50</t>
  </si>
  <si>
    <t>52.801.890-5</t>
  </si>
  <si>
    <t>6014.2025/0003419-4</t>
  </si>
  <si>
    <t>013/0040/C</t>
  </si>
  <si>
    <t>RODRIGO SILVA DE SOUZA</t>
  </si>
  <si>
    <t>47.856.246-9</t>
  </si>
  <si>
    <t>408.208.328-63</t>
  </si>
  <si>
    <t>6014.2025/0001797-4</t>
  </si>
  <si>
    <t>013/0041/A</t>
  </si>
  <si>
    <t>VALMIR JOSÉ DA COSTA</t>
  </si>
  <si>
    <t>47.856.256-9</t>
  </si>
  <si>
    <t>057.721.014-98</t>
  </si>
  <si>
    <t>013/0050/A</t>
  </si>
  <si>
    <t>HAMILTON DE JESUS SANTOS</t>
  </si>
  <si>
    <t>69.209.291-2</t>
  </si>
  <si>
    <t>920.124.345-68</t>
  </si>
  <si>
    <t>Termo chaves e demolição agosto/2024 (refazer)</t>
  </si>
  <si>
    <t>6014.2025/0003459-3</t>
  </si>
  <si>
    <t>013/0050/B</t>
  </si>
  <si>
    <t xml:space="preserve">STHEFANY SACRAMENTO SANTOS </t>
  </si>
  <si>
    <t>54.992.027-4</t>
  </si>
  <si>
    <t>488.340.948-16</t>
  </si>
  <si>
    <t>6014.2025/0003463-1</t>
  </si>
  <si>
    <t>013/0050/C</t>
  </si>
  <si>
    <t>OFICINA</t>
  </si>
  <si>
    <t>MARCELO SACRAMENTO DOS SANTOS</t>
  </si>
  <si>
    <t>54.992.028-6</t>
  </si>
  <si>
    <t>542.634.728-02</t>
  </si>
  <si>
    <t>INDENIZAÇÃO COMÉRCIO</t>
  </si>
  <si>
    <t>6014.2024/0006130-0</t>
  </si>
  <si>
    <t>013/0051/A</t>
  </si>
  <si>
    <t>RAIMUNDA DE JESUS SACRAMENTO</t>
  </si>
  <si>
    <t>58.049.368-4</t>
  </si>
  <si>
    <t>324.560.068-28</t>
  </si>
  <si>
    <t xml:space="preserve"> </t>
  </si>
  <si>
    <t>6014.2025/0003486-0</t>
  </si>
  <si>
    <t>013/0052/A</t>
  </si>
  <si>
    <t>ALEXSANDRA VIEIRA DA SILVA</t>
  </si>
  <si>
    <t>44.705.519-7</t>
  </si>
  <si>
    <t>381.504.538-06</t>
  </si>
  <si>
    <t>6014.2024/0001954-1</t>
  </si>
  <si>
    <t>013/0053/A</t>
  </si>
  <si>
    <t>MARCOS EVANI SILVA BORGES</t>
  </si>
  <si>
    <t>36.130.798-6</t>
  </si>
  <si>
    <t>578.059.895-91</t>
  </si>
  <si>
    <t>6014.2024/0001955-0</t>
  </si>
  <si>
    <t>013/0054/A</t>
  </si>
  <si>
    <t>WILLIAM AMORIM TEIXEIRA</t>
  </si>
  <si>
    <t>59.849.953-2</t>
  </si>
  <si>
    <t>039.196.205-18</t>
  </si>
  <si>
    <t>6014.2023/0005047-1</t>
  </si>
  <si>
    <t>013/0054/B</t>
  </si>
  <si>
    <t>LAISLA SANTOS PEREIRA</t>
  </si>
  <si>
    <t>68.636.170-2</t>
  </si>
  <si>
    <t>586.682.618-60</t>
  </si>
  <si>
    <t>6014.2023/0005048-0</t>
  </si>
  <si>
    <t>013/0055/A</t>
  </si>
  <si>
    <t>FRANCISCO DAS CHAGAS VASCONCELOS</t>
  </si>
  <si>
    <t>29.076.500-6</t>
  </si>
  <si>
    <t>257.761.932-49</t>
  </si>
  <si>
    <t>6014.2023/0005049-8</t>
  </si>
  <si>
    <t>013/0055/B</t>
  </si>
  <si>
    <t xml:space="preserve">JAQUELINE SANTOS FERREIRA
</t>
  </si>
  <si>
    <t>52.336.042-3</t>
  </si>
  <si>
    <t>488.666.848-80</t>
  </si>
  <si>
    <t>JAQUELINE SANTOS FERREIRA</t>
  </si>
  <si>
    <t>6014.2024/0000212-6</t>
  </si>
  <si>
    <t>013/0056/A</t>
  </si>
  <si>
    <t>DOUGLAS CAMPOS NASCIMENTO DA SILVA</t>
  </si>
  <si>
    <t>52.665.001-1</t>
  </si>
  <si>
    <t>491.402.448-90</t>
  </si>
  <si>
    <t>6014.2024/0000288-6</t>
  </si>
  <si>
    <t>013/0056/B</t>
  </si>
  <si>
    <t>KETLYN DOS SANTOS SOUZA LIMA</t>
  </si>
  <si>
    <t>53.846.433-1</t>
  </si>
  <si>
    <t>481.547.788-40</t>
  </si>
  <si>
    <t>6014.2024/0000652-0</t>
  </si>
  <si>
    <t>013/0057/A</t>
  </si>
  <si>
    <t>JOSIANE RUFINO DA SILVA</t>
  </si>
  <si>
    <t>47.641.389-8</t>
  </si>
  <si>
    <t>443.076.648-76</t>
  </si>
  <si>
    <t>6014.2024/0000625-3</t>
  </si>
  <si>
    <t>013/0057/B</t>
  </si>
  <si>
    <t>RECEBEU INDENIZAÇÃO PELO SELO 013/0057/A</t>
  </si>
  <si>
    <t>013/0058/A</t>
  </si>
  <si>
    <t>ANTONIA KATIANA PEREIRA DAS NEVES SILVA</t>
  </si>
  <si>
    <t>52.311.720-6</t>
  </si>
  <si>
    <t>652.763.883-34</t>
  </si>
  <si>
    <t>6014.2023/0005234-2</t>
  </si>
  <si>
    <t>013/0058/B</t>
  </si>
  <si>
    <t>NAIARA TALITA DAS NEVES SILVA</t>
  </si>
  <si>
    <t>52.311.728-0</t>
  </si>
  <si>
    <t>509.776.808-60</t>
  </si>
  <si>
    <t>6014.2023/0005243-1</t>
  </si>
  <si>
    <t>013/0059/A</t>
  </si>
  <si>
    <t>GILBERLÂNDIA LEITE DA HORA</t>
  </si>
  <si>
    <t>38.954.865-0</t>
  </si>
  <si>
    <t>313.229.948-03</t>
  </si>
  <si>
    <t>6014.2023/0005050-1</t>
  </si>
  <si>
    <t>013/0060/A</t>
  </si>
  <si>
    <t>RAIMUNDO ANGELO NETO</t>
  </si>
  <si>
    <t>52.912.832-9</t>
  </si>
  <si>
    <t>000.802.834-62</t>
  </si>
  <si>
    <t>6014.2025/0008650-0</t>
  </si>
  <si>
    <t>013/0060/B</t>
  </si>
  <si>
    <t>MARIA LINDINÉCIA DA SILVA ANGELO</t>
  </si>
  <si>
    <t>54.992.409-7</t>
  </si>
  <si>
    <t>052.360.014-39</t>
  </si>
  <si>
    <t>Planilha de PROJ, consta nome incompleto da munícipe</t>
  </si>
  <si>
    <t>6014.2026/0000003-8</t>
  </si>
  <si>
    <t>013/0061/A</t>
  </si>
  <si>
    <t>GIRLENE ALVES ARAUJO OLIVEIRA</t>
  </si>
  <si>
    <t>36.454.493-4</t>
  </si>
  <si>
    <t>336.500.298-71</t>
  </si>
  <si>
    <t xml:space="preserve">MARIA DA CONCEIÇÃO DE CASTRO </t>
  </si>
  <si>
    <t>52.270.596-0</t>
  </si>
  <si>
    <t>337.769.658-00</t>
  </si>
  <si>
    <t>6014.2024/0000211-8</t>
  </si>
  <si>
    <t>013/0062/A</t>
  </si>
  <si>
    <t>LUCIANA APARECIDA DA SILVA</t>
  </si>
  <si>
    <t>27.834.874-9</t>
  </si>
  <si>
    <t>254.716.058-70</t>
  </si>
  <si>
    <t>MARIA APARECIDA DA SILVA MAURIZ</t>
  </si>
  <si>
    <t>3.868.356</t>
  </si>
  <si>
    <t>070.650.983-89</t>
  </si>
  <si>
    <t>6014.2024/0002742-0</t>
  </si>
  <si>
    <t>013/0063/A</t>
  </si>
  <si>
    <t xml:space="preserve">IVONE RIBEIRO DA SILVA </t>
  </si>
  <si>
    <t>36.532.699-9</t>
  </si>
  <si>
    <t>235.424.588-21</t>
  </si>
  <si>
    <t>IVONE RIBEIRO DA SILVA</t>
  </si>
  <si>
    <t>013/0064/A</t>
  </si>
  <si>
    <t>SÉRGIO ARRUDA DOS SANTOS</t>
  </si>
  <si>
    <t>50.032.745-2</t>
  </si>
  <si>
    <t>343.617.368-12</t>
  </si>
  <si>
    <t>6014.2023/0005051-0</t>
  </si>
  <si>
    <t>013/0065/A</t>
  </si>
  <si>
    <t>EDSON JORGE FEBRONI FERREIRA</t>
  </si>
  <si>
    <t>40.843.411-9</t>
  </si>
  <si>
    <t>362.462.878-08</t>
  </si>
  <si>
    <t>HELIANE NOBERTO NUNES</t>
  </si>
  <si>
    <t>41.242.535-x</t>
  </si>
  <si>
    <t>366.327.508-69</t>
  </si>
  <si>
    <t>6014.2023/0005236-9</t>
  </si>
  <si>
    <t>013/0065/B</t>
  </si>
  <si>
    <t>SUELANDE SOARES DA SILVA</t>
  </si>
  <si>
    <t>48.407.367-9</t>
  </si>
  <si>
    <t>334.834.208-27</t>
  </si>
  <si>
    <t>6014.2023/0005052-8</t>
  </si>
  <si>
    <t>013/0065/C</t>
  </si>
  <si>
    <t>ZELIA XAVIER NUNES</t>
  </si>
  <si>
    <t>38.758.239-3</t>
  </si>
  <si>
    <t>289.805.358-99</t>
  </si>
  <si>
    <t>013/0066/A</t>
  </si>
  <si>
    <t>ROSANGELA MARIA DE SOUSA</t>
  </si>
  <si>
    <t>44.535.092-1</t>
  </si>
  <si>
    <t>226.124.518-11</t>
  </si>
  <si>
    <t>6014.2023/0005053-6</t>
  </si>
  <si>
    <t>013/0067/A</t>
  </si>
  <si>
    <t>IRISNEIDE MEDINA DA CRUZ</t>
  </si>
  <si>
    <t>62.302.855.-4</t>
  </si>
  <si>
    <t>056.138.713-37</t>
  </si>
  <si>
    <t>62.302.855-4</t>
  </si>
  <si>
    <t>6014.2023/0005054-4</t>
  </si>
  <si>
    <t>013/0067/B</t>
  </si>
  <si>
    <t>EDSON DE SOUSA SILVA</t>
  </si>
  <si>
    <t>50.834.403-7</t>
  </si>
  <si>
    <t>027.994.633-39</t>
  </si>
  <si>
    <t>6014.2023/0005055-2</t>
  </si>
  <si>
    <t>013/0068/A</t>
  </si>
  <si>
    <t>JACQUELINE APARECIDA CAVALCANTE</t>
  </si>
  <si>
    <t>35.938.836-X</t>
  </si>
  <si>
    <t>078.785.704-18</t>
  </si>
  <si>
    <t>6014.2024/0003959-3</t>
  </si>
  <si>
    <t>013/0068/B</t>
  </si>
  <si>
    <t>MARIA APARECIDA SILVA DOS SANTOS</t>
  </si>
  <si>
    <t>27.904.038-6</t>
  </si>
  <si>
    <t>187.408.738-54</t>
  </si>
  <si>
    <t>6014.2024/0005021-0</t>
  </si>
  <si>
    <t>013/0068/C</t>
  </si>
  <si>
    <t xml:space="preserve">MARIA BERNADETE BARBOSA VIDAL </t>
  </si>
  <si>
    <t>38.602.192-2</t>
  </si>
  <si>
    <t>682.450.177-87</t>
  </si>
  <si>
    <t>MARIA BERNADETE BARBOSA VIDAL</t>
  </si>
  <si>
    <t>6014.2025/0004183-2</t>
  </si>
  <si>
    <t>013/0069/A</t>
  </si>
  <si>
    <t>CLEITON CORREA RAMOS</t>
  </si>
  <si>
    <t>49.366.145-1</t>
  </si>
  <si>
    <t>410.569.108-28</t>
  </si>
  <si>
    <t>6014.2024/0000291-6</t>
  </si>
  <si>
    <t>013/0069/B</t>
  </si>
  <si>
    <t>GABRIELA CRISTINA ALVES</t>
  </si>
  <si>
    <t>33.963.742-0</t>
  </si>
  <si>
    <t>311.450.898-79</t>
  </si>
  <si>
    <t>6014.2024/0000605-9</t>
  </si>
  <si>
    <t>013/0070/A</t>
  </si>
  <si>
    <t>MARIA ELENA DOS SANTOS CAVALCANTE</t>
  </si>
  <si>
    <t>25.709.600-0</t>
  </si>
  <si>
    <t>148.531.278-79</t>
  </si>
  <si>
    <t>013/0070/B</t>
  </si>
  <si>
    <t>ADILSON DOUGLAS PEREIRA</t>
  </si>
  <si>
    <t>54.245.937-1</t>
  </si>
  <si>
    <t>486.926.648-20</t>
  </si>
  <si>
    <t>013/0070/C</t>
  </si>
  <si>
    <t>WILLIANS RODRIGUES DA SILVA</t>
  </si>
  <si>
    <t>30.862.077-X</t>
  </si>
  <si>
    <t>221.941.178-81</t>
  </si>
  <si>
    <t>BEATRIZ VITORIA PEREIRA</t>
  </si>
  <si>
    <t>68.346.639-2</t>
  </si>
  <si>
    <t>244.062.718-64</t>
  </si>
  <si>
    <t>6014.2024/0000292-4</t>
  </si>
  <si>
    <t>013/0071/A</t>
  </si>
  <si>
    <t>KELY MONALISE FERREIRA</t>
  </si>
  <si>
    <t>2008229520-9</t>
  </si>
  <si>
    <t>069.101.013-75</t>
  </si>
  <si>
    <t>6014.2024/0000294-0</t>
  </si>
  <si>
    <t>013/0072/A</t>
  </si>
  <si>
    <t>JANAINA APARECIDA CAVALCANTE</t>
  </si>
  <si>
    <t>35.938.832-2</t>
  </si>
  <si>
    <t>452.706.148-80</t>
  </si>
  <si>
    <t>6014.2024/0000210-0</t>
  </si>
  <si>
    <t>013/0073/A</t>
  </si>
  <si>
    <t>PAULO IRAN NUNES DA SILVA</t>
  </si>
  <si>
    <t>43.796.395-0</t>
  </si>
  <si>
    <t>373.649.228-65</t>
  </si>
  <si>
    <t>6014.2024/0000297-5</t>
  </si>
  <si>
    <t>013/0074/A</t>
  </si>
  <si>
    <t>RAFAEL FRANCISCO DOS SANTOS</t>
  </si>
  <si>
    <t>50.073.196-2</t>
  </si>
  <si>
    <t>515.693.948-14</t>
  </si>
  <si>
    <t>6014.2024/0000215-0</t>
  </si>
  <si>
    <t>013/0075/A</t>
  </si>
  <si>
    <t>JOSÉ AUGUSTO PITA FARIAS DE JESUS</t>
  </si>
  <si>
    <t>53.084.703-6</t>
  </si>
  <si>
    <t>542.444.628-05</t>
  </si>
  <si>
    <t>VALOR INCORRETO - TEM DIREITO A BONIFICAÇÃO</t>
  </si>
  <si>
    <t>6014.2024/0002671-8</t>
  </si>
  <si>
    <t>013/0076/A</t>
  </si>
  <si>
    <t>LUCIARA RIBEIRO DA SILVA</t>
  </si>
  <si>
    <t>37.127.604-4</t>
  </si>
  <si>
    <t>330.395.478-01</t>
  </si>
  <si>
    <t>013/0077/A</t>
  </si>
  <si>
    <t>GABRIEL APARECIDO ANTUNES DOS SANTOS</t>
  </si>
  <si>
    <t>55.475.145-8</t>
  </si>
  <si>
    <t>513.333.538-55</t>
  </si>
  <si>
    <t>6014.2023/0005056-0</t>
  </si>
  <si>
    <t>013/0078/A</t>
  </si>
  <si>
    <t>GILBERTO DA SILVA LIMA</t>
  </si>
  <si>
    <t>57.052.909-8</t>
  </si>
  <si>
    <t>004.065.745-02</t>
  </si>
  <si>
    <t>013/0079/A</t>
  </si>
  <si>
    <t>JENNIFER SOUZA DOS SANTOS</t>
  </si>
  <si>
    <t>60.927.325-5</t>
  </si>
  <si>
    <t>523.837.298-17</t>
  </si>
  <si>
    <t>STEFANY AMBROSIO DA SILVA</t>
  </si>
  <si>
    <t>494.569.768-07</t>
  </si>
  <si>
    <t>50.688.294-9</t>
  </si>
  <si>
    <t>VALOR INCORRETO - NÃO TEM DIREITO A BONIFICAÇÃO</t>
  </si>
  <si>
    <t>6014.2024/0000298-3</t>
  </si>
  <si>
    <t>013/0079/B</t>
  </si>
  <si>
    <t>GILMARIO DUQUE LIMA</t>
  </si>
  <si>
    <t>14698304-18</t>
  </si>
  <si>
    <t>384.843.598-59</t>
  </si>
  <si>
    <t>013/0080/A</t>
  </si>
  <si>
    <t>JOSÉ ROBSON XAVIER DE LIMA</t>
  </si>
  <si>
    <t>128.408.924-05</t>
  </si>
  <si>
    <t>013/0080/B</t>
  </si>
  <si>
    <t>CARLOS ALBERTO OLIVEIRA DA SILVA</t>
  </si>
  <si>
    <t>50.165.768-X</t>
  </si>
  <si>
    <t>028.969.864-21</t>
  </si>
  <si>
    <t>6014.2024/0000602-4</t>
  </si>
  <si>
    <t>013/0081/A</t>
  </si>
  <si>
    <t>RAPHAEL HENRIQUE ANTUNES</t>
  </si>
  <si>
    <t>42.643.331-2</t>
  </si>
  <si>
    <t>437.781.618-73</t>
  </si>
  <si>
    <t>6014.2024/0001958-4</t>
  </si>
  <si>
    <t>013/0081/B</t>
  </si>
  <si>
    <t>KATIA CILENE ANTUNES</t>
  </si>
  <si>
    <t>32.798.091-6</t>
  </si>
  <si>
    <t>217.275.788-80</t>
  </si>
  <si>
    <t>6014.2023/0005057-9</t>
  </si>
  <si>
    <t>013/0082/A</t>
  </si>
  <si>
    <t>JOSEFA MARIA MOTA LIMA</t>
  </si>
  <si>
    <t>37.709.896-6</t>
  </si>
  <si>
    <t>027.667.405-70</t>
  </si>
  <si>
    <t>6014.2024/0003998-4</t>
  </si>
  <si>
    <t>013/0082/B</t>
  </si>
  <si>
    <t>GISELLE LIMA SANTOS</t>
  </si>
  <si>
    <t>50.961.125-4</t>
  </si>
  <si>
    <t>396.224.828-56</t>
  </si>
  <si>
    <t>6014.2025/0003492-5</t>
  </si>
  <si>
    <t>013/0083/A</t>
  </si>
  <si>
    <t xml:space="preserve">CONSTRUÇÃO </t>
  </si>
  <si>
    <t>DIONES SILVA DIAS</t>
  </si>
  <si>
    <t>50.072.428-3</t>
  </si>
  <si>
    <t>869.104.085-86</t>
  </si>
  <si>
    <t>6014.2023/0005058-7</t>
  </si>
  <si>
    <t>013/0083/B</t>
  </si>
  <si>
    <t>JOÃO SANTOS DIAS</t>
  </si>
  <si>
    <t>36.288.170-4</t>
  </si>
  <si>
    <t>313.598.778-78</t>
  </si>
  <si>
    <t>6014.2023/0005059-5</t>
  </si>
  <si>
    <t>013/0083/C</t>
  </si>
  <si>
    <t>MARIELE ALMEIDA SANTOS</t>
  </si>
  <si>
    <t>66.876.916-6</t>
  </si>
  <si>
    <t>096.634.855-90</t>
  </si>
  <si>
    <t>6014.2023/0005242-3</t>
  </si>
  <si>
    <t>013/0084/A</t>
  </si>
  <si>
    <t>LUCIANO SANTOS DIAS</t>
  </si>
  <si>
    <t>39.105.484-3</t>
  </si>
  <si>
    <t>360.913.318-09</t>
  </si>
  <si>
    <t>6014.2023/0005060-9</t>
  </si>
  <si>
    <t>013/0085/A</t>
  </si>
  <si>
    <t>ROSIMEIRE CARDOSO DOS SANTOS</t>
  </si>
  <si>
    <t>38.266.074-2</t>
  </si>
  <si>
    <t>377.423.588-08</t>
  </si>
  <si>
    <t>ROSIMEIRE CARDOSO DOS SANTOS.</t>
  </si>
  <si>
    <t>6014.2024/0000654-7</t>
  </si>
  <si>
    <t>013/0086/A</t>
  </si>
  <si>
    <t>RODRIGO RUFINO LEITE</t>
  </si>
  <si>
    <t>50.551.349-3</t>
  </si>
  <si>
    <t>439.244.488-09</t>
  </si>
  <si>
    <t>6014.2024/0000299-1</t>
  </si>
  <si>
    <t>013/0086/B</t>
  </si>
  <si>
    <t>ELIVELTON FRANCISCO DA SILVA</t>
  </si>
  <si>
    <t>50.165.903-1</t>
  </si>
  <si>
    <t>459.459.608-88</t>
  </si>
  <si>
    <t>6014.2023/0005061-7</t>
  </si>
  <si>
    <t>013/0087/A</t>
  </si>
  <si>
    <t>LÁZARO DOS SANTOS PEREIRA</t>
  </si>
  <si>
    <t>62.238.849-6</t>
  </si>
  <si>
    <t>860.095.445-21</t>
  </si>
  <si>
    <t xml:space="preserve"> Aguardando alteração de cadastro.</t>
  </si>
  <si>
    <t>6014.2024/0000300-9</t>
  </si>
  <si>
    <t>013/0088/A</t>
  </si>
  <si>
    <t>MARCELINO NEVES FERNANDES</t>
  </si>
  <si>
    <t>35.257.799-X</t>
  </si>
  <si>
    <t>270.836.403-00</t>
  </si>
  <si>
    <t>6014.2023/0005238-5</t>
  </si>
  <si>
    <t>013/0088/B</t>
  </si>
  <si>
    <t>MARCONI GONÇALVES DO NASCIMENTO</t>
  </si>
  <si>
    <t>49.354.250-4</t>
  </si>
  <si>
    <t>339.528.058-66</t>
  </si>
  <si>
    <t>6014.2023/0005062-5</t>
  </si>
  <si>
    <t>013/0088/C</t>
  </si>
  <si>
    <t>MARIA JOSE BENTO DA SILVA DOS SANTOS</t>
  </si>
  <si>
    <t>54.815.770-4</t>
  </si>
  <si>
    <t>027.500.244-63</t>
  </si>
  <si>
    <t>6014.2024/0001986-0</t>
  </si>
  <si>
    <t>013/0089/A</t>
  </si>
  <si>
    <t>ALESSANDRA APARECIDA FRANCISCO DOS SANTOS</t>
  </si>
  <si>
    <t>42.140.046-8</t>
  </si>
  <si>
    <t>422.245.058-84</t>
  </si>
  <si>
    <t>6014.2024/0003977-1</t>
  </si>
  <si>
    <t>013/0089/B</t>
  </si>
  <si>
    <t>PAULO HENRIQUE DA SILVA</t>
  </si>
  <si>
    <t>38.147.482-3</t>
  </si>
  <si>
    <t>422.986.158-37</t>
  </si>
  <si>
    <t>6014.2023/0005244-0</t>
  </si>
  <si>
    <t>013/0089/C</t>
  </si>
  <si>
    <t>GUIOMAR APARECIDA FRANCISCO</t>
  </si>
  <si>
    <t>17.165.457-2</t>
  </si>
  <si>
    <t>076.212.038-03</t>
  </si>
  <si>
    <t>GUIOMAR APARECIDA FRANCISCO.</t>
  </si>
  <si>
    <t>6014.2024/0000301-7</t>
  </si>
  <si>
    <t>013/0089/D</t>
  </si>
  <si>
    <t>MATHEUS HENRIQUE DE SOUZA DA HORA</t>
  </si>
  <si>
    <t>52.271.131-5</t>
  </si>
  <si>
    <t>495.777.688-14</t>
  </si>
  <si>
    <t>013/0089/E</t>
  </si>
  <si>
    <t>UILMA CARLA DA SILVA</t>
  </si>
  <si>
    <t>48.660.313-1</t>
  </si>
  <si>
    <t>378.078.518-80</t>
  </si>
  <si>
    <t>6014.2023/0005063-3</t>
  </si>
  <si>
    <t>013/0090/A</t>
  </si>
  <si>
    <t>ANA MARIA MEIRA RAMOS</t>
  </si>
  <si>
    <t>32.741.186-7</t>
  </si>
  <si>
    <t>258.859.908-75</t>
  </si>
  <si>
    <t>6014.2024/0000991-0</t>
  </si>
  <si>
    <t>013/0091/A</t>
  </si>
  <si>
    <t>LIDIA PAULINO DA SILVA</t>
  </si>
  <si>
    <t>53.083.240-9</t>
  </si>
  <si>
    <t>405.133.004-49</t>
  </si>
  <si>
    <t>6014.2023/0005064-1</t>
  </si>
  <si>
    <t>013/0091/B</t>
  </si>
  <si>
    <t>ALINE DOMICIANO SOARES SILVA</t>
  </si>
  <si>
    <t>49.026.104-8</t>
  </si>
  <si>
    <t>446.626.098-28</t>
  </si>
  <si>
    <t>Nome incompleto na conta bancaria e refazer termo de indenização com data atualizada.</t>
  </si>
  <si>
    <t>6014.2024/0001990-8</t>
  </si>
  <si>
    <t>013/0098/A</t>
  </si>
  <si>
    <t>JESSIELEN SOUZA DOS SANTOS</t>
  </si>
  <si>
    <t>44.003.649-5</t>
  </si>
  <si>
    <t>428.673.268-18</t>
  </si>
  <si>
    <t>6014.2024/0002012-4</t>
  </si>
  <si>
    <t>013/0098/B</t>
  </si>
  <si>
    <t>TEREZINHA PINTO DE SOUZA</t>
  </si>
  <si>
    <t>37.628.728-7</t>
  </si>
  <si>
    <t>736.799.505-78</t>
  </si>
  <si>
    <t>6014.2024/0000996-1</t>
  </si>
  <si>
    <t>013/0098/C</t>
  </si>
  <si>
    <t>ALEXSANDRO NASCIMENTO MARTINS</t>
  </si>
  <si>
    <t>52.272.003-1</t>
  </si>
  <si>
    <t>546.105.388-22</t>
  </si>
  <si>
    <t>GILDASIO JOSÉ DOS SANTOS</t>
  </si>
  <si>
    <t>52.271.717-2</t>
  </si>
  <si>
    <t>148.471.165-34</t>
  </si>
  <si>
    <t>RECEBEU INDENIZAÇÃO PELO SELO 013/0098/D</t>
  </si>
  <si>
    <t>013/0098/D</t>
  </si>
  <si>
    <t>6014.2025/0005069-6</t>
  </si>
  <si>
    <t>013/0098/E</t>
  </si>
  <si>
    <t>JESSICA SOUZA DOS SANTOS</t>
  </si>
  <si>
    <t>49.390.437-2</t>
  </si>
  <si>
    <t>417.552.468-11</t>
  </si>
  <si>
    <t>6014.2025/0003548-4</t>
  </si>
  <si>
    <t>013/0099/A</t>
  </si>
  <si>
    <t>ANTONIO VIEIRA DA SILVA</t>
  </si>
  <si>
    <t>63.533.249.8</t>
  </si>
  <si>
    <t>029.477.258.83</t>
  </si>
  <si>
    <t>013/0099/B</t>
  </si>
  <si>
    <t>63.533.249-8</t>
  </si>
  <si>
    <t>029.477.258-83</t>
  </si>
  <si>
    <t>013/0099/C</t>
  </si>
  <si>
    <t>65.533.249-8</t>
  </si>
  <si>
    <t>013/0099/D</t>
  </si>
  <si>
    <t>013/0099/E</t>
  </si>
  <si>
    <t>013/0100/A</t>
  </si>
  <si>
    <t>MATILDE MARIA DA SILVA</t>
  </si>
  <si>
    <t>34.927.238-4</t>
  </si>
  <si>
    <t>077.514.598-08</t>
  </si>
  <si>
    <t>013/0100/B</t>
  </si>
  <si>
    <t>PAULA DAYANE ARAUJO DOS SANTOS</t>
  </si>
  <si>
    <t>50.888.460-3</t>
  </si>
  <si>
    <t>422.588.078-83</t>
  </si>
  <si>
    <t>013/0100/C</t>
  </si>
  <si>
    <t>PAULO DAVÍ ARAÚJO DOS SANTOS</t>
  </si>
  <si>
    <t>50.595.337-7</t>
  </si>
  <si>
    <t>412.730.488-06</t>
  </si>
  <si>
    <t>013/0103/A</t>
  </si>
  <si>
    <t xml:space="preserve">RECUSA </t>
  </si>
  <si>
    <t>013/0103/B</t>
  </si>
  <si>
    <t>RECUSA .</t>
  </si>
  <si>
    <t>013/0104/A</t>
  </si>
  <si>
    <t>JOAQUIM SANTOS CIRQUEIRA</t>
  </si>
  <si>
    <t>21.614.646-X</t>
  </si>
  <si>
    <t>252.518.938-84</t>
  </si>
  <si>
    <t>Atualizar termo mudança e demolição (setembro/2024)</t>
  </si>
  <si>
    <t>6014.2025/0004271-5</t>
  </si>
  <si>
    <t>013/0104/B</t>
  </si>
  <si>
    <t>DALVANI CIRQUEIRA SOUZA</t>
  </si>
  <si>
    <t>44.447.614-3</t>
  </si>
  <si>
    <t>341.694.198-55</t>
  </si>
  <si>
    <t>6014.2024/0005001-5</t>
  </si>
  <si>
    <t>013/0105/A</t>
  </si>
  <si>
    <t>MIRIAN MARIA SILVA</t>
  </si>
  <si>
    <t>35.751.444-0</t>
  </si>
  <si>
    <t>311.832.768-50</t>
  </si>
  <si>
    <t>RECEBEU INDENIZAÇÃO PELO SELO 013/0105/D</t>
  </si>
  <si>
    <t>013/0105/B</t>
  </si>
  <si>
    <t>ALINE MARIA DO NASCIMENTO</t>
  </si>
  <si>
    <t>37.896.632-7</t>
  </si>
  <si>
    <t>339.528.128-03</t>
  </si>
  <si>
    <t>AGUARDANDO CORREÇÃO- IDADE APARENTE DO IMÓVEL INFERIOR A 5 ANOS/  SEMELHANÇA DOS REGISTROS FOTOGRÁFICOS DESTE LAUDO  013/0105/C E 013/0105/D</t>
  </si>
  <si>
    <t>013/0105/C</t>
  </si>
  <si>
    <t>ÁVILA MARIA SILVA GODOI</t>
  </si>
  <si>
    <t>49.223.614-8</t>
  </si>
  <si>
    <t>339.528.158-29</t>
  </si>
  <si>
    <t>AGUARDANDO CORREÇÃO- IDADE APARENTE DO IMÓVEL INFERIOR A 5 ANOS/ SEMELHANÇA DOS REGISTROS FOTOGRÁFICOS DESTE LAUDO  013/0105/B E 013/0105/D</t>
  </si>
  <si>
    <t>013/0105/D</t>
  </si>
  <si>
    <t>AGUARDANDO CORREÇÃO- IDADE APARENTE DO IMÓVEL INFERIOR A 5 ANOS/ SEMELHANÇA DOS REGISTROS FOTOGRÁFICOS DESTE LAUDO 013/0105/B E 013/0105/C</t>
  </si>
  <si>
    <t>013/0105/E</t>
  </si>
  <si>
    <t>ADEILDO DA SILVA MELO</t>
  </si>
  <si>
    <t>22.153.160-9</t>
  </si>
  <si>
    <t>134.493.168-50</t>
  </si>
  <si>
    <t>013/0106/A</t>
  </si>
  <si>
    <t>NÃO RESIDENCIAL</t>
  </si>
  <si>
    <t>OSMAR MOREIRA GUIMARÃES</t>
  </si>
  <si>
    <t>14.233.416-9</t>
  </si>
  <si>
    <t>022.539.118-01</t>
  </si>
  <si>
    <t>013/0107/A</t>
  </si>
  <si>
    <t>ROSANGELA HENRIQUE CARNEIRO.</t>
  </si>
  <si>
    <t>49.437.613-X.</t>
  </si>
  <si>
    <t>382.029.838-00.</t>
  </si>
  <si>
    <t>013/0107/B</t>
  </si>
  <si>
    <t>ROSANGELA HENRIQUE CARNEIRO</t>
  </si>
  <si>
    <t>49.437.613-X</t>
  </si>
  <si>
    <t>382.029.838-00</t>
  </si>
  <si>
    <t>013/0107/C</t>
  </si>
  <si>
    <t>MARIANO PEREIRA DA SILVA</t>
  </si>
  <si>
    <t>59.127.692-6</t>
  </si>
  <si>
    <t>658.819.823-04</t>
  </si>
  <si>
    <t>6014.2025/0002263-3</t>
  </si>
  <si>
    <t>013/0108/C</t>
  </si>
  <si>
    <t>JESSICA DOS SANTOS</t>
  </si>
  <si>
    <t>39.151.757-0</t>
  </si>
  <si>
    <t>453.024.108-42</t>
  </si>
  <si>
    <t>6014.2024/0004508-9</t>
  </si>
  <si>
    <t>013/0108/D</t>
  </si>
  <si>
    <t>ALEX SANDRO DOMICIANO DA SILVA</t>
  </si>
  <si>
    <t>25.512.511-2</t>
  </si>
  <si>
    <t>317.102.598-17</t>
  </si>
  <si>
    <t>6014.2023/0005065-0</t>
  </si>
  <si>
    <t>013/0108/E</t>
  </si>
  <si>
    <t>ODINEIA SOUZA SILVA</t>
  </si>
  <si>
    <t>66.941.901-1</t>
  </si>
  <si>
    <t>958.761.035-00</t>
  </si>
  <si>
    <t>6014.2025/0003552-2</t>
  </si>
  <si>
    <t>013/0108/F</t>
  </si>
  <si>
    <t>ELIO FRANÇA MARGALHÃES</t>
  </si>
  <si>
    <t>39.736.965-7</t>
  </si>
  <si>
    <t>004.754.145-86</t>
  </si>
  <si>
    <t>6014.2024/0000214-2</t>
  </si>
  <si>
    <t>013/0108/H</t>
  </si>
  <si>
    <t>ESTEFANY SILVA MEDEIROS</t>
  </si>
  <si>
    <t>37.225.880-3</t>
  </si>
  <si>
    <t>347.272.148-06</t>
  </si>
  <si>
    <t>Não foi informado se conta corrente ou poupança e na declaração de endereço o RG/CPF está divergente do documento RG/CPF.</t>
  </si>
  <si>
    <t>6014.2025/0001798-2</t>
  </si>
  <si>
    <t>013/0108/I</t>
  </si>
  <si>
    <t>ROBSON GABRIEL DOS SANTOS</t>
  </si>
  <si>
    <t>57.836.642-3</t>
  </si>
  <si>
    <t>084.449.974-98</t>
  </si>
  <si>
    <t>6014.2024/0002678-5</t>
  </si>
  <si>
    <t>013/0109/B</t>
  </si>
  <si>
    <t>ADÃO PEREIRA DE SOUSA</t>
  </si>
  <si>
    <t>59.540.124-7</t>
  </si>
  <si>
    <t>812.142.431-34</t>
  </si>
  <si>
    <t>RECEBEU INDENIZAÇÃO PELO SELO 013/0109/C</t>
  </si>
  <si>
    <t>59.540.124-7.</t>
  </si>
  <si>
    <t>013/0109/C</t>
  </si>
  <si>
    <t>TAMIRES ALEXANDRINA DE OLIVEIRA</t>
  </si>
  <si>
    <t>41.598.379-4</t>
  </si>
  <si>
    <t>379.508.458-05</t>
  </si>
  <si>
    <t>6014.2025/0005051-3</t>
  </si>
  <si>
    <t>006/0019/B</t>
  </si>
  <si>
    <t>SIDINEY ROSA FERREIRA</t>
  </si>
  <si>
    <t>52.943.004-6</t>
  </si>
  <si>
    <t>071.751.336-00</t>
  </si>
  <si>
    <t xml:space="preserve">SIDINEY ROSA FERREIRA </t>
  </si>
  <si>
    <t>6014.2026/0003117-0</t>
  </si>
  <si>
    <t>013/0116/A</t>
  </si>
  <si>
    <t>SILVÂNIA SOARES DOS SANTOS</t>
  </si>
  <si>
    <t>57.788.082-2</t>
  </si>
  <si>
    <t>288.529.598-82</t>
  </si>
  <si>
    <t>Não consta planilha e ratificação de SEHAB/PROJ do selo 013/0116/A.</t>
  </si>
  <si>
    <t>6014.2025/0008658-5</t>
  </si>
  <si>
    <t>013/0116/B</t>
  </si>
  <si>
    <t>EDVAN RAMOS PEREIRA</t>
  </si>
  <si>
    <t>59.201.569-5</t>
  </si>
  <si>
    <t>009.640.413-24</t>
  </si>
  <si>
    <t>GABRIEL GOMES SOARES</t>
  </si>
  <si>
    <t>533.187.708-76</t>
  </si>
  <si>
    <t>52.029.205-4</t>
  </si>
  <si>
    <t>6014.2025/0002447-4</t>
  </si>
  <si>
    <t>013/0116/C</t>
  </si>
  <si>
    <t>JOSÉ RODRIGUES</t>
  </si>
  <si>
    <t>65.778.738-3</t>
  </si>
  <si>
    <t>036.357.803-08</t>
  </si>
  <si>
    <t>JOSE SERGIO MATIAS GOMES</t>
  </si>
  <si>
    <t>957.009.514-87</t>
  </si>
  <si>
    <t>28.564.463-4</t>
  </si>
  <si>
    <t>6014.2024/0002716-1</t>
  </si>
  <si>
    <t>013/0116/D</t>
  </si>
  <si>
    <t>WITINA KATIELE SILVA DE OLIVEIRA</t>
  </si>
  <si>
    <t>63.065.908-4</t>
  </si>
  <si>
    <t>424-430-498-33</t>
  </si>
  <si>
    <t>JOSE WELLINGTON DA SILVA TOME</t>
  </si>
  <si>
    <t>1.458.696</t>
  </si>
  <si>
    <t>821.261.865-04</t>
  </si>
  <si>
    <t>6014.2024/0002706-4</t>
  </si>
  <si>
    <t>013/0116/E</t>
  </si>
  <si>
    <t>GABRIELA GOMES SOARES</t>
  </si>
  <si>
    <t>52.029.204-2</t>
  </si>
  <si>
    <t>431.810.028-60</t>
  </si>
  <si>
    <t>6014.2024/0002719-6</t>
  </si>
  <si>
    <t>013/0117/B</t>
  </si>
  <si>
    <t>FABILEON DOS ANJOS CRUZ</t>
  </si>
  <si>
    <t>44.164.820-4</t>
  </si>
  <si>
    <t>389.413.648-09</t>
  </si>
  <si>
    <t>6014.2024/0002703-0</t>
  </si>
  <si>
    <t>013/0120/A</t>
  </si>
  <si>
    <t>LUCAS OLIVEIRA DA SILVA</t>
  </si>
  <si>
    <t>43.882.467-2</t>
  </si>
  <si>
    <t>392.728.568-41</t>
  </si>
  <si>
    <t>6014.2023/0005066-8</t>
  </si>
  <si>
    <t>007/0117/A</t>
  </si>
  <si>
    <t>ESTER LEITE DA CUNHA</t>
  </si>
  <si>
    <t>22.640.751-2</t>
  </si>
  <si>
    <t>125.451.288-80</t>
  </si>
  <si>
    <t>6014.2026/0003055-7</t>
  </si>
  <si>
    <t>013/0121/B</t>
  </si>
  <si>
    <t>CLEBIANO GOMES DOS SANTOS</t>
  </si>
  <si>
    <t>49.244.434-1</t>
  </si>
  <si>
    <t>357.929.138-62</t>
  </si>
  <si>
    <t>Refazer termo indenização com data atualizada</t>
  </si>
  <si>
    <t>6014.2023/0005067-6</t>
  </si>
  <si>
    <t>013/0122/A</t>
  </si>
  <si>
    <t>EDIR CARLOS RAMOS DA SILVA</t>
  </si>
  <si>
    <t>52.597.394-1</t>
  </si>
  <si>
    <t>016.233.395-10</t>
  </si>
  <si>
    <t>6014.2025/0000330-2</t>
  </si>
  <si>
    <t>013/0123/A</t>
  </si>
  <si>
    <t>LEIDIANE SANTOS DA SILVA</t>
  </si>
  <si>
    <t>58.032.457-6</t>
  </si>
  <si>
    <t>850.647.695-04</t>
  </si>
  <si>
    <t>6014.2023/0005068-4</t>
  </si>
  <si>
    <t>013/0124/A</t>
  </si>
  <si>
    <t>ANDREIA FERREIRA DOS SANTOS</t>
  </si>
  <si>
    <t>47.030.306-2</t>
  </si>
  <si>
    <t>012.600.275-46</t>
  </si>
  <si>
    <t>6014.2023/0005069-2</t>
  </si>
  <si>
    <t>013/0125/A</t>
  </si>
  <si>
    <t>ROBERTO NUNES CARDOSO</t>
  </si>
  <si>
    <t>34.608.070-8</t>
  </si>
  <si>
    <t>283.396.248-73</t>
  </si>
  <si>
    <t>RECEBEU INDENIZAÇÃO PELO SELO 013/0125/B</t>
  </si>
  <si>
    <t>013/0125/B</t>
  </si>
  <si>
    <t>6014.2023/0005070-6</t>
  </si>
  <si>
    <t>013/0125/C</t>
  </si>
  <si>
    <t>013/0126/A</t>
  </si>
  <si>
    <t>CLAUDIA MARIA RUFINO DA SILVA</t>
  </si>
  <si>
    <t>44.004.466-2</t>
  </si>
  <si>
    <t>420.011.808-45</t>
  </si>
  <si>
    <t>6014.2023/0005071-4</t>
  </si>
  <si>
    <t>013/0126/B</t>
  </si>
  <si>
    <t>MARIA ELIANE AMARO MARQUES DA SILVA</t>
  </si>
  <si>
    <t>24.173.762-X</t>
  </si>
  <si>
    <t>206.099.938-36</t>
  </si>
  <si>
    <t>6014.2023/0005072-2</t>
  </si>
  <si>
    <t>013/0126/C</t>
  </si>
  <si>
    <t>MIRIAN AMARO SILVA</t>
  </si>
  <si>
    <t>32.301.768-X</t>
  </si>
  <si>
    <t>290.512.808-90</t>
  </si>
  <si>
    <t>6014.2024/0000453-6</t>
  </si>
  <si>
    <t>013/0127/A</t>
  </si>
  <si>
    <t>SUELLEN CRISTINA PAIXÃO DA SILVA</t>
  </si>
  <si>
    <t>49.359.103-5</t>
  </si>
  <si>
    <t>425.286.718-57</t>
  </si>
  <si>
    <t>013/0128/A</t>
  </si>
  <si>
    <t>MARIA GOMES FERREIRA</t>
  </si>
  <si>
    <t>57.628.919-X</t>
  </si>
  <si>
    <t>651.654.383-68</t>
  </si>
  <si>
    <t>013/0128/B</t>
  </si>
  <si>
    <t>MARIA GOMES DE OLIVEIRA</t>
  </si>
  <si>
    <t>6014.2024/0002645-9</t>
  </si>
  <si>
    <t>013/0129/A</t>
  </si>
  <si>
    <t>ROSINEIDE DA SILVA SANTOS</t>
  </si>
  <si>
    <t>30.062.601-0</t>
  </si>
  <si>
    <t>244.129.848-85</t>
  </si>
  <si>
    <t>013/0130/A</t>
  </si>
  <si>
    <t>MARILENE OLIVEIRA</t>
  </si>
  <si>
    <t>50.208.705-5</t>
  </si>
  <si>
    <t>268.831.982-53</t>
  </si>
  <si>
    <t xml:space="preserve">MARILENE OLIVEIRA </t>
  </si>
  <si>
    <t>013/0131/A</t>
  </si>
  <si>
    <t>EDSON DO NASCIMENTO</t>
  </si>
  <si>
    <t>46.711.797-4</t>
  </si>
  <si>
    <t>376.865.358-78</t>
  </si>
  <si>
    <t>6014.2026/0004743-3</t>
  </si>
  <si>
    <t>013/0132/A</t>
  </si>
  <si>
    <t xml:space="preserve">RAFAEL MOURA DO NASCIMENTO </t>
  </si>
  <si>
    <t>39.121.292-8</t>
  </si>
  <si>
    <t>508.617.678-61</t>
  </si>
  <si>
    <t>6014.2025/0006497-2</t>
  </si>
  <si>
    <t>013/0133/A</t>
  </si>
  <si>
    <t>JOSÉ CICERO DA SILVA</t>
  </si>
  <si>
    <t>65.845.622-2</t>
  </si>
  <si>
    <t>028.974.284-65</t>
  </si>
  <si>
    <t>6014.2024/0000622-9</t>
  </si>
  <si>
    <t>013/0133/B</t>
  </si>
  <si>
    <t>MAYARA SANTOS DE ARAUJO</t>
  </si>
  <si>
    <t>65.959.945-4</t>
  </si>
  <si>
    <t>088.824.594-70</t>
  </si>
  <si>
    <t>013/0133/C</t>
  </si>
  <si>
    <t>013/0133/D</t>
  </si>
  <si>
    <t>DENILSON NASCIMENTO SILVA</t>
  </si>
  <si>
    <t>53.510.906-4</t>
  </si>
  <si>
    <t>480.469.668-78</t>
  </si>
  <si>
    <t>6014.2025/0004295-2</t>
  </si>
  <si>
    <t>013/0136/A</t>
  </si>
  <si>
    <t>MARIANA ARRUDA RODRIGUES</t>
  </si>
  <si>
    <t>_</t>
  </si>
  <si>
    <t>449.313.948-09</t>
  </si>
  <si>
    <t>6014.2026/0004741-7</t>
  </si>
  <si>
    <t>004/0032/A</t>
  </si>
  <si>
    <t>CLAUDIO RIBEIRO DOS SANTOS</t>
  </si>
  <si>
    <t>32.496.972-7</t>
  </si>
  <si>
    <t>051.214.348-04</t>
  </si>
  <si>
    <t>6014.2026/0003136-7</t>
  </si>
  <si>
    <t>013/0137/A</t>
  </si>
  <si>
    <t>JOSE RENILSON DE JESUS SANTOS</t>
  </si>
  <si>
    <t>55.115.511-5</t>
  </si>
  <si>
    <t>440.618.668-93</t>
  </si>
  <si>
    <t>6014.2026/0004736-0</t>
  </si>
  <si>
    <t>013/0138/A</t>
  </si>
  <si>
    <t>MARIA GELZA ALVES DE SOUZA</t>
  </si>
  <si>
    <t>37.471.578-6</t>
  </si>
  <si>
    <t>035.699.254-39</t>
  </si>
  <si>
    <t>6014.2026/0004737-9</t>
  </si>
  <si>
    <t>013/0139/A</t>
  </si>
  <si>
    <t>GILMAR SANTOS CARVALHO</t>
  </si>
  <si>
    <t>34.345.194-3</t>
  </si>
  <si>
    <t>289.335.258-82</t>
  </si>
  <si>
    <t>6014.2025/0008228-8</t>
  </si>
  <si>
    <t>013/0140/A</t>
  </si>
  <si>
    <t xml:space="preserve">ODILIO MATOS MARTINS </t>
  </si>
  <si>
    <t>56.447.098-3</t>
  </si>
  <si>
    <t>303.077.778-20</t>
  </si>
  <si>
    <t>6014.2025/0005790-9</t>
  </si>
  <si>
    <t>013/0141/A</t>
  </si>
  <si>
    <t>JAIQUE PEREIRA BRITO</t>
  </si>
  <si>
    <t>65.327.479-8</t>
  </si>
  <si>
    <t>004.353.165-24</t>
  </si>
  <si>
    <t xml:space="preserve">LELUCIA ALVES DE SOUZA </t>
  </si>
  <si>
    <t>6014.2026/0003067-0</t>
  </si>
  <si>
    <t>015/0001/A</t>
  </si>
  <si>
    <t>MARIA NASCIMENTO FERREIRA DE SOUZA</t>
  </si>
  <si>
    <t>37.744.211-2</t>
  </si>
  <si>
    <t>637.724.855-53</t>
  </si>
  <si>
    <t>6014.2025/0008271-7</t>
  </si>
  <si>
    <t>015/0004/A</t>
  </si>
  <si>
    <t xml:space="preserve">OZIEL LIMA SANTOS  </t>
  </si>
  <si>
    <t>37.657.146-9</t>
  </si>
  <si>
    <t>696.573.785-91</t>
  </si>
  <si>
    <t xml:space="preserve">OZIEL LIMA SANTOS </t>
  </si>
  <si>
    <t>015/0004/B</t>
  </si>
  <si>
    <t xml:space="preserve">PEDRO HENRIQUE MOREIRA SANTOS  </t>
  </si>
  <si>
    <t>39.927.716-X</t>
  </si>
  <si>
    <t>067.098.395-08</t>
  </si>
  <si>
    <t>6014.2025/0004981-7</t>
  </si>
  <si>
    <t>015/0004/C</t>
  </si>
  <si>
    <t xml:space="preserve">JOÃO PEDRO FERREIRA DA SILVA </t>
  </si>
  <si>
    <t>66.601.857-1</t>
  </si>
  <si>
    <t>580.983.988-62</t>
  </si>
  <si>
    <t>JOÃO PEDRO FERREIRA DA SILVA</t>
  </si>
  <si>
    <t>6014.2025/0002220-0</t>
  </si>
  <si>
    <t>015/0005/A</t>
  </si>
  <si>
    <t xml:space="preserve">ROSILEIDE MARIA DE SOUSA </t>
  </si>
  <si>
    <t>50.264.788-7</t>
  </si>
  <si>
    <t>157.941.868-60</t>
  </si>
  <si>
    <t>015/0006/A</t>
  </si>
  <si>
    <t xml:space="preserve">ELIZABETH VIANA GUEDES GOMES </t>
  </si>
  <si>
    <t>53.815.985-6</t>
  </si>
  <si>
    <t>495.160.148-60</t>
  </si>
  <si>
    <t>6014.2025/0002107-6</t>
  </si>
  <si>
    <t>016/0026/A</t>
  </si>
  <si>
    <t>DENILSON CEZAR MACIEL</t>
  </si>
  <si>
    <t>36.322.133-5</t>
  </si>
  <si>
    <t>851.330.433-68</t>
  </si>
  <si>
    <t>6014.2025/0002129-7</t>
  </si>
  <si>
    <t>024/0030/B</t>
  </si>
  <si>
    <t>029/0024/C</t>
  </si>
  <si>
    <t>CONFIRMAÇÃO PAGAMENTO</t>
  </si>
  <si>
    <t>024/0041/A</t>
  </si>
  <si>
    <t>029/0023/E</t>
  </si>
  <si>
    <t>029/0035/B</t>
  </si>
  <si>
    <t>029/0069/B</t>
  </si>
  <si>
    <t>029/0039/B</t>
  </si>
  <si>
    <t>029/0067/A</t>
  </si>
  <si>
    <t>029/0064/F</t>
  </si>
  <si>
    <t>029/0070/B</t>
  </si>
  <si>
    <t>029/0066/B</t>
  </si>
  <si>
    <t>024/0102/D</t>
  </si>
  <si>
    <t>029/0066/E</t>
  </si>
  <si>
    <t>031/0035/A</t>
  </si>
  <si>
    <t>029/0067/F</t>
  </si>
  <si>
    <t>031/0067/B</t>
  </si>
  <si>
    <t>024/0077/B</t>
  </si>
  <si>
    <t>029/0069/D</t>
  </si>
  <si>
    <t>029/0069/C</t>
  </si>
  <si>
    <t>029/0061/A</t>
  </si>
  <si>
    <t>029/0070/C</t>
  </si>
  <si>
    <t>029/0071/D</t>
  </si>
  <si>
    <t>031/0058/A</t>
  </si>
  <si>
    <t>029/0071/E</t>
  </si>
  <si>
    <t>029/0036/F</t>
  </si>
  <si>
    <t>029/0080/E</t>
  </si>
  <si>
    <t>031/0067/A</t>
  </si>
  <si>
    <t>029/0081/A</t>
  </si>
  <si>
    <t>031/0028/L</t>
  </si>
  <si>
    <t>029/0083/A</t>
  </si>
  <si>
    <t>024/0105/A</t>
  </si>
  <si>
    <t>029/0085/G</t>
  </si>
  <si>
    <t>029/0086/B</t>
  </si>
  <si>
    <t>031/0025/A</t>
  </si>
  <si>
    <t>031/0004/C</t>
  </si>
  <si>
    <t>024/0051/A</t>
  </si>
  <si>
    <t>031/0014/A</t>
  </si>
  <si>
    <t>031/0015/D</t>
  </si>
  <si>
    <t>031/0020/B</t>
  </si>
  <si>
    <t>031/0020/C</t>
  </si>
  <si>
    <t>PARAISÓPOLIS/ANTONICO</t>
  </si>
  <si>
    <t>031/0034/J</t>
  </si>
  <si>
    <t xml:space="preserve">ELIAS GABRIEL SANTANA DE BRITO </t>
  </si>
  <si>
    <t>031/0022/B</t>
  </si>
  <si>
    <t>033/0029/B</t>
  </si>
  <si>
    <t>031/0040/C</t>
  </si>
  <si>
    <t>FABIANA APARECIDA FRANCISCO</t>
  </si>
  <si>
    <t>031/0022/E</t>
  </si>
  <si>
    <t>031/0076/B</t>
  </si>
  <si>
    <t>LUCIENE FERREIRA DA SILVA</t>
  </si>
  <si>
    <t>031/0033/E</t>
  </si>
  <si>
    <t>031/0076/C</t>
  </si>
  <si>
    <t xml:space="preserve">ADILSON DE ASSIS GOMES </t>
  </si>
  <si>
    <t>031/0028/D</t>
  </si>
  <si>
    <t>024/0070/E</t>
  </si>
  <si>
    <t>031/0076/D</t>
  </si>
  <si>
    <t>VIVALDO JOSÉ DE SANTANA FILHO</t>
  </si>
  <si>
    <t>024/0079/C</t>
  </si>
  <si>
    <t>031/0031/B</t>
  </si>
  <si>
    <t>033/0030/A</t>
  </si>
  <si>
    <t>031/0033/K</t>
  </si>
  <si>
    <t>024/0041/B</t>
  </si>
  <si>
    <t>031/0033/Q</t>
  </si>
  <si>
    <t>031/0035/B</t>
  </si>
  <si>
    <t>031/0039/C</t>
  </si>
  <si>
    <t>024/0088/B</t>
  </si>
  <si>
    <t>033/0016/C</t>
  </si>
  <si>
    <t>027/0014/H</t>
  </si>
  <si>
    <t>GERILZA BRITO CAVALCANTE</t>
  </si>
  <si>
    <t>027/0016/B</t>
  </si>
  <si>
    <t>LOURISMAR LIMA BRAGA</t>
  </si>
  <si>
    <t>027/0016/C</t>
  </si>
  <si>
    <t>HUGO DA SILVA</t>
  </si>
  <si>
    <t>029/0018/A</t>
  </si>
  <si>
    <t>PATRICIA BEZERRA DE OLIVEIRA</t>
  </si>
  <si>
    <t>029/0024/D</t>
  </si>
  <si>
    <t>CARLOS JESUS DA SILVA</t>
  </si>
  <si>
    <t>029/0025/A</t>
  </si>
  <si>
    <t>ADAILTON ALVES DOS SANTOS</t>
  </si>
  <si>
    <t>029/0036/L</t>
  </si>
  <si>
    <t>ROMÁRIO SANTANA DA SILVA</t>
  </si>
  <si>
    <t>029/0036/M</t>
  </si>
  <si>
    <t>PATRICIA PEREIRA TEIXEIRA</t>
  </si>
  <si>
    <t>029/0036/N</t>
  </si>
  <si>
    <t>VITÓRIA DA SILVA MEDEIROS</t>
  </si>
  <si>
    <t>029/0036/O</t>
  </si>
  <si>
    <t>WALDECI MARQUES CARDOSO FILHO</t>
  </si>
  <si>
    <t>029/0042/A</t>
  </si>
  <si>
    <t>CRISTINE DE LIMA BRITO</t>
  </si>
  <si>
    <t>029/0042/B</t>
  </si>
  <si>
    <t xml:space="preserve">PRISCILA SILVA ROLT </t>
  </si>
  <si>
    <t>029/0054/E</t>
  </si>
  <si>
    <t>AGUINALDO FERREIRA GUILHERME</t>
  </si>
  <si>
    <t>029/0066/C</t>
  </si>
  <si>
    <t>VERINA DOS SANTOS SILVA</t>
  </si>
  <si>
    <t>029/0085/D</t>
  </si>
  <si>
    <t> SARAH CAROLINE SILVA GUILHERME</t>
  </si>
  <si>
    <t>031/0006/C</t>
  </si>
  <si>
    <t>MARCIA DE SOUZA DE LIMA</t>
  </si>
  <si>
    <t>031/0009/A</t>
  </si>
  <si>
    <t>MANOEL ANTONIO DE LIMA</t>
  </si>
  <si>
    <t>031/0009/B</t>
  </si>
  <si>
    <t>MÁRCIA PANTALEÃO DA SILVA</t>
  </si>
  <si>
    <t>031/0010/A</t>
  </si>
  <si>
    <t>031/0017/F</t>
  </si>
  <si>
    <t>TAINA SANTANA DIAS DA SILVA</t>
  </si>
  <si>
    <t>031/0017/G</t>
  </si>
  <si>
    <t>PROPRIETÁRIO NÃO IDENTIFICADO</t>
  </si>
  <si>
    <t>031/0018/A</t>
  </si>
  <si>
    <t>LUCIANA FRANCILINO DE LIMA</t>
  </si>
  <si>
    <t>031/0023/B</t>
  </si>
  <si>
    <t>JOSE RIBEIRO DA CRUZ</t>
  </si>
  <si>
    <t>031/0023/C</t>
  </si>
  <si>
    <t xml:space="preserve">ERIVALDO DE SOUZA BARRETO </t>
  </si>
  <si>
    <t>031/0026/E</t>
  </si>
  <si>
    <t>EDIMILSON SANTOS GOMES</t>
  </si>
  <si>
    <t>031/0032/C</t>
  </si>
  <si>
    <t>ANOILSON SANTOS GOMES</t>
  </si>
  <si>
    <t>031/0034/E</t>
  </si>
  <si>
    <t>RONALDO DE SOUSA FONTENELE GOMES</t>
  </si>
  <si>
    <t>031/0034/H</t>
  </si>
  <si>
    <t>EUDES GONÇALVES CAVALCANTE</t>
  </si>
  <si>
    <t>031/0034/I</t>
  </si>
  <si>
    <t>DANIELE COSTA</t>
  </si>
  <si>
    <t>031/0034/K</t>
  </si>
  <si>
    <t>031/0036/A</t>
  </si>
  <si>
    <t>EUDES GONÇALVES CAVALCANTI</t>
  </si>
  <si>
    <t>031/0053/A</t>
  </si>
  <si>
    <t>JOÃO VICTOR ARAUJO DOS SANTOS</t>
  </si>
  <si>
    <t>031/0058/B</t>
  </si>
  <si>
    <t>FLAVIO ARAUJO DOS SANTOS</t>
  </si>
  <si>
    <t>031/0058/E</t>
  </si>
  <si>
    <t>ELIO NEVES DE SOUZA</t>
  </si>
  <si>
    <t>031/0058/H</t>
  </si>
  <si>
    <t>IVA CERQUEIRA LENARES</t>
  </si>
  <si>
    <t>031/0078/A</t>
  </si>
  <si>
    <t>EDNALDO BARBOSA BATISTA</t>
  </si>
  <si>
    <t>031/0078/B</t>
  </si>
  <si>
    <t>MARIA JOSE PEREIRA BASTOS</t>
  </si>
  <si>
    <t>033/0029/C</t>
  </si>
  <si>
    <t>PABLO SANTANA DA SILVA</t>
  </si>
  <si>
    <t>035/0029/A</t>
  </si>
  <si>
    <t>ERNANDES GOMES DE OLIVEIRA</t>
  </si>
  <si>
    <t>GILBERTO XAVIER DE SOUZA</t>
  </si>
  <si>
    <t>ANA CLAUDIA PEREIRA DA SILVA</t>
  </si>
  <si>
    <t>MAGDA GOMES LISBÔA</t>
  </si>
  <si>
    <t>VALQUIRIA GOMES DA SILVA</t>
  </si>
  <si>
    <t>IVALDO GOMES DA SILVA</t>
  </si>
  <si>
    <t>GRACELINE DE BARROS COSTA</t>
  </si>
  <si>
    <t>VANUSA GOMES DA SILVA</t>
  </si>
  <si>
    <t>TIAGO GOMES DA SILVA</t>
  </si>
  <si>
    <t>ERICA DE SOUZA DAS VIRGENS</t>
  </si>
  <si>
    <t>ROSENILDO MOREIRA DOS SANTOS</t>
  </si>
  <si>
    <t>MARCOS SILVA OLIVEIRA</t>
  </si>
  <si>
    <t>ANA CRISTINA DE BARROS COSTA</t>
  </si>
  <si>
    <t>ANDERSON NÓBREGA DE ARAÚJO</t>
  </si>
  <si>
    <t>025/0006/K</t>
  </si>
  <si>
    <t>JOSE REINALDO DA SILVA</t>
  </si>
  <si>
    <t>025/0006/L</t>
  </si>
  <si>
    <t>JOSINETE CARVALHO SILVA</t>
  </si>
  <si>
    <t>025/0007/A</t>
  </si>
  <si>
    <t>MARIA APARECIDA FLECKENSTEIN VIEIRA</t>
  </si>
  <si>
    <t>025/0007/B</t>
  </si>
  <si>
    <t>CAROLINA SILVA DO NASCIMENTO</t>
  </si>
  <si>
    <t>025/0007/C</t>
  </si>
  <si>
    <t>025/0007/D</t>
  </si>
  <si>
    <t>JADIMILE BENIGNO BARRETO</t>
  </si>
  <si>
    <t>025/0007/E</t>
  </si>
  <si>
    <t>WILLIAN SALGADO DA SILVA</t>
  </si>
  <si>
    <t>025/0008/A</t>
  </si>
  <si>
    <t>WESLLEY DE JESUS OLIVEIRA</t>
  </si>
  <si>
    <t>025/0008/B</t>
  </si>
  <si>
    <t>JACKSON BISPO DA SILVA</t>
  </si>
  <si>
    <t>025/0008/C</t>
  </si>
  <si>
    <t>LAYZA FERREIRA OLIVEIRA</t>
  </si>
  <si>
    <t>025/0009/A</t>
  </si>
  <si>
    <t>025/0009/B</t>
  </si>
  <si>
    <t>JOANÊZ BISPO DOS SANTOS DA SILVA</t>
  </si>
  <si>
    <t>025/0009/C</t>
  </si>
  <si>
    <t>PAULA VIVIANE DA SILVA</t>
  </si>
  <si>
    <t>025/0009/D</t>
  </si>
  <si>
    <t>DENISE LIMA DA CRUZ</t>
  </si>
  <si>
    <t>025/0009/E</t>
  </si>
  <si>
    <t>GEOVANA DO COUTO GONÇALVES</t>
  </si>
  <si>
    <t>025/0009/F</t>
  </si>
  <si>
    <t>SUELI ZACARIAS</t>
  </si>
  <si>
    <t>025/0009/G</t>
  </si>
  <si>
    <t>EDINALDO DOS SANTOS MACEDO</t>
  </si>
  <si>
    <t>025/0009/H</t>
  </si>
  <si>
    <t>DIANA FATIMA DE SANTANA</t>
  </si>
  <si>
    <t>025/0009/I</t>
  </si>
  <si>
    <t xml:space="preserve">FRANCISCO CILANE AMADOR DA SILVA </t>
  </si>
  <si>
    <t>025/0009/J</t>
  </si>
  <si>
    <t>LECIVALDO ALVES DE OLIVEIRA</t>
  </si>
  <si>
    <t>025/0009/K</t>
  </si>
  <si>
    <t>FRANCISCO IRANILDO DOMINGO ARAUJO</t>
  </si>
  <si>
    <t>025/0010/A</t>
  </si>
  <si>
    <t>EDNALDA DA CONCEIÇÃO BENTO</t>
  </si>
  <si>
    <t>025/0010/B</t>
  </si>
  <si>
    <t>MÁRIO DE SANTANA</t>
  </si>
  <si>
    <t>025/0010/C</t>
  </si>
  <si>
    <t>JOSÉ IVAM DE MELO SILVA</t>
  </si>
  <si>
    <t>025/0010/D</t>
  </si>
  <si>
    <t>DARLENE ESTEFANY DA SILVA</t>
  </si>
  <si>
    <t>025/0010/E</t>
  </si>
  <si>
    <t>DANILO DA SILVA SANTOS</t>
  </si>
  <si>
    <t>025/0010/F</t>
  </si>
  <si>
    <t>JOHN WESLEY BARBOSA DANTAS</t>
  </si>
  <si>
    <t>025/0010/G</t>
  </si>
  <si>
    <t>JOSÉ MARIA FERREIRA DE SOUSA</t>
  </si>
  <si>
    <t>025/0010/H</t>
  </si>
  <si>
    <t>LUANA CAROLINA SOUZA DA SILVA</t>
  </si>
  <si>
    <t>025/0010/I</t>
  </si>
  <si>
    <t>ESMERALDO DA CRUZ SOUZA</t>
  </si>
  <si>
    <t>025/0011/A</t>
  </si>
  <si>
    <t>LUCAS EDUARDO NOBREGA MARTINS</t>
  </si>
  <si>
    <t>025/0012/A</t>
  </si>
  <si>
    <t>MAIANE PRAZERES DIAS</t>
  </si>
  <si>
    <t>025/0012/B</t>
  </si>
  <si>
    <t>AGUINALDO RODRIGUES DE BRITO</t>
  </si>
  <si>
    <t>025/0012/C</t>
  </si>
  <si>
    <t>JUSCIARA ALVES DE ALMEIDA</t>
  </si>
  <si>
    <t>025/0012/D</t>
  </si>
  <si>
    <t>MICHELE ALBUQUERQUE SILVA</t>
  </si>
  <si>
    <t>025/0012/E</t>
  </si>
  <si>
    <t>CORNELIO CESARIO DA SILVA</t>
  </si>
  <si>
    <t>025/0013/A</t>
  </si>
  <si>
    <t>VANDERLEIA LOIOLA GOMES</t>
  </si>
  <si>
    <t>025/0013/B</t>
  </si>
  <si>
    <t>ALINE SANTOS XAVIER</t>
  </si>
  <si>
    <t>025/0013/C</t>
  </si>
  <si>
    <t>025/0013/D</t>
  </si>
  <si>
    <t>025/0014/A</t>
  </si>
  <si>
    <t>JOENILSON PEREIRA ALMEIDA</t>
  </si>
  <si>
    <t>025/0014/B</t>
  </si>
  <si>
    <t>RODRIGO LIMA PEREIRA</t>
  </si>
  <si>
    <t>025/0014/C</t>
  </si>
  <si>
    <t>CARLOS MATHEUS FILHO</t>
  </si>
  <si>
    <t>025/0015/A</t>
  </si>
  <si>
    <t>ADRIANA CONCEIÇÃO CAMILO</t>
  </si>
  <si>
    <t>025/0015/B</t>
  </si>
  <si>
    <t>WILLIAM SANTOS NASCIMENTO</t>
  </si>
  <si>
    <t>025/0016/A</t>
  </si>
  <si>
    <t>RODRIGO SILVA NASCIMENTO</t>
  </si>
  <si>
    <t>025/0016/B</t>
  </si>
  <si>
    <t>025/0016/C</t>
  </si>
  <si>
    <t>JOSEFA MARIA DE SOUZA MELO</t>
  </si>
  <si>
    <t>025/0016/D</t>
  </si>
  <si>
    <t>JONAS BARRA NOVA DE MELO</t>
  </si>
  <si>
    <t>025/0016/E</t>
  </si>
  <si>
    <t>ANA PAULA DA CONCEIÇÃO QUEIROZ</t>
  </si>
  <si>
    <t>025/0017/A</t>
  </si>
  <si>
    <t>JOCENILDA BARRA NOVA DE SOUZA</t>
  </si>
  <si>
    <t>025/0017/B</t>
  </si>
  <si>
    <t>JOCINEIDE BARRA NOVA DE MELO</t>
  </si>
  <si>
    <t>025/0018/A</t>
  </si>
  <si>
    <t>CIDELIA DA SILVA MASCARENHAS</t>
  </si>
  <si>
    <t>025/0018/B</t>
  </si>
  <si>
    <t>025/0018/C</t>
  </si>
  <si>
    <t>EDIVALDO RAMOS MASCARENHAS</t>
  </si>
  <si>
    <t>025/0018/D</t>
  </si>
  <si>
    <t>SILVANA DA SILVA MASCARENHAS</t>
  </si>
  <si>
    <t>025/0018/E</t>
  </si>
  <si>
    <t>025/0018/F</t>
  </si>
  <si>
    <t>CILENE MARTINS CORREIA DA CRUZ</t>
  </si>
  <si>
    <t>025/0018/G</t>
  </si>
  <si>
    <t>THAISA NASCIMENTO CARVALHO</t>
  </si>
  <si>
    <t>025/0018/H</t>
  </si>
  <si>
    <t>PEDRO ALVARES CANDIDO</t>
  </si>
  <si>
    <t>025/0018/I</t>
  </si>
  <si>
    <t>JOSE IZIDRO DA SILVA FILHO</t>
  </si>
  <si>
    <t>025/0018/J</t>
  </si>
  <si>
    <t>025/0019/A</t>
  </si>
  <si>
    <t>025/0019/B</t>
  </si>
  <si>
    <t>025/0019/C</t>
  </si>
  <si>
    <t>025/0019/D</t>
  </si>
  <si>
    <t>JUNITA FRAGA FIGUEREDO</t>
  </si>
  <si>
    <t>025/0019/E</t>
  </si>
  <si>
    <t>025/0019/F</t>
  </si>
  <si>
    <t>025/0019/G</t>
  </si>
  <si>
    <t>025/0019/H</t>
  </si>
  <si>
    <t xml:space="preserve">KARINA NOEMIA FONTOURA FREIRE </t>
  </si>
  <si>
    <t>025/0019/I</t>
  </si>
  <si>
    <t>JACILENE DE JESUS LOPES</t>
  </si>
  <si>
    <t>025/0019/J</t>
  </si>
  <si>
    <t>ANTONIO BATISTA FERNANDES BESERRA</t>
  </si>
  <si>
    <t>025/0020/A</t>
  </si>
  <si>
    <t> FABIO BARBOSA DA SILVA VIANA</t>
  </si>
  <si>
    <t>025/0020/B</t>
  </si>
  <si>
    <t>GUILHERME NERIS SANTOS</t>
  </si>
  <si>
    <t>025/0020/C</t>
  </si>
  <si>
    <t>LORRANA DOS SANTOS SOUZA</t>
  </si>
  <si>
    <t>025/0020/D</t>
  </si>
  <si>
    <t>IRES KEILLA DO NASCIMENTO</t>
  </si>
  <si>
    <t>025/0020/E</t>
  </si>
  <si>
    <t xml:space="preserve">GUILHERME SOARES DA SILVA </t>
  </si>
  <si>
    <t>025/0020/F</t>
  </si>
  <si>
    <t xml:space="preserve">BRUNO PEREIRA DUARTE </t>
  </si>
  <si>
    <t>025/0021/A</t>
  </si>
  <si>
    <t>DANIEL DA CRUZ SOUZA</t>
  </si>
  <si>
    <t>025/0021/B</t>
  </si>
  <si>
    <t>ANTÔNIO CARLOS DE JESUS FRANCA</t>
  </si>
  <si>
    <t>025/0021/C</t>
  </si>
  <si>
    <t xml:space="preserve">LUCAS EVANGELISTA ROCHA </t>
  </si>
  <si>
    <t>025/0021/D</t>
  </si>
  <si>
    <t>RAILAN DOURADO ROCHA</t>
  </si>
  <si>
    <t>025/0021/E</t>
  </si>
  <si>
    <t>MAURICIO SANTOS GAUDENCIO DA SILVA</t>
  </si>
  <si>
    <t>025/0022/A</t>
  </si>
  <si>
    <t>RODOLFO FIGUEREDO SANTOS DE CARVALHO</t>
  </si>
  <si>
    <t>025/0022/B</t>
  </si>
  <si>
    <t>GABRIELLA DA SILVA LOPES BARBOSA</t>
  </si>
  <si>
    <t>025/0023/A</t>
  </si>
  <si>
    <t>GUSTAVO GOMES DA SILVA</t>
  </si>
  <si>
    <t>025/0023/B</t>
  </si>
  <si>
    <t>JÉSSICA RAMOS DE SANTANA</t>
  </si>
  <si>
    <t>025/0023/C</t>
  </si>
  <si>
    <t> DENILSON DE SOUZA LOPES</t>
  </si>
  <si>
    <t>025/0023/D</t>
  </si>
  <si>
    <t>025/0023/E</t>
  </si>
  <si>
    <t xml:space="preserve">LUCIELLY FLORENCIO DE ALMEIDA </t>
  </si>
  <si>
    <t>025/0024/A</t>
  </si>
  <si>
    <t>THAYNAN EVILLY DINIZ SILVA</t>
  </si>
  <si>
    <t>025/0024/B</t>
  </si>
  <si>
    <t xml:space="preserve">ISAIAS DA CRUZ SOUZA </t>
  </si>
  <si>
    <t>025/0024/C</t>
  </si>
  <si>
    <t> THIAGO DA CRUZ ARAUJO</t>
  </si>
  <si>
    <t>025/0024/D</t>
  </si>
  <si>
    <t>  DAIANA DE MOURA BATISTA</t>
  </si>
  <si>
    <t>025/0024/E</t>
  </si>
  <si>
    <t>FERNANDO CHÉLIDO DE OLIVEIRA</t>
  </si>
  <si>
    <t>025/0025/A</t>
  </si>
  <si>
    <t xml:space="preserve">ALESSANDRA CLEMENTE DA SILVA </t>
  </si>
  <si>
    <t>025/0025/B</t>
  </si>
  <si>
    <t>ELIENE DE JESUS SANTIAGO</t>
  </si>
  <si>
    <t>025/0025/C</t>
  </si>
  <si>
    <t>ALCIMAR CORREIA DA SILVA</t>
  </si>
  <si>
    <t>025/0025/D</t>
  </si>
  <si>
    <t>EVANDRO FRAGA LIMA</t>
  </si>
  <si>
    <t>025/0025/E</t>
  </si>
  <si>
    <t>ANA MICHELLE PAIXÃO DA SILVA</t>
  </si>
  <si>
    <t>025/0025/F</t>
  </si>
  <si>
    <t>MAURICIO FREITAS DE JESUS</t>
  </si>
  <si>
    <t>025/0025/G</t>
  </si>
  <si>
    <t>SILVANEIDE ROSA DE SOUSA</t>
  </si>
  <si>
    <t>025/0025/H</t>
  </si>
  <si>
    <t>ANISIA ROSA RODRIGUES DE SOUZA</t>
  </si>
  <si>
    <t>025/0025/I</t>
  </si>
  <si>
    <t>JOSÉ MARCOS SOUSA SANTOS</t>
  </si>
  <si>
    <t>025/0025/J</t>
  </si>
  <si>
    <t>DJAILSON SOUSA SANTOS</t>
  </si>
  <si>
    <t>025/0025/K</t>
  </si>
  <si>
    <t>BRUNO RIBEIRO NOVAES</t>
  </si>
  <si>
    <t>025/0025/L</t>
  </si>
  <si>
    <t>MARIA DO DESTERRO SOARES DA SILVA</t>
  </si>
  <si>
    <t>025/0025/M</t>
  </si>
  <si>
    <t>JOILSON SANTOS DE SOUZA</t>
  </si>
  <si>
    <t>025/0025/N</t>
  </si>
  <si>
    <t>LUCAS AUGUSTO ALVES BRAGA DOS SANTOS</t>
  </si>
  <si>
    <t>025/0026/A</t>
  </si>
  <si>
    <t>MARIA ZÉLIA RODRIGUES DE SOUSA SILVA</t>
  </si>
  <si>
    <t>025/0026/B</t>
  </si>
  <si>
    <t>ELIANDRO DE SOUZA ALMEIDA</t>
  </si>
  <si>
    <t>025/0026/C</t>
  </si>
  <si>
    <t> CLÉIA BRITO DE OLIVEIRA</t>
  </si>
  <si>
    <t>025/0026/D</t>
  </si>
  <si>
    <t>REGINALDO SIQUEIRA</t>
  </si>
  <si>
    <t>025/0026/E</t>
  </si>
  <si>
    <t>SEVERINA BARBOSA DA SILVA</t>
  </si>
  <si>
    <t>025/0026/F</t>
  </si>
  <si>
    <t>ELIANE CRISTINA OLIVEIRA ROCHA</t>
  </si>
  <si>
    <t>025/0026/G</t>
  </si>
  <si>
    <t>VINICIUS DE FONTES ARAUJO</t>
  </si>
  <si>
    <t>025/0026/H</t>
  </si>
  <si>
    <t>DEBORA MARIA DE FARIAS</t>
  </si>
  <si>
    <t>025/0026/I</t>
  </si>
  <si>
    <t>MARIA DACILEIDE DA SILVA DE OLIVEIRA</t>
  </si>
  <si>
    <t>025/0027/A</t>
  </si>
  <si>
    <t>RAFAEL DA SILVA CANDIDO</t>
  </si>
  <si>
    <t>025/0027/B</t>
  </si>
  <si>
    <t>VALDELICE CÂNDIDA DA SILVA</t>
  </si>
  <si>
    <t>025/0027/C</t>
  </si>
  <si>
    <t>LUANA CANDIDA DA SILVA</t>
  </si>
  <si>
    <t>025/0028/A</t>
  </si>
  <si>
    <t>RENILSON SANTOS DE JESUS</t>
  </si>
  <si>
    <t>025/0028/B</t>
  </si>
  <si>
    <t>JOSÉ CANDIDO DE FARIAS</t>
  </si>
  <si>
    <t>025/0028/C</t>
  </si>
  <si>
    <t> RAFAEL CANDIDO DE FARIAS</t>
  </si>
  <si>
    <t>025/0028/D</t>
  </si>
  <si>
    <t> MIQUEIAS ARNALDO CANDIDO DA SILVA</t>
  </si>
  <si>
    <t>025/0028/E</t>
  </si>
  <si>
    <t>VALDIR BRAZ SOUZA</t>
  </si>
  <si>
    <t>025/0028/F</t>
  </si>
  <si>
    <t> NATALY CRISTINA FARIAS DOS SANTOS</t>
  </si>
  <si>
    <t>025/0028/G</t>
  </si>
  <si>
    <t>VILMÁRIA CANDIDA</t>
  </si>
  <si>
    <t>025/0028/H</t>
  </si>
  <si>
    <t>JOSE BARBOSA MACIEL</t>
  </si>
  <si>
    <t>025/0028/I</t>
  </si>
  <si>
    <t>MARIANA PEREIRA DUARTE</t>
  </si>
  <si>
    <t>025/0029/A</t>
  </si>
  <si>
    <t>STEPHANIE CAROLINE BORGES E SILVA DE SOUZA</t>
  </si>
  <si>
    <t>025/0029/B</t>
  </si>
  <si>
    <t>PAULO ROBERTO DA ROCHA</t>
  </si>
  <si>
    <t>025/0029/C</t>
  </si>
  <si>
    <t>JOSE CARLOS ATHAYDES</t>
  </si>
  <si>
    <t>025/0029/D</t>
  </si>
  <si>
    <t>HELENA FERREIRA DE OLIVEIRA</t>
  </si>
  <si>
    <t>025/0030/A</t>
  </si>
  <si>
    <t>DANIELE VITÓRIA ANDRADE DE OLIVEIRA</t>
  </si>
  <si>
    <t>025/0031/A</t>
  </si>
  <si>
    <t>JAQUELINE VELOSO ROCHA</t>
  </si>
  <si>
    <t>025/0031/B</t>
  </si>
  <si>
    <t>DAMIAO DE JESUS SANTOS</t>
  </si>
  <si>
    <t>025/0055/A</t>
  </si>
  <si>
    <t>JOEL JOSUÉ BATISTA LIMA</t>
  </si>
  <si>
    <t>027/0002/E</t>
  </si>
  <si>
    <t>RAQUEL BARROS SILVA</t>
  </si>
  <si>
    <t>027/0004/A</t>
  </si>
  <si>
    <t>JOEL ALMEIDA DOS SANTOS</t>
  </si>
  <si>
    <t>027/0004/B</t>
  </si>
  <si>
    <t>PABLO SOUZA SANTOS</t>
  </si>
  <si>
    <t>027/0005/A</t>
  </si>
  <si>
    <t> ERINALDO LIMA SANTOS</t>
  </si>
  <si>
    <t>027/0005/B</t>
  </si>
  <si>
    <t>SHEILA SANTOS OLIVEIRA</t>
  </si>
  <si>
    <t>027/0005/C</t>
  </si>
  <si>
    <t>JOÃO CARLOS HOLANDA DA SILVA</t>
  </si>
  <si>
    <t>027/0005/D</t>
  </si>
  <si>
    <t>ROZICLEUDES DAMACENO DOS SANTOS</t>
  </si>
  <si>
    <t>027/0005/E</t>
  </si>
  <si>
    <t>IVANILDO FERREIRA DA CRUZ</t>
  </si>
  <si>
    <t>027/0005/F</t>
  </si>
  <si>
    <t> GENIVAL CONSTANTINO DE OLIVEIRA</t>
  </si>
  <si>
    <t>027/0005/G</t>
  </si>
  <si>
    <t> MARIA FRANCISCO ALVES</t>
  </si>
  <si>
    <t>027/0005/H</t>
  </si>
  <si>
    <t>NAYARA FRANCISCO ALVES</t>
  </si>
  <si>
    <t>027/0005/I</t>
  </si>
  <si>
    <t>CLOVIS RODRIGUES DA SILVA</t>
  </si>
  <si>
    <t>027/0005/J</t>
  </si>
  <si>
    <t>MANOEL LUIZ PAIXÃO DA SILVA</t>
  </si>
  <si>
    <t>027/0005/K</t>
  </si>
  <si>
    <t>027/0006/A</t>
  </si>
  <si>
    <t>PEDRO JOÃO NASCIMENTO</t>
  </si>
  <si>
    <t>027/0007/A</t>
  </si>
  <si>
    <t>027/0007/B</t>
  </si>
  <si>
    <t>JURANDIR RODRIGUES ALMEIDA SOUZA</t>
  </si>
  <si>
    <t>027/0008/A</t>
  </si>
  <si>
    <t>027/0008/B</t>
  </si>
  <si>
    <t>027/0008/C</t>
  </si>
  <si>
    <t>ELEANDRO DE JESUS</t>
  </si>
  <si>
    <t>027/0008/D</t>
  </si>
  <si>
    <t>JAQUELINE DE JESUS SANTOS</t>
  </si>
  <si>
    <t>027/0009/A</t>
  </si>
  <si>
    <t>LUCIANO OLIVEIRA BOMFIM</t>
  </si>
  <si>
    <t>027/0009/B</t>
  </si>
  <si>
    <t>PRETIANE MARQUES DE SOUSA</t>
  </si>
  <si>
    <t>027/0009/C</t>
  </si>
  <si>
    <t>MARIA CÍCERA DA SILVA</t>
  </si>
  <si>
    <t>027/0010/A</t>
  </si>
  <si>
    <t>MIRIAM DA CONCEIÇÃO SANTOS</t>
  </si>
  <si>
    <t>027/0010/B</t>
  </si>
  <si>
    <t>TERESINHA DA ROCHA CAMILO</t>
  </si>
  <si>
    <t>027/0012/C</t>
  </si>
  <si>
    <t>JOSUE CAMILO DE ANDRADE</t>
  </si>
  <si>
    <t>027/0014/A</t>
  </si>
  <si>
    <t>ILZETE DE JESUS</t>
  </si>
  <si>
    <t>027/0014/B</t>
  </si>
  <si>
    <t>MARLENE PORTO DA SILVA</t>
  </si>
  <si>
    <t>027/0014/C</t>
  </si>
  <si>
    <t>VINICIUS DIAS NOGUEIRA</t>
  </si>
  <si>
    <t>027/0014/D</t>
  </si>
  <si>
    <t>027/0014/E</t>
  </si>
  <si>
    <t>CLAUDIA DIAS DE SOUZA</t>
  </si>
  <si>
    <t>027/0014/F</t>
  </si>
  <si>
    <t>MAXIMA CRISTINA FRANCISCA DA SILVA</t>
  </si>
  <si>
    <t>027/0014/G</t>
  </si>
  <si>
    <t>ELIENE DE JESUS SANTOS</t>
  </si>
  <si>
    <t>JUVENAL PEREIRA CASTRO</t>
  </si>
  <si>
    <t>027/0015/A</t>
  </si>
  <si>
    <t> LUIZ FELIPE DE SOUZA SANTOS</t>
  </si>
  <si>
    <t>027/0016/A</t>
  </si>
  <si>
    <t>ALIOMAR PEREIRA SOUZA</t>
  </si>
  <si>
    <t>ÂNGELA CASTRO DOS SANTOS </t>
  </si>
  <si>
    <t>EMILIA MARIA DA SILVA SANTOS</t>
  </si>
  <si>
    <t>027/0016/D</t>
  </si>
  <si>
    <t> FRANCEILTON FEITOSA MANDU</t>
  </si>
  <si>
    <t>027/0017/A</t>
  </si>
  <si>
    <t>JESICA CELINA GIMENEZ GONZALEZ</t>
  </si>
  <si>
    <t>027/0017/B</t>
  </si>
  <si>
    <t>TACISO FERNANDES DA SILVA</t>
  </si>
  <si>
    <t>027/0018/A</t>
  </si>
  <si>
    <t xml:space="preserve">RAIMUNDO FERNANDES DA SILVA </t>
  </si>
  <si>
    <t>027/0018/B</t>
  </si>
  <si>
    <t>027/0018/C</t>
  </si>
  <si>
    <t>AILTON ROSA DOS SANTOS</t>
  </si>
  <si>
    <t>027/0018/D</t>
  </si>
  <si>
    <t>JEANE PEREIRA DA SILVA NUNES</t>
  </si>
  <si>
    <t>027/0018/E</t>
  </si>
  <si>
    <t>VALMISIA JESUS SANTOS</t>
  </si>
  <si>
    <t>027/0018/F</t>
  </si>
  <si>
    <t>MARIANA DA SILVA VIANA</t>
  </si>
  <si>
    <t>027/0018/G</t>
  </si>
  <si>
    <t>MICHEL ALEXANDRE DA SILVA</t>
  </si>
  <si>
    <t>027/0018/H</t>
  </si>
  <si>
    <t>SABRINA OTAVIANO DOS SANTOS</t>
  </si>
  <si>
    <t>027/0018/I</t>
  </si>
  <si>
    <t>027/0018/J</t>
  </si>
  <si>
    <t>ZENOBIA FIGUEIREDO DA SILVA</t>
  </si>
  <si>
    <t>027/0019/A</t>
  </si>
  <si>
    <t>CLAUDINEI SILVERIO BEZERRA</t>
  </si>
  <si>
    <t>027/0019/B</t>
  </si>
  <si>
    <t>DOMICIO DE SOUZA SANTOS FILHO</t>
  </si>
  <si>
    <t>027/0019/C</t>
  </si>
  <si>
    <t>SIMONE DE ANDRADE SANTOS</t>
  </si>
  <si>
    <t>027/0019/D</t>
  </si>
  <si>
    <t>CRISTINA DE LIMA</t>
  </si>
  <si>
    <t>029/0007/A</t>
  </si>
  <si>
    <t>JORGE RIBEIRO ALMEIDA DE NORONHA</t>
  </si>
  <si>
    <t>029/0007/B</t>
  </si>
  <si>
    <t>JONATAS SANTOS DIAS</t>
  </si>
  <si>
    <t>029/0008/A</t>
  </si>
  <si>
    <t>GLÓRIA DE FÁTIMA SANTOS MATOS</t>
  </si>
  <si>
    <t>029/0008/B</t>
  </si>
  <si>
    <t>029/0008/C</t>
  </si>
  <si>
    <t>CARLOS ROBERTO SANTANA DA SILVA</t>
  </si>
  <si>
    <t>029/0009/A</t>
  </si>
  <si>
    <t xml:space="preserve">LÉA FABIANA RODRIGUES ALVES </t>
  </si>
  <si>
    <t>029/0010/A</t>
  </si>
  <si>
    <t>JACKSON FELICIDADE DOS SANTOS</t>
  </si>
  <si>
    <t>029/0011/A</t>
  </si>
  <si>
    <t>029/0011/B</t>
  </si>
  <si>
    <t>MARIA JOSÉ DOS SANTOS</t>
  </si>
  <si>
    <t>029/0011/C</t>
  </si>
  <si>
    <t>DANIELLA DO NASCIMENTO JESUS</t>
  </si>
  <si>
    <t>029/0011/D</t>
  </si>
  <si>
    <t>GIRLENE PEREIRA DO NASCIMENTO</t>
  </si>
  <si>
    <t>029/0014/A</t>
  </si>
  <si>
    <t>MARIA ALVES VIEIRA</t>
  </si>
  <si>
    <t>029/0014/B</t>
  </si>
  <si>
    <t>SANDRA PEREIRA DE OLIVEIRA</t>
  </si>
  <si>
    <t>029/0015/A</t>
  </si>
  <si>
    <t> VIVIANE PEREIRA DA SILVA</t>
  </si>
  <si>
    <t>029/0016/A</t>
  </si>
  <si>
    <t>SANDRO MARIANO DE ALMEIDA</t>
  </si>
  <si>
    <t>029/0016/B</t>
  </si>
  <si>
    <t>029/0016/C</t>
  </si>
  <si>
    <t>VERA LUCIA SILVA</t>
  </si>
  <si>
    <t>LUIZ DAVI FERNANDES DO NASCIMENTO</t>
  </si>
  <si>
    <t>029/0019/A</t>
  </si>
  <si>
    <t>WILLIAM BASTOS DE OLIVEIRA</t>
  </si>
  <si>
    <t>029/0020/A</t>
  </si>
  <si>
    <t>029/0021/A</t>
  </si>
  <si>
    <t>ERICA FERREIRA DOS SANTOS</t>
  </si>
  <si>
    <t>029/0021/B</t>
  </si>
  <si>
    <t>SIMONE FAUSTINO DOS SANTOS</t>
  </si>
  <si>
    <t>029/0021/C</t>
  </si>
  <si>
    <t>SIRANY FRANCISCA DE SÁ</t>
  </si>
  <si>
    <t>029/0021/D</t>
  </si>
  <si>
    <t>KEVIN THOMAS MARQUES DE OLIVEIRA</t>
  </si>
  <si>
    <t>029/0021/E</t>
  </si>
  <si>
    <t>CARLOS LUIS SOUZA DA CUNHA</t>
  </si>
  <si>
    <t>029/0021/F</t>
  </si>
  <si>
    <t>NELSON HENRIQUE SANTOS</t>
  </si>
  <si>
    <t>029/0021/G</t>
  </si>
  <si>
    <t>NAIR DE SOUZA BRAGA</t>
  </si>
  <si>
    <t>029/0022/A</t>
  </si>
  <si>
    <t>ISMAEL COSME DE OLIVEIRA</t>
  </si>
  <si>
    <t>029/0022/B</t>
  </si>
  <si>
    <t>VICTOR DE SOUZA ROCHA</t>
  </si>
  <si>
    <t>029/0022/C</t>
  </si>
  <si>
    <t>VALESKA DE SOUZA ROCHA</t>
  </si>
  <si>
    <t>029/0022/D</t>
  </si>
  <si>
    <t>029/0022/E</t>
  </si>
  <si>
    <t>029/0022/F</t>
  </si>
  <si>
    <t>029/0023/A</t>
  </si>
  <si>
    <t>WAGNER KLEBSON DE SOUSA</t>
  </si>
  <si>
    <t>029/0023/B</t>
  </si>
  <si>
    <t>DIOGO MARQUES TEIXEIRA</t>
  </si>
  <si>
    <t>029/0023/C</t>
  </si>
  <si>
    <t>029/0023/D</t>
  </si>
  <si>
    <t>JOSEFA LUCIA DOS SANTOS SOUZA</t>
  </si>
  <si>
    <t>MARIA BATISTA LIMA</t>
  </si>
  <si>
    <t>029/0023/F</t>
  </si>
  <si>
    <t>ANTÔNIO MIGUEL DA CONCEIÇÃO SILVA</t>
  </si>
  <si>
    <t>029/0023/G</t>
  </si>
  <si>
    <t>EDVALDO PINHEIRO DA SILVA</t>
  </si>
  <si>
    <t>029/0024/A</t>
  </si>
  <si>
    <t>EDUARDA DE SOUSA SILVA</t>
  </si>
  <si>
    <t>029/0024/B</t>
  </si>
  <si>
    <t>VANIA CRISTINA DE SOUZA</t>
  </si>
  <si>
    <t>GILNETO EDUARDO PEREIRA</t>
  </si>
  <si>
    <t>MARIA PAULA BATISTA LISBOA</t>
  </si>
  <si>
    <t>029/0024/E</t>
  </si>
  <si>
    <t>GILCELIANE DE NOVAES SANTOS</t>
  </si>
  <si>
    <t>029/0024/F</t>
  </si>
  <si>
    <t>029/0024/G</t>
  </si>
  <si>
    <t>029/0024/H</t>
  </si>
  <si>
    <t>CANTIDIA CARLOS DE SOUZA</t>
  </si>
  <si>
    <t>029/0024/I</t>
  </si>
  <si>
    <t>029/0024/J</t>
  </si>
  <si>
    <t>VANDERSON DE SOUZA MENEZES</t>
  </si>
  <si>
    <t>029/0025/B</t>
  </si>
  <si>
    <t>MARIA ALBERTINA DE JESUS</t>
  </si>
  <si>
    <t>029/0026/A</t>
  </si>
  <si>
    <t>029/0026/B</t>
  </si>
  <si>
    <t>029/0027/A</t>
  </si>
  <si>
    <t>029/0027/B</t>
  </si>
  <si>
    <t>HILZA AGUIAR DE SOUZA</t>
  </si>
  <si>
    <t>029/0027/C</t>
  </si>
  <si>
    <t>JUCELI MARIA DOS SANTOS</t>
  </si>
  <si>
    <t>029/0028/A</t>
  </si>
  <si>
    <t>JOSÉ DANIEL GOMES</t>
  </si>
  <si>
    <t>029/0028/B</t>
  </si>
  <si>
    <t>029/0029/A</t>
  </si>
  <si>
    <t>029/0032/A</t>
  </si>
  <si>
    <t>LUCAS SANTOS NERY REIS</t>
  </si>
  <si>
    <t>029/0032/B</t>
  </si>
  <si>
    <t>AMANDA MARIA FELIX DA SILVA</t>
  </si>
  <si>
    <t>029/0035/A</t>
  </si>
  <si>
    <t>MARIA NECI MARTINS CORREIA</t>
  </si>
  <si>
    <t>029/0035/C</t>
  </si>
  <si>
    <t>ANTONIA MARIA DE SOUZA CORREIA</t>
  </si>
  <si>
    <t>029/0036/A</t>
  </si>
  <si>
    <t>ROBSON MARTINS CORREIA</t>
  </si>
  <si>
    <t>029/0036/B</t>
  </si>
  <si>
    <t>029/0036/C</t>
  </si>
  <si>
    <t>JOÃO NILSON DA SILVA DULTRA</t>
  </si>
  <si>
    <t>029/0036/D</t>
  </si>
  <si>
    <t>JOÃO PAULO DE SOUZA</t>
  </si>
  <si>
    <t>029/0036/E</t>
  </si>
  <si>
    <t>PEDRO IZIDORIO BISPO</t>
  </si>
  <si>
    <t>MICHEL DA SILVA PACHECO</t>
  </si>
  <si>
    <t>029/0036/G</t>
  </si>
  <si>
    <t>GILMARIO RODRIGUES FERREIRA</t>
  </si>
  <si>
    <t>029/0036/H</t>
  </si>
  <si>
    <t>JOSÉ LAILTON DOS SANTOS</t>
  </si>
  <si>
    <t>029/0036/I</t>
  </si>
  <si>
    <t>JEAN DE JESUS SILVA</t>
  </si>
  <si>
    <t>029/0036/J</t>
  </si>
  <si>
    <t>CARLITO IZIDORIO BISPO</t>
  </si>
  <si>
    <t>029/0036/K</t>
  </si>
  <si>
    <t>MATEUS LEITE DE MELO</t>
  </si>
  <si>
    <t> IARA CERQUEIRA DA SILVA</t>
  </si>
  <si>
    <t>CRISTIAN DE JESUS DIAS</t>
  </si>
  <si>
    <t>VINICIUS LINS MELO</t>
  </si>
  <si>
    <t>CRICIELTON MARQUES DA SILVA PEREIRA</t>
  </si>
  <si>
    <t>029/0036/P</t>
  </si>
  <si>
    <t>LUCAS ALVES DE ANDRADE FERREIRA</t>
  </si>
  <si>
    <t>029/0037/A</t>
  </si>
  <si>
    <t>LUIS HENRIQUE DE CARVALHO BARBOSA</t>
  </si>
  <si>
    <t>029/0038/A</t>
  </si>
  <si>
    <t>PALOMA FRAGA DOS SAQNTOS</t>
  </si>
  <si>
    <t>029/0038/B</t>
  </si>
  <si>
    <t>NILANDE DA SILVA SOUZA</t>
  </si>
  <si>
    <t>029/0038/C</t>
  </si>
  <si>
    <t>029/0039/A</t>
  </si>
  <si>
    <t>LUIZ CARLOS MATOS LIMA</t>
  </si>
  <si>
    <t>029/0039/C</t>
  </si>
  <si>
    <t>ADELSON DO VALI PEREIRA</t>
  </si>
  <si>
    <t>029/0039/D</t>
  </si>
  <si>
    <t xml:space="preserve"> EMILY DA SILVA RODRIGUES </t>
  </si>
  <si>
    <t>029/0040/A</t>
  </si>
  <si>
    <t>MARIA ELIANE DA SILVA</t>
  </si>
  <si>
    <t>029/0041/A</t>
  </si>
  <si>
    <t>029/0041/B</t>
  </si>
  <si>
    <t> MARIA ANGELICA POMA SANCHEZ</t>
  </si>
  <si>
    <t>LUCILENE DOS SANTOS SILVA</t>
  </si>
  <si>
    <t>029/0042/C</t>
  </si>
  <si>
    <t>JOSÉ IVONILDO DOS SANTOS</t>
  </si>
  <si>
    <t>029/0043/A</t>
  </si>
  <si>
    <t>029/0043/B</t>
  </si>
  <si>
    <t xml:space="preserve">CLEUDYSON EDSON SILVA DINIZ </t>
  </si>
  <si>
    <t>029/0044/A</t>
  </si>
  <si>
    <t>FRANCISCA AURINETE DINIZ</t>
  </si>
  <si>
    <t>029/0044/B</t>
  </si>
  <si>
    <t>ANTÔNIO AURILEUDO DINIZ</t>
  </si>
  <si>
    <t>029/0045/A</t>
  </si>
  <si>
    <t>CARLOS EDUARDO DINIZ VILAR</t>
  </si>
  <si>
    <t>029/0046/A</t>
  </si>
  <si>
    <t>REGINA SANTOS DA SILVA</t>
  </si>
  <si>
    <t>029/0046/B</t>
  </si>
  <si>
    <t>RITA DE CÁCIA VILAR</t>
  </si>
  <si>
    <t>029/0047/A</t>
  </si>
  <si>
    <t>MARIA RANIELE DE SOUZA DINIZ</t>
  </si>
  <si>
    <t>029/0047/B</t>
  </si>
  <si>
    <t> MARIA AURIVÂNIA DINIZ DA SILVA</t>
  </si>
  <si>
    <t>029/0048/A</t>
  </si>
  <si>
    <t>RENAN MOURA BARBOSA</t>
  </si>
  <si>
    <t>029/0048/B</t>
  </si>
  <si>
    <t>DANILO DA SILVA MIRANDA</t>
  </si>
  <si>
    <t>029/0049/A</t>
  </si>
  <si>
    <t>EDNADYJA ANDRELLI VITAL</t>
  </si>
  <si>
    <t>029/0049/B</t>
  </si>
  <si>
    <t>SEVERINO MIRANDA DE SOUSA</t>
  </si>
  <si>
    <t>029/0049/C</t>
  </si>
  <si>
    <t>VALMIRA SILVA ARAUJO</t>
  </si>
  <si>
    <t>029/0050/A</t>
  </si>
  <si>
    <t>RODRIGO SANTOS DA SILVA</t>
  </si>
  <si>
    <t>029/0051/A</t>
  </si>
  <si>
    <t>029/0052/A</t>
  </si>
  <si>
    <t>LUIS CARLOS DA SILVA</t>
  </si>
  <si>
    <t>029/0053/A</t>
  </si>
  <si>
    <t>LILIAN CRISTINA BOAVENTURA DA SILVA</t>
  </si>
  <si>
    <t>029/0054/A</t>
  </si>
  <si>
    <t>LUCILÉIA DE ARAUJO LIMA</t>
  </si>
  <si>
    <t>029/0054/B</t>
  </si>
  <si>
    <t>REGINALDO NASCIMENTO DA SILVA</t>
  </si>
  <si>
    <t>029/0054/C</t>
  </si>
  <si>
    <t>SIMONE APARECIDA DE JESUS</t>
  </si>
  <si>
    <t>029/0054/D</t>
  </si>
  <si>
    <t>ALBERT DE ARAUJO KELLER</t>
  </si>
  <si>
    <t>JANDIRA MARIA DA SILVA</t>
  </si>
  <si>
    <t>029/0055/A</t>
  </si>
  <si>
    <t>CRISTIANE DE ARAÚJO KELLER</t>
  </si>
  <si>
    <t>029/0056/A</t>
  </si>
  <si>
    <t>WEBERT BOAVENTURA DA SILVA</t>
  </si>
  <si>
    <t>029/0056/B</t>
  </si>
  <si>
    <t>029/0057/A</t>
  </si>
  <si>
    <t>DANIELA MARIA DE JESUS</t>
  </si>
  <si>
    <t>029/0058/A</t>
  </si>
  <si>
    <t>OTILIA SENHORINHA DOS SANTOS</t>
  </si>
  <si>
    <t>029/0059/A</t>
  </si>
  <si>
    <t> GUILHERME DE OLIVEIRA LIMA</t>
  </si>
  <si>
    <t>029/0060/A</t>
  </si>
  <si>
    <t>ANALIA SENHORINHA DE OLIVEIRA</t>
  </si>
  <si>
    <t>029/0060/B</t>
  </si>
  <si>
    <t>IVANITA BARBOSA DE SOUSA SANTOS</t>
  </si>
  <si>
    <t>JOSE DINIZ DOS SANTOS</t>
  </si>
  <si>
    <t>029/0061/B</t>
  </si>
  <si>
    <t>ELIZELMA ALVES DA SILVA</t>
  </si>
  <si>
    <t>029/0062/A</t>
  </si>
  <si>
    <t>LUIZ FERNANDO FERREIRA DOS SANTOS</t>
  </si>
  <si>
    <t>029/0062/B</t>
  </si>
  <si>
    <t>CAROLINA MOREIRA TEMOTEO REAL</t>
  </si>
  <si>
    <t>029/0062/C</t>
  </si>
  <si>
    <t>DAIANE CLEMENTE DA SILVA</t>
  </si>
  <si>
    <t>029/0063/A</t>
  </si>
  <si>
    <t>ADILMA FRANCISCA DE PAULA</t>
  </si>
  <si>
    <t>029/0064/A</t>
  </si>
  <si>
    <t>MARIA GESSICA LIMA MORAIS</t>
  </si>
  <si>
    <t>029/0064/B</t>
  </si>
  <si>
    <t>NÃO IDENTIFICADO</t>
  </si>
  <si>
    <t>029/0064/C</t>
  </si>
  <si>
    <t>029/0064/D</t>
  </si>
  <si>
    <t>FELIPE MARCOS DE ANDRADE</t>
  </si>
  <si>
    <t>029/0064/E</t>
  </si>
  <si>
    <t>CARLA MARIA ALVES DA COSTA</t>
  </si>
  <si>
    <t>ANTONIA RAQUEL ALVES GALDINO</t>
  </si>
  <si>
    <t>029/0065/A</t>
  </si>
  <si>
    <t>ELIZABETE DE MORAIS CARVALHO DE SOUZA</t>
  </si>
  <si>
    <t>029/0065/B</t>
  </si>
  <si>
    <t>JOÃO JUSTINIANO DOS SANTOS</t>
  </si>
  <si>
    <t>029/0066/A</t>
  </si>
  <si>
    <t>EVERTON TIAGO LISBOA SEVERO</t>
  </si>
  <si>
    <t>ADINALDO GOMES DA SILVA</t>
  </si>
  <si>
    <t>AMANDA FERNANDES DA SILVA</t>
  </si>
  <si>
    <t>029/0066/D</t>
  </si>
  <si>
    <t>GRAZIELA DA SILVA BARBOSA</t>
  </si>
  <si>
    <t>CELMA GALDINO DE SOUZA</t>
  </si>
  <si>
    <t>029/0066/F</t>
  </si>
  <si>
    <t>SAMARA FERREIRA DE ALMEIDA</t>
  </si>
  <si>
    <t>GILVAN DE NOVAES FRANÇA</t>
  </si>
  <si>
    <t>029/0067/B</t>
  </si>
  <si>
    <t>FRANCENILSON FAUSTINO</t>
  </si>
  <si>
    <t>029/0067/C</t>
  </si>
  <si>
    <t>HÉLIO SILVÉIRO JUNIOR</t>
  </si>
  <si>
    <t>029/0067/D</t>
  </si>
  <si>
    <t>FRANCISCA FERREIRA ALVES SANTANA</t>
  </si>
  <si>
    <t>029/0067/E</t>
  </si>
  <si>
    <t>HÉLIO SILVÉIRO</t>
  </si>
  <si>
    <t>DANIEL LUCAS DE LACERDA</t>
  </si>
  <si>
    <t>029/0068/A</t>
  </si>
  <si>
    <t>JOSÉ RAMOS DA CRUZ</t>
  </si>
  <si>
    <t>029/0069/A</t>
  </si>
  <si>
    <t>FRANCISCO ISRAEL FERREIRA LIMA</t>
  </si>
  <si>
    <t>MARCOS VINICIUS GOMES DA SILVA</t>
  </si>
  <si>
    <t>DANIELA FERREIRA DA CRUZ</t>
  </si>
  <si>
    <t>MARIA BERNADETE FERREIRA</t>
  </si>
  <si>
    <t>029/0070/A</t>
  </si>
  <si>
    <t>MARIA DE FATIMA FERREIRA LIMA</t>
  </si>
  <si>
    <t>NURYTH APARECIDA SAMPAIO DE ALMEIDA</t>
  </si>
  <si>
    <t>FRANCISCO WILLIAN GOMES DO NASCIMENTO</t>
  </si>
  <si>
    <t>029/0070/D</t>
  </si>
  <si>
    <t>DÉBORA MARIA DA SILVA DE JESUS</t>
  </si>
  <si>
    <t>029/0070/E</t>
  </si>
  <si>
    <t>MARIA IZOLETE DA SILVA</t>
  </si>
  <si>
    <t>029/0070/F</t>
  </si>
  <si>
    <t>AILTON JÚNIOR DA SILVA</t>
  </si>
  <si>
    <t>029/0071/A</t>
  </si>
  <si>
    <t>GERVASIO LOPES DE SOUSA</t>
  </si>
  <si>
    <t>029/0071/B</t>
  </si>
  <si>
    <t>MARCONCÉLIO DAMASCENO</t>
  </si>
  <si>
    <t>029/0071/C</t>
  </si>
  <si>
    <t>JHENIFFER FABIOLA BARBOSA NOLASCO</t>
  </si>
  <si>
    <t>WESLEY BARBOSA NOLASCO</t>
  </si>
  <si>
    <t>ADRIANA BARBOSA NOLASCO</t>
  </si>
  <si>
    <t>029/0071/F</t>
  </si>
  <si>
    <t>MARIA ALMEIDA DA SILVA</t>
  </si>
  <si>
    <t>029/0071/G</t>
  </si>
  <si>
    <t>VANESSA DE ALMEIDA SAMPAIO</t>
  </si>
  <si>
    <t>029/0071/H</t>
  </si>
  <si>
    <t>CLAYSON ROSA DA SILVA</t>
  </si>
  <si>
    <t>029/0072/A</t>
  </si>
  <si>
    <t>VALDIONOR SANTOS SILVA</t>
  </si>
  <si>
    <t>029/0072/B</t>
  </si>
  <si>
    <t>MARIA RITA SIQUEIRA RODRIGUES</t>
  </si>
  <si>
    <t>029/0073/A</t>
  </si>
  <si>
    <t xml:space="preserve">AILDA JESUS DA SILVA </t>
  </si>
  <si>
    <t>029/0073/B</t>
  </si>
  <si>
    <t>FRANCISCO JOSIMAR DO NASCIMENTO SILVA</t>
  </si>
  <si>
    <t>029/0074/A</t>
  </si>
  <si>
    <t>ANGELA MARIA MARTINS</t>
  </si>
  <si>
    <t>029/0074/B</t>
  </si>
  <si>
    <t>ADRIANO MARTINS LUIZ</t>
  </si>
  <si>
    <t>029/0074/C</t>
  </si>
  <si>
    <t>MARCELO GONÇALVES FERREIRA</t>
  </si>
  <si>
    <t>029/0074/D</t>
  </si>
  <si>
    <t>JOSÉ GERALDO MARTINS</t>
  </si>
  <si>
    <t>029/0074/E</t>
  </si>
  <si>
    <t>HENRIQUE PEREIRA DOS ANJOS</t>
  </si>
  <si>
    <t>029/0074/F</t>
  </si>
  <si>
    <t>OSVALDO DOS ANJOS</t>
  </si>
  <si>
    <t>029/0074/G</t>
  </si>
  <si>
    <t>ALESSANDRA PEREIRA DOS SANTOS</t>
  </si>
  <si>
    <t>029/0074/H</t>
  </si>
  <si>
    <t>WILLIAN DA SILVA MARTINS</t>
  </si>
  <si>
    <t>029/0074/I</t>
  </si>
  <si>
    <t>TANIA MARA DE PASCHOA</t>
  </si>
  <si>
    <t>029/0075/A</t>
  </si>
  <si>
    <t>MARGARETE DIAS MARTINS</t>
  </si>
  <si>
    <t>029/0076/A</t>
  </si>
  <si>
    <t>LUCINEIDE FERREIRA DA SILVA</t>
  </si>
  <si>
    <t>029/0077/A</t>
  </si>
  <si>
    <t>JACKSON FERREIRA DE SALES</t>
  </si>
  <si>
    <t>029/0078/A</t>
  </si>
  <si>
    <t>APARECIDA FIDELIX DA CRUZ OLIVEIRA</t>
  </si>
  <si>
    <t>029/0078/B</t>
  </si>
  <si>
    <t>GISELIA DOS SANTOS</t>
  </si>
  <si>
    <t>029/0078/C</t>
  </si>
  <si>
    <t>GLAUCIA APARECIDA FIDELIX DA SILVA</t>
  </si>
  <si>
    <t>029/0079/A</t>
  </si>
  <si>
    <t>WOLFLAN TARGINO DE OLIVEIRA</t>
  </si>
  <si>
    <t>029/0079/B</t>
  </si>
  <si>
    <t>ROSENILDA LEOCÁDIA ALVES DA CONCEIÇÃO</t>
  </si>
  <si>
    <t>029/0079/C</t>
  </si>
  <si>
    <t>GERVÁSIO LOPES DE SOUSA FILHO</t>
  </si>
  <si>
    <t>029/0080/A</t>
  </si>
  <si>
    <t>NATALIA FERREIRA DE OLIVEIRA</t>
  </si>
  <si>
    <t>029/0080/B</t>
  </si>
  <si>
    <t>ELIANA FERREIRA DA SILVA</t>
  </si>
  <si>
    <t>029/0080/C</t>
  </si>
  <si>
    <t>MARILU APARECIDA FIDELIX DA SILVA</t>
  </si>
  <si>
    <t>029/0080/D</t>
  </si>
  <si>
    <t>JANAINA SANTOS DE MELO</t>
  </si>
  <si>
    <t>DJAILSON FREITAS DE LIMA</t>
  </si>
  <si>
    <t>JOICE DE SOUZA SANTOS</t>
  </si>
  <si>
    <t>029/0081/B</t>
  </si>
  <si>
    <t>LUÍS GONZAGA DE SOUSA</t>
  </si>
  <si>
    <t>029/0082/A</t>
  </si>
  <si>
    <t>MARIA MEYRE DAMASCENO</t>
  </si>
  <si>
    <t>029/0082/B</t>
  </si>
  <si>
    <t>MARIA VITORIA ALVES SILVA</t>
  </si>
  <si>
    <t>INGRID DE OLIVEIRA ANDRADE</t>
  </si>
  <si>
    <t>029/0083/B</t>
  </si>
  <si>
    <t>EDIVALDO DE OLIVEIRA BELO</t>
  </si>
  <si>
    <t>029/0084/A</t>
  </si>
  <si>
    <t>ROSIVANIA SILVERIA DA SILVA</t>
  </si>
  <si>
    <t>029/0085/A</t>
  </si>
  <si>
    <t>JACILDO DAMIÃO PEREIRA DE SOUZA</t>
  </si>
  <si>
    <t>029/0085/B</t>
  </si>
  <si>
    <t>LUIZ RICARDO DOS SANTOS FARIAS</t>
  </si>
  <si>
    <t>029/0085/C</t>
  </si>
  <si>
    <t>CICERO PEREIRA DE ARAUJO</t>
  </si>
  <si>
    <t>AMAILDA RODRIGUES DA COSTA</t>
  </si>
  <si>
    <t>029/0085/E</t>
  </si>
  <si>
    <t>LUAN DE ASSIS SILVA</t>
  </si>
  <si>
    <t>029/0085/F</t>
  </si>
  <si>
    <t>LILIANE LIMA ARAUJO</t>
  </si>
  <si>
    <t>WILLIAMES LIMA ARAUJO</t>
  </si>
  <si>
    <t>029/0085/H</t>
  </si>
  <si>
    <t>ALEX SANDRO LIMA DE ARAÚJO</t>
  </si>
  <si>
    <t>029/0085/I</t>
  </si>
  <si>
    <t>ARTHUR BARBOSA DE SOUZA</t>
  </si>
  <si>
    <t>029/0085/J</t>
  </si>
  <si>
    <t>EDIZIO FELICIO</t>
  </si>
  <si>
    <t>029/0086/A</t>
  </si>
  <si>
    <t>GABRIELA DA SILVA</t>
  </si>
  <si>
    <t>KEILA CRISTINA DA CONCEIÇÃO MONTALVÃO</t>
  </si>
  <si>
    <t>029/0086/C</t>
  </si>
  <si>
    <t>CAMILA DOS SANTOS SOARES</t>
  </si>
  <si>
    <t>029/0086/D</t>
  </si>
  <si>
    <t xml:space="preserve">ANTÔNIO CARLOS BARBOSA </t>
  </si>
  <si>
    <t>031/0004/A</t>
  </si>
  <si>
    <t>JOSE SAMPAIO MACIEL</t>
  </si>
  <si>
    <t>031/0004/B</t>
  </si>
  <si>
    <t>BEATRIZ MOREIRA SILVA</t>
  </si>
  <si>
    <t>MARIVANEIDE MOREIRA SILVA</t>
  </si>
  <si>
    <t>031/0005/A</t>
  </si>
  <si>
    <t>CLAUDIOMIRO SOUSA DE ALMEIDA</t>
  </si>
  <si>
    <t>031/0005/B</t>
  </si>
  <si>
    <t>UILIAM SANTOS SANTANA</t>
  </si>
  <si>
    <t>031/0005/C</t>
  </si>
  <si>
    <t>JULIANE DIAS MAGALHÃES</t>
  </si>
  <si>
    <t>031/0006/A</t>
  </si>
  <si>
    <t>ARTHUR ARAUJO SANTOS</t>
  </si>
  <si>
    <t>031/0006/B</t>
  </si>
  <si>
    <t>JOÃO MARCELO OLIVEIRA DE BARROS</t>
  </si>
  <si>
    <t>SABRINA FARIAS FERREIRA</t>
  </si>
  <si>
    <t>031/0006/D</t>
  </si>
  <si>
    <t>BRUNA DA CONCEIÇÃO ARAUJO</t>
  </si>
  <si>
    <t>031/0007/A</t>
  </si>
  <si>
    <t xml:space="preserve">CAIQUE BEZERRA SALVADOR DA SILVA </t>
  </si>
  <si>
    <t>031/0007/B</t>
  </si>
  <si>
    <t>CAROLINA BEZERRA DA SILVA</t>
  </si>
  <si>
    <t>031/0008/A</t>
  </si>
  <si>
    <t>FLAVIA SANTOS SOUZA</t>
  </si>
  <si>
    <t>031/0008/B</t>
  </si>
  <si>
    <t>ISAQUE DA SILVA SOUSA</t>
  </si>
  <si>
    <t>031/0008/C</t>
  </si>
  <si>
    <t>ALBERT SANTOS CARINHENHA</t>
  </si>
  <si>
    <t>031/0008/D</t>
  </si>
  <si>
    <t>ADALTO SANTOS DE ASSIS</t>
  </si>
  <si>
    <t>DANIEL ANTONIO DA SILVA</t>
  </si>
  <si>
    <t>AGRICERIO FRANCISCO LEITE</t>
  </si>
  <si>
    <t>031/0009/C</t>
  </si>
  <si>
    <t>GERNANE LIMA ARAUJO</t>
  </si>
  <si>
    <t>031/0009/D</t>
  </si>
  <si>
    <t>RAFAELA JESUS DOS SANTOS</t>
  </si>
  <si>
    <t>031/0009/E</t>
  </si>
  <si>
    <t>TAINA TAYANE DE JESUS ATOYEBI</t>
  </si>
  <si>
    <t>031/0009/F</t>
  </si>
  <si>
    <t>DAIANE CUNHA DOS SANTOS</t>
  </si>
  <si>
    <t>BENIGNA BISPO DA SILVA</t>
  </si>
  <si>
    <t>031/0010/B</t>
  </si>
  <si>
    <t>JADI DE JESUS SILVA</t>
  </si>
  <si>
    <t>031/0010/C</t>
  </si>
  <si>
    <t>GLEICON CARLOS CESAR GOMES</t>
  </si>
  <si>
    <t>031/0010/D</t>
  </si>
  <si>
    <t>MARIA GERLANE DE SOUZA BOÍBA</t>
  </si>
  <si>
    <t>031/0011/A</t>
  </si>
  <si>
    <t>MAICO JONHATAS ALVARES PINTO</t>
  </si>
  <si>
    <t>031/0011/B</t>
  </si>
  <si>
    <t>EDVALDO OLIVEIRA DO CARMO</t>
  </si>
  <si>
    <t>031/0012/A</t>
  </si>
  <si>
    <t>BEATRIZ DOS SANTOS ARAÚJO</t>
  </si>
  <si>
    <t>031/0012/B</t>
  </si>
  <si>
    <t>RENILSON MARTINS</t>
  </si>
  <si>
    <t>031/0012/C</t>
  </si>
  <si>
    <t>THIAGO NERES BARBOSA</t>
  </si>
  <si>
    <t>031/0013/A</t>
  </si>
  <si>
    <t>GILVANIA PEREIRA DE SOUZA</t>
  </si>
  <si>
    <t>031/0013/B</t>
  </si>
  <si>
    <t>MANOEL DOMINGUES</t>
  </si>
  <si>
    <t>031/0013/C</t>
  </si>
  <si>
    <t>LEONARDO SOUZA SANTOS</t>
  </si>
  <si>
    <t xml:space="preserve"> THAIS DE SOUZA NEPOMUCENO</t>
  </si>
  <si>
    <t>031/0014/B</t>
  </si>
  <si>
    <t>PATRICIA DE SOUZA NEPOMUCENO</t>
  </si>
  <si>
    <t>031/0014/C</t>
  </si>
  <si>
    <t>IVAN DE ANDRADE NEPOMUCENO</t>
  </si>
  <si>
    <t>031/0014/D</t>
  </si>
  <si>
    <t>ADELICIO DOS SANTOS PINTO</t>
  </si>
  <si>
    <t>031/0014/E</t>
  </si>
  <si>
    <t>HERISVALDO OLIVEIRA DA SILVA</t>
  </si>
  <si>
    <t>031/0014/F</t>
  </si>
  <si>
    <t>JOSÉ FELIX DE MORAES FILHO</t>
  </si>
  <si>
    <t>031/0015/A</t>
  </si>
  <si>
    <t>MARIA APARECIDA NEVES VIANA</t>
  </si>
  <si>
    <t>031/0015/B</t>
  </si>
  <si>
    <t>GIRLEIDE SANTOS COSTA</t>
  </si>
  <si>
    <t>031/0015/C</t>
  </si>
  <si>
    <t>ANA CLAUDIA TRINDADE SILVA</t>
  </si>
  <si>
    <t>MIRAI FERREIRA NEVES</t>
  </si>
  <si>
    <t>031/0015/E</t>
  </si>
  <si>
    <t>DORIELSON LOPES SANTOS</t>
  </si>
  <si>
    <t>031/0016/A</t>
  </si>
  <si>
    <t>031/0016/B</t>
  </si>
  <si>
    <t>BENEDITA GOMES DA SILVA</t>
  </si>
  <si>
    <t>031/0017/A</t>
  </si>
  <si>
    <t>MARIA DA CONCEIÇÃO DE OLIVEIRA</t>
  </si>
  <si>
    <t>031/0017/B</t>
  </si>
  <si>
    <t>ANTONIO FRANCISCO DOS SANTOS REIS</t>
  </si>
  <si>
    <t>031/0017/C</t>
  </si>
  <si>
    <t>JOSE DOS SANTOS MEDEIROS</t>
  </si>
  <si>
    <t>031/0017/D</t>
  </si>
  <si>
    <t>FABIANA BATISTA DA SILVA</t>
  </si>
  <si>
    <t>031/0017/E</t>
  </si>
  <si>
    <t>IVO JOSÉ DE OLIVEIRA</t>
  </si>
  <si>
    <t>ISMAEL SILVA CABRAL</t>
  </si>
  <si>
    <t xml:space="preserve">SAMUEL DA SILVA ARAUJO PEREIRA </t>
  </si>
  <si>
    <t>031/0017/H</t>
  </si>
  <si>
    <t>GILVAN ARAUJO DE OLIVEIRA</t>
  </si>
  <si>
    <t>FLORIANE PATRICIA DA COSTA</t>
  </si>
  <si>
    <t>031/0019/A</t>
  </si>
  <si>
    <t>ADRIELE DIAS TRINDADE</t>
  </si>
  <si>
    <t>031/0019/B</t>
  </si>
  <si>
    <t>VALDEMIR ARAÚJO DE OLIVEIRA</t>
  </si>
  <si>
    <t>031/0019/C</t>
  </si>
  <si>
    <t>EISENHOWER MAGALHAES MASCARENHAS</t>
  </si>
  <si>
    <t>031/0020/A</t>
  </si>
  <si>
    <t>JACKSON FERNANDES DE ALMEIDA</t>
  </si>
  <si>
    <t>IARA BARBOSA LIMA</t>
  </si>
  <si>
    <t>LUZIA NUNES BARBOSA</t>
  </si>
  <si>
    <t>031/0020/D</t>
  </si>
  <si>
    <t>031/0021/A</t>
  </si>
  <si>
    <t>ELECI FRANCISCA DE SOUZA</t>
  </si>
  <si>
    <t>031/0022/A</t>
  </si>
  <si>
    <t>JOSE AILTON DE PAULA</t>
  </si>
  <si>
    <t>JOSÉ DOMINGOS DA SILVA</t>
  </si>
  <si>
    <t>031/0022/C</t>
  </si>
  <si>
    <t>JOELITE MARCELINO DA CONCEIÇÃO</t>
  </si>
  <si>
    <t>031/0022/D</t>
  </si>
  <si>
    <t>LUCAS VINÍCIUS COUTINHO</t>
  </si>
  <si>
    <t>ELEILMA ÁLVARES DE SOUZA</t>
  </si>
  <si>
    <t>031/0023/A</t>
  </si>
  <si>
    <t>ANTONIA MARIA DA SILVA COSTA</t>
  </si>
  <si>
    <t>ELIANA MARIA DE OLIVEIRA</t>
  </si>
  <si>
    <t>ALINE RAQUEL DE SOUSA SOARES</t>
  </si>
  <si>
    <t>031/0023/D</t>
  </si>
  <si>
    <t>EDIANE MARIA DE OLIVEIRA</t>
  </si>
  <si>
    <t>031/0024/A</t>
  </si>
  <si>
    <t>MARIA DOS RÉMEDIOS SOARES ALCÂNTARA</t>
  </si>
  <si>
    <t>ROBERTO ARAUJO DOS SANTOS</t>
  </si>
  <si>
    <t>031/0026/A</t>
  </si>
  <si>
    <t>ADEVAL DA CRUZ OLIVEIRA</t>
  </si>
  <si>
    <t>031/0026/B</t>
  </si>
  <si>
    <t>FRANCISCO DE ASSIS DINIZ</t>
  </si>
  <si>
    <t>031/0026/C</t>
  </si>
  <si>
    <t>MARIA LÚCIA ANACLETO DE SOUZA</t>
  </si>
  <si>
    <t>031/0026/D</t>
  </si>
  <si>
    <t>ANA LUCIA AGUIAR DA SILVA</t>
  </si>
  <si>
    <t>MERCIA FLORENCIO DA CRUZ</t>
  </si>
  <si>
    <t>031/0026/F</t>
  </si>
  <si>
    <t>RODRIGO DE SOUZA DA SILVA</t>
  </si>
  <si>
    <t>031/0026/G</t>
  </si>
  <si>
    <t>JOSE MARIA FERREIRA</t>
  </si>
  <si>
    <t>031/0026/H</t>
  </si>
  <si>
    <t>ANA MARIA DE LIMA</t>
  </si>
  <si>
    <t>031/0026/I</t>
  </si>
  <si>
    <t xml:space="preserve">MIKAELLA RODRIGUES BRANDO VIEIRA DA SILVA </t>
  </si>
  <si>
    <t>031/0027/A</t>
  </si>
  <si>
    <t>JAINI ALVES DA SILVA</t>
  </si>
  <si>
    <t>031/0027/B</t>
  </si>
  <si>
    <t>031/0027/C</t>
  </si>
  <si>
    <t>031/0027/D</t>
  </si>
  <si>
    <t>SEBASTIÃO ANTONIO FERREIRA</t>
  </si>
  <si>
    <t>031/0027/E</t>
  </si>
  <si>
    <t>RITA DE CASSIA RODRIGUES BRANDO</t>
  </si>
  <si>
    <t>031/0028/C</t>
  </si>
  <si>
    <t>MARIA SEBASTIANA DE PAULA</t>
  </si>
  <si>
    <t>031/0028/E</t>
  </si>
  <si>
    <t>TALITA MENDES DOS SANTOS</t>
  </si>
  <si>
    <t>031/0028/F</t>
  </si>
  <si>
    <t>LEANDRO BEIRÃO SOUZA</t>
  </si>
  <si>
    <t>031/0028/G</t>
  </si>
  <si>
    <t>ERINEIDE DE SOUZA COSTA</t>
  </si>
  <si>
    <t>031/0028/H</t>
  </si>
  <si>
    <t>GEAN CARLOS MACIEL SOARES</t>
  </si>
  <si>
    <t>031/0028/I</t>
  </si>
  <si>
    <t>GIOVANI DOS SANTOS ROCHA</t>
  </si>
  <si>
    <t>031/0028/J</t>
  </si>
  <si>
    <t>MARIA APARECIDA MELO RODRIGUES</t>
  </si>
  <si>
    <t>031/0028/K</t>
  </si>
  <si>
    <t>JONATHAN SOARES MEDEIROS</t>
  </si>
  <si>
    <t>MARILENA DA SILVA</t>
  </si>
  <si>
    <t>031/0028/M</t>
  </si>
  <si>
    <t>THAYNÁ ALVES DA SILVA</t>
  </si>
  <si>
    <t>031/0028/N</t>
  </si>
  <si>
    <t>GESIELE FERNANDA RODRIGUES</t>
  </si>
  <si>
    <t>031/0028/O</t>
  </si>
  <si>
    <t>EMANUELLA DA SILVA MELO SIMÃO</t>
  </si>
  <si>
    <t>031/0029/A</t>
  </si>
  <si>
    <t>LINDALVA SILVA OLIVEIRA</t>
  </si>
  <si>
    <t>031/0029/B</t>
  </si>
  <si>
    <t>ROSALINA SILVA OLIVEIRA</t>
  </si>
  <si>
    <t>031/0029/C</t>
  </si>
  <si>
    <t>DANÚBIA GOMES DE ARAÚJO</t>
  </si>
  <si>
    <t>031/0029/D</t>
  </si>
  <si>
    <t>GIDEON JOSÉ DA SILVA</t>
  </si>
  <si>
    <t>031/0029/E</t>
  </si>
  <si>
    <t>CELSO SANTOS</t>
  </si>
  <si>
    <t>031/0029/F</t>
  </si>
  <si>
    <t>CLEIDE PEREIRA BATISTA</t>
  </si>
  <si>
    <t>031/0029/G</t>
  </si>
  <si>
    <t>ROSELI DA SILVA</t>
  </si>
  <si>
    <t>031/0030/A</t>
  </si>
  <si>
    <t>PATRÍCIA DA SILVA</t>
  </si>
  <si>
    <t>031/0030/B</t>
  </si>
  <si>
    <t>HENRIQUE SILVA SANTOS</t>
  </si>
  <si>
    <t>031/0030/C</t>
  </si>
  <si>
    <t>JOSE AURELIANO ALEXANDRE</t>
  </si>
  <si>
    <t>031/0031/A</t>
  </si>
  <si>
    <t>SUELLEN CONCEICÃO</t>
  </si>
  <si>
    <t>MARCELA APARECIDA DA CONCEIÇÃO ALVES</t>
  </si>
  <si>
    <t>031/0031/C</t>
  </si>
  <si>
    <t xml:space="preserve">DANIELA GOMES DE OLIVEIRA </t>
  </si>
  <si>
    <t>031/0032/A</t>
  </si>
  <si>
    <t>NIVALDO PEREIRA DA SILVA</t>
  </si>
  <si>
    <t>031/0032/B</t>
  </si>
  <si>
    <t>ANTONIETA DE ARAÚJO SOUSA</t>
  </si>
  <si>
    <t>ORLANDO CONCEIÇÃO SANTIAGO</t>
  </si>
  <si>
    <t>031/0032/D</t>
  </si>
  <si>
    <t>SEVERINO DOS RAMOS FERREIRA DA CRUZ</t>
  </si>
  <si>
    <t>031/0033/A</t>
  </si>
  <si>
    <t xml:space="preserve">BRUNO DA SILVA MARQUES </t>
  </si>
  <si>
    <t>031/0033/B</t>
  </si>
  <si>
    <t>ROSIVALDO JOSE DA SILVA</t>
  </si>
  <si>
    <t>031/0033/C</t>
  </si>
  <si>
    <t>DAIANE SILVA PEREIRA</t>
  </si>
  <si>
    <t>031/0033/D</t>
  </si>
  <si>
    <t>ISRAEL JOAQUIM DOS SANTOS</t>
  </si>
  <si>
    <t>SILVIO JOAQUIM DOS SANTOS</t>
  </si>
  <si>
    <t>031/0033/F</t>
  </si>
  <si>
    <t>ARNON PRADO DE OLIVEIRA</t>
  </si>
  <si>
    <t>031/0033/G</t>
  </si>
  <si>
    <t>EDUARDO FERNANDES</t>
  </si>
  <si>
    <t>031/0033/H</t>
  </si>
  <si>
    <t>DANIEL BALBINO DE FARIA ROCHA</t>
  </si>
  <si>
    <t>031/0033/I</t>
  </si>
  <si>
    <t>ISMAEL SANTANA SOARES</t>
  </si>
  <si>
    <t>031/0033/J</t>
  </si>
  <si>
    <t>PRISCILA MARCELINO</t>
  </si>
  <si>
    <t>JOSÉ GUILHERME GOMES DA ROCHA</t>
  </si>
  <si>
    <t>031/0033/L</t>
  </si>
  <si>
    <t>031/0033/M</t>
  </si>
  <si>
    <t>JOSE GUILHERME GOMES DA ROCHA</t>
  </si>
  <si>
    <t>031/0033/N</t>
  </si>
  <si>
    <t>031/0033/O</t>
  </si>
  <si>
    <t>031/0033/P</t>
  </si>
  <si>
    <t>JOSÉ  GUILHERME GOMES</t>
  </si>
  <si>
    <t>031/0033/R</t>
  </si>
  <si>
    <t>ALEXANDRO NUNES DE SOUZA</t>
  </si>
  <si>
    <t>031/0033/S</t>
  </si>
  <si>
    <t>ALEX NUNES DE SOUZA</t>
  </si>
  <si>
    <t>031/0033/T</t>
  </si>
  <si>
    <t>031/0034/A</t>
  </si>
  <si>
    <t>031/0034/B</t>
  </si>
  <si>
    <t>DIEGO DA CONCEICAO SANTANA</t>
  </si>
  <si>
    <t>031/0034/C</t>
  </si>
  <si>
    <t>BRUNO</t>
  </si>
  <si>
    <t>031/0034/D</t>
  </si>
  <si>
    <t xml:space="preserve">GLEBER ERIBERTO PAULA MONTEIRO </t>
  </si>
  <si>
    <t>KLEBER ERIBERTO PAULA MONTEIRO</t>
  </si>
  <si>
    <t>031/0034/F</t>
  </si>
  <si>
    <t>FERNANDO FELIX DA SILVA</t>
  </si>
  <si>
    <t>031/0034/G</t>
  </si>
  <si>
    <t>JAÍLSON ALVES TELES</t>
  </si>
  <si>
    <t>GLEICIELI ALVES DE SOUSA</t>
  </si>
  <si>
    <t>031/0034/L</t>
  </si>
  <si>
    <t>FELIPE ALVES TELES FERREIRA</t>
  </si>
  <si>
    <t>031/0034/M</t>
  </si>
  <si>
    <t xml:space="preserve">FABRÍCIO ALVES TELES FERREIRA </t>
  </si>
  <si>
    <t>VALDELIA DOS ANJOS SANTOS</t>
  </si>
  <si>
    <t>EDSON ALVES DOS SANTOS FILHO</t>
  </si>
  <si>
    <t>031/0035/C</t>
  </si>
  <si>
    <t>INAIURA AVELAS SANTOS</t>
  </si>
  <si>
    <t>031/0035/D</t>
  </si>
  <si>
    <t>DIEGO ROCHA DOS SANTOS</t>
  </si>
  <si>
    <t>031/0035/E</t>
  </si>
  <si>
    <t>MARCELO MOREIRA DOS SANTOS</t>
  </si>
  <si>
    <t>031/0035/F</t>
  </si>
  <si>
    <t>031/0035/G</t>
  </si>
  <si>
    <t xml:space="preserve">VALDIRENE DE MORAES BARROSO  </t>
  </si>
  <si>
    <t>031/0035/H</t>
  </si>
  <si>
    <t>ANA PAULA DE MORAES BARROZO</t>
  </si>
  <si>
    <t>031/0035/I</t>
  </si>
  <si>
    <t>RAFAEL PANAN BRITO</t>
  </si>
  <si>
    <t>031/0036/B</t>
  </si>
  <si>
    <t>DIOGO ROCHA DOS SANTOS</t>
  </si>
  <si>
    <t>031/0036/C</t>
  </si>
  <si>
    <t>LEANDRO BATISTA ROCHA DAMASCENO</t>
  </si>
  <si>
    <t>031/0036/D</t>
  </si>
  <si>
    <t>031/0037/A</t>
  </si>
  <si>
    <t>031/0037/B</t>
  </si>
  <si>
    <t>FRANCISCO DAVI DA LUZ</t>
  </si>
  <si>
    <t>031/0037/C</t>
  </si>
  <si>
    <t>JOANA DA LUZ SILVA</t>
  </si>
  <si>
    <t>031/0037/D</t>
  </si>
  <si>
    <t>SAMARIA DA SILVA</t>
  </si>
  <si>
    <t>031/0038/A</t>
  </si>
  <si>
    <t>ROSANA SANTOS OLIVEIRA</t>
  </si>
  <si>
    <t>031/0038/B</t>
  </si>
  <si>
    <t>JURACEMA RIBEIRO DE JESUS DIAS</t>
  </si>
  <si>
    <t>031/0038/C</t>
  </si>
  <si>
    <t>031/0039/A</t>
  </si>
  <si>
    <t>FÁBIO GONÇALVES CIRINO .</t>
  </si>
  <si>
    <t>031/0039/B</t>
  </si>
  <si>
    <t>ELENILSON JOSÉ FERREIRA</t>
  </si>
  <si>
    <t>GUSTAVO ALVES</t>
  </si>
  <si>
    <t>031/0039/D</t>
  </si>
  <si>
    <t>GUSTAVO DA SILVA ALVES</t>
  </si>
  <si>
    <t>031/0040/A</t>
  </si>
  <si>
    <t>031/0040/B</t>
  </si>
  <si>
    <t>GUSTAVO DE JESUS TORRES</t>
  </si>
  <si>
    <t>CAMILA BERNARDO DA CRUZ SILVA</t>
  </si>
  <si>
    <t>031/0041/A</t>
  </si>
  <si>
    <t>NATÁLIA DE ALMEIDA DE BARROS</t>
  </si>
  <si>
    <t>031/0041/B</t>
  </si>
  <si>
    <t>CAROLINA SILVA DE JESUS</t>
  </si>
  <si>
    <t>031/0042/A</t>
  </si>
  <si>
    <t>ALEXANDRE DOS SANTOS RIBEIRO</t>
  </si>
  <si>
    <t>031/0042/B</t>
  </si>
  <si>
    <t>MARCOS JOSE DE PAULA FERREIRA</t>
  </si>
  <si>
    <t>031/0042/C</t>
  </si>
  <si>
    <t>RENATO DE PAULA FERREIRA</t>
  </si>
  <si>
    <t>031/0042/D</t>
  </si>
  <si>
    <t>031/0043/A</t>
  </si>
  <si>
    <t>TALITA NATALIA XAVIER</t>
  </si>
  <si>
    <t>031/0043/B</t>
  </si>
  <si>
    <t>SEVERINA BERNARDO DA SILVA</t>
  </si>
  <si>
    <t>031/0044/A</t>
  </si>
  <si>
    <t>NATALINA MATIAS ALMEIDA DE SOUZA</t>
  </si>
  <si>
    <t>031/0045/A</t>
  </si>
  <si>
    <t>FABIANO MARQUES DE JESUS</t>
  </si>
  <si>
    <t>031/0046/A</t>
  </si>
  <si>
    <t>DAVID DOUGLAS ROCHA ARAUJO</t>
  </si>
  <si>
    <t>031/0046/B</t>
  </si>
  <si>
    <t>CAMILA DA SILVA DOMINGUES</t>
  </si>
  <si>
    <t>031/0047/A</t>
  </si>
  <si>
    <t>TATIANE DO SANTO AZEVEDO</t>
  </si>
  <si>
    <t>031/0047/B</t>
  </si>
  <si>
    <t>ANDRESSA DA SILVA ANTONIO</t>
  </si>
  <si>
    <t>031/0047/C</t>
  </si>
  <si>
    <t>VANESSA DA SILVA ANTONIO</t>
  </si>
  <si>
    <t>031/0047/D</t>
  </si>
  <si>
    <t>DAIANE SOUZA FERREIRA</t>
  </si>
  <si>
    <t>031/0047/E</t>
  </si>
  <si>
    <t>031/0048/A</t>
  </si>
  <si>
    <t>ELIENE FONSECA DA SILVA</t>
  </si>
  <si>
    <t>031/0048/B</t>
  </si>
  <si>
    <t>BALBINO BORGES DE JESUS</t>
  </si>
  <si>
    <t>031/0048/C</t>
  </si>
  <si>
    <t>JOSE CARLOS FONSECA DA SILVA</t>
  </si>
  <si>
    <t>031/0048/D</t>
  </si>
  <si>
    <t>VANESSA MACIEL RESENDE</t>
  </si>
  <si>
    <t>031/0048/E</t>
  </si>
  <si>
    <t>NATAN SOUZA SANTOS</t>
  </si>
  <si>
    <t>031/0048/F</t>
  </si>
  <si>
    <t>SAVIO SILVA DE MELO</t>
  </si>
  <si>
    <t>031/0049/A</t>
  </si>
  <si>
    <t>JEDEILDES SANTOS DE ARAÚJO</t>
  </si>
  <si>
    <t>031/0049/B</t>
  </si>
  <si>
    <t>031/0049/C</t>
  </si>
  <si>
    <t>031/0049/D</t>
  </si>
  <si>
    <t>VIVIANE DA SILVA ALMEIDA</t>
  </si>
  <si>
    <t>031/0049/E</t>
  </si>
  <si>
    <t>JOÃO PEDRO DE ALMEIDA</t>
  </si>
  <si>
    <t>031/0050/A</t>
  </si>
  <si>
    <t>VITOR PEREIRA ROCHA</t>
  </si>
  <si>
    <t>031/0050/B</t>
  </si>
  <si>
    <t>ANA CAROLINA PEREIRA ROCHA</t>
  </si>
  <si>
    <t>031/0051/A</t>
  </si>
  <si>
    <t>PALOMA SANTOS DE LIMA</t>
  </si>
  <si>
    <t>031/0052/A</t>
  </si>
  <si>
    <t>ADRIANA VIANA RODRIGUES</t>
  </si>
  <si>
    <t>031/0052/B</t>
  </si>
  <si>
    <t>JOSÉ NETO DE AMORIM</t>
  </si>
  <si>
    <t>031/0052/C</t>
  </si>
  <si>
    <t>MARIA VALDINETE ALVES TEIXEIRA</t>
  </si>
  <si>
    <t>031/0052/D</t>
  </si>
  <si>
    <t>VALTER ALEXANDRE DA SILVA</t>
  </si>
  <si>
    <t>LUIZ GONÇALVES DE AMORIM</t>
  </si>
  <si>
    <t>031/0054/A</t>
  </si>
  <si>
    <t>MARCELO CARLOS DE ABREU</t>
  </si>
  <si>
    <t>031/0054/B</t>
  </si>
  <si>
    <t>IARA SANTOS CRUZ</t>
  </si>
  <si>
    <t>031/0055/A</t>
  </si>
  <si>
    <t>031/0055/B</t>
  </si>
  <si>
    <t>ROSA MARIA XAVIER</t>
  </si>
  <si>
    <t>031/0056/A</t>
  </si>
  <si>
    <t>MARIA DOS SANTOS COSTA</t>
  </si>
  <si>
    <t>031/0057/A</t>
  </si>
  <si>
    <t>031/0057/B</t>
  </si>
  <si>
    <t xml:space="preserve">WELLINGTON SANTOS SILVA </t>
  </si>
  <si>
    <t>031/0058/C</t>
  </si>
  <si>
    <t>MARTA DOS REIS SANTOS</t>
  </si>
  <si>
    <t>031/0058/D</t>
  </si>
  <si>
    <t>MARIA DA CONCEIÇÃO NERI DA SILVA</t>
  </si>
  <si>
    <t>MARINALDO BRITO DE VASCONCELOS</t>
  </si>
  <si>
    <t>031/0058/F</t>
  </si>
  <si>
    <t xml:space="preserve">MARINALDO BRITO DE VASCONCELOS 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</si>
  <si>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</si>
  <si>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</si>
  <si>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</si>
  <si>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</si>
  <si>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</si>
  <si>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</si>
  <si>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</si>
  <si>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</si>
  <si>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MARIA ALINE MACEDO GONÇALVES</t>
  </si>
  <si>
    <t>031/0060/G</t>
  </si>
  <si>
    <t>CARLA JESUS DOS SANTOS</t>
  </si>
  <si>
    <t>031/0060/H</t>
  </si>
  <si>
    <t>031/0063/A</t>
  </si>
  <si>
    <t>EDILTON JESUS DOS SANTOS</t>
  </si>
  <si>
    <t>031/0063/B</t>
  </si>
  <si>
    <t>ADRIANA PEREIRA DA SILVA</t>
  </si>
  <si>
    <t>031/0063/C</t>
  </si>
  <si>
    <t>031/0063/D</t>
  </si>
  <si>
    <t>031/0063/E</t>
  </si>
  <si>
    <t>KLEBER CARVALHO DO NASCIMENTO</t>
  </si>
  <si>
    <t>031/0063/F</t>
  </si>
  <si>
    <t>031/0063/G</t>
  </si>
  <si>
    <t>031/0064/A</t>
  </si>
  <si>
    <t>031/0064/B</t>
  </si>
  <si>
    <t>WERLEN BARBOSA SANTOS</t>
  </si>
  <si>
    <t>031/0064/C</t>
  </si>
  <si>
    <t>ELISÂNGELA XAVIER DE SOUZA</t>
  </si>
  <si>
    <t>031/0064/D</t>
  </si>
  <si>
    <t>RODRIGO DOS SANTOS MARINHO</t>
  </si>
  <si>
    <t>031/0064/E</t>
  </si>
  <si>
    <t>031/0064/F</t>
  </si>
  <si>
    <t>GRAZIELY DO NASCIMENTO LIMA</t>
  </si>
  <si>
    <t>FRANCISCA JÔSINETE DO NASCIMENTO SILVA</t>
  </si>
  <si>
    <t>031/0068/A</t>
  </si>
  <si>
    <t>031/0069/A</t>
  </si>
  <si>
    <t>JACKSON NUNES DE MELO BARBOSA</t>
  </si>
  <si>
    <t>031/0069/B</t>
  </si>
  <si>
    <t>SUIANNE TRINDADE SANTOS</t>
  </si>
  <si>
    <t>031/0069/C</t>
  </si>
  <si>
    <t>FRANCISCO LEANDRO DA SILVA HOLANDA</t>
  </si>
  <si>
    <t>031/0069/D</t>
  </si>
  <si>
    <t>MARIA DO SOCORRO RODRIGUES DOS SANTOS</t>
  </si>
  <si>
    <t>031/0070/A</t>
  </si>
  <si>
    <t>ELISANGELA XAVIER DE SOUZA</t>
  </si>
  <si>
    <t>031/0071/A</t>
  </si>
  <si>
    <t>ISMAEL PEREIRA DOS SANTOS</t>
  </si>
  <si>
    <t>031/0071/B</t>
  </si>
  <si>
    <t>LEANDRO PEREIRA DE OLIVEIRA</t>
  </si>
  <si>
    <t>031/0071/C</t>
  </si>
  <si>
    <t>EDUARDO SOUZA DA SILVA</t>
  </si>
  <si>
    <t>031/0071/D</t>
  </si>
  <si>
    <t>JOHNATA JEFERSON SILVA VASCONCELOS</t>
  </si>
  <si>
    <t>031/0072/A</t>
  </si>
  <si>
    <t>031/0072/B</t>
  </si>
  <si>
    <t>MANUELA SANTANA DE BRITO</t>
  </si>
  <si>
    <t>031/0072/C</t>
  </si>
  <si>
    <t>GEOVANILSON DE ANDRADE</t>
  </si>
  <si>
    <t>031/0072/D</t>
  </si>
  <si>
    <t>031/0073/A</t>
  </si>
  <si>
    <t>031/0073/B</t>
  </si>
  <si>
    <t>TALITA VIEIRA SANTOS DA SILVA</t>
  </si>
  <si>
    <t>031/0074/A</t>
  </si>
  <si>
    <t>MARIA AMANDA FEITOSA DE LIRA</t>
  </si>
  <si>
    <t>031/0075/A</t>
  </si>
  <si>
    <t>MILENA DE MELO MORAIS</t>
  </si>
  <si>
    <t>031/0075/B</t>
  </si>
  <si>
    <t>VALDEIR EURIVALDO DE SOUZA</t>
  </si>
  <si>
    <t>031/0075/C</t>
  </si>
  <si>
    <t>APARECIDA RIBEIRO DA CRUZ</t>
  </si>
  <si>
    <t>031/0076/A</t>
  </si>
  <si>
    <t xml:space="preserve">LUCAS DE CARVALHO ABREU </t>
  </si>
  <si>
    <t>LIDIANE SOARES DINIZ</t>
  </si>
  <si>
    <t>AGUIMAR MARTINS DE ASSIS</t>
  </si>
  <si>
    <t>031/0077/A</t>
  </si>
  <si>
    <t>LAURENICE ALMEIDA DOS SANTOS</t>
  </si>
  <si>
    <t>031/0077/B</t>
  </si>
  <si>
    <t>SEVERINA DA CONCEIÇÃO ALMEIDA SOARES</t>
  </si>
  <si>
    <t>MARIA APARECIDA DA SILVA</t>
  </si>
  <si>
    <t>PAULO SERGIO DA SILVA</t>
  </si>
  <si>
    <t>031/0078/C</t>
  </si>
  <si>
    <t>WASHINGTON FELIPE CATARINA CEZARINA</t>
  </si>
  <si>
    <t>031/0078/D</t>
  </si>
  <si>
    <t>JANICARLOS ISALBERTO RODRIGUES</t>
  </si>
  <si>
    <t>031/0078/E</t>
  </si>
  <si>
    <t>JOSÉ BATISTA IRMÃO</t>
  </si>
  <si>
    <t>031/0078/F</t>
  </si>
  <si>
    <t>JOSE CARLOS PEREIRA BATISTA</t>
  </si>
  <si>
    <t>031/0078/G</t>
  </si>
  <si>
    <t>EMERSON CARLOS DA SILVA ARAUJO</t>
  </si>
  <si>
    <t>031/0079/A</t>
  </si>
  <si>
    <t>MARISVALDO DE JESUS PEREIRA</t>
  </si>
  <si>
    <t>031/0079/B</t>
  </si>
  <si>
    <t>JOELMA AROEIRA PEREIRA DE BRITO</t>
  </si>
  <si>
    <t>031/0079/C</t>
  </si>
  <si>
    <t>NOEL SANTOS DE JESUS</t>
  </si>
  <si>
    <t>031/0080/A</t>
  </si>
  <si>
    <t xml:space="preserve">JOÃO PAULO CORDEIRO DE SOUZA  </t>
  </si>
  <si>
    <t>031/0080/B</t>
  </si>
  <si>
    <t>GABRIEL DE SOUZA MOREIRA</t>
  </si>
  <si>
    <t>031/0080/C</t>
  </si>
  <si>
    <t>VALMIRA ROSA DE SOUZA</t>
  </si>
  <si>
    <t>031/0080/D</t>
  </si>
  <si>
    <t>MAURILIO LIMA DA CRUZ</t>
  </si>
  <si>
    <t>031/0081/C</t>
  </si>
  <si>
    <t>031/0081/D</t>
  </si>
  <si>
    <t>BERNARDO DE JESUS RODRIGUES</t>
  </si>
  <si>
    <t>031/0081/E</t>
  </si>
  <si>
    <t>031/0081/F</t>
  </si>
  <si>
    <t>MARCOS DAIAN DA SILVA FERREIRA</t>
  </si>
  <si>
    <t>031/0081/G</t>
  </si>
  <si>
    <t>JOSE RIBEIRO DOS SANTOS</t>
  </si>
  <si>
    <t>031/0081/H</t>
  </si>
  <si>
    <t>JOELMA JEIZA AMARAL GOMES SILVA</t>
  </si>
  <si>
    <t>031/0081/I</t>
  </si>
  <si>
    <t>GEISE APARECIDA LIMA E SILVA</t>
  </si>
  <si>
    <t>031/0081/J</t>
  </si>
  <si>
    <t>PAULO SILVA DE FREITAS</t>
  </si>
  <si>
    <t>033/0016/A</t>
  </si>
  <si>
    <t>LUIS ALBERTO FEGLIA DA ROSA</t>
  </si>
  <si>
    <t>033/0016/B</t>
  </si>
  <si>
    <t>ALEXANDRE FEGLIA DA ROSA</t>
  </si>
  <si>
    <t>033/0016/D</t>
  </si>
  <si>
    <t>033/0016/E</t>
  </si>
  <si>
    <t>033/0016/F</t>
  </si>
  <si>
    <t>033/0016/G</t>
  </si>
  <si>
    <t>JOILSON ALVES MACEDO</t>
  </si>
  <si>
    <t>033/0017/A</t>
  </si>
  <si>
    <t>033/0018/A</t>
  </si>
  <si>
    <t>033/0018/B</t>
  </si>
  <si>
    <t>DIOCI PEREIRA DO BOMFIM</t>
  </si>
  <si>
    <t>033/0018/C</t>
  </si>
  <si>
    <t>VILMA RIBEIRO LIMA DOS SANTOS</t>
  </si>
  <si>
    <t>033/0018/D</t>
  </si>
  <si>
    <t>RAFAEL RODRIGUES DE SOUZA</t>
  </si>
  <si>
    <t>033/0019/A</t>
  </si>
  <si>
    <t>033/0019/C</t>
  </si>
  <si>
    <t>MANOEL VIERA DOS SANTOS</t>
  </si>
  <si>
    <t>033/0019/D</t>
  </si>
  <si>
    <t>FRANCISCO SOUZA SANTOS</t>
  </si>
  <si>
    <t>033/0020/A</t>
  </si>
  <si>
    <t>033/0020/B</t>
  </si>
  <si>
    <t>CLAUDENILSON NEVES DE SOUZA</t>
  </si>
  <si>
    <t>033/0020/C</t>
  </si>
  <si>
    <t>033/0021/A</t>
  </si>
  <si>
    <t>033/0021/B</t>
  </si>
  <si>
    <t>VALDEMIRA DE SOUZA BRANDÃO BRAGA</t>
  </si>
  <si>
    <t>033/0022/A</t>
  </si>
  <si>
    <t>JOHN LUCAS CAMILO DA SILVA</t>
  </si>
  <si>
    <t>033/0023/A</t>
  </si>
  <si>
    <t>033/0024/A</t>
  </si>
  <si>
    <t>AIDÊ DE OLIVEIRA ALMEIDA DOS SANTOS</t>
  </si>
  <si>
    <t>033/0024/B</t>
  </si>
  <si>
    <t>JOELMA ALMEIDA DOS SANTOS</t>
  </si>
  <si>
    <t>033/0026/A</t>
  </si>
  <si>
    <t>JOYCE DE ALMEIDA FELIX</t>
  </si>
  <si>
    <t>033/0026/B</t>
  </si>
  <si>
    <t>HELENA FRANCISCA DOS SANTOS</t>
  </si>
  <si>
    <t>033/0026/C</t>
  </si>
  <si>
    <t>AUTELINA ROSA DOS SANTOS</t>
  </si>
  <si>
    <t>033/0027/A</t>
  </si>
  <si>
    <t>ARLINDO FRANCISCO SANTOS JUNIOR</t>
  </si>
  <si>
    <t>033/0027/B</t>
  </si>
  <si>
    <t>ALINE CALDEIRA LOPES</t>
  </si>
  <si>
    <t>033/0028/A</t>
  </si>
  <si>
    <t>VANESSA ROSA SILVA SANTOS</t>
  </si>
  <si>
    <t>033/0029/A</t>
  </si>
  <si>
    <t>MARIA AUXILIADORA DIAS DE BRITO</t>
  </si>
  <si>
    <t>INGRID DIAS DE BRITO SILVA</t>
  </si>
  <si>
    <t>033/0029/D</t>
  </si>
  <si>
    <t>RAIMUNDO NONATO GOMES DE CARVALHO</t>
  </si>
  <si>
    <t>033/0029/E</t>
  </si>
  <si>
    <t>EVERTON REZENDE PEREIRA</t>
  </si>
  <si>
    <t>033/0030/C</t>
  </si>
  <si>
    <t>033/0030/D</t>
  </si>
  <si>
    <t>LUZIANE SILVA REIS</t>
  </si>
  <si>
    <t>DULCILENE MARIA DA SILVA</t>
  </si>
  <si>
    <t xml:space="preserve">THALLYS RODRIGUES MARTIM MACIEL DA CONCEIÇÃO </t>
  </si>
  <si>
    <t>VALDEICE CORREIA DA SILVA</t>
  </si>
  <si>
    <t>MARIANE CORREIA MELO</t>
  </si>
  <si>
    <t>ANDREA REZENDE FERREIRA</t>
  </si>
  <si>
    <t>RENATA PEREIRA DA SILVA</t>
  </si>
  <si>
    <t>MARILDA FRANCA MIRANDA</t>
  </si>
  <si>
    <t>SERGIO SENA DE ABREU</t>
  </si>
  <si>
    <t>VITOR VIEIRA DA SILVA</t>
  </si>
  <si>
    <t>RONIVIA DE OLIVEIRA PORCINO</t>
  </si>
  <si>
    <t>ODETE BEZERRA DA SILVA</t>
  </si>
  <si>
    <t>ELIVELTON</t>
  </si>
  <si>
    <t>MARISA FERREIRA</t>
  </si>
  <si>
    <t>FELIPE ALMEIDA DA CRUZ</t>
  </si>
  <si>
    <t>JOSUE RODRIGUES DA COSTA</t>
  </si>
  <si>
    <t xml:space="preserve">MANOEL APARECIDO DE LIMA SILVA  </t>
  </si>
  <si>
    <t>CRISTIANE DA SILVA SANTOS</t>
  </si>
  <si>
    <t>MARCELO CONSTANCIO AZEVEDO</t>
  </si>
  <si>
    <t>GILMARA PEREIRA DE OLIVEIRA</t>
  </si>
  <si>
    <t>MARTA GOMES DE OLIVEIRA</t>
  </si>
  <si>
    <t>RITA FERREIRA DOS SANTOS</t>
  </si>
  <si>
    <t>DILSON</t>
  </si>
  <si>
    <t>ANNA PATRÍCIA ALVES FERREIRA</t>
  </si>
  <si>
    <t>UELITON NOLASCO DOS SANTOS</t>
  </si>
  <si>
    <t>MARIVAN NERES ROSA</t>
  </si>
  <si>
    <t>LUAN PHILIPPE ROSA VIANA</t>
  </si>
  <si>
    <t>CHARLES SILVA GONÇALVES</t>
  </si>
  <si>
    <t>SANDRA OLIVEIRA GONÇALVES</t>
  </si>
  <si>
    <t>QUITERIA GOMES DA SILVA</t>
  </si>
  <si>
    <t>MARIA VANDELY DE MELO TEIXEIRA</t>
  </si>
  <si>
    <t>ANTONIO GUSTAVO DE JERÔNIMO</t>
  </si>
  <si>
    <t>CRISLANE GOMES MENDONÇA</t>
  </si>
  <si>
    <t>TAIS FERREIRA DA SILVA</t>
  </si>
  <si>
    <t>EMILIA ROSA DA SILVA</t>
  </si>
  <si>
    <t>RONNY PEDRO SILVA DOS SANTOS</t>
  </si>
  <si>
    <t>VAGNER LIMA SANTOS</t>
  </si>
  <si>
    <t>ANTONIO FERREIRA DE SOUZA</t>
  </si>
  <si>
    <t>MARCOS VINICIUS ALMEIDA SANTANA SANTOS</t>
  </si>
  <si>
    <t>MARIA JOSE JULIÃO DOS SANTOS</t>
  </si>
  <si>
    <t>WARLEY BARINHO DOS SANTOS</t>
  </si>
  <si>
    <t>FERNANDO FRANCISCO DA SILVA XAVIER</t>
  </si>
  <si>
    <t>LIDIANE FERREIRA TOMÁS</t>
  </si>
  <si>
    <t>CLAYTON BRITO SILVA</t>
  </si>
  <si>
    <t>ALEX DE SOUZA DINIZ</t>
  </si>
  <si>
    <t>GILSON LIMA DINIZ</t>
  </si>
  <si>
    <t xml:space="preserve">CICERO XAVIER ALMEIDA </t>
  </si>
  <si>
    <t>JOSE BARBOSA DA CRUZ</t>
  </si>
  <si>
    <t>SINVALDO PEREIRA NUNES</t>
  </si>
  <si>
    <t>KLEBER MAURICIO SOARES</t>
  </si>
  <si>
    <t>SHEILA APARECIDA MAURICIO PEREIRA</t>
  </si>
  <si>
    <t>LUZIA ANDRADE DA COSTA</t>
  </si>
  <si>
    <t>JONATAS DA SILVA COSTA</t>
  </si>
  <si>
    <t>DAVID JOSE DA SILVA COSTA</t>
  </si>
  <si>
    <t>DIOGO CORADO DE OLIVEIRA</t>
  </si>
  <si>
    <t>JOSÉ DAMIÃO COSTA</t>
  </si>
  <si>
    <t>MARIA DE JESUS DE MELO VITAL</t>
  </si>
  <si>
    <t>JULIA CECILIA OLIVEIRA DOS SANTOS</t>
  </si>
  <si>
    <t>JUSSARA OLIVEIRA DOS SANTOS</t>
  </si>
  <si>
    <t>LUIZ FERNANDO MERCE DA SILVA CARVALHO</t>
  </si>
  <si>
    <t>ANTONIO FRANCISCO DE SOUZA SOBRINHO</t>
  </si>
  <si>
    <t>EDILANE SANTOS SILVA</t>
  </si>
  <si>
    <t>MARIA DALVA DE SOUZA SOBRINHO DA SILVA</t>
  </si>
  <si>
    <t>OPLINIO GONÇALVES SOUZA</t>
  </si>
  <si>
    <t>RAISSA SOUZA GONÇALVES</t>
  </si>
  <si>
    <t>RENILTON DA SILVA GONÇALVES</t>
  </si>
  <si>
    <t>GELITON HENRIQUE BRITO</t>
  </si>
  <si>
    <t>IVONETE HENRIQUE DOS SANTOS</t>
  </si>
  <si>
    <t>MARIO MATOS MARAMALDO</t>
  </si>
  <si>
    <t>RONALDO SANTANA PACHECO</t>
  </si>
  <si>
    <t>ISABELA DOS SANTOS SILVA</t>
  </si>
  <si>
    <t>REINALDO FERREIRA DOS SANTOS</t>
  </si>
  <si>
    <t>CREONICE IZIDIO DE MOURA</t>
  </si>
  <si>
    <t>ORLANDO SOARES DE OLIVEIRA</t>
  </si>
  <si>
    <t>MARIA MILZA DE OLIVEIRA</t>
  </si>
  <si>
    <t>RAIMUNDO ARAUJO LIMA</t>
  </si>
  <si>
    <t>VERA LUCIA ARAUJO DOS SANTOS</t>
  </si>
  <si>
    <t>SILVESTRE GOMES DA SILVA</t>
  </si>
  <si>
    <t>JOSE GUSTAVO DIAS DA SILVA</t>
  </si>
  <si>
    <t>ROSINÊS MARIA DE BARROS</t>
  </si>
  <si>
    <t>SEBASTIÃO DE JESUS DE OLIVEIRA</t>
  </si>
  <si>
    <t>PEDRO CIPRIANO DA SILVA FILHO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</si>
  <si>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</si>
  <si>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</si>
  <si>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</si>
  <si>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</si>
  <si>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</si>
  <si>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</si>
  <si>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</si>
  <si>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</si>
  <si>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</si>
  <si>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</si>
  <si>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</si>
  <si>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</si>
  <si>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</si>
  <si>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</si>
  <si>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</si>
  <si>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</si>
  <si>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</si>
  <si>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</si>
  <si>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</si>
  <si>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</si>
  <si>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</si>
  <si>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</si>
  <si>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</si>
  <si>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</si>
  <si>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</si>
  <si>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</si>
  <si>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</si>
  <si>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</si>
  <si>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</si>
  <si>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</si>
  <si>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</si>
  <si>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</si>
  <si>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</si>
  <si>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</si>
  <si>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</si>
  <si>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</si>
  <si>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</si>
  <si>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</si>
  <si>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</si>
  <si>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</si>
  <si>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</si>
  <si>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</si>
  <si>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</si>
  <si>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</si>
  <si>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</si>
  <si>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</si>
  <si>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</si>
  <si>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</si>
  <si>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</si>
  <si>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</si>
  <si>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</si>
  <si>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</si>
  <si>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</si>
  <si>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</si>
  <si>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</si>
  <si>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</si>
  <si>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</si>
  <si>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</si>
  <si>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</si>
  <si>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</si>
  <si>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</si>
  <si>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</si>
  <si>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</si>
  <si>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</si>
  <si>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</si>
  <si>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</si>
  <si>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</si>
  <si>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</si>
  <si>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</si>
  <si>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</si>
  <si>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</si>
  <si>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</si>
  <si>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</si>
  <si>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</si>
  <si>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</si>
  <si>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</si>
  <si>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</si>
  <si>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</si>
  <si>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</si>
  <si>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</si>
  <si>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</si>
  <si>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</si>
  <si>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</si>
  <si>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</si>
  <si>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</si>
  <si>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</si>
  <si>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</si>
  <si>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</si>
  <si>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</si>
  <si>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</si>
  <si>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</si>
  <si>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</si>
  <si>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</si>
  <si>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</si>
  <si>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</si>
  <si>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</si>
  <si>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</si>
  <si>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</si>
  <si>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</si>
  <si>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</si>
  <si>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</si>
  <si>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</si>
  <si>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</si>
  <si>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</si>
  <si>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</si>
  <si>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</si>
  <si>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</si>
  <si>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</si>
  <si>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</si>
  <si>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</si>
  <si>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</si>
  <si>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</si>
  <si>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</si>
  <si>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</si>
  <si>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</si>
  <si>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</si>
  <si>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</si>
  <si>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</si>
  <si>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</si>
  <si>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</si>
  <si>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</si>
  <si>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</si>
  <si>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</si>
  <si>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</si>
  <si>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</si>
  <si>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</si>
  <si>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</si>
  <si>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</si>
  <si>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</si>
  <si>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</si>
  <si>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</si>
  <si>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</si>
  <si>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</si>
  <si>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</si>
  <si>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</si>
  <si>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</si>
  <si>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</si>
  <si>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</si>
  <si>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</si>
  <si>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</si>
  <si>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</si>
  <si>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</si>
  <si>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</si>
  <si>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</si>
  <si>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</si>
  <si>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</si>
  <si>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</si>
  <si>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</si>
  <si>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</si>
  <si>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</si>
  <si>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</si>
  <si>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</si>
  <si>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</si>
  <si>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</si>
  <si>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</si>
  <si>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</si>
  <si>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</si>
  <si>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</si>
  <si>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</si>
  <si>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</si>
  <si>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</si>
  <si>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</si>
  <si>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</si>
  <si>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</si>
  <si>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</si>
  <si>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</si>
  <si>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</si>
  <si>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</si>
  <si>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</si>
  <si>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</si>
  <si>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</si>
  <si>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</si>
  <si>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</si>
  <si>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</si>
  <si>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</si>
  <si>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</si>
  <si>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</si>
  <si>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</si>
  <si>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</si>
  <si>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</si>
  <si>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</si>
  <si>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</si>
  <si>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</si>
  <si>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</si>
  <si>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</si>
  <si>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</si>
  <si>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</si>
  <si>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</si>
  <si>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</si>
  <si>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</si>
  <si>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</si>
  <si>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</si>
  <si>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</si>
  <si>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</si>
  <si>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</si>
  <si>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</si>
  <si>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</si>
  <si>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</si>
  <si>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</si>
  <si>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</si>
  <si>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</si>
  <si>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</si>
  <si>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</si>
  <si>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</si>
  <si>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</si>
  <si>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</si>
  <si>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</si>
  <si>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</si>
  <si>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</si>
  <si>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</si>
  <si>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</si>
  <si>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</si>
  <si>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</si>
  <si>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</si>
  <si>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</si>
  <si>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</si>
  <si>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</si>
  <si>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</si>
  <si>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</si>
  <si>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</si>
  <si>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</si>
  <si>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</si>
  <si>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</si>
  <si>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</si>
  <si>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</si>
  <si>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</si>
  <si>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</si>
  <si>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</si>
  <si>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</si>
  <si>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</si>
  <si>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</si>
  <si>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</si>
  <si>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</si>
  <si>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</si>
  <si>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</si>
  <si>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</si>
  <si>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</si>
  <si>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</si>
  <si>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</si>
  <si>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</si>
  <si>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</si>
  <si>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</si>
  <si>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</si>
  <si>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</si>
  <si>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</si>
  <si>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</si>
  <si>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</si>
  <si>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</si>
  <si>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</si>
  <si>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</si>
  <si>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</si>
  <si>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</si>
  <si>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</si>
  <si>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</si>
  <si>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</si>
  <si>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</si>
  <si>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</si>
  <si>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</si>
  <si>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</si>
  <si>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</si>
  <si>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</si>
  <si>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</si>
  <si>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</si>
  <si>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</si>
  <si>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</si>
  <si>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</si>
  <si>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</si>
  <si>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</si>
  <si>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</si>
  <si>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</si>
  <si>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</si>
  <si>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</si>
  <si>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</si>
  <si>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</si>
  <si>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</si>
  <si>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</si>
  <si>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</si>
  <si>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</si>
  <si>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</si>
  <si>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</si>
  <si>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</si>
  <si>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</si>
  <si>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</si>
  <si>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</si>
  <si>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</si>
  <si>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</si>
  <si>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</si>
  <si>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</si>
  <si>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</si>
  <si>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</si>
  <si>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</si>
  <si>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</si>
  <si>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</si>
  <si>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</si>
  <si>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</si>
  <si>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</si>
  <si>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</si>
  <si>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</si>
  <si>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</si>
  <si>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</si>
  <si>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</si>
  <si>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</si>
  <si>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</si>
  <si>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</si>
  <si>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</si>
  <si>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</si>
  <si>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</si>
  <si>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</si>
  <si>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</si>
  <si>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</si>
  <si>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</si>
  <si>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</si>
  <si>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</si>
  <si>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</si>
  <si>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</si>
  <si>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</si>
  <si>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</si>
  <si>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</si>
  <si>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</si>
  <si>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</si>
  <si>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</si>
  <si>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</si>
  <si>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</si>
  <si>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</si>
  <si>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</si>
  <si>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</si>
  <si>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</si>
  <si>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</si>
  <si>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</si>
  <si>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</si>
  <si>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</si>
  <si>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</si>
  <si>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</si>
  <si>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</si>
  <si>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</si>
  <si>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</si>
  <si>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</si>
  <si>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</si>
  <si>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</si>
  <si>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</si>
  <si>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</si>
  <si>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</si>
  <si>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</si>
  <si>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</si>
  <si>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</si>
  <si>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</si>
  <si>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</si>
  <si>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</si>
  <si>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</si>
  <si>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</si>
  <si>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</si>
  <si>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</si>
  <si>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</si>
  <si>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</si>
  <si>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</si>
  <si>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</si>
  <si>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</si>
  <si>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</si>
  <si>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</si>
  <si>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</si>
  <si>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</si>
  <si>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</si>
  <si>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</si>
  <si>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</si>
  <si>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</si>
  <si>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</si>
  <si>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</si>
  <si>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</si>
  <si>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</si>
  <si>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</si>
  <si>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</si>
  <si>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</si>
  <si>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</si>
  <si>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</si>
  <si>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</si>
  <si>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</si>
  <si>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</si>
  <si>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</si>
  <si>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</si>
  <si>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</si>
  <si>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</si>
  <si>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</si>
  <si>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</si>
  <si>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</si>
  <si>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</si>
  <si>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</si>
  <si>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</si>
  <si>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</si>
  <si>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</si>
  <si>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</si>
  <si>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</si>
  <si>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</si>
  <si>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</si>
  <si>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</si>
  <si>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</si>
  <si>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</si>
  <si>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</si>
  <si>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</si>
  <si>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</si>
  <si>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</si>
  <si>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</si>
  <si>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</si>
  <si>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</si>
  <si>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</si>
  <si>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</si>
  <si>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</si>
  <si>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</si>
  <si>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</si>
  <si>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</si>
  <si>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</si>
  <si>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</si>
  <si>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</si>
  <si>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</si>
  <si>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</si>
  <si>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</si>
  <si>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</si>
  <si>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</si>
  <si>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</si>
  <si>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</si>
  <si>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</si>
  <si>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</si>
  <si>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</si>
  <si>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</si>
  <si>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</si>
  <si>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</si>
  <si>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</si>
  <si>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</si>
  <si>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</si>
  <si>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</si>
  <si>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</si>
  <si>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</si>
  <si>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</si>
  <si>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</si>
  <si>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</si>
  <si>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</si>
  <si>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</si>
  <si>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</si>
  <si>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</si>
  <si>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</si>
  <si>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</si>
  <si>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</si>
  <si>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</si>
  <si>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</si>
  <si>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</si>
  <si>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</si>
  <si>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</si>
  <si>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</si>
  <si>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</si>
  <si>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</si>
  <si>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</si>
  <si>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</si>
  <si>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</si>
  <si>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</si>
  <si>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</si>
  <si>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</si>
  <si>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</si>
  <si>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</si>
  <si>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</si>
  <si>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</si>
  <si>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</si>
  <si>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</si>
  <si>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</si>
  <si>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</si>
  <si>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</si>
  <si>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</si>
  <si>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</si>
  <si>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</si>
  <si>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</si>
  <si>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</si>
  <si>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</si>
  <si>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</si>
  <si>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</si>
  <si>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</si>
  <si>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</si>
  <si>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</si>
  <si>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</si>
  <si>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</si>
  <si>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</si>
  <si>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</si>
  <si>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</si>
  <si>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</si>
  <si>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</si>
  <si>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</si>
  <si>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</si>
  <si>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</si>
  <si>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</si>
  <si>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</si>
  <si>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</si>
  <si>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</si>
  <si>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</si>
  <si>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</si>
  <si>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</si>
  <si>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</si>
  <si>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</si>
  <si>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</si>
  <si>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</si>
  <si>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</si>
  <si>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</si>
  <si>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</si>
  <si>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</si>
  <si>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</si>
  <si>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</si>
  <si>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</si>
  <si>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</si>
  <si>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</si>
  <si>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</si>
  <si>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</si>
  <si>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</si>
  <si>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</si>
  <si>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</si>
  <si>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</si>
  <si>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</si>
  <si>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</si>
  <si>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</si>
  <si>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</si>
  <si>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</si>
  <si>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</si>
  <si>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</si>
  <si>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</si>
  <si>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</si>
  <si>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</si>
  <si>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</si>
  <si>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</si>
  <si>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</si>
  <si>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</si>
  <si>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</si>
  <si>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</si>
  <si>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</si>
  <si>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</si>
  <si>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</si>
  <si>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</si>
  <si>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</si>
  <si>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</si>
  <si>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</si>
  <si>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</si>
  <si>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</si>
  <si>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</si>
  <si>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</si>
  <si>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</si>
  <si>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</si>
  <si>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</si>
  <si>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</si>
  <si>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</si>
  <si>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</si>
  <si>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</si>
  <si>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</si>
  <si>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</si>
  <si>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</si>
  <si>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</si>
  <si>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</si>
  <si>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</si>
  <si>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</si>
  <si>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</si>
  <si>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</si>
  <si>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</si>
  <si>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</si>
  <si>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</si>
  <si>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</si>
  <si>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</si>
  <si>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</si>
  <si>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</si>
  <si>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</si>
  <si>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</si>
  <si>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</si>
  <si>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</si>
  <si>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</si>
  <si>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</si>
  <si>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</si>
  <si>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</si>
  <si>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</si>
  <si>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</si>
  <si>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</si>
  <si>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</si>
  <si>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</si>
  <si>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</si>
  <si>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</si>
  <si>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</si>
  <si>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</si>
  <si>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</si>
  <si>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</si>
  <si>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</si>
  <si>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</si>
  <si>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</si>
  <si>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</si>
  <si>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</si>
  <si>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</si>
  <si>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</si>
  <si>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</si>
  <si>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</si>
  <si>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</si>
  <si>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</si>
  <si>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</si>
  <si>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</si>
  <si>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</si>
  <si>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</si>
  <si>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</si>
  <si>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</si>
  <si>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</si>
  <si>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</si>
  <si>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</si>
  <si>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</si>
  <si>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</si>
  <si>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</si>
  <si>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</si>
  <si>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</si>
  <si>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</si>
  <si>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</si>
  <si>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</si>
  <si>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</si>
  <si>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</si>
  <si>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</si>
  <si>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</si>
  <si>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</si>
  <si>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</si>
  <si>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</si>
  <si>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</si>
  <si>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</si>
  <si>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</si>
  <si>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</si>
  <si>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</si>
  <si>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</si>
  <si>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</si>
  <si>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</si>
  <si>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</si>
  <si>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</si>
  <si>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</si>
  <si>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</si>
  <si>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</si>
  <si>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</si>
  <si>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</si>
  <si>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</si>
  <si>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</si>
  <si>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</si>
  <si>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</si>
  <si>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</si>
  <si>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</si>
  <si>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</si>
  <si>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</si>
  <si>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</si>
  <si>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</si>
  <si>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</si>
  <si>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</si>
  <si>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</si>
  <si>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</si>
  <si>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</si>
  <si>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</si>
  <si>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</si>
  <si>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</si>
  <si>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</si>
  <si>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</si>
  <si>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</si>
  <si>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</si>
  <si>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</si>
  <si>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</si>
  <si>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</si>
  <si>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</si>
  <si>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</si>
  <si>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</si>
  <si>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</si>
  <si>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</si>
  <si>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</si>
  <si>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</si>
  <si>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</si>
  <si>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</si>
  <si>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</si>
  <si>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</si>
  <si>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</si>
  <si>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</si>
  <si>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</si>
  <si>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</si>
  <si>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</si>
  <si>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</si>
  <si>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</si>
  <si>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</si>
  <si>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</si>
  <si>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</si>
  <si>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</si>
  <si>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</si>
  <si>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</si>
  <si>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</si>
  <si>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</si>
  <si>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</si>
  <si>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</si>
  <si>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</si>
  <si>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</si>
  <si>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</si>
  <si>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</si>
  <si>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</si>
  <si>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</si>
  <si>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</si>
  <si>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</si>
  <si>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</si>
  <si>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</si>
  <si>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</si>
  <si>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</si>
  <si>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</si>
  <si>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</si>
  <si>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</si>
  <si>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</si>
  <si>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</si>
  <si>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</si>
  <si>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</si>
  <si>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</si>
  <si>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</si>
  <si>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</si>
  <si>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</si>
  <si>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</si>
  <si>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</si>
  <si>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</si>
  <si>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</si>
  <si>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</si>
  <si>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</si>
  <si>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</si>
  <si>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</si>
  <si>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</si>
  <si>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</si>
  <si>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</si>
  <si>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</si>
  <si>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</si>
  <si>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</si>
  <si>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</si>
  <si>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</si>
  <si>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</si>
  <si>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</si>
  <si>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</si>
  <si>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</si>
  <si>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</si>
  <si>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</si>
  <si>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</si>
  <si>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</si>
  <si>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</si>
  <si>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</si>
  <si>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</si>
  <si>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</si>
  <si>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</si>
  <si>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</si>
  <si>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</si>
  <si>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</si>
  <si>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</si>
  <si>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</si>
  <si>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</si>
  <si>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</si>
  <si>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</si>
  <si>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</si>
  <si>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</si>
  <si>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</si>
  <si>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</si>
  <si>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</si>
  <si>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</si>
  <si>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</si>
  <si>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</si>
  <si>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</si>
  <si>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</si>
  <si>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</si>
  <si>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</si>
  <si>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</si>
  <si>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</si>
  <si>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</si>
  <si>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</si>
  <si>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</si>
  <si>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</si>
  <si>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</si>
  <si>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</si>
  <si>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</si>
  <si>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</si>
  <si>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</si>
  <si>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</si>
  <si>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</si>
  <si>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</si>
  <si>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</si>
  <si>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</si>
  <si>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</si>
  <si>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</si>
  <si>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</si>
  <si>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</si>
  <si>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</si>
  <si>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</si>
  <si>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</si>
  <si>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</si>
  <si>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</si>
  <si>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</si>
  <si>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</si>
  <si>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</si>
  <si>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</si>
  <si>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</si>
  <si>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</si>
  <si>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</si>
  <si>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</si>
  <si>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</si>
  <si>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</si>
  <si>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</si>
  <si>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</si>
  <si>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</si>
  <si>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</si>
  <si>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</si>
  <si>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</si>
  <si>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</si>
  <si>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</si>
  <si>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</si>
  <si>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</si>
  <si>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</si>
  <si>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</si>
  <si>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</si>
  <si>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</si>
  <si>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</si>
  <si>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</si>
  <si>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</si>
  <si>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</si>
  <si>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</si>
  <si>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</si>
  <si>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</si>
  <si>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</si>
  <si>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</si>
  <si>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</si>
  <si>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</si>
  <si>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</si>
  <si>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</si>
  <si>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</si>
  <si>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</si>
  <si>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</si>
  <si>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</si>
  <si>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</si>
  <si>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</si>
  <si>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</si>
  <si>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</si>
  <si>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</si>
  <si>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</si>
  <si>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</si>
  <si>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</si>
  <si>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</si>
  <si>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</si>
  <si>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</si>
  <si>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</si>
  <si>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</si>
  <si>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</si>
  <si>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</si>
  <si>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</si>
  <si>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</si>
  <si>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</si>
  <si>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</si>
  <si>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</si>
  <si>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</si>
  <si>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</si>
  <si>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</si>
  <si>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</si>
  <si>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</si>
  <si>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</si>
  <si>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</si>
  <si>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</si>
  <si>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</si>
  <si>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</si>
  <si>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</si>
  <si>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</si>
  <si>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</si>
  <si>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</si>
  <si>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</si>
  <si>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</si>
  <si>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</si>
  <si>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</si>
  <si>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</si>
  <si>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</si>
  <si>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</si>
  <si>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</si>
  <si>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</si>
  <si>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</si>
  <si>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</si>
  <si>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</si>
  <si>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</si>
  <si>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</si>
  <si>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</si>
  <si>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</si>
  <si>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</si>
  <si>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</si>
  <si>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</si>
  <si>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</si>
  <si>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</si>
  <si>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</si>
  <si>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</si>
  <si>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</si>
  <si>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</si>
  <si>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</si>
  <si>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</si>
  <si>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</si>
  <si>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</si>
  <si>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</si>
  <si>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</si>
  <si>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</si>
  <si>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</si>
  <si>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</si>
  <si>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</si>
  <si>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</si>
  <si>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</si>
  <si>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</si>
  <si>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</si>
  <si>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</si>
  <si>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</si>
  <si>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</si>
  <si>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</si>
  <si>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</si>
  <si>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</si>
  <si>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</si>
  <si>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</si>
  <si>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</si>
  <si>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</si>
  <si>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</si>
  <si>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</si>
  <si>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</si>
  <si>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</si>
  <si>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</si>
  <si>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</si>
  <si>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</si>
  <si>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</si>
  <si>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</si>
  <si>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</si>
  <si>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</si>
  <si>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</si>
  <si>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</si>
  <si>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</si>
  <si>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</si>
  <si>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</si>
  <si>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</si>
  <si>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</si>
  <si>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</si>
  <si>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</si>
  <si>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</si>
  <si>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</si>
  <si>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</si>
  <si>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</si>
  <si>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</si>
  <si>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</si>
  <si>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</si>
  <si>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</si>
  <si>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</si>
  <si>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</si>
  <si>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</si>
  <si>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</si>
  <si>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</si>
  <si>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</si>
  <si>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</si>
  <si>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</si>
  <si>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</si>
  <si>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</si>
  <si>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</si>
  <si>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</si>
  <si>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</si>
  <si>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</si>
  <si>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</si>
  <si>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</si>
  <si>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</si>
  <si>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</si>
  <si>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</si>
  <si>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</si>
  <si>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</si>
  <si>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</si>
  <si>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</si>
  <si>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</si>
  <si>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</si>
  <si>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</si>
  <si>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</si>
  <si>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</si>
  <si>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</si>
  <si>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</si>
  <si>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</si>
  <si>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</si>
  <si>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</si>
  <si>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</si>
  <si>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</si>
  <si>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</si>
  <si>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</si>
  <si>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</si>
  <si>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</si>
  <si>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</si>
  <si>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</si>
  <si>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</si>
  <si>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</si>
  <si>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</si>
  <si>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</si>
  <si>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</si>
  <si>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</si>
  <si>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</si>
  <si>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</si>
  <si>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</si>
  <si>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</si>
  <si>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</si>
  <si>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</si>
  <si>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</si>
  <si>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</si>
  <si>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</si>
  <si>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</si>
  <si>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</si>
  <si>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</si>
  <si>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</si>
  <si>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</si>
  <si>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</si>
  <si>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</si>
  <si>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</si>
  <si>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</si>
  <si>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</si>
  <si>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</si>
  <si>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</si>
  <si>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</si>
  <si>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</si>
  <si>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</si>
  <si>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</si>
  <si>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</si>
  <si>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</si>
  <si>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</si>
  <si>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</si>
  <si>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</si>
  <si>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</si>
  <si>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</si>
  <si>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</si>
  <si>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</si>
  <si>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</si>
  <si>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</si>
  <si>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</si>
  <si>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</si>
  <si>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</si>
  <si>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</si>
  <si>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</si>
  <si>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</si>
  <si>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</si>
  <si>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</si>
  <si>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</si>
  <si>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</si>
  <si>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</si>
  <si>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</si>
  <si>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</si>
  <si>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</si>
  <si>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</si>
  <si>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</si>
  <si>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</si>
  <si>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</si>
  <si>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</si>
  <si>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</si>
  <si>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</si>
  <si>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</si>
  <si>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</si>
  <si>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</si>
  <si>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</si>
  <si>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</si>
  <si>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</si>
  <si>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</si>
  <si>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</si>
  <si>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</si>
  <si>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</si>
  <si>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</si>
  <si>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</si>
  <si>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</si>
  <si>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</si>
  <si>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</si>
  <si>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</si>
  <si>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</si>
  <si>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</si>
  <si>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</si>
  <si>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</si>
  <si>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</si>
  <si>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</si>
  <si>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</si>
  <si>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</si>
  <si>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</si>
  <si>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</si>
  <si>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</si>
  <si>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</si>
  <si>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</si>
  <si>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</si>
  <si>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</si>
  <si>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</si>
  <si>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</si>
  <si>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</si>
  <si>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</si>
  <si>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</si>
  <si>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</si>
  <si>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</si>
  <si>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</si>
  <si>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</si>
  <si>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</si>
  <si>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</si>
  <si>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</si>
  <si>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</si>
  <si>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</si>
  <si>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</si>
  <si>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</si>
  <si>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</si>
  <si>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</si>
  <si>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</si>
  <si>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</si>
  <si>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</si>
  <si>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</si>
  <si>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</si>
  <si>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</si>
  <si>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</si>
  <si>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</si>
  <si>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</si>
  <si>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</si>
  <si>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</si>
  <si>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</si>
  <si>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</si>
  <si>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</si>
  <si>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</si>
  <si>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</si>
  <si>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</si>
  <si>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</si>
  <si>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</si>
  <si>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</si>
  <si>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</si>
  <si>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</si>
  <si>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</si>
  <si>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</si>
  <si>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</si>
  <si>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</si>
  <si>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</si>
  <si>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</si>
  <si>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</si>
  <si>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</si>
  <si>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</si>
  <si>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</si>
  <si>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</si>
  <si>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</si>
  <si>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</si>
  <si>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</si>
  <si>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</si>
  <si>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</si>
  <si>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</si>
  <si>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</si>
  <si>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</si>
  <si>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</si>
  <si>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</si>
  <si>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</si>
  <si>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</si>
  <si>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</si>
  <si>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</si>
  <si>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</si>
  <si>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</si>
  <si>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</si>
  <si>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</si>
  <si>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</si>
  <si>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</si>
  <si>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</si>
  <si>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</si>
  <si>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</si>
  <si>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</si>
  <si>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</si>
  <si>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</si>
  <si>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</si>
  <si>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</si>
  <si>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</si>
  <si>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</si>
  <si>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</si>
  <si>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</si>
  <si>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</si>
  <si>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</si>
  <si>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</si>
  <si>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</si>
  <si>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</si>
  <si>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</si>
  <si>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</si>
  <si>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</si>
  <si>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</si>
  <si>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</si>
  <si>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</si>
  <si>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</si>
  <si>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</si>
  <si>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</si>
  <si>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</si>
  <si>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</si>
  <si>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</si>
  <si>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</si>
  <si>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</si>
  <si>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</si>
  <si>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</si>
  <si>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</si>
  <si>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</si>
  <si>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</si>
  <si>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</si>
  <si>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</si>
  <si>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</si>
  <si>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</si>
  <si>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</si>
  <si>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</si>
  <si>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</si>
  <si>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</si>
  <si>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</si>
  <si>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</si>
  <si>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</si>
  <si>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</si>
  <si>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</si>
  <si>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</si>
  <si>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</si>
  <si>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</si>
  <si>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</si>
  <si>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</si>
  <si>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</si>
  <si>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</si>
  <si>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</si>
  <si>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</si>
  <si>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</si>
  <si>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</si>
  <si>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</si>
  <si>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</si>
  <si>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</si>
  <si>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</si>
  <si>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</si>
  <si>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</si>
  <si>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</si>
  <si>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</si>
  <si>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</si>
  <si>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</si>
  <si>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</si>
  <si>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</si>
  <si>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</si>
  <si>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</si>
  <si>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</si>
  <si>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</si>
  <si>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</si>
  <si>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</si>
  <si>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</si>
  <si>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</si>
  <si>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</si>
  <si>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</si>
  <si>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</si>
  <si>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</si>
  <si>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</si>
  <si>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</si>
  <si>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</si>
  <si>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</si>
  <si>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</si>
  <si>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</si>
  <si>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</si>
  <si>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</si>
  <si>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</si>
  <si>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</si>
  <si>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</si>
  <si>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</si>
  <si>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</si>
  <si>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</si>
  <si>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</si>
  <si>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</si>
  <si>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</si>
  <si>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</si>
  <si>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</si>
  <si>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</si>
  <si>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</si>
  <si>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</si>
  <si>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</si>
  <si>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</si>
  <si>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</si>
  <si>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</si>
  <si>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</si>
  <si>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</si>
  <si>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</si>
  <si>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</si>
  <si>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</si>
  <si>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</si>
  <si>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</si>
  <si>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</si>
  <si>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</si>
  <si>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</si>
  <si>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</si>
  <si>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</si>
  <si>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</si>
  <si>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</si>
  <si>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</si>
  <si>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</si>
  <si>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</si>
  <si>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</si>
  <si>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</si>
  <si>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</si>
  <si>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</si>
  <si>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</si>
  <si>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</si>
  <si>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</si>
  <si>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</si>
  <si>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</si>
  <si>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</si>
  <si>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</si>
  <si>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</si>
  <si>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</si>
  <si>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</si>
  <si>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</si>
  <si>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</si>
  <si>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</si>
  <si>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</si>
  <si>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</si>
  <si>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</si>
  <si>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</si>
  <si>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</si>
  <si>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</si>
  <si>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</si>
  <si>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</si>
  <si>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</si>
  <si>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</si>
  <si>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</si>
  <si>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</si>
  <si>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</si>
  <si>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</si>
  <si>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</si>
  <si>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</si>
  <si>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</si>
  <si>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</si>
  <si>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</si>
  <si>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</si>
  <si>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</si>
  <si>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</si>
  <si>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</si>
  <si>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</si>
  <si>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</si>
  <si>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</si>
  <si>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</si>
  <si>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</si>
  <si>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</si>
  <si>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</si>
  <si>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</si>
  <si>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</si>
  <si>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</si>
  <si>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</si>
  <si>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</si>
  <si>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</si>
  <si>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</si>
  <si>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</si>
  <si>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</si>
  <si>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</si>
  <si>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</si>
  <si>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</si>
  <si>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</si>
  <si>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</si>
  <si>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</si>
  <si>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</si>
  <si>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</si>
  <si>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</si>
  <si>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</si>
  <si>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</si>
  <si>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</si>
  <si>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</si>
  <si>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</si>
  <si>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</si>
  <si>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</si>
  <si>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</si>
  <si>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</si>
  <si>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</si>
  <si>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</si>
  <si>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</si>
  <si>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</si>
  <si>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</si>
  <si>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</si>
  <si>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</si>
  <si>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</si>
  <si>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</si>
  <si>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</si>
  <si>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</si>
  <si>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</si>
  <si>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</si>
  <si>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</si>
  <si>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</si>
  <si>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</si>
  <si>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</si>
  <si>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</si>
  <si>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</si>
  <si>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</si>
  <si>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</si>
  <si>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</si>
  <si>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</si>
  <si>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</si>
  <si>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</si>
  <si>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</si>
  <si>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</si>
  <si>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</si>
  <si>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</si>
  <si>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</si>
  <si>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</si>
  <si>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</si>
  <si>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</si>
  <si>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</si>
  <si>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</si>
  <si>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</si>
  <si>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</si>
  <si>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</si>
  <si>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</si>
  <si>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</si>
  <si>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</si>
  <si>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</si>
  <si>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</si>
  <si>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</si>
  <si>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</si>
  <si>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</si>
  <si>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</si>
  <si>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</si>
  <si>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</si>
  <si>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</si>
  <si>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</si>
  <si>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</si>
  <si>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</si>
  <si>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</si>
  <si>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</si>
  <si>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</si>
  <si>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</si>
  <si>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</si>
  <si>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</si>
  <si>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</si>
  <si>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</si>
  <si>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</si>
  <si>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</si>
  <si>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</si>
  <si>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</si>
  <si>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</si>
  <si>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</si>
  <si>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</si>
  <si>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</si>
  <si>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</si>
  <si>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</si>
  <si>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</si>
  <si>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</si>
  <si>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</si>
  <si>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</si>
  <si>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</si>
  <si>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</si>
  <si>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</si>
  <si>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</si>
  <si>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</si>
  <si>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</si>
  <si>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</si>
  <si>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</si>
  <si>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</si>
  <si>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</si>
  <si>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</si>
  <si>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</si>
  <si>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</si>
  <si>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</si>
  <si>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</si>
  <si>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</si>
  <si>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</si>
  <si>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</si>
  <si>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</si>
  <si>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</si>
  <si>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</si>
  <si>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</si>
  <si>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</si>
  <si>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</si>
  <si>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</si>
  <si>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</si>
  <si>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</si>
  <si>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</si>
  <si>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</si>
  <si>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</si>
  <si>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</si>
  <si>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</si>
  <si>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</si>
  <si>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</si>
  <si>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</si>
  <si>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</si>
  <si>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</si>
  <si>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</si>
  <si>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</si>
  <si>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</si>
  <si>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</si>
  <si>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</si>
  <si>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</si>
  <si>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</si>
  <si>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</si>
  <si>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</si>
  <si>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</si>
  <si>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</si>
  <si>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</si>
  <si>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</si>
  <si>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</si>
  <si>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</si>
  <si>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</si>
  <si>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</si>
  <si>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</si>
  <si>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</si>
  <si>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</si>
  <si>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</si>
  <si>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</si>
  <si>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</si>
  <si>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</si>
  <si>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</si>
  <si>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</si>
  <si>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</si>
  <si>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</si>
  <si>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</si>
  <si>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</si>
  <si>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</si>
  <si>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</si>
  <si>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</si>
  <si>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</si>
  <si>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</si>
  <si>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</si>
  <si>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</si>
  <si>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</si>
  <si>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</si>
  <si>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</si>
  <si>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</si>
  <si>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</si>
  <si>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</si>
  <si>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</si>
  <si>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</si>
  <si>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</si>
  <si>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</si>
  <si>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</si>
  <si>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</si>
  <si>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</si>
  <si>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</si>
  <si>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</si>
  <si>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</si>
  <si>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</si>
  <si>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</si>
  <si>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</si>
  <si>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</si>
  <si>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</si>
  <si>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</si>
  <si>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</si>
  <si>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</si>
  <si>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</si>
  <si>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</si>
  <si>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</si>
  <si>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</si>
  <si>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</si>
  <si>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</si>
  <si>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</si>
  <si>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</si>
  <si>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</si>
  <si>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</si>
  <si>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</si>
  <si>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</si>
  <si>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</si>
  <si>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</si>
  <si>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</si>
  <si>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</si>
  <si>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</si>
  <si>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</si>
  <si>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</si>
  <si>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</si>
  <si>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</si>
  <si>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</si>
  <si>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</si>
  <si>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</si>
  <si>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</si>
  <si>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</si>
  <si>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</si>
  <si>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</si>
  <si>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</si>
  <si>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</si>
  <si>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</si>
  <si>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</si>
  <si>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</si>
  <si>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</si>
  <si>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</si>
  <si>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</si>
  <si>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</si>
  <si>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</si>
  <si>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</si>
  <si>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</si>
  <si>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</si>
  <si>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</si>
  <si>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</si>
  <si>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</si>
  <si>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</si>
  <si>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</si>
  <si>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</si>
  <si>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</si>
  <si>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</si>
  <si>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</si>
  <si>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</si>
  <si>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</si>
  <si>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</si>
  <si>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</si>
  <si>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</si>
  <si>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</si>
  <si>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</si>
  <si>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</si>
  <si>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</si>
  <si>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</si>
  <si>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</si>
  <si>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</si>
  <si>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</si>
  <si>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</si>
  <si>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</si>
  <si>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</si>
  <si>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</si>
  <si>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</si>
  <si>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</si>
  <si>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</si>
  <si>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</si>
  <si>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</si>
  <si>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</si>
  <si>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</si>
  <si>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</si>
  <si>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</si>
  <si>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</si>
  <si>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</si>
  <si>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</si>
  <si>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</si>
  <si>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</si>
  <si>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</si>
  <si>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</si>
  <si>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</si>
  <si>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</si>
  <si>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</si>
  <si>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</si>
  <si>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</si>
  <si>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</si>
  <si>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</si>
  <si>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</si>
  <si>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</si>
  <si>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</si>
  <si>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</si>
  <si>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</si>
  <si>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</si>
  <si>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</si>
  <si>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</si>
  <si>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</si>
  <si>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</si>
  <si>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</si>
  <si>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</si>
  <si>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</si>
  <si>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</si>
  <si>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</si>
  <si>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</si>
  <si>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</si>
  <si>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</si>
  <si>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</si>
  <si>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</si>
  <si>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</si>
  <si>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</si>
  <si>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</si>
  <si>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</si>
  <si>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</si>
  <si>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</si>
  <si>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</si>
  <si>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</si>
  <si>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</si>
  <si>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</si>
  <si>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</si>
  <si>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</si>
  <si>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</si>
  <si>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</si>
  <si>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</si>
  <si>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</si>
  <si>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</si>
  <si>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</si>
  <si>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</si>
  <si>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</si>
  <si>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</si>
  <si>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</si>
  <si>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</si>
  <si>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</si>
  <si>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</si>
  <si>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</si>
  <si>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</si>
  <si>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</si>
  <si>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</si>
  <si>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</si>
  <si>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</si>
  <si>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</si>
  <si>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</si>
  <si>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</si>
  <si>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</si>
  <si>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</si>
  <si>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</si>
  <si>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</si>
  <si>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</si>
  <si>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</si>
  <si>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</si>
  <si>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</si>
  <si>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</si>
  <si>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</si>
  <si>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</si>
  <si>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</si>
  <si>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</si>
  <si>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</si>
  <si>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</si>
  <si>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</si>
  <si>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</si>
  <si>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</si>
  <si>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</si>
  <si>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</si>
  <si>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</si>
  <si>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</si>
  <si>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</si>
  <si>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</si>
  <si>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</si>
  <si>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</si>
  <si>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</si>
  <si>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</si>
  <si>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</si>
  <si>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</si>
  <si>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</si>
  <si>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</si>
  <si>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</si>
  <si>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</si>
  <si>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</si>
  <si>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</si>
  <si>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</si>
  <si>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</si>
  <si>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</si>
  <si>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</si>
  <si>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</si>
  <si>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</si>
  <si>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</si>
  <si>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</si>
  <si>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</si>
  <si>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</si>
  <si>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</si>
  <si>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</si>
  <si>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</si>
  <si>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</si>
  <si>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</si>
  <si>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</si>
  <si>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</si>
  <si>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</si>
  <si>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</si>
  <si>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</si>
  <si>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</si>
  <si>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</si>
  <si>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</si>
  <si>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</si>
  <si>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</si>
  <si>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</si>
  <si>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</si>
  <si>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</si>
  <si>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</si>
  <si>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</si>
  <si>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</si>
  <si>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</si>
  <si>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</si>
  <si>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</si>
  <si>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</si>
  <si>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</si>
  <si>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</si>
  <si>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</si>
  <si>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</si>
  <si>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</si>
  <si>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</si>
  <si>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</si>
  <si>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</si>
  <si>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</si>
  <si>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</si>
  <si>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</si>
  <si>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</si>
  <si>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</si>
  <si>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</si>
  <si>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</si>
  <si>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</si>
  <si>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</si>
  <si>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</si>
  <si>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</si>
  <si>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</si>
  <si>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</si>
  <si>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</si>
  <si>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</si>
  <si>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</si>
  <si>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</si>
  <si>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</si>
  <si>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</si>
  <si>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</si>
  <si>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</si>
  <si>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</si>
  <si>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</si>
  <si>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</si>
  <si>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</si>
  <si>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</si>
  <si>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</si>
  <si>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</si>
  <si>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</si>
  <si>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</si>
  <si>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</si>
  <si>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</si>
  <si>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</si>
  <si>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</si>
  <si>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</si>
  <si>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</si>
  <si>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</si>
  <si>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</si>
  <si>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</si>
  <si>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</si>
  <si>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</si>
  <si>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</si>
  <si>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</si>
  <si>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</si>
  <si>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</si>
  <si>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</si>
  <si>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</si>
  <si>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</si>
  <si>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</si>
  <si>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</si>
  <si>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</si>
  <si>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</si>
  <si>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</si>
  <si>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</si>
  <si>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</si>
  <si>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</si>
  <si>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</si>
  <si>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</si>
  <si>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</si>
  <si>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</si>
  <si>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</si>
  <si>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</si>
  <si>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</si>
  <si>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</si>
  <si>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</si>
  <si>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</si>
  <si>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</si>
  <si>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</si>
  <si>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</si>
  <si>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</si>
  <si>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</si>
  <si>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</si>
  <si>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</si>
  <si>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</si>
  <si>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</si>
  <si>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</si>
  <si>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</si>
  <si>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</si>
  <si>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</si>
  <si>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</si>
  <si>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</si>
  <si>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</si>
  <si>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</si>
  <si>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</si>
  <si>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</si>
  <si>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</si>
  <si>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</si>
  <si>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</si>
  <si>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</si>
  <si>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</si>
  <si>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</si>
  <si>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</si>
  <si>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</si>
  <si>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</si>
  <si>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</si>
  <si>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</si>
  <si>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</si>
  <si>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</si>
  <si>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</si>
  <si>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</si>
  <si>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</si>
  <si>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</si>
  <si>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</si>
  <si>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</si>
  <si>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</si>
  <si>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</si>
  <si>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</si>
  <si>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</si>
  <si>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</si>
  <si>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</si>
  <si>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</si>
  <si>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</si>
  <si>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</si>
  <si>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</si>
  <si>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</si>
  <si>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</si>
  <si>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</si>
  <si>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</si>
  <si>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</si>
  <si>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</si>
  <si>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</si>
  <si>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</si>
  <si>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</si>
  <si>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</si>
  <si>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</si>
  <si>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</si>
  <si>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</si>
  <si>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</si>
  <si>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</si>
  <si>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</si>
  <si>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</si>
  <si>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</si>
  <si>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</si>
  <si>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</si>
  <si>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</si>
  <si>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</si>
  <si>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</si>
  <si>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</si>
  <si>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</si>
  <si>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</si>
  <si>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</si>
  <si>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</si>
  <si>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</si>
  <si>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</si>
  <si>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</si>
  <si>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</si>
  <si>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</si>
  <si>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</si>
  <si>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</si>
  <si>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</si>
  <si>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</si>
  <si>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</si>
  <si>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</si>
  <si>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</si>
  <si>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</si>
  <si>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</si>
  <si>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</si>
  <si>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</si>
  <si>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</si>
  <si>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</si>
  <si>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</si>
  <si>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</si>
  <si>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</si>
  <si>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</si>
  <si>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</si>
  <si>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</si>
  <si>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</si>
  <si>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</si>
  <si>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</si>
  <si>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</si>
  <si>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</si>
  <si>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</si>
  <si>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</si>
  <si>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</si>
  <si>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</si>
  <si>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</si>
  <si>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</si>
  <si>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</si>
  <si>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</si>
  <si>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</si>
  <si>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</si>
  <si>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</si>
  <si>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</si>
  <si>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</si>
  <si>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</si>
  <si>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</si>
  <si>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</si>
  <si>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</si>
  <si>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</si>
  <si>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</si>
  <si>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</si>
  <si>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</si>
  <si>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</si>
  <si>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</si>
  <si>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</si>
  <si>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</si>
  <si>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</si>
  <si>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</si>
  <si>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</si>
  <si>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</si>
  <si>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</si>
  <si>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</si>
  <si>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</si>
  <si>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</si>
  <si>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</si>
  <si>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</si>
  <si>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</si>
  <si>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</si>
  <si>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</si>
  <si>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</si>
  <si>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</si>
  <si>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</si>
  <si>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</si>
  <si>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</si>
  <si>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</si>
  <si>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</si>
  <si>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</si>
  <si>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</si>
  <si>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</si>
  <si>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</si>
  <si>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</si>
  <si>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</si>
  <si>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</si>
  <si>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</si>
  <si>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</si>
  <si>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</si>
  <si>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</si>
  <si>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</si>
  <si>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</si>
  <si>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</si>
  <si>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</si>
  <si>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</si>
  <si>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</si>
  <si>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</si>
  <si>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</si>
  <si>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</si>
  <si>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</si>
  <si>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</si>
  <si>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</si>
  <si>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</si>
  <si>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</si>
  <si>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</si>
  <si>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</si>
  <si>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</si>
  <si>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</si>
  <si>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</si>
  <si>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</si>
  <si>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</si>
  <si>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</si>
  <si>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</si>
  <si>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</si>
  <si>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</si>
  <si>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</si>
  <si>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</si>
  <si>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</si>
  <si>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</si>
  <si>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</si>
  <si>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</si>
  <si>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</si>
  <si>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</si>
  <si>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</si>
  <si>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</si>
  <si>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</si>
  <si>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</si>
  <si>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</si>
  <si>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</si>
  <si>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</si>
  <si>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</si>
  <si>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</si>
  <si>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</si>
  <si>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</si>
  <si>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</si>
  <si>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</si>
  <si>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</si>
  <si>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</si>
  <si>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</si>
  <si>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</si>
  <si>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</si>
  <si>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</si>
  <si>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</si>
  <si>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</si>
  <si>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</si>
  <si>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</si>
  <si>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</si>
  <si>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</si>
  <si>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</si>
  <si>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</si>
  <si>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</si>
  <si>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</si>
  <si>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</si>
  <si>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</si>
  <si>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</si>
  <si>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</si>
  <si>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</si>
  <si>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</si>
  <si>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</si>
  <si>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</si>
  <si>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</si>
  <si>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</si>
  <si>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</si>
  <si>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</si>
  <si>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</si>
  <si>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</si>
  <si>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</si>
  <si>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</si>
  <si>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</si>
  <si>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</si>
  <si>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</si>
  <si>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</si>
  <si>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</si>
  <si>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</si>
  <si>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</si>
  <si>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</si>
  <si>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</si>
  <si>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</si>
  <si>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</si>
  <si>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</si>
  <si>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</si>
  <si>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</si>
  <si>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</si>
  <si>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</si>
  <si>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</si>
  <si>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</si>
  <si>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</si>
  <si>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</si>
  <si>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</si>
  <si>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</si>
  <si>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</si>
  <si>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</si>
  <si>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</si>
  <si>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</si>
  <si>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</si>
  <si>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</si>
  <si>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</si>
  <si>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</si>
  <si>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</si>
  <si>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</si>
  <si>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</si>
  <si>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</si>
  <si>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</si>
  <si>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</si>
  <si>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</si>
  <si>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</si>
  <si>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</si>
  <si>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</si>
  <si>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</si>
  <si>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</si>
  <si>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</si>
  <si>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</si>
  <si>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</si>
  <si>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</si>
  <si>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</si>
  <si>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</si>
  <si>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</si>
  <si>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</si>
  <si>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</si>
  <si>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</si>
  <si>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</si>
  <si>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</si>
  <si>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</si>
  <si>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</si>
  <si>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</si>
  <si>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</si>
  <si>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</si>
  <si>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</si>
  <si>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</si>
  <si>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</si>
  <si>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</si>
  <si>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</si>
  <si>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</si>
  <si>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</si>
  <si>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</si>
  <si>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</si>
  <si>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</si>
  <si>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</si>
  <si>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</si>
  <si>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</si>
  <si>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</si>
  <si>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</si>
  <si>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</si>
  <si>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</si>
  <si>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</si>
  <si>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</si>
  <si>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</si>
  <si>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</si>
  <si>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</si>
  <si>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</si>
  <si>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</si>
  <si>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</si>
  <si>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</si>
  <si>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</si>
  <si>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</si>
  <si>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</si>
  <si>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</si>
  <si>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</si>
  <si>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</si>
  <si>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</si>
  <si>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</si>
  <si>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</si>
  <si>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</si>
  <si>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</si>
  <si>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</si>
  <si>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</si>
  <si>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</si>
  <si>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</si>
  <si>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</si>
  <si>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</si>
  <si>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</si>
  <si>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</si>
  <si>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</si>
  <si>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</si>
  <si>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</si>
  <si>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</si>
  <si>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</si>
  <si>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</si>
  <si>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</si>
  <si>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</si>
  <si>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</si>
  <si>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</si>
  <si>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</si>
  <si>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</si>
  <si>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</si>
  <si>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</si>
  <si>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</si>
  <si>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</si>
  <si>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</si>
  <si>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</si>
  <si>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</si>
  <si>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</si>
  <si>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</si>
  <si>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</si>
  <si>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</si>
  <si>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</si>
  <si>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</si>
  <si>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</si>
  <si>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</si>
  <si>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</si>
  <si>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</si>
  <si>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</si>
  <si>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</si>
  <si>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</si>
  <si>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</si>
  <si>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</si>
  <si>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</si>
  <si>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</si>
  <si>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</si>
  <si>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</si>
  <si>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</si>
  <si>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</si>
  <si>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</si>
  <si>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</si>
  <si>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</si>
  <si>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</si>
  <si>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</si>
  <si>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</si>
  <si>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</si>
  <si>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</si>
  <si>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</si>
  <si>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</si>
  <si>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</si>
  <si>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</si>
  <si>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</si>
  <si>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</si>
  <si>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</si>
  <si>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</si>
  <si>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</si>
  <si>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</si>
  <si>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</si>
  <si>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</si>
  <si>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</si>
  <si>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</si>
  <si>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</si>
  <si>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</si>
  <si>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</si>
  <si>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</si>
  <si>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</si>
  <si>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</si>
  <si>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</si>
  <si>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</si>
  <si>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</si>
  <si>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</si>
  <si>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</si>
  <si>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</si>
  <si>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</si>
  <si>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</si>
  <si>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</si>
  <si>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</si>
  <si>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</si>
  <si>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</si>
  <si>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</si>
  <si>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</si>
  <si>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</si>
  <si>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</si>
  <si>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</si>
  <si>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</si>
  <si>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</si>
  <si>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</si>
  <si>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</si>
  <si>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</si>
  <si>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</si>
  <si>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</si>
  <si>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</si>
  <si>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</si>
  <si>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</si>
  <si>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</si>
  <si>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</si>
  <si>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</si>
  <si>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</si>
  <si>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</si>
  <si>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</si>
  <si>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</si>
  <si>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</si>
  <si>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</si>
  <si>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</si>
  <si>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</si>
  <si>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</si>
  <si>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</si>
  <si>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</si>
  <si>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</si>
  <si>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</si>
  <si>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</si>
  <si>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</si>
  <si>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</si>
  <si>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</si>
  <si>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</si>
  <si>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</si>
  <si>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</si>
  <si>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</si>
  <si>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</si>
  <si>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</si>
  <si>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</si>
  <si>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</si>
  <si>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</si>
  <si>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</si>
  <si>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</si>
  <si>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</si>
  <si>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</si>
  <si>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</si>
  <si>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</si>
  <si>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</si>
  <si>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</si>
  <si>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</si>
  <si>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</si>
  <si>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</si>
  <si>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</si>
  <si>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</si>
  <si>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</si>
  <si>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</si>
  <si>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</si>
  <si>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</si>
  <si>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</si>
  <si>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</si>
  <si>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</si>
  <si>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</si>
  <si>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</si>
  <si>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</si>
  <si>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</si>
  <si>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</si>
  <si>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</si>
  <si>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</si>
  <si>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</si>
  <si>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</si>
  <si>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</si>
  <si>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</si>
  <si>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</si>
  <si>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</si>
  <si>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</si>
  <si>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</si>
  <si>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</si>
  <si>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</si>
  <si>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</si>
  <si>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</si>
  <si>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</si>
  <si>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</si>
  <si>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</si>
  <si>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</si>
  <si>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</si>
  <si>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</si>
  <si>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</si>
  <si>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</si>
  <si>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</si>
  <si>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</si>
  <si>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</si>
  <si>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</si>
  <si>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</si>
  <si>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</si>
  <si>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</si>
  <si>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</si>
  <si>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</si>
  <si>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</si>
  <si>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</si>
  <si>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</si>
  <si>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</si>
  <si>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</si>
  <si>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</si>
  <si>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</si>
  <si>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</si>
  <si>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</si>
  <si>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</si>
  <si>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</si>
  <si>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</si>
  <si>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</si>
  <si>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</si>
  <si>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</si>
  <si>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</si>
  <si>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</si>
  <si>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</si>
  <si>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</si>
  <si>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</si>
  <si>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</si>
  <si>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</si>
  <si>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</si>
  <si>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</si>
  <si>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</si>
  <si>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</si>
  <si>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</si>
  <si>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</si>
  <si>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</si>
  <si>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</si>
  <si>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</si>
  <si>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</si>
  <si>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</si>
  <si>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</si>
  <si>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</si>
  <si>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</si>
  <si>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</si>
  <si>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</si>
  <si>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</si>
  <si>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</si>
  <si>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</si>
  <si>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</si>
  <si>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</si>
  <si>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</si>
  <si>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</si>
  <si>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</si>
  <si>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</si>
  <si>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</si>
  <si>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</si>
  <si>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</si>
  <si>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</si>
  <si>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</si>
  <si>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</si>
  <si>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</si>
  <si>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</si>
  <si>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</si>
  <si>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</si>
  <si>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</si>
  <si>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</si>
  <si>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</si>
  <si>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</si>
  <si>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</si>
  <si>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</si>
  <si>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</si>
  <si>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</si>
  <si>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</si>
  <si>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</si>
  <si>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</si>
  <si>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</si>
  <si>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</si>
  <si>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</si>
  <si>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</si>
  <si>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</si>
  <si>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</si>
  <si>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</si>
  <si>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</si>
  <si>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</si>
  <si>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</si>
  <si>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</si>
  <si>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</si>
  <si>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</si>
  <si>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</si>
  <si>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</si>
  <si>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</si>
  <si>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</si>
  <si>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</si>
  <si>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</si>
  <si>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</si>
  <si>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</si>
  <si>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</si>
  <si>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</si>
  <si>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</si>
  <si>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</si>
  <si>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</si>
  <si>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</si>
  <si>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</si>
  <si>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</si>
  <si>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</si>
  <si>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</si>
  <si>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</si>
  <si>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</si>
  <si>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</si>
  <si>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</si>
  <si>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</si>
  <si>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</si>
  <si>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</si>
  <si>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</si>
  <si>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</si>
  <si>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</si>
  <si>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</si>
  <si>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</si>
  <si>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</si>
  <si>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</si>
  <si>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</si>
  <si>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</si>
  <si>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</si>
  <si>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</si>
  <si>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</si>
  <si>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</si>
  <si>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</si>
  <si>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</si>
  <si>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</si>
  <si>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</si>
  <si>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</si>
  <si>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</si>
  <si>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</si>
  <si>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</si>
  <si>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</si>
  <si>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</si>
  <si>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</si>
  <si>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</si>
  <si>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</si>
  <si>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</si>
  <si>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</si>
  <si>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</si>
  <si>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</si>
  <si>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</si>
  <si>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</si>
  <si>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</si>
  <si>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</si>
  <si>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</si>
  <si>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</si>
  <si>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</si>
  <si>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</si>
  <si>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</si>
  <si>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</si>
  <si>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</si>
  <si>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</si>
  <si>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</si>
  <si>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</si>
  <si>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</si>
  <si>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</si>
  <si>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</si>
  <si>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</si>
  <si>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</si>
  <si>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</si>
  <si>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</si>
  <si>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</si>
  <si>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</si>
  <si>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</si>
  <si>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</si>
  <si>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</si>
  <si>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</si>
  <si>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</si>
  <si>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</si>
  <si>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</si>
  <si>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</si>
  <si>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</si>
  <si>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</si>
  <si>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</si>
  <si>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</si>
  <si>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</si>
  <si>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</si>
  <si>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</si>
  <si>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</si>
  <si>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</si>
  <si>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</si>
  <si>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</si>
  <si>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</si>
  <si>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</si>
  <si>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</si>
  <si>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</si>
  <si>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</si>
  <si>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</si>
  <si>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</si>
  <si>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</si>
  <si>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</si>
  <si>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</si>
  <si>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</si>
  <si>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</si>
  <si>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</si>
  <si>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</si>
  <si>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</si>
  <si>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</si>
  <si>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</si>
  <si>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</si>
  <si>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</si>
  <si>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</si>
  <si>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</si>
  <si>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</si>
  <si>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</si>
  <si>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</si>
  <si>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</si>
  <si>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</si>
  <si>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</si>
  <si>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</si>
  <si>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</si>
  <si>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</si>
  <si>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</si>
  <si>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</si>
  <si>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</si>
  <si>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</si>
  <si>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</si>
  <si>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</si>
  <si>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</si>
  <si>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</si>
  <si>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</si>
  <si>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</si>
  <si>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</si>
  <si>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</si>
  <si>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</si>
  <si>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</si>
  <si>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</si>
  <si>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</si>
  <si>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</si>
  <si>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</si>
  <si>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</si>
  <si>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</si>
  <si>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</si>
  <si>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</si>
  <si>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</si>
  <si>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</si>
  <si>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</si>
  <si>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</si>
  <si>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</si>
  <si>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</si>
  <si>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</si>
  <si>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</si>
  <si>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</si>
  <si>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</si>
  <si>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</si>
  <si>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</si>
  <si>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</si>
  <si>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</si>
  <si>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</si>
  <si>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</si>
  <si>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</si>
  <si>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</si>
  <si>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</si>
  <si>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</si>
  <si>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</si>
  <si>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</si>
  <si>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</si>
  <si>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</si>
  <si>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</si>
  <si>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</si>
  <si>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</si>
  <si>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</si>
  <si>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</si>
  <si>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</si>
  <si>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</si>
  <si>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</si>
  <si>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</si>
  <si>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</si>
  <si>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</si>
  <si>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</si>
  <si>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</si>
  <si>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</si>
  <si>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</si>
  <si>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</si>
  <si>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</si>
  <si>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</si>
  <si>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</si>
  <si>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</si>
  <si>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</si>
  <si>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</si>
  <si>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</si>
  <si>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</si>
  <si>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</si>
  <si>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</si>
  <si>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</si>
  <si>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</si>
  <si>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</si>
  <si>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</si>
  <si>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</si>
  <si>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</si>
  <si>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</si>
  <si>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</si>
  <si>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</si>
  <si>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</si>
  <si>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</si>
  <si>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</si>
  <si>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</si>
  <si>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</si>
  <si>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</si>
  <si>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</si>
  <si>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</si>
  <si>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</si>
  <si>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</si>
  <si>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</si>
  <si>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</si>
  <si>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</si>
  <si>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</si>
  <si>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</si>
  <si>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</si>
  <si>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</si>
  <si>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</si>
  <si>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</si>
  <si>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</si>
  <si>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</si>
  <si>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</si>
  <si>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</si>
  <si>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</si>
  <si>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</si>
  <si>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</si>
  <si>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</si>
  <si>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</si>
  <si>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</si>
  <si>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</si>
  <si>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</si>
  <si>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</si>
  <si>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</si>
  <si>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</si>
  <si>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</si>
  <si>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</si>
  <si>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</si>
  <si>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</si>
  <si>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</si>
  <si>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</si>
  <si>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</si>
  <si>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</si>
  <si>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</si>
  <si>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</si>
  <si>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</si>
  <si>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</si>
  <si>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</si>
  <si>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</si>
  <si>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</si>
  <si>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</si>
  <si>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</si>
  <si>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</si>
  <si>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</si>
  <si>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</si>
  <si>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</si>
  <si>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</si>
  <si>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</si>
  <si>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</si>
  <si>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</si>
  <si>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</si>
  <si>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</si>
  <si>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</si>
  <si>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</si>
  <si>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</si>
  <si>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</si>
  <si>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</si>
  <si>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</si>
  <si>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</si>
  <si>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</si>
  <si>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</si>
  <si>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</si>
  <si>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</si>
  <si>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</si>
  <si>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</si>
  <si>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</si>
  <si>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</si>
  <si>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</si>
  <si>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</si>
  <si>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</si>
  <si>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</si>
  <si>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</si>
  <si>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</si>
  <si>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</si>
  <si>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</si>
  <si>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</si>
  <si>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</si>
  <si>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</si>
  <si>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</si>
  <si>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</si>
  <si>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</si>
  <si>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</si>
  <si>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</si>
  <si>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</si>
  <si>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</si>
  <si>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</si>
  <si>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</si>
  <si>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</si>
  <si>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</si>
  <si>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</si>
  <si>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</si>
  <si>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</si>
  <si>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</si>
  <si>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</si>
  <si>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</si>
  <si>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</si>
  <si>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</si>
  <si>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</si>
  <si>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</si>
  <si>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</si>
  <si>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</si>
  <si>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</si>
  <si>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</si>
  <si>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</si>
  <si>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</si>
  <si>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</si>
  <si>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</si>
  <si>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</si>
  <si>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</si>
  <si>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</si>
  <si>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</si>
  <si>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</si>
  <si>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</si>
  <si>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</si>
  <si>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</si>
  <si>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</si>
  <si>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</si>
  <si>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</si>
  <si>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</si>
  <si>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</si>
  <si>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</si>
  <si>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</si>
  <si>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</si>
  <si>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</si>
  <si>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</si>
  <si>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</si>
  <si>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</si>
  <si>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</si>
  <si>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</si>
  <si>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</si>
  <si>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</si>
  <si>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</si>
  <si>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</si>
  <si>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</si>
  <si>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</si>
  <si>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</si>
  <si>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</si>
  <si>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</si>
  <si>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</si>
  <si>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</si>
  <si>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</si>
  <si>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</si>
  <si>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</si>
  <si>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</si>
  <si>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</si>
  <si>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</si>
  <si>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</si>
  <si>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</si>
  <si>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</si>
  <si>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</si>
  <si>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</si>
  <si>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</si>
  <si>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</si>
  <si>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</si>
  <si>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</si>
  <si>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</si>
  <si>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</si>
  <si>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</si>
  <si>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</si>
  <si>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</si>
  <si>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</si>
  <si>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</si>
  <si>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</si>
  <si>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</si>
  <si>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</si>
  <si>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</si>
  <si>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</si>
  <si>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</si>
  <si>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</si>
  <si>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</si>
  <si>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</si>
  <si>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</si>
  <si>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</si>
  <si>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</si>
  <si>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</si>
  <si>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</si>
  <si>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</si>
  <si>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</si>
  <si>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</si>
  <si>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</si>
  <si>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</si>
  <si>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</si>
  <si>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</si>
  <si>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</si>
  <si>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</si>
  <si>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</si>
  <si>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</si>
  <si>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</si>
  <si>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</si>
  <si>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</si>
  <si>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</si>
  <si>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</si>
  <si>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</si>
  <si>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</si>
  <si>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</si>
  <si>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</si>
  <si>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</si>
  <si>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</si>
  <si>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</si>
  <si>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</si>
  <si>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</si>
  <si>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</si>
  <si>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</si>
  <si>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</si>
  <si>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</si>
  <si>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</si>
  <si>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</si>
  <si>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</si>
  <si>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</si>
  <si>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</si>
  <si>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</si>
  <si>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</si>
  <si>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</si>
  <si>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</si>
  <si>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</si>
  <si>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</si>
  <si>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</si>
  <si>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</si>
  <si>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</si>
  <si>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</si>
  <si>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</si>
  <si>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</si>
  <si>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</si>
  <si>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</si>
  <si>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</si>
  <si>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</si>
  <si>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</si>
  <si>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</si>
  <si>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</si>
  <si>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</si>
  <si>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</si>
  <si>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</si>
  <si>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</si>
  <si>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</si>
  <si>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</si>
  <si>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</si>
  <si>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</si>
  <si>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</si>
  <si>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</si>
  <si>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</si>
  <si>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</si>
  <si>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</si>
  <si>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</si>
  <si>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</si>
  <si>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</si>
  <si>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</si>
  <si>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</si>
  <si>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</si>
  <si>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</si>
  <si>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</si>
  <si>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</si>
  <si>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</si>
  <si>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</si>
  <si>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</si>
  <si>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</si>
  <si>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</si>
  <si>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</si>
  <si>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</si>
  <si>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</si>
  <si>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</si>
  <si>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</si>
  <si>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</si>
  <si>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</si>
  <si>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</si>
  <si>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</si>
  <si>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</si>
  <si>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</si>
  <si>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</si>
  <si>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</si>
  <si>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</si>
  <si>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</si>
  <si>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</si>
  <si>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</si>
  <si>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</si>
  <si>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</si>
  <si>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</si>
  <si>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</si>
  <si>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</si>
  <si>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</si>
  <si>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</si>
  <si>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</si>
  <si>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</si>
  <si>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</si>
  <si>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</si>
  <si>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</si>
  <si>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</si>
  <si>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</si>
  <si>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</si>
  <si>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</si>
  <si>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</si>
  <si>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</si>
  <si>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</si>
  <si>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</si>
  <si>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</si>
  <si>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</si>
  <si>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</si>
  <si>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</si>
  <si>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</si>
  <si>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</si>
  <si>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</si>
  <si>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</si>
  <si>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</si>
  <si>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</si>
  <si>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</si>
  <si>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</si>
  <si>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</si>
  <si>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</si>
  <si>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</si>
  <si>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</si>
  <si>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</si>
  <si>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</si>
  <si>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</si>
  <si>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</si>
  <si>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</si>
  <si>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</si>
  <si>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</si>
  <si>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</si>
  <si>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</si>
  <si>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</si>
  <si>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</si>
  <si>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</si>
  <si>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</si>
  <si>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</si>
  <si>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</si>
  <si>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</si>
  <si>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</si>
  <si>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</si>
  <si>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</si>
  <si>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</si>
  <si>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</si>
  <si>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</si>
  <si>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</si>
  <si>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</si>
  <si>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</si>
  <si>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</si>
  <si>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</si>
  <si>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</si>
  <si>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</si>
  <si>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</si>
  <si>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</si>
  <si>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</si>
  <si>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</si>
  <si>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</si>
  <si>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</si>
  <si>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</si>
  <si>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</si>
  <si>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</si>
  <si>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</si>
  <si>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</si>
  <si>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</si>
  <si>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</si>
  <si>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</si>
  <si>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</si>
  <si>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</si>
  <si>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</si>
  <si>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</si>
  <si>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</si>
  <si>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</si>
  <si>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</si>
  <si>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</si>
  <si>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</si>
  <si>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</si>
  <si>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</si>
  <si>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</si>
  <si>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</si>
  <si>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</si>
  <si>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</si>
  <si>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</si>
  <si>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</si>
  <si>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</si>
  <si>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</si>
  <si>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</si>
  <si>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</si>
  <si>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</si>
  <si>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</si>
  <si>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</si>
  <si>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</si>
  <si>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</si>
  <si>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</si>
  <si>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</si>
  <si>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</si>
  <si>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</si>
  <si>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</si>
  <si>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</si>
  <si>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</si>
  <si>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</si>
  <si>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</si>
  <si>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</si>
  <si>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</si>
  <si>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</si>
  <si>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</si>
  <si>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</si>
  <si>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</si>
  <si>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</si>
  <si>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</si>
  <si>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</si>
  <si>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</si>
  <si>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</si>
  <si>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</si>
  <si>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</si>
  <si>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</si>
  <si>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</si>
  <si>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</si>
  <si>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</si>
  <si>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</si>
  <si>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</si>
  <si>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</si>
  <si>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</si>
  <si>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</si>
  <si>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</si>
  <si>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</si>
  <si>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</si>
  <si>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</si>
  <si>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</si>
  <si>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</si>
  <si>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</si>
  <si>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</si>
  <si>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</si>
  <si>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</si>
  <si>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</si>
  <si>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</si>
  <si>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</si>
  <si>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</si>
  <si>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</si>
  <si>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</si>
  <si>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</si>
  <si>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</si>
  <si>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</si>
  <si>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</si>
  <si>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</si>
  <si>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</si>
  <si>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</si>
  <si>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</si>
  <si>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</si>
  <si>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</si>
  <si>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</si>
  <si>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</si>
  <si>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</si>
  <si>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</si>
  <si>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</si>
  <si>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</si>
  <si>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</si>
  <si>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</si>
  <si>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</si>
  <si>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</si>
  <si>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</si>
  <si>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</si>
  <si>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</si>
  <si>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</si>
  <si>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</si>
  <si>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</si>
  <si>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</si>
  <si>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</si>
  <si>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</si>
  <si>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</si>
  <si>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</si>
  <si>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</si>
  <si>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</si>
  <si>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</si>
  <si>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</si>
  <si>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</si>
  <si>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</si>
  <si>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</si>
  <si>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</si>
  <si>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</si>
  <si>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</si>
  <si>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</si>
  <si>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</si>
  <si>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</si>
  <si>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</si>
  <si>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</si>
  <si>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</si>
  <si>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</si>
  <si>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</si>
  <si>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</si>
  <si>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</si>
  <si>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</si>
  <si>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</si>
  <si>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</si>
  <si>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</si>
  <si>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</si>
  <si>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</si>
  <si>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</si>
  <si>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</si>
  <si>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</si>
  <si>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</si>
  <si>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</si>
  <si>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</si>
  <si>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</si>
  <si>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</si>
  <si>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</si>
  <si>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</si>
  <si>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</si>
  <si>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</si>
  <si>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</si>
  <si>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</si>
  <si>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</si>
  <si>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</si>
  <si>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</si>
  <si>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</si>
  <si>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</si>
  <si>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</si>
  <si>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</si>
  <si>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</si>
  <si>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</si>
  <si>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</si>
  <si>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</si>
  <si>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</si>
  <si>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</si>
  <si>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</si>
  <si>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</si>
  <si>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</si>
  <si>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</si>
  <si>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</si>
  <si>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</si>
  <si>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</si>
  <si>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</si>
  <si>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</si>
  <si>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</si>
  <si>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</si>
  <si>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</si>
  <si>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</si>
  <si>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</si>
  <si>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</si>
  <si>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</si>
  <si>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</si>
  <si>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</si>
  <si>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</si>
  <si>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</si>
  <si>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</si>
  <si>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</si>
  <si>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</si>
  <si>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</si>
  <si>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</si>
  <si>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</si>
  <si>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</si>
  <si>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</si>
  <si>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</si>
  <si>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</si>
  <si>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</si>
  <si>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</si>
  <si>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</si>
  <si>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</si>
  <si>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</si>
  <si>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</si>
  <si>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</si>
  <si>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</si>
  <si>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</si>
  <si>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</si>
  <si>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</si>
  <si>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</si>
  <si>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</si>
  <si>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</si>
  <si>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</si>
  <si>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</si>
  <si>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</si>
  <si>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</si>
  <si>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</si>
  <si>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</si>
  <si>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</si>
  <si>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</si>
  <si>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</si>
  <si>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</si>
  <si>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</si>
  <si>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</si>
  <si>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</si>
  <si>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</si>
  <si>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</si>
  <si>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</si>
  <si>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</si>
  <si>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</si>
  <si>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</si>
  <si>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</si>
  <si>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</si>
  <si>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</si>
  <si>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</si>
  <si>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</si>
  <si>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</si>
  <si>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</si>
  <si>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</si>
  <si>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</si>
  <si>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</si>
  <si>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</si>
  <si>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</si>
  <si>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</si>
  <si>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</si>
  <si>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</si>
  <si>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</si>
  <si>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</si>
  <si>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</si>
  <si>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</si>
  <si>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</si>
  <si>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</si>
  <si>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</si>
  <si>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</si>
  <si>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</si>
  <si>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</si>
  <si>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</si>
  <si>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</si>
  <si>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</si>
  <si>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</si>
  <si>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</si>
  <si>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</si>
  <si>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</si>
  <si>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</si>
  <si>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</si>
  <si>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</si>
  <si>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</si>
  <si>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</si>
  <si>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</si>
  <si>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</si>
  <si>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</si>
  <si>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</si>
  <si>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</si>
  <si>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</si>
  <si>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</si>
  <si>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</si>
  <si>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</si>
  <si>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</si>
  <si>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</si>
  <si>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</si>
  <si>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</si>
  <si>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</si>
  <si>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</si>
  <si>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</si>
  <si>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</si>
  <si>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</si>
  <si>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</si>
  <si>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</si>
  <si>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</si>
  <si>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</si>
  <si>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</si>
  <si>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</si>
  <si>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</si>
  <si>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</si>
  <si>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</si>
  <si>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</si>
  <si>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</si>
  <si>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</si>
  <si>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</si>
  <si>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</si>
  <si>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</si>
  <si>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</si>
  <si>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</si>
  <si>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</si>
  <si>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</si>
  <si>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</si>
  <si>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</si>
  <si>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</si>
  <si>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</si>
  <si>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</si>
  <si>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</si>
  <si>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</si>
  <si>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</si>
  <si>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</si>
  <si>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</si>
  <si>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</si>
  <si>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</si>
  <si>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</si>
  <si>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</si>
  <si>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</si>
  <si>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</si>
  <si>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</si>
  <si>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</si>
  <si>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</si>
  <si>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</si>
  <si>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</si>
  <si>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</si>
  <si>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</si>
  <si>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</si>
  <si>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</si>
  <si>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</si>
  <si>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</si>
  <si>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</si>
  <si>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</si>
  <si>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</si>
  <si>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</si>
  <si>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</si>
  <si>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</si>
  <si>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</si>
  <si>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</si>
  <si>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</si>
  <si>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</si>
  <si>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</si>
  <si>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</si>
  <si>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</si>
  <si>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</si>
  <si>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</si>
  <si>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</si>
  <si>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</si>
  <si>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</si>
  <si>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</si>
  <si>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</si>
  <si>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</si>
  <si>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</si>
  <si>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</si>
  <si>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</si>
  <si>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</si>
  <si>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</si>
  <si>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</si>
  <si>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</si>
  <si>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</si>
  <si>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</si>
  <si>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</si>
  <si>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</si>
  <si>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</si>
  <si>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</si>
  <si>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</si>
  <si>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</si>
  <si>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</si>
  <si>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</si>
  <si>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</si>
  <si>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</si>
  <si>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</si>
  <si>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</si>
  <si>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</si>
  <si>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</si>
  <si>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</si>
  <si>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</si>
  <si>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</si>
  <si>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</si>
  <si>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</si>
  <si>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</si>
  <si>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</si>
  <si>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</si>
  <si>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</si>
  <si>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</si>
  <si>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</si>
  <si>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</si>
  <si>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</si>
  <si>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</si>
  <si>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</si>
  <si>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</si>
  <si>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</si>
  <si>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</si>
  <si>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</si>
  <si>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</si>
  <si>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</si>
  <si>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</si>
  <si>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</si>
  <si>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</si>
  <si>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</si>
  <si>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</si>
  <si>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</si>
  <si>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</si>
  <si>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</si>
  <si>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</si>
  <si>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</si>
  <si>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</si>
  <si>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</si>
  <si>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</si>
  <si>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</si>
  <si>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</si>
  <si>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</si>
  <si>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</si>
  <si>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</si>
  <si>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</si>
  <si>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</si>
  <si>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</si>
  <si>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</si>
  <si>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</si>
  <si>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</si>
  <si>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</si>
  <si>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</si>
  <si>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</si>
  <si>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</si>
  <si>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</si>
  <si>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</si>
  <si>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</si>
  <si>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</si>
  <si>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</si>
  <si>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</si>
  <si>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</si>
  <si>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</si>
  <si>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</si>
  <si>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</si>
  <si>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</si>
  <si>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</si>
  <si>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</si>
  <si>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</si>
  <si>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</si>
  <si>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</si>
  <si>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</si>
  <si>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</si>
  <si>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</si>
  <si>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</si>
  <si>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</si>
  <si>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</si>
  <si>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</si>
  <si>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</si>
  <si>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</si>
  <si>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</si>
  <si>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</si>
  <si>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</si>
  <si>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</si>
  <si>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</si>
  <si>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</si>
  <si>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</si>
  <si>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</si>
  <si>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</si>
  <si>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</si>
  <si>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</si>
  <si>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</si>
  <si>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</si>
  <si>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</si>
  <si>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</si>
  <si>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</si>
  <si>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</si>
  <si>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</si>
  <si>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</si>
  <si>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</si>
  <si>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</si>
  <si>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</si>
  <si>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</si>
  <si>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</si>
  <si>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</si>
  <si>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</si>
  <si>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</si>
  <si>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</si>
  <si>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</si>
  <si>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</si>
  <si>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</si>
  <si>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</si>
  <si>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</si>
  <si>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</si>
  <si>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</si>
  <si>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</si>
  <si>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</si>
  <si>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</si>
  <si>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</si>
  <si>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</si>
  <si>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</si>
  <si>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</si>
  <si>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</si>
  <si>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</si>
  <si>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</si>
  <si>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</si>
  <si>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</si>
  <si>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</si>
  <si>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</si>
  <si>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</si>
  <si>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</si>
  <si>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</si>
  <si>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</si>
  <si>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</si>
  <si>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</si>
  <si>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</si>
  <si>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</si>
  <si>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</si>
  <si>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</si>
  <si>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</si>
  <si>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</si>
  <si>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</si>
  <si>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</si>
  <si>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</si>
  <si>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</si>
  <si>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</si>
  <si>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</si>
  <si>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</si>
  <si>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</si>
  <si>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</si>
  <si>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</si>
  <si>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</si>
  <si>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</si>
  <si>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</si>
  <si>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</si>
  <si>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</si>
  <si>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</si>
  <si>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</si>
  <si>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</si>
  <si>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</si>
  <si>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</si>
  <si>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</si>
  <si>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</si>
  <si>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</si>
  <si>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</si>
  <si>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</si>
  <si>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</si>
  <si>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</si>
  <si>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</si>
  <si>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</si>
  <si>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</si>
  <si>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</si>
  <si>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</si>
  <si>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</si>
  <si>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</si>
  <si>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</si>
  <si>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</si>
  <si>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</si>
  <si>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</si>
  <si>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</si>
  <si>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</si>
  <si>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</si>
  <si>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</si>
  <si>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</si>
  <si>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</si>
  <si>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</si>
  <si>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</si>
  <si>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</si>
  <si>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</si>
  <si>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</si>
  <si>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</si>
  <si>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</si>
  <si>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</si>
  <si>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</si>
  <si>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</si>
  <si>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</si>
  <si>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</si>
  <si>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</si>
  <si>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</si>
  <si>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</si>
  <si>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</si>
  <si>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</si>
  <si>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</si>
  <si>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</si>
  <si>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</si>
  <si>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</si>
  <si>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</si>
  <si>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</si>
  <si>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</si>
  <si>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</si>
  <si>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</si>
  <si>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</si>
  <si>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</si>
  <si>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</si>
  <si>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</si>
  <si>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</si>
  <si>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</si>
  <si>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</si>
  <si>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</si>
  <si>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</si>
  <si>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</si>
  <si>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</si>
  <si>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</si>
  <si>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</si>
  <si>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</si>
  <si>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</si>
  <si>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</si>
  <si>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</si>
  <si>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</si>
  <si>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</si>
  <si>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</si>
  <si>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</si>
  <si>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</si>
  <si>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</si>
  <si>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</si>
  <si>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</si>
  <si>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</si>
  <si>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</si>
  <si>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</si>
  <si>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</si>
  <si>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</si>
  <si>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</si>
  <si>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</si>
  <si>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</si>
  <si>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</si>
  <si>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</si>
  <si>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</si>
  <si>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</si>
  <si>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</si>
  <si>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</si>
  <si>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</si>
  <si>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</si>
  <si>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</si>
  <si>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</si>
  <si>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</si>
  <si>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</si>
  <si>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</si>
  <si>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</si>
  <si>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</si>
  <si>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</si>
  <si>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</si>
  <si>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</si>
  <si>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</si>
  <si>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</si>
  <si>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</si>
  <si>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</si>
  <si>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</si>
  <si>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</si>
  <si>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</si>
  <si>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</si>
  <si>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</si>
  <si>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</si>
  <si>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</si>
  <si>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</si>
  <si>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</si>
  <si>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</si>
  <si>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</si>
  <si>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</si>
  <si>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</si>
  <si>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</si>
  <si>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</si>
  <si>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</si>
  <si>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</si>
  <si>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</si>
  <si>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</si>
  <si>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</si>
  <si>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</si>
  <si>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</si>
  <si>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</si>
  <si>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</si>
  <si>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</si>
  <si>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</si>
  <si>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</si>
  <si>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</si>
  <si>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</si>
  <si>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</si>
  <si>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</si>
  <si>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</si>
  <si>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</si>
  <si>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</si>
  <si>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</si>
  <si>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</si>
  <si>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</si>
  <si>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</si>
  <si>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</si>
  <si>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</si>
  <si>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</si>
  <si>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</si>
  <si>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</si>
  <si>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</si>
  <si>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</si>
  <si>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</si>
  <si>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</si>
  <si>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</si>
  <si>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</si>
  <si>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</si>
  <si>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</si>
  <si>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</si>
  <si>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</si>
  <si>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</si>
  <si>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</si>
  <si>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</si>
  <si>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</si>
  <si>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</si>
  <si>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</si>
  <si>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</si>
  <si>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</si>
  <si>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</si>
  <si>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</si>
  <si>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</si>
  <si>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</si>
  <si>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</si>
  <si>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</si>
  <si>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</si>
  <si>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</si>
  <si>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</si>
  <si>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</si>
  <si>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</si>
  <si>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</si>
  <si>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</si>
  <si>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</si>
  <si>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</si>
  <si>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</si>
  <si>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</si>
  <si>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</si>
  <si>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</si>
  <si>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</si>
  <si>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</si>
  <si>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</si>
  <si>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</si>
  <si>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</si>
  <si>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</si>
  <si>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</si>
  <si>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</si>
  <si>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</si>
  <si>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</si>
  <si>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</si>
  <si>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</si>
  <si>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</si>
  <si>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</si>
  <si>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</si>
  <si>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</si>
  <si>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</si>
  <si>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</si>
  <si>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</si>
  <si>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</si>
  <si>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</si>
  <si>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</si>
  <si>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</si>
  <si>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</si>
  <si>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</si>
  <si>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</si>
  <si>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</si>
  <si>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</si>
  <si>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</si>
  <si>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</si>
  <si>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</si>
  <si>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</si>
  <si>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</si>
  <si>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</si>
  <si>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</si>
  <si>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</si>
  <si>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</si>
  <si>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</si>
  <si>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</si>
  <si>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</si>
  <si>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</si>
  <si>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</si>
  <si>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</si>
  <si>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</si>
  <si>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</si>
  <si>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</si>
  <si>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</si>
  <si>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</si>
  <si>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</si>
  <si>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</si>
  <si>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</si>
  <si>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</si>
  <si>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</si>
  <si>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</si>
  <si>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</si>
  <si>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</si>
  <si>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</si>
  <si>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</si>
  <si>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</si>
  <si>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</si>
  <si>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</si>
  <si>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</si>
  <si>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</si>
  <si>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</si>
  <si>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</si>
  <si>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</si>
  <si>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</si>
  <si>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</si>
  <si>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</si>
  <si>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</si>
  <si>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</si>
  <si>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</si>
  <si>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</si>
  <si>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</si>
  <si>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</si>
  <si>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</si>
  <si>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</si>
  <si>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</si>
  <si>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</si>
  <si>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</si>
  <si>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</si>
  <si>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</si>
  <si>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</si>
  <si>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</si>
  <si>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</si>
  <si>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</si>
  <si>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</si>
  <si>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</si>
  <si>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</si>
  <si>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</si>
  <si>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</si>
  <si>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</si>
  <si>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</si>
  <si>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</si>
  <si>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</si>
  <si>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</si>
  <si>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</si>
  <si>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</si>
  <si>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</si>
  <si>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</si>
  <si>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</si>
  <si>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</si>
  <si>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</si>
  <si>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</si>
  <si>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</si>
  <si>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</si>
  <si>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</si>
  <si>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</si>
  <si>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</si>
  <si>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</si>
  <si>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</si>
  <si>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</si>
  <si>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</si>
  <si>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</si>
  <si>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</si>
  <si>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</si>
  <si>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</si>
  <si>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</si>
  <si>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</si>
  <si>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</si>
  <si>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</si>
  <si>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</si>
  <si>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</si>
  <si>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</si>
  <si>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</si>
  <si>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</si>
  <si>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</si>
  <si>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</si>
  <si>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</si>
  <si>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</si>
  <si>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</si>
  <si>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</si>
  <si>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</si>
  <si>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</si>
  <si>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</si>
  <si>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</si>
  <si>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</si>
  <si>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</si>
  <si>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</si>
  <si>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</si>
  <si>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</si>
  <si>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</si>
  <si>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</si>
  <si>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</si>
  <si>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</si>
  <si>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</si>
  <si>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</si>
  <si>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</si>
  <si>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</si>
  <si>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</si>
  <si>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</si>
  <si>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</si>
  <si>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</si>
  <si>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</si>
  <si>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</si>
  <si>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</si>
  <si>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</si>
  <si>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</si>
  <si>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</si>
  <si>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</si>
  <si>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</si>
  <si>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</si>
  <si>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</si>
  <si>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</si>
  <si>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</si>
  <si>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</si>
  <si>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</si>
  <si>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</si>
  <si>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</si>
  <si>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</si>
  <si>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</si>
  <si>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</si>
  <si>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</si>
  <si>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</si>
  <si>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</si>
  <si>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</si>
  <si>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</si>
  <si>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</si>
  <si>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</si>
  <si>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</si>
  <si>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</si>
  <si>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</si>
  <si>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</si>
  <si>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</si>
  <si>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</si>
  <si>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</si>
  <si>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</si>
  <si>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</si>
  <si>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</si>
  <si>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</si>
  <si>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</si>
  <si>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</si>
  <si>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</si>
  <si>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</si>
  <si>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</si>
  <si>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</si>
  <si>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</si>
  <si>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</si>
  <si>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</si>
  <si>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</si>
  <si>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</si>
  <si>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</si>
  <si>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</si>
  <si>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</si>
  <si>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</si>
  <si>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</si>
  <si>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</si>
  <si>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</si>
  <si>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</si>
  <si>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</si>
  <si>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</si>
  <si>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</si>
  <si>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</si>
  <si>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</si>
  <si>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</si>
  <si>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</si>
  <si>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</si>
  <si>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</si>
  <si>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</si>
  <si>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</si>
  <si>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</si>
  <si>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</si>
  <si>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</si>
  <si>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</si>
  <si>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</si>
  <si>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</si>
  <si>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</si>
  <si>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</si>
  <si>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</si>
  <si>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</si>
  <si>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</si>
  <si>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</si>
  <si>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</si>
  <si>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</si>
  <si>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</si>
  <si>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</si>
  <si>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</si>
  <si>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</si>
  <si>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</si>
  <si>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</si>
  <si>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</si>
  <si>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</si>
  <si>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</si>
  <si>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</si>
  <si>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</si>
  <si>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</si>
  <si>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</si>
  <si>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</si>
  <si>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</si>
  <si>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</si>
  <si>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</si>
  <si>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</si>
  <si>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</si>
  <si>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</si>
  <si>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</si>
  <si>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</si>
  <si>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</si>
  <si>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</si>
  <si>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</si>
  <si>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</si>
  <si>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</si>
  <si>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</si>
  <si>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</si>
  <si>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</si>
  <si>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</si>
  <si>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</si>
  <si>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</si>
  <si>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</si>
  <si>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</si>
  <si>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</si>
  <si>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</si>
  <si>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</si>
  <si>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</si>
  <si>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</si>
  <si>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</si>
  <si>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</si>
  <si>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</si>
  <si>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</si>
  <si>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</si>
  <si>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</si>
  <si>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</si>
  <si>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</si>
  <si>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</si>
  <si>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</si>
  <si>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</si>
  <si>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</si>
  <si>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</si>
  <si>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</si>
  <si>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</si>
  <si>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</si>
  <si>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</si>
  <si>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</si>
  <si>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</si>
  <si>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</si>
  <si>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</si>
  <si>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</si>
  <si>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</si>
  <si>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</si>
  <si>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</si>
  <si>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</si>
  <si>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</si>
  <si>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</si>
  <si>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</si>
  <si>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</si>
  <si>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</si>
  <si>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</si>
  <si>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</si>
  <si>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</si>
  <si>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</si>
  <si>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</si>
  <si>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</si>
  <si>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</si>
  <si>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</si>
  <si>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</si>
  <si>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</si>
  <si>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</si>
  <si>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</si>
  <si>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</si>
  <si>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</si>
  <si>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</si>
  <si>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</si>
  <si>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</si>
  <si>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</si>
  <si>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</si>
  <si>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</si>
  <si>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</si>
  <si>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</si>
  <si>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</si>
  <si>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</si>
  <si>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</si>
  <si>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</si>
  <si>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</si>
  <si>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</si>
  <si>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</si>
  <si>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</si>
  <si>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</si>
  <si>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</si>
  <si>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</si>
  <si>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</si>
  <si>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</si>
  <si>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</si>
  <si>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</si>
  <si>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</si>
  <si>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</si>
  <si>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</si>
  <si>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</si>
  <si>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</si>
  <si>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</si>
  <si>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</si>
  <si>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</si>
  <si>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</si>
  <si>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</si>
  <si>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</si>
  <si>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</si>
  <si>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</si>
  <si>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</si>
  <si>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</si>
  <si>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</si>
  <si>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</si>
  <si>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</si>
  <si>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</si>
  <si>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</si>
  <si>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</si>
  <si>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</si>
  <si>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</si>
  <si>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</si>
  <si>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</si>
  <si>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</si>
  <si>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</si>
  <si>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</si>
  <si>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</si>
  <si>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</si>
  <si>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</si>
  <si>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</si>
  <si>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</si>
  <si>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</si>
  <si>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</si>
  <si>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</si>
  <si>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</si>
  <si>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</si>
  <si>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</si>
  <si>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</si>
  <si>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</si>
  <si>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</si>
  <si>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</si>
  <si>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</si>
  <si>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</si>
  <si>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</si>
  <si>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</si>
  <si>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</si>
  <si>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</si>
  <si>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</si>
  <si>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</si>
  <si>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</si>
  <si>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</si>
  <si>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</si>
  <si>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</si>
  <si>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</si>
  <si>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</si>
  <si>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</si>
  <si>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</si>
  <si>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</si>
  <si>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</si>
  <si>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</si>
  <si>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</si>
  <si>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</si>
  <si>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</si>
  <si>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</si>
  <si>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</si>
  <si>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</si>
  <si>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</si>
  <si>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</si>
  <si>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</si>
  <si>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</si>
  <si>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</si>
  <si>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</si>
  <si>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</si>
  <si>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</si>
  <si>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</si>
  <si>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</si>
  <si>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</si>
  <si>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</si>
  <si>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</si>
  <si>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</si>
  <si>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</si>
  <si>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</si>
  <si>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</si>
  <si>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</si>
  <si>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</si>
  <si>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</si>
  <si>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</si>
  <si>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</si>
  <si>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</si>
  <si>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</si>
  <si>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</si>
  <si>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</si>
  <si>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</si>
  <si>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</si>
  <si>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</si>
  <si>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</si>
  <si>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</si>
  <si>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</si>
  <si>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</si>
  <si>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</si>
  <si>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</si>
  <si>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</si>
  <si>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</si>
  <si>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</si>
  <si>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</si>
  <si>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</si>
  <si>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</si>
  <si>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</si>
  <si>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</si>
  <si>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</si>
  <si>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</si>
  <si>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</si>
  <si>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</si>
  <si>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</si>
  <si>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</si>
  <si>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</si>
  <si>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</si>
  <si>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</si>
  <si>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</si>
  <si>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</si>
  <si>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</si>
  <si>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</si>
  <si>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</si>
  <si>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</si>
  <si>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</si>
  <si>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</si>
  <si>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</si>
  <si>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</si>
  <si>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</si>
  <si>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</si>
  <si>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</si>
  <si>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</si>
  <si>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</si>
  <si>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</si>
  <si>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</si>
  <si>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</si>
  <si>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</si>
  <si>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</si>
  <si>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</si>
  <si>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</si>
  <si>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</si>
  <si>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</si>
  <si>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</si>
  <si>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</si>
  <si>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</si>
  <si>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</si>
  <si>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</si>
  <si>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</si>
  <si>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</si>
  <si>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</si>
  <si>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</si>
  <si>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</si>
  <si>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</si>
  <si>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</si>
  <si>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</si>
  <si>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</si>
  <si>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</si>
  <si>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</si>
  <si>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</si>
  <si>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</si>
  <si>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</si>
  <si>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</si>
  <si>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</si>
  <si>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</si>
  <si>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</si>
  <si>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</si>
  <si>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</si>
  <si>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</si>
  <si>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</si>
  <si>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</si>
  <si>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</si>
  <si>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</si>
  <si>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</si>
  <si>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</si>
  <si>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</si>
  <si>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</si>
  <si>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</si>
  <si>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</si>
  <si>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</si>
  <si>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</si>
  <si>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</si>
  <si>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</si>
  <si>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</si>
  <si>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</si>
  <si>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</si>
  <si>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</si>
  <si>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</si>
  <si>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</si>
  <si>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</si>
  <si>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</si>
  <si>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</si>
  <si>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</si>
  <si>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</si>
  <si>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</si>
  <si>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</si>
  <si>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</si>
  <si>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</si>
  <si>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</si>
  <si>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</si>
  <si>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</si>
  <si>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</si>
  <si>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</si>
  <si>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</si>
  <si>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</si>
  <si>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</si>
  <si>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</si>
  <si>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</si>
  <si>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</si>
  <si>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</si>
  <si>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</si>
  <si>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</si>
  <si>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</si>
  <si>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</si>
  <si>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</si>
  <si>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</si>
  <si>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</si>
  <si>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</si>
  <si>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</si>
  <si>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</si>
  <si>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</si>
  <si>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</si>
  <si>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</si>
  <si>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</si>
  <si>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</si>
  <si>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</si>
  <si>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</si>
  <si>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</si>
  <si>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</si>
  <si>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</si>
  <si>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</si>
  <si>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</si>
  <si>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</si>
  <si>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</si>
  <si>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</si>
  <si>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</si>
  <si>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</si>
  <si>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</si>
  <si>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</si>
  <si>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</si>
  <si>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</si>
  <si>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</si>
  <si>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</si>
  <si>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</si>
  <si>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</si>
  <si>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</si>
  <si>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</si>
  <si>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</si>
  <si>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</si>
  <si>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</si>
  <si>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</si>
  <si>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</si>
  <si>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</si>
  <si>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</si>
  <si>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</si>
  <si>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</si>
  <si>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</si>
  <si>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</si>
  <si>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</si>
  <si>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</si>
  <si>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</si>
  <si>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</si>
  <si>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</si>
  <si>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</si>
  <si>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</si>
  <si>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</si>
  <si>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</si>
  <si>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</si>
  <si>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</si>
  <si>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</si>
  <si>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</si>
  <si>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</si>
  <si>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</si>
  <si>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</si>
  <si>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</si>
  <si>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</si>
  <si>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</si>
  <si>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</si>
  <si>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</si>
  <si>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</si>
  <si>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</si>
  <si>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</si>
  <si>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</si>
  <si>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</si>
  <si>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</si>
  <si>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</si>
  <si>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</si>
  <si>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</si>
  <si>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</si>
  <si>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</si>
  <si>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</si>
  <si>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</si>
  <si>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</si>
  <si>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</si>
  <si>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</si>
  <si>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</si>
  <si>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</si>
  <si>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</si>
  <si>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</si>
  <si>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</si>
  <si>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</si>
  <si>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</si>
  <si>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</si>
  <si>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</si>
  <si>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</si>
  <si>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</si>
  <si>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498.148.588-38</t>
  </si>
  <si>
    <t>024/0079/D</t>
  </si>
  <si>
    <t>064.025.638-46</t>
  </si>
  <si>
    <t>024/0079/E</t>
  </si>
  <si>
    <t>374.435.458-00</t>
  </si>
  <si>
    <t>024/0079/F</t>
  </si>
  <si>
    <t>024/0079/G</t>
  </si>
  <si>
    <t>024/0079/J</t>
  </si>
  <si>
    <t>350.318.858-40</t>
  </si>
  <si>
    <t>024/0082/A</t>
  </si>
  <si>
    <t>IVÃ CERQUEIRA LENARES</t>
  </si>
  <si>
    <t xml:space="preserve">006.868.775-35 </t>
  </si>
  <si>
    <t>024/0082/D</t>
  </si>
  <si>
    <t>JOÃO VITOR DE SANTANA</t>
  </si>
  <si>
    <t>534.193.048-70</t>
  </si>
  <si>
    <t>024/0088/K</t>
  </si>
  <si>
    <t>304.821.048-21</t>
  </si>
  <si>
    <t>024/0088/M</t>
  </si>
  <si>
    <t>024/0049/C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</si>
</sst>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&quot;R$&quot;\ #,##0.00"/>
    <numFmt numFmtId="168" formatCode="[$-416]dd\-mmm\-yy;@"/>
    <numFmt numFmtId="169" formatCode="[$-416]d\-mmm\-yy;@"/>
    <numFmt numFmtId="170" formatCode="[$R$-416]\ #,##0.00"/>
    <numFmt numFmtId="171" formatCode="[$-409]dd\-mmm\-yy;@"/>
  </numFmts>
  <fonts count="55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sz val="11"/>
      <color indexed="40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0"/>
      <color rgb="FF000000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sz val="11"/>
      <color rgb="FF000000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sz val="8"/>
      <color rgb="FF000000"/>
      <name val="Arial"/>
      <family val="2"/>
    </font>
    <font>
      <b/>
      <sz val="10"/>
      <name val="Arial"/>
      <family val="2"/>
    </font>
    <font>
      <sz val="10"/>
      <color indexed="8"/>
      <name val="Arial"/>
      <family val="2"/>
    </font>
    <font>
      <b/>
      <sz val="12"/>
      <name val="Arial"/>
    </font>
  </fonts>
  <fills count="32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D34F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dotted">
        <color theme="1" tint="0.499984740745262"/>
      </left>
      <right style="dotted">
        <color theme="1" tint="0.499984740745262"/>
      </right>
      <top/>
      <bottom/>
      <diagonal/>
    </border>
    <border>
      <left/>
      <right style="dotted">
        <color theme="1" tint="0.499984740745262"/>
      </right>
      <top/>
      <bottom/>
      <diagonal/>
    </border>
    <border>
      <left/>
      <right style="dotted">
        <color theme="1" tint="0.499984740745262"/>
      </right>
      <top style="dotted">
        <color theme="1" tint="0.499984740745262"/>
      </top>
      <bottom/>
      <diagonal/>
    </border>
    <border>
      <left/>
      <right style="dotted">
        <color theme="1" tint="0.499984740745262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51">
    <xf numFmtId="0" fontId="0" fillId="0" borderId="0"/>
    <xf numFmtId="0" fontId="24" fillId="10" borderId="0" applyNumberFormat="0" applyBorder="0" applyAlignment="0" applyProtection="0"/>
    <xf numFmtId="0" fontId="2" fillId="0" borderId="0"/>
    <xf numFmtId="0" fontId="25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7" fillId="0" borderId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50" fillId="0" borderId="0" applyNumberFormat="0" applyFill="0" applyBorder="0" applyAlignment="0" applyProtection="0"/>
  </cellStyleXfs>
  <cellXfs count="346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17" fillId="0" borderId="2" xfId="0" applyFont="1" applyBorder="1" applyAlignment="1">
      <alignment horizontal="left" vertical="center"/>
    </xf>
    <xf numFmtId="166" fontId="17" fillId="0" borderId="2" xfId="0" applyNumberFormat="1" applyFont="1" applyBorder="1" applyAlignment="1">
      <alignment horizontal="center"/>
    </xf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20" fillId="9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33" fillId="0" borderId="10" xfId="0" applyFont="1" applyBorder="1" applyAlignment="1">
      <alignment horizontal="center" vertical="center" wrapText="1"/>
    </xf>
    <xf numFmtId="0" fontId="33" fillId="0" borderId="10" xfId="0" applyFont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9" fillId="0" borderId="17" xfId="0" applyFont="1" applyBorder="1"/>
    <xf numFmtId="0" fontId="35" fillId="0" borderId="0" xfId="0" applyFont="1" applyAlignment="1">
      <alignment horizontal="center" vertical="center"/>
    </xf>
    <xf numFmtId="0" fontId="36" fillId="20" borderId="18" xfId="0" applyFont="1" applyFill="1" applyBorder="1" applyAlignment="1">
      <alignment horizontal="center" vertical="center"/>
    </xf>
    <xf numFmtId="0" fontId="36" fillId="0" borderId="18" xfId="0" applyFont="1" applyBorder="1" applyAlignment="1">
      <alignment horizontal="center" vertical="center"/>
    </xf>
    <xf numFmtId="0" fontId="37" fillId="0" borderId="18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5" fillId="20" borderId="18" xfId="0" applyFont="1" applyFill="1" applyBorder="1" applyAlignment="1">
      <alignment horizontal="center" vertical="center"/>
    </xf>
    <xf numFmtId="0" fontId="37" fillId="0" borderId="18" xfId="0" applyFont="1" applyBorder="1" applyAlignment="1">
      <alignment horizontal="center" vertical="center" wrapText="1"/>
    </xf>
    <xf numFmtId="0" fontId="31" fillId="0" borderId="9" xfId="0" applyFont="1" applyBorder="1" applyAlignment="1">
      <alignment horizontal="center" vertical="center"/>
    </xf>
    <xf numFmtId="0" fontId="31" fillId="0" borderId="16" xfId="0" applyFont="1" applyBorder="1" applyAlignment="1">
      <alignment horizontal="center" vertical="center"/>
    </xf>
    <xf numFmtId="0" fontId="31" fillId="0" borderId="9" xfId="0" applyFont="1" applyBorder="1" applyAlignment="1">
      <alignment horizontal="center" vertical="center" wrapText="1"/>
    </xf>
    <xf numFmtId="0" fontId="30" fillId="0" borderId="0" xfId="0" applyFont="1"/>
    <xf numFmtId="0" fontId="31" fillId="20" borderId="9" xfId="0" applyFont="1" applyFill="1" applyBorder="1" applyAlignment="1">
      <alignment horizontal="center" vertical="center"/>
    </xf>
    <xf numFmtId="167" fontId="31" fillId="0" borderId="9" xfId="0" applyNumberFormat="1" applyFont="1" applyBorder="1" applyAlignment="1">
      <alignment horizontal="center" vertical="center"/>
    </xf>
    <xf numFmtId="0" fontId="36" fillId="24" borderId="18" xfId="0" applyFont="1" applyFill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168" fontId="40" fillId="0" borderId="0" xfId="0" applyNumberFormat="1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43" fillId="11" borderId="11" xfId="1" applyNumberFormat="1" applyFont="1" applyFill="1" applyBorder="1" applyAlignment="1">
      <alignment horizontal="center" vertical="center" wrapText="1"/>
    </xf>
    <xf numFmtId="0" fontId="44" fillId="11" borderId="11" xfId="1" applyFont="1" applyFill="1" applyBorder="1" applyAlignment="1">
      <alignment horizontal="center" vertical="center" wrapText="1"/>
    </xf>
    <xf numFmtId="0" fontId="44" fillId="11" borderId="11" xfId="0" applyFont="1" applyFill="1" applyBorder="1" applyAlignment="1">
      <alignment horizontal="center" vertical="center" wrapText="1"/>
    </xf>
    <xf numFmtId="168" fontId="44" fillId="15" borderId="11" xfId="0" applyNumberFormat="1" applyFont="1" applyFill="1" applyBorder="1" applyAlignment="1">
      <alignment horizontal="center" vertical="center" wrapText="1"/>
    </xf>
    <xf numFmtId="0" fontId="44" fillId="15" borderId="11" xfId="0" applyFont="1" applyFill="1" applyBorder="1" applyAlignment="1">
      <alignment horizontal="center" vertical="center" wrapText="1"/>
    </xf>
    <xf numFmtId="0" fontId="44" fillId="16" borderId="11" xfId="0" applyFont="1" applyFill="1" applyBorder="1" applyAlignment="1">
      <alignment horizontal="center" vertical="center" wrapText="1"/>
    </xf>
    <xf numFmtId="0" fontId="44" fillId="16" borderId="11" xfId="1" applyFont="1" applyFill="1" applyBorder="1" applyAlignment="1">
      <alignment horizontal="center" vertical="center" wrapText="1"/>
    </xf>
    <xf numFmtId="0" fontId="44" fillId="16" borderId="14" xfId="0" applyFont="1" applyFill="1" applyBorder="1" applyAlignment="1">
      <alignment horizontal="center" vertical="center" wrapText="1"/>
    </xf>
    <xf numFmtId="0" fontId="44" fillId="17" borderId="12" xfId="0" applyFont="1" applyFill="1" applyBorder="1" applyAlignment="1">
      <alignment horizontal="center" vertical="center"/>
    </xf>
    <xf numFmtId="0" fontId="44" fillId="17" borderId="14" xfId="0" applyFont="1" applyFill="1" applyBorder="1" applyAlignment="1">
      <alignment horizontal="center" vertical="center"/>
    </xf>
    <xf numFmtId="0" fontId="39" fillId="0" borderId="18" xfId="0" applyFont="1" applyBorder="1" applyAlignment="1">
      <alignment horizontal="center" vertical="center"/>
    </xf>
    <xf numFmtId="0" fontId="43" fillId="24" borderId="18" xfId="0" applyFont="1" applyFill="1" applyBorder="1" applyAlignment="1">
      <alignment horizontal="center" vertical="center"/>
    </xf>
    <xf numFmtId="0" fontId="39" fillId="20" borderId="18" xfId="0" applyFont="1" applyFill="1" applyBorder="1" applyAlignment="1">
      <alignment horizontal="center" vertical="center"/>
    </xf>
    <xf numFmtId="0" fontId="43" fillId="20" borderId="18" xfId="0" applyFont="1" applyFill="1" applyBorder="1" applyAlignment="1">
      <alignment horizontal="center" vertical="center"/>
    </xf>
    <xf numFmtId="0" fontId="43" fillId="0" borderId="18" xfId="0" applyFont="1" applyBorder="1" applyAlignment="1">
      <alignment horizontal="center" vertical="center"/>
    </xf>
    <xf numFmtId="168" fontId="39" fillId="0" borderId="18" xfId="0" applyNumberFormat="1" applyFont="1" applyBorder="1" applyAlignment="1">
      <alignment horizontal="center" vertical="center"/>
    </xf>
    <xf numFmtId="168" fontId="39" fillId="11" borderId="18" xfId="0" applyNumberFormat="1" applyFont="1" applyFill="1" applyBorder="1" applyAlignment="1">
      <alignment horizontal="center" vertical="center"/>
    </xf>
    <xf numFmtId="0" fontId="39" fillId="11" borderId="18" xfId="0" applyFont="1" applyFill="1" applyBorder="1" applyAlignment="1">
      <alignment horizontal="center" vertical="center"/>
    </xf>
    <xf numFmtId="1" fontId="39" fillId="0" borderId="18" xfId="0" applyNumberFormat="1" applyFont="1" applyBorder="1" applyAlignment="1">
      <alignment horizontal="center" vertical="center"/>
    </xf>
    <xf numFmtId="0" fontId="39" fillId="0" borderId="18" xfId="0" applyFont="1" applyBorder="1" applyAlignment="1">
      <alignment horizontal="center" vertical="center" wrapText="1"/>
    </xf>
    <xf numFmtId="168" fontId="40" fillId="0" borderId="18" xfId="0" applyNumberFormat="1" applyFont="1" applyBorder="1" applyAlignment="1">
      <alignment horizontal="center" vertical="center"/>
    </xf>
    <xf numFmtId="0" fontId="40" fillId="11" borderId="18" xfId="0" applyFont="1" applyFill="1" applyBorder="1" applyAlignment="1">
      <alignment horizontal="center" vertical="center"/>
    </xf>
    <xf numFmtId="0" fontId="43" fillId="0" borderId="18" xfId="0" applyFont="1" applyBorder="1" applyAlignment="1">
      <alignment horizontal="center" vertical="center" wrapText="1"/>
    </xf>
    <xf numFmtId="14" fontId="39" fillId="0" borderId="18" xfId="0" applyNumberFormat="1" applyFont="1" applyBorder="1" applyAlignment="1">
      <alignment horizontal="center" vertical="center"/>
    </xf>
    <xf numFmtId="168" fontId="39" fillId="22" borderId="18" xfId="0" applyNumberFormat="1" applyFont="1" applyFill="1" applyBorder="1" applyAlignment="1">
      <alignment horizontal="center" vertical="center"/>
    </xf>
    <xf numFmtId="0" fontId="40" fillId="0" borderId="18" xfId="0" applyFont="1" applyBorder="1" applyAlignment="1">
      <alignment horizontal="center" vertical="center"/>
    </xf>
    <xf numFmtId="0" fontId="40" fillId="23" borderId="18" xfId="0" applyFont="1" applyFill="1" applyBorder="1" applyAlignment="1">
      <alignment horizontal="center" vertical="center"/>
    </xf>
    <xf numFmtId="0" fontId="43" fillId="19" borderId="18" xfId="0" applyFont="1" applyFill="1" applyBorder="1" applyAlignment="1">
      <alignment horizontal="center" vertical="center" wrapText="1"/>
    </xf>
    <xf numFmtId="0" fontId="41" fillId="0" borderId="18" xfId="0" applyFont="1" applyBorder="1" applyAlignment="1">
      <alignment horizontal="center" vertical="center"/>
    </xf>
    <xf numFmtId="0" fontId="44" fillId="0" borderId="18" xfId="0" applyFont="1" applyBorder="1" applyAlignment="1">
      <alignment horizontal="center" vertical="center"/>
    </xf>
    <xf numFmtId="0" fontId="44" fillId="0" borderId="18" xfId="0" applyFont="1" applyBorder="1" applyAlignment="1">
      <alignment horizontal="center" vertical="center" wrapText="1"/>
    </xf>
    <xf numFmtId="168" fontId="40" fillId="0" borderId="7" xfId="0" applyNumberFormat="1" applyFont="1" applyBorder="1" applyAlignment="1">
      <alignment horizontal="center" vertical="center"/>
    </xf>
    <xf numFmtId="0" fontId="40" fillId="0" borderId="7" xfId="0" applyFont="1" applyBorder="1" applyAlignment="1">
      <alignment horizontal="center" vertical="center"/>
    </xf>
    <xf numFmtId="169" fontId="40" fillId="0" borderId="0" xfId="0" applyNumberFormat="1" applyFont="1" applyAlignment="1">
      <alignment horizontal="center" vertical="center"/>
    </xf>
    <xf numFmtId="0" fontId="43" fillId="25" borderId="18" xfId="0" applyFont="1" applyFill="1" applyBorder="1" applyAlignment="1">
      <alignment horizontal="center" vertical="center"/>
    </xf>
    <xf numFmtId="0" fontId="44" fillId="26" borderId="14" xfId="0" applyFont="1" applyFill="1" applyBorder="1" applyAlignment="1">
      <alignment horizontal="center" vertical="center"/>
    </xf>
    <xf numFmtId="0" fontId="43" fillId="0" borderId="19" xfId="0" applyFont="1" applyBorder="1" applyAlignment="1">
      <alignment horizontal="center" vertical="center"/>
    </xf>
    <xf numFmtId="169" fontId="39" fillId="0" borderId="18" xfId="0" applyNumberFormat="1" applyFont="1" applyBorder="1" applyAlignment="1">
      <alignment horizontal="center" vertical="center"/>
    </xf>
    <xf numFmtId="0" fontId="45" fillId="0" borderId="9" xfId="0" applyFont="1" applyBorder="1" applyAlignment="1">
      <alignment horizontal="center" vertical="center"/>
    </xf>
    <xf numFmtId="0" fontId="36" fillId="0" borderId="19" xfId="0" applyFont="1" applyBorder="1" applyAlignment="1">
      <alignment horizontal="center" vertical="center"/>
    </xf>
    <xf numFmtId="0" fontId="45" fillId="0" borderId="16" xfId="0" applyFont="1" applyBorder="1" applyAlignment="1">
      <alignment horizontal="center" vertical="center"/>
    </xf>
    <xf numFmtId="0" fontId="48" fillId="0" borderId="9" xfId="0" applyFont="1" applyBorder="1" applyAlignment="1">
      <alignment horizontal="center" vertical="center"/>
    </xf>
    <xf numFmtId="168" fontId="48" fillId="0" borderId="9" xfId="0" applyNumberFormat="1" applyFont="1" applyBorder="1" applyAlignment="1">
      <alignment horizontal="center" vertical="center"/>
    </xf>
    <xf numFmtId="169" fontId="48" fillId="0" borderId="9" xfId="0" applyNumberFormat="1" applyFont="1" applyBorder="1" applyAlignment="1">
      <alignment horizontal="center" vertical="center"/>
    </xf>
    <xf numFmtId="0" fontId="29" fillId="0" borderId="21" xfId="0" applyFont="1" applyBorder="1" applyAlignment="1">
      <alignment horizontal="center" vertical="center"/>
    </xf>
    <xf numFmtId="0" fontId="40" fillId="21" borderId="18" xfId="0" applyFont="1" applyFill="1" applyBorder="1" applyAlignment="1">
      <alignment horizontal="center" vertical="center"/>
    </xf>
    <xf numFmtId="0" fontId="39" fillId="0" borderId="19" xfId="0" applyFont="1" applyBorder="1" applyAlignment="1">
      <alignment horizontal="center" vertical="center"/>
    </xf>
    <xf numFmtId="0" fontId="40" fillId="0" borderId="19" xfId="0" applyFont="1" applyBorder="1" applyAlignment="1">
      <alignment horizontal="center" vertical="center"/>
    </xf>
    <xf numFmtId="168" fontId="40" fillId="0" borderId="19" xfId="0" applyNumberFormat="1" applyFont="1" applyBorder="1" applyAlignment="1">
      <alignment horizontal="center" vertical="center"/>
    </xf>
    <xf numFmtId="169" fontId="44" fillId="26" borderId="14" xfId="0" applyNumberFormat="1" applyFont="1" applyFill="1" applyBorder="1" applyAlignment="1">
      <alignment horizontal="center" vertical="center" wrapText="1"/>
    </xf>
    <xf numFmtId="169" fontId="44" fillId="26" borderId="14" xfId="0" applyNumberFormat="1" applyFont="1" applyFill="1" applyBorder="1" applyAlignment="1">
      <alignment horizontal="center" vertical="center"/>
    </xf>
    <xf numFmtId="0" fontId="44" fillId="26" borderId="14" xfId="0" applyFont="1" applyFill="1" applyBorder="1" applyAlignment="1">
      <alignment horizontal="center" vertical="center" wrapText="1"/>
    </xf>
    <xf numFmtId="168" fontId="39" fillId="0" borderId="18" xfId="0" quotePrefix="1" applyNumberFormat="1" applyFont="1" applyBorder="1" applyAlignment="1">
      <alignment horizontal="center" vertical="center"/>
    </xf>
    <xf numFmtId="168" fontId="39" fillId="0" borderId="18" xfId="0" quotePrefix="1" applyNumberFormat="1" applyFont="1" applyBorder="1" applyAlignment="1">
      <alignment horizontal="center" vertical="center" wrapText="1"/>
    </xf>
    <xf numFmtId="0" fontId="43" fillId="0" borderId="15" xfId="0" applyFont="1" applyBorder="1" applyAlignment="1">
      <alignment horizontal="center" vertical="center"/>
    </xf>
    <xf numFmtId="0" fontId="39" fillId="28" borderId="18" xfId="0" applyFont="1" applyFill="1" applyBorder="1" applyAlignment="1">
      <alignment horizontal="center" vertical="center" wrapText="1"/>
    </xf>
    <xf numFmtId="0" fontId="43" fillId="0" borderId="10" xfId="0" applyFont="1" applyBorder="1" applyAlignment="1">
      <alignment horizontal="center" vertical="center" wrapText="1"/>
    </xf>
    <xf numFmtId="0" fontId="43" fillId="0" borderId="15" xfId="0" applyFont="1" applyBorder="1" applyAlignment="1">
      <alignment horizontal="center" vertical="center" wrapText="1"/>
    </xf>
    <xf numFmtId="0" fontId="43" fillId="0" borderId="10" xfId="0" applyFont="1" applyBorder="1" applyAlignment="1">
      <alignment horizontal="center" vertical="center"/>
    </xf>
    <xf numFmtId="0" fontId="31" fillId="20" borderId="19" xfId="0" applyFont="1" applyFill="1" applyBorder="1" applyAlignment="1">
      <alignment horizontal="center" vertical="center"/>
    </xf>
    <xf numFmtId="0" fontId="32" fillId="20" borderId="19" xfId="0" applyFont="1" applyFill="1" applyBorder="1" applyAlignment="1">
      <alignment horizontal="center" vertical="center"/>
    </xf>
    <xf numFmtId="0" fontId="38" fillId="29" borderId="9" xfId="1" applyFont="1" applyFill="1" applyBorder="1" applyAlignment="1">
      <alignment horizontal="center" vertical="center" wrapText="1"/>
    </xf>
    <xf numFmtId="0" fontId="38" fillId="29" borderId="9" xfId="0" applyFont="1" applyFill="1" applyBorder="1" applyAlignment="1">
      <alignment horizontal="center" vertical="center" wrapText="1"/>
    </xf>
    <xf numFmtId="169" fontId="44" fillId="11" borderId="11" xfId="0" applyNumberFormat="1" applyFont="1" applyFill="1" applyBorder="1" applyAlignment="1">
      <alignment horizontal="center" vertical="center" wrapText="1"/>
    </xf>
    <xf numFmtId="169" fontId="40" fillId="0" borderId="8" xfId="0" applyNumberFormat="1" applyFont="1" applyBorder="1" applyAlignment="1">
      <alignment horizontal="center" vertical="center"/>
    </xf>
    <xf numFmtId="168" fontId="47" fillId="0" borderId="9" xfId="0" applyNumberFormat="1" applyFont="1" applyBorder="1" applyAlignment="1">
      <alignment horizontal="center" vertical="center"/>
    </xf>
    <xf numFmtId="0" fontId="46" fillId="0" borderId="9" xfId="0" applyFont="1" applyBorder="1" applyAlignment="1">
      <alignment horizontal="center" vertical="center" wrapText="1"/>
    </xf>
    <xf numFmtId="168" fontId="47" fillId="0" borderId="16" xfId="0" applyNumberFormat="1" applyFont="1" applyBorder="1" applyAlignment="1">
      <alignment horizontal="center" vertical="center"/>
    </xf>
    <xf numFmtId="168" fontId="31" fillId="11" borderId="9" xfId="0" applyNumberFormat="1" applyFont="1" applyFill="1" applyBorder="1" applyAlignment="1">
      <alignment horizontal="center" vertical="center"/>
    </xf>
    <xf numFmtId="0" fontId="43" fillId="0" borderId="19" xfId="0" applyFont="1" applyBorder="1" applyAlignment="1">
      <alignment horizontal="center" vertical="center" wrapText="1"/>
    </xf>
    <xf numFmtId="169" fontId="40" fillId="0" borderId="18" xfId="0" applyNumberFormat="1" applyFont="1" applyBorder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9" fillId="0" borderId="0" xfId="0" applyFont="1" applyAlignment="1">
      <alignment horizontal="center" vertical="center"/>
    </xf>
    <xf numFmtId="168" fontId="40" fillId="11" borderId="18" xfId="0" applyNumberFormat="1" applyFont="1" applyFill="1" applyBorder="1" applyAlignment="1">
      <alignment horizontal="center" vertical="center"/>
    </xf>
    <xf numFmtId="0" fontId="40" fillId="22" borderId="18" xfId="0" applyFont="1" applyFill="1" applyBorder="1" applyAlignment="1">
      <alignment horizontal="center" vertical="center"/>
    </xf>
    <xf numFmtId="0" fontId="41" fillId="22" borderId="18" xfId="0" applyFont="1" applyFill="1" applyBorder="1" applyAlignment="1">
      <alignment horizontal="center" vertical="center"/>
    </xf>
    <xf numFmtId="0" fontId="40" fillId="0" borderId="24" xfId="0" applyFont="1" applyBorder="1" applyAlignment="1">
      <alignment horizontal="center" vertical="center"/>
    </xf>
    <xf numFmtId="0" fontId="40" fillId="0" borderId="25" xfId="0" applyFont="1" applyBorder="1" applyAlignment="1">
      <alignment horizontal="center" vertical="center"/>
    </xf>
    <xf numFmtId="169" fontId="40" fillId="0" borderId="19" xfId="0" applyNumberFormat="1" applyFont="1" applyBorder="1" applyAlignment="1">
      <alignment horizontal="center" vertical="center"/>
    </xf>
    <xf numFmtId="0" fontId="41" fillId="0" borderId="19" xfId="0" applyFont="1" applyBorder="1" applyAlignment="1">
      <alignment horizontal="center" vertical="center"/>
    </xf>
    <xf numFmtId="0" fontId="40" fillId="0" borderId="26" xfId="0" applyFont="1" applyBorder="1" applyAlignment="1">
      <alignment horizontal="center" vertical="center"/>
    </xf>
    <xf numFmtId="0" fontId="31" fillId="0" borderId="16" xfId="0" applyFont="1" applyBorder="1" applyAlignment="1">
      <alignment horizontal="center" vertical="center" wrapText="1"/>
    </xf>
    <xf numFmtId="170" fontId="41" fillId="0" borderId="0" xfId="0" applyNumberFormat="1" applyFont="1" applyAlignment="1">
      <alignment horizontal="center" vertical="center"/>
    </xf>
    <xf numFmtId="170" fontId="44" fillId="16" borderId="11" xfId="0" applyNumberFormat="1" applyFont="1" applyFill="1" applyBorder="1" applyAlignment="1">
      <alignment horizontal="center" vertical="center" wrapText="1"/>
    </xf>
    <xf numFmtId="170" fontId="41" fillId="0" borderId="18" xfId="0" applyNumberFormat="1" applyFont="1" applyBorder="1" applyAlignment="1">
      <alignment horizontal="center" vertical="center"/>
    </xf>
    <xf numFmtId="0" fontId="40" fillId="0" borderId="27" xfId="0" applyFont="1" applyBorder="1" applyAlignment="1">
      <alignment horizontal="center" vertical="center"/>
    </xf>
    <xf numFmtId="0" fontId="40" fillId="0" borderId="28" xfId="0" applyFont="1" applyBorder="1" applyAlignment="1">
      <alignment horizontal="center" vertical="center"/>
    </xf>
    <xf numFmtId="0" fontId="39" fillId="0" borderId="24" xfId="0" applyFont="1" applyBorder="1" applyAlignment="1">
      <alignment horizontal="center" vertical="center"/>
    </xf>
    <xf numFmtId="0" fontId="40" fillId="0" borderId="29" xfId="0" applyFont="1" applyBorder="1" applyAlignment="1">
      <alignment horizontal="center" vertical="center"/>
    </xf>
    <xf numFmtId="168" fontId="44" fillId="16" borderId="11" xfId="0" applyNumberFormat="1" applyFont="1" applyFill="1" applyBorder="1" applyAlignment="1">
      <alignment horizontal="center" vertical="center" wrapText="1"/>
    </xf>
    <xf numFmtId="0" fontId="39" fillId="19" borderId="18" xfId="0" applyFont="1" applyFill="1" applyBorder="1" applyAlignment="1">
      <alignment horizontal="center" vertical="center"/>
    </xf>
    <xf numFmtId="0" fontId="43" fillId="19" borderId="18" xfId="0" applyFont="1" applyFill="1" applyBorder="1" applyAlignment="1">
      <alignment horizontal="center" vertical="center"/>
    </xf>
    <xf numFmtId="0" fontId="43" fillId="22" borderId="18" xfId="0" applyFont="1" applyFill="1" applyBorder="1" applyAlignment="1">
      <alignment horizontal="center" vertical="center"/>
    </xf>
    <xf numFmtId="171" fontId="40" fillId="11" borderId="18" xfId="0" applyNumberFormat="1" applyFont="1" applyFill="1" applyBorder="1" applyAlignment="1">
      <alignment horizontal="center" vertical="center"/>
    </xf>
    <xf numFmtId="0" fontId="40" fillId="20" borderId="18" xfId="0" applyFont="1" applyFill="1" applyBorder="1" applyAlignment="1">
      <alignment horizontal="center" vertical="center"/>
    </xf>
    <xf numFmtId="169" fontId="40" fillId="22" borderId="18" xfId="0" applyNumberFormat="1" applyFont="1" applyFill="1" applyBorder="1" applyAlignment="1">
      <alignment horizontal="center" vertical="center"/>
    </xf>
    <xf numFmtId="169" fontId="40" fillId="20" borderId="18" xfId="0" applyNumberFormat="1" applyFont="1" applyFill="1" applyBorder="1" applyAlignment="1">
      <alignment horizontal="center" vertical="center"/>
    </xf>
    <xf numFmtId="168" fontId="40" fillId="20" borderId="18" xfId="0" applyNumberFormat="1" applyFont="1" applyFill="1" applyBorder="1" applyAlignment="1">
      <alignment horizontal="center" vertical="center"/>
    </xf>
    <xf numFmtId="0" fontId="41" fillId="20" borderId="18" xfId="0" applyFont="1" applyFill="1" applyBorder="1" applyAlignment="1">
      <alignment horizontal="center" vertical="center"/>
    </xf>
    <xf numFmtId="171" fontId="40" fillId="20" borderId="18" xfId="0" applyNumberFormat="1" applyFont="1" applyFill="1" applyBorder="1" applyAlignment="1">
      <alignment horizontal="center" vertical="center"/>
    </xf>
    <xf numFmtId="0" fontId="40" fillId="0" borderId="18" xfId="0" applyFont="1" applyBorder="1" applyAlignment="1">
      <alignment horizontal="left" vertical="center" wrapText="1"/>
    </xf>
    <xf numFmtId="0" fontId="39" fillId="0" borderId="18" xfId="0" applyFont="1" applyBorder="1" applyAlignment="1">
      <alignment horizontal="left" vertical="center"/>
    </xf>
    <xf numFmtId="0" fontId="40" fillId="0" borderId="18" xfId="0" applyFont="1" applyBorder="1" applyAlignment="1">
      <alignment horizontal="left" vertical="center"/>
    </xf>
    <xf numFmtId="0" fontId="49" fillId="12" borderId="12" xfId="47" applyNumberFormat="1" applyFont="1" applyFill="1" applyBorder="1" applyAlignment="1">
      <alignment horizontal="center" vertical="center" wrapText="1"/>
    </xf>
    <xf numFmtId="167" fontId="49" fillId="12" borderId="12" xfId="47" applyNumberFormat="1" applyFont="1" applyFill="1" applyBorder="1" applyAlignment="1">
      <alignment horizontal="center" vertical="center" wrapText="1"/>
    </xf>
    <xf numFmtId="168" fontId="49" fillId="12" borderId="12" xfId="47" applyNumberFormat="1" applyFont="1" applyFill="1" applyBorder="1" applyAlignment="1">
      <alignment horizontal="center" vertical="center" wrapText="1"/>
    </xf>
    <xf numFmtId="0" fontId="39" fillId="0" borderId="30" xfId="0" applyFont="1" applyBorder="1" applyAlignment="1">
      <alignment horizontal="center" vertical="center"/>
    </xf>
    <xf numFmtId="0" fontId="39" fillId="22" borderId="30" xfId="0" applyFont="1" applyFill="1" applyBorder="1" applyAlignment="1">
      <alignment horizontal="center" vertical="center"/>
    </xf>
    <xf numFmtId="0" fontId="39" fillId="19" borderId="30" xfId="0" applyFont="1" applyFill="1" applyBorder="1" applyAlignment="1">
      <alignment horizontal="center" vertical="center"/>
    </xf>
    <xf numFmtId="0" fontId="39" fillId="20" borderId="30" xfId="0" applyFont="1" applyFill="1" applyBorder="1" applyAlignment="1">
      <alignment horizontal="center" vertical="center"/>
    </xf>
    <xf numFmtId="0" fontId="40" fillId="0" borderId="30" xfId="0" applyFont="1" applyBorder="1" applyAlignment="1">
      <alignment horizontal="center" vertical="center"/>
    </xf>
    <xf numFmtId="0" fontId="39" fillId="19" borderId="24" xfId="0" applyFont="1" applyFill="1" applyBorder="1" applyAlignment="1">
      <alignment horizontal="center" vertical="center"/>
    </xf>
    <xf numFmtId="0" fontId="39" fillId="20" borderId="24" xfId="0" applyFont="1" applyFill="1" applyBorder="1" applyAlignment="1">
      <alignment horizontal="center" vertical="center"/>
    </xf>
    <xf numFmtId="0" fontId="39" fillId="0" borderId="25" xfId="0" applyFont="1" applyBorder="1" applyAlignment="1">
      <alignment horizontal="center" vertical="center"/>
    </xf>
    <xf numFmtId="0" fontId="39" fillId="19" borderId="25" xfId="0" applyFont="1" applyFill="1" applyBorder="1" applyAlignment="1">
      <alignment horizontal="center" vertical="center"/>
    </xf>
    <xf numFmtId="0" fontId="39" fillId="19" borderId="19" xfId="0" applyFont="1" applyFill="1" applyBorder="1" applyAlignment="1">
      <alignment horizontal="center" vertical="center"/>
    </xf>
    <xf numFmtId="0" fontId="51" fillId="0" borderId="9" xfId="0" applyFont="1" applyBorder="1" applyAlignment="1">
      <alignment horizontal="center" vertical="center"/>
    </xf>
    <xf numFmtId="0" fontId="51" fillId="0" borderId="9" xfId="0" applyFont="1" applyBorder="1" applyAlignment="1">
      <alignment horizontal="center" vertical="center" wrapText="1"/>
    </xf>
    <xf numFmtId="168" fontId="51" fillId="11" borderId="9" xfId="0" applyNumberFormat="1" applyFont="1" applyFill="1" applyBorder="1" applyAlignment="1">
      <alignment horizontal="center" vertical="center"/>
    </xf>
    <xf numFmtId="168" fontId="31" fillId="11" borderId="16" xfId="0" applyNumberFormat="1" applyFont="1" applyFill="1" applyBorder="1" applyAlignment="1">
      <alignment horizontal="center" vertical="center"/>
    </xf>
    <xf numFmtId="168" fontId="51" fillId="11" borderId="16" xfId="0" applyNumberFormat="1" applyFont="1" applyFill="1" applyBorder="1" applyAlignment="1">
      <alignment horizontal="center" vertical="center"/>
    </xf>
    <xf numFmtId="0" fontId="39" fillId="31" borderId="18" xfId="0" applyFont="1" applyFill="1" applyBorder="1" applyAlignment="1">
      <alignment horizontal="center" vertical="center"/>
    </xf>
    <xf numFmtId="0" fontId="43" fillId="31" borderId="18" xfId="0" applyFont="1" applyFill="1" applyBorder="1" applyAlignment="1">
      <alignment horizontal="center" vertical="center"/>
    </xf>
    <xf numFmtId="0" fontId="43" fillId="31" borderId="18" xfId="0" applyFont="1" applyFill="1" applyBorder="1" applyAlignment="1">
      <alignment horizontal="center" vertical="center" wrapText="1"/>
    </xf>
    <xf numFmtId="169" fontId="39" fillId="31" borderId="18" xfId="0" applyNumberFormat="1" applyFont="1" applyFill="1" applyBorder="1" applyAlignment="1">
      <alignment horizontal="center" vertical="center"/>
    </xf>
    <xf numFmtId="168" fontId="40" fillId="31" borderId="18" xfId="0" applyNumberFormat="1" applyFont="1" applyFill="1" applyBorder="1" applyAlignment="1">
      <alignment horizontal="center" vertical="center"/>
    </xf>
    <xf numFmtId="0" fontId="40" fillId="31" borderId="18" xfId="0" applyFont="1" applyFill="1" applyBorder="1" applyAlignment="1">
      <alignment horizontal="center" vertical="center"/>
    </xf>
    <xf numFmtId="0" fontId="39" fillId="31" borderId="30" xfId="0" applyFont="1" applyFill="1" applyBorder="1" applyAlignment="1">
      <alignment horizontal="center" vertical="center"/>
    </xf>
    <xf numFmtId="0" fontId="40" fillId="31" borderId="24" xfId="0" applyFont="1" applyFill="1" applyBorder="1" applyAlignment="1">
      <alignment horizontal="center" vertical="center"/>
    </xf>
    <xf numFmtId="0" fontId="41" fillId="31" borderId="18" xfId="0" applyFont="1" applyFill="1" applyBorder="1" applyAlignment="1">
      <alignment horizontal="center" vertical="center"/>
    </xf>
    <xf numFmtId="168" fontId="39" fillId="31" borderId="18" xfId="0" applyNumberFormat="1" applyFont="1" applyFill="1" applyBorder="1" applyAlignment="1">
      <alignment horizontal="center" vertical="center"/>
    </xf>
    <xf numFmtId="0" fontId="39" fillId="31" borderId="18" xfId="0" applyFont="1" applyFill="1" applyBorder="1" applyAlignment="1">
      <alignment horizontal="left" vertical="center"/>
    </xf>
    <xf numFmtId="169" fontId="40" fillId="31" borderId="18" xfId="0" applyNumberFormat="1" applyFont="1" applyFill="1" applyBorder="1" applyAlignment="1">
      <alignment horizontal="center" vertical="center"/>
    </xf>
    <xf numFmtId="0" fontId="39" fillId="31" borderId="24" xfId="0" applyFont="1" applyFill="1" applyBorder="1" applyAlignment="1">
      <alignment horizontal="center" vertical="center"/>
    </xf>
    <xf numFmtId="168" fontId="39" fillId="31" borderId="18" xfId="0" quotePrefix="1" applyNumberFormat="1" applyFont="1" applyFill="1" applyBorder="1" applyAlignment="1">
      <alignment horizontal="center" vertical="center" wrapText="1"/>
    </xf>
    <xf numFmtId="0" fontId="40" fillId="31" borderId="18" xfId="0" applyFont="1" applyFill="1" applyBorder="1" applyAlignment="1">
      <alignment horizontal="left" vertical="center" wrapText="1"/>
    </xf>
    <xf numFmtId="0" fontId="40" fillId="31" borderId="18" xfId="0" applyFont="1" applyFill="1" applyBorder="1" applyAlignment="1">
      <alignment horizontal="left" vertical="center"/>
    </xf>
    <xf numFmtId="168" fontId="41" fillId="0" borderId="0" xfId="0" applyNumberFormat="1" applyFont="1" applyAlignment="1">
      <alignment horizontal="center" vertical="center"/>
    </xf>
    <xf numFmtId="168" fontId="43" fillId="0" borderId="18" xfId="0" applyNumberFormat="1" applyFont="1" applyBorder="1" applyAlignment="1">
      <alignment horizontal="center" vertical="center"/>
    </xf>
    <xf numFmtId="168" fontId="41" fillId="0" borderId="18" xfId="0" applyNumberFormat="1" applyFont="1" applyBorder="1" applyAlignment="1">
      <alignment horizontal="center" vertical="center"/>
    </xf>
    <xf numFmtId="0" fontId="43" fillId="11" borderId="18" xfId="0" applyFont="1" applyFill="1" applyBorder="1" applyAlignment="1">
      <alignment horizontal="center" vertical="center"/>
    </xf>
    <xf numFmtId="0" fontId="43" fillId="0" borderId="18" xfId="0" applyFont="1" applyBorder="1" applyAlignment="1">
      <alignment vertical="center"/>
    </xf>
    <xf numFmtId="168" fontId="41" fillId="0" borderId="19" xfId="0" applyNumberFormat="1" applyFont="1" applyBorder="1" applyAlignment="1">
      <alignment horizontal="center" vertical="center"/>
    </xf>
    <xf numFmtId="0" fontId="29" fillId="0" borderId="31" xfId="0" applyFont="1" applyBorder="1" applyAlignment="1">
      <alignment horizontal="center" vertical="center"/>
    </xf>
    <xf numFmtId="168" fontId="48" fillId="0" borderId="16" xfId="0" applyNumberFormat="1" applyFont="1" applyBorder="1" applyAlignment="1">
      <alignment horizontal="center" vertical="center"/>
    </xf>
    <xf numFmtId="0" fontId="31" fillId="22" borderId="9" xfId="0" applyFont="1" applyFill="1" applyBorder="1" applyAlignment="1">
      <alignment horizontal="center" vertical="center"/>
    </xf>
    <xf numFmtId="0" fontId="47" fillId="22" borderId="9" xfId="0" applyFont="1" applyFill="1" applyBorder="1" applyAlignment="1">
      <alignment horizontal="center" vertical="center"/>
    </xf>
    <xf numFmtId="0" fontId="31" fillId="22" borderId="9" xfId="0" applyFont="1" applyFill="1" applyBorder="1" applyAlignment="1">
      <alignment horizontal="center" vertical="center" wrapText="1"/>
    </xf>
    <xf numFmtId="0" fontId="40" fillId="0" borderId="18" xfId="0" applyFont="1" applyBorder="1" applyAlignment="1">
      <alignment horizontal="center" vertical="center" wrapText="1"/>
    </xf>
    <xf numFmtId="0" fontId="39" fillId="22" borderId="18" xfId="0" applyFont="1" applyFill="1" applyBorder="1" applyAlignment="1">
      <alignment horizontal="center" vertical="center"/>
    </xf>
    <xf numFmtId="169" fontId="39" fillId="22" borderId="18" xfId="0" applyNumberFormat="1" applyFont="1" applyFill="1" applyBorder="1" applyAlignment="1">
      <alignment horizontal="center" vertical="center"/>
    </xf>
    <xf numFmtId="0" fontId="40" fillId="22" borderId="24" xfId="0" applyFont="1" applyFill="1" applyBorder="1" applyAlignment="1">
      <alignment horizontal="center" vertical="center"/>
    </xf>
    <xf numFmtId="0" fontId="41" fillId="22" borderId="0" xfId="0" applyFont="1" applyFill="1" applyAlignment="1">
      <alignment horizontal="center" vertical="center"/>
    </xf>
    <xf numFmtId="0" fontId="52" fillId="30" borderId="20" xfId="1" applyFont="1" applyFill="1" applyBorder="1" applyAlignment="1">
      <alignment horizontal="center" vertical="center" wrapText="1"/>
    </xf>
    <xf numFmtId="0" fontId="52" fillId="30" borderId="20" xfId="0" applyFont="1" applyFill="1" applyBorder="1" applyAlignment="1">
      <alignment horizontal="center" vertical="center" wrapText="1"/>
    </xf>
    <xf numFmtId="169" fontId="39" fillId="11" borderId="18" xfId="0" applyNumberFormat="1" applyFont="1" applyFill="1" applyBorder="1" applyAlignment="1">
      <alignment horizontal="center" vertical="center"/>
    </xf>
    <xf numFmtId="170" fontId="39" fillId="19" borderId="18" xfId="0" applyNumberFormat="1" applyFont="1" applyFill="1" applyBorder="1" applyAlignment="1">
      <alignment horizontal="center" vertical="center"/>
    </xf>
    <xf numFmtId="0" fontId="41" fillId="22" borderId="24" xfId="0" applyFont="1" applyFill="1" applyBorder="1" applyAlignment="1">
      <alignment horizontal="center" vertical="center"/>
    </xf>
    <xf numFmtId="0" fontId="41" fillId="0" borderId="24" xfId="0" applyFont="1" applyBorder="1" applyAlignment="1">
      <alignment horizontal="center" vertical="center"/>
    </xf>
    <xf numFmtId="0" fontId="39" fillId="22" borderId="18" xfId="0" applyFont="1" applyFill="1" applyBorder="1" applyAlignment="1">
      <alignment horizontal="left" vertical="center" wrapText="1"/>
    </xf>
    <xf numFmtId="0" fontId="38" fillId="30" borderId="20" xfId="1" applyFont="1" applyFill="1" applyBorder="1" applyAlignment="1">
      <alignment horizontal="center" vertical="center" wrapText="1"/>
    </xf>
    <xf numFmtId="0" fontId="38" fillId="30" borderId="20" xfId="0" applyFont="1" applyFill="1" applyBorder="1" applyAlignment="1">
      <alignment horizontal="center" vertical="center" wrapText="1"/>
    </xf>
    <xf numFmtId="167" fontId="31" fillId="0" borderId="16" xfId="0" applyNumberFormat="1" applyFont="1" applyBorder="1" applyAlignment="1">
      <alignment horizontal="center" vertical="center"/>
    </xf>
    <xf numFmtId="0" fontId="47" fillId="0" borderId="9" xfId="0" applyFont="1" applyBorder="1" applyAlignment="1">
      <alignment horizontal="center" vertical="center"/>
    </xf>
    <xf numFmtId="0" fontId="51" fillId="0" borderId="16" xfId="0" applyFont="1" applyBorder="1" applyAlignment="1">
      <alignment horizontal="center" vertical="center"/>
    </xf>
    <xf numFmtId="170" fontId="39" fillId="19" borderId="30" xfId="0" applyNumberFormat="1" applyFont="1" applyFill="1" applyBorder="1" applyAlignment="1">
      <alignment horizontal="center" vertical="center"/>
    </xf>
    <xf numFmtId="170" fontId="39" fillId="19" borderId="24" xfId="0" applyNumberFormat="1" applyFont="1" applyFill="1" applyBorder="1" applyAlignment="1">
      <alignment horizontal="center" vertical="center"/>
    </xf>
    <xf numFmtId="0" fontId="41" fillId="22" borderId="19" xfId="0" applyFont="1" applyFill="1" applyBorder="1" applyAlignment="1">
      <alignment horizontal="center" vertical="center"/>
    </xf>
    <xf numFmtId="0" fontId="40" fillId="22" borderId="19" xfId="0" applyFont="1" applyFill="1" applyBorder="1" applyAlignment="1">
      <alignment horizontal="center" vertical="center"/>
    </xf>
    <xf numFmtId="0" fontId="41" fillId="22" borderId="27" xfId="0" applyFont="1" applyFill="1" applyBorder="1" applyAlignment="1">
      <alignment horizontal="center" vertical="center"/>
    </xf>
    <xf numFmtId="0" fontId="41" fillId="22" borderId="29" xfId="0" applyFont="1" applyFill="1" applyBorder="1" applyAlignment="1">
      <alignment horizontal="center" vertical="center"/>
    </xf>
    <xf numFmtId="0" fontId="41" fillId="22" borderId="28" xfId="0" applyFont="1" applyFill="1" applyBorder="1" applyAlignment="1">
      <alignment horizontal="center" vertical="center"/>
    </xf>
    <xf numFmtId="0" fontId="41" fillId="0" borderId="28" xfId="0" applyFont="1" applyBorder="1" applyAlignment="1">
      <alignment horizontal="center" vertical="center"/>
    </xf>
    <xf numFmtId="0" fontId="41" fillId="22" borderId="26" xfId="0" applyFont="1" applyFill="1" applyBorder="1" applyAlignment="1">
      <alignment horizontal="center" vertical="center"/>
    </xf>
    <xf numFmtId="0" fontId="41" fillId="22" borderId="25" xfId="0" applyFont="1" applyFill="1" applyBorder="1" applyAlignment="1">
      <alignment horizontal="center" vertical="center"/>
    </xf>
    <xf numFmtId="0" fontId="41" fillId="0" borderId="25" xfId="0" applyFont="1" applyBorder="1" applyAlignment="1">
      <alignment horizontal="center" vertical="center"/>
    </xf>
    <xf numFmtId="0" fontId="39" fillId="0" borderId="26" xfId="0" applyFont="1" applyBorder="1" applyAlignment="1">
      <alignment horizontal="center" vertical="center"/>
    </xf>
    <xf numFmtId="171" fontId="40" fillId="0" borderId="18" xfId="0" applyNumberFormat="1" applyFont="1" applyBorder="1" applyAlignment="1">
      <alignment horizontal="center" vertical="center"/>
    </xf>
    <xf numFmtId="169" fontId="40" fillId="11" borderId="18" xfId="0" applyNumberFormat="1" applyFont="1" applyFill="1" applyBorder="1" applyAlignment="1">
      <alignment horizontal="center" vertical="center"/>
    </xf>
    <xf numFmtId="0" fontId="40" fillId="31" borderId="0" xfId="0" applyFont="1" applyFill="1" applyAlignment="1">
      <alignment horizontal="center" vertical="center"/>
    </xf>
    <xf numFmtId="0" fontId="39" fillId="31" borderId="0" xfId="0" applyFont="1" applyFill="1" applyAlignment="1">
      <alignment horizontal="center" vertical="center"/>
    </xf>
    <xf numFmtId="169" fontId="39" fillId="31" borderId="0" xfId="0" applyNumberFormat="1" applyFont="1" applyFill="1" applyAlignment="1">
      <alignment horizontal="center" vertical="center"/>
    </xf>
    <xf numFmtId="0" fontId="40" fillId="0" borderId="24" xfId="0" applyFont="1" applyBorder="1" applyAlignment="1">
      <alignment horizontal="center" vertical="center" wrapText="1"/>
    </xf>
    <xf numFmtId="49" fontId="39" fillId="0" borderId="24" xfId="0" applyNumberFormat="1" applyFont="1" applyBorder="1" applyAlignment="1">
      <alignment horizontal="center" vertical="center"/>
    </xf>
    <xf numFmtId="0" fontId="39" fillId="19" borderId="18" xfId="0" applyFont="1" applyFill="1" applyBorder="1" applyAlignment="1">
      <alignment horizontal="center" vertical="center" wrapText="1"/>
    </xf>
    <xf numFmtId="0" fontId="39" fillId="22" borderId="9" xfId="0" applyFont="1" applyFill="1" applyBorder="1" applyAlignment="1">
      <alignment horizontal="center" vertical="center"/>
    </xf>
    <xf numFmtId="0" fontId="43" fillId="22" borderId="9" xfId="0" applyFont="1" applyFill="1" applyBorder="1" applyAlignment="1">
      <alignment horizontal="center" vertical="center"/>
    </xf>
    <xf numFmtId="0" fontId="43" fillId="31" borderId="25" xfId="0" applyFont="1" applyFill="1" applyBorder="1" applyAlignment="1">
      <alignment horizontal="center" vertical="center"/>
    </xf>
    <xf numFmtId="0" fontId="43" fillId="0" borderId="26" xfId="0" applyFont="1" applyBorder="1" applyAlignment="1">
      <alignment horizontal="center" vertical="center"/>
    </xf>
    <xf numFmtId="0" fontId="43" fillId="0" borderId="25" xfId="0" applyFont="1" applyBorder="1" applyAlignment="1">
      <alignment horizontal="center" vertical="center"/>
    </xf>
    <xf numFmtId="0" fontId="43" fillId="31" borderId="26" xfId="0" applyFont="1" applyFill="1" applyBorder="1" applyAlignment="1">
      <alignment horizontal="center" vertical="center"/>
    </xf>
    <xf numFmtId="0" fontId="43" fillId="31" borderId="0" xfId="0" applyFont="1" applyFill="1" applyAlignment="1">
      <alignment horizontal="center" vertical="center"/>
    </xf>
    <xf numFmtId="0" fontId="29" fillId="20" borderId="10" xfId="0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168" fontId="11" fillId="0" borderId="9" xfId="0" applyNumberFormat="1" applyFont="1" applyBorder="1" applyAlignment="1">
      <alignment horizontal="center" vertical="center"/>
    </xf>
    <xf numFmtId="0" fontId="33" fillId="0" borderId="21" xfId="0" applyFont="1" applyBorder="1" applyAlignment="1">
      <alignment horizontal="center" vertical="center" wrapText="1"/>
    </xf>
    <xf numFmtId="0" fontId="45" fillId="0" borderId="1" xfId="0" applyFont="1" applyBorder="1" applyAlignment="1">
      <alignment horizontal="center" vertical="center"/>
    </xf>
    <xf numFmtId="0" fontId="53" fillId="0" borderId="1" xfId="0" applyFont="1" applyBorder="1" applyAlignment="1">
      <alignment horizontal="center" vertical="center"/>
    </xf>
    <xf numFmtId="169" fontId="53" fillId="0" borderId="1" xfId="0" applyNumberFormat="1" applyFont="1" applyBorder="1" applyAlignment="1">
      <alignment horizontal="center" vertical="center"/>
    </xf>
    <xf numFmtId="0" fontId="39" fillId="19" borderId="24" xfId="0" applyFont="1" applyFill="1" applyBorder="1" applyAlignment="1">
      <alignment horizontal="center" vertical="center" wrapText="1"/>
    </xf>
    <xf numFmtId="0" fontId="39" fillId="19" borderId="18" xfId="0" quotePrefix="1" applyFont="1" applyFill="1" applyBorder="1" applyAlignment="1">
      <alignment horizontal="center" vertical="center"/>
    </xf>
    <xf numFmtId="1" fontId="39" fillId="0" borderId="18" xfId="0" quotePrefix="1" applyNumberFormat="1" applyFont="1" applyBorder="1" applyAlignment="1">
      <alignment horizontal="center" vertical="center"/>
    </xf>
    <xf numFmtId="168" fontId="41" fillId="11" borderId="18" xfId="0" applyNumberFormat="1" applyFont="1" applyFill="1" applyBorder="1" applyAlignment="1">
      <alignment horizontal="center" vertical="center"/>
    </xf>
    <xf numFmtId="0" fontId="54" fillId="22" borderId="9" xfId="0" applyFont="1" applyFill="1" applyBorder="1" applyAlignment="1">
      <alignment horizontal="center" vertical="center" wrapText="1"/>
    </xf>
    <xf numFmtId="0" fontId="44" fillId="22" borderId="9" xfId="0" applyFont="1" applyFill="1" applyBorder="1" applyAlignment="1">
      <alignment horizontal="center" vertical="center" wrapText="1"/>
    </xf>
    <xf numFmtId="0" fontId="49" fillId="27" borderId="22" xfId="0" applyFont="1" applyFill="1" applyBorder="1" applyAlignment="1">
      <alignment horizontal="center" vertical="center" wrapText="1"/>
    </xf>
    <xf numFmtId="0" fontId="49" fillId="27" borderId="23" xfId="0" applyFont="1" applyFill="1" applyBorder="1" applyAlignment="1">
      <alignment horizontal="center" vertical="center" wrapText="1"/>
    </xf>
    <xf numFmtId="0" fontId="49" fillId="14" borderId="12" xfId="47" applyNumberFormat="1" applyFont="1" applyFill="1" applyBorder="1" applyAlignment="1">
      <alignment horizontal="center" vertical="center" wrapText="1"/>
    </xf>
    <xf numFmtId="168" fontId="49" fillId="14" borderId="12" xfId="47" applyNumberFormat="1" applyFont="1" applyFill="1" applyBorder="1" applyAlignment="1">
      <alignment horizontal="center" vertical="center" wrapText="1"/>
    </xf>
    <xf numFmtId="0" fontId="49" fillId="14" borderId="13" xfId="47" applyNumberFormat="1" applyFont="1" applyFill="1" applyBorder="1" applyAlignment="1">
      <alignment horizontal="center" vertical="center" wrapText="1"/>
    </xf>
    <xf numFmtId="0" fontId="49" fillId="13" borderId="11" xfId="47" applyNumberFormat="1" applyFont="1" applyFill="1" applyBorder="1" applyAlignment="1">
      <alignment horizontal="center" vertical="center" wrapText="1"/>
    </xf>
    <xf numFmtId="0" fontId="49" fillId="13" borderId="12" xfId="47" applyNumberFormat="1" applyFont="1" applyFill="1" applyBorder="1" applyAlignment="1">
      <alignment horizontal="center" vertical="center" wrapText="1"/>
    </xf>
    <xf numFmtId="168" fontId="49" fillId="13" borderId="13" xfId="47" applyNumberFormat="1" applyFont="1" applyFill="1" applyBorder="1" applyAlignment="1">
      <alignment horizontal="center" vertical="center" wrapText="1"/>
    </xf>
    <xf numFmtId="0" fontId="49" fillId="18" borderId="11" xfId="0" applyFont="1" applyFill="1" applyBorder="1" applyAlignment="1">
      <alignment horizontal="center" vertical="center" wrapText="1"/>
    </xf>
    <xf numFmtId="0" fontId="49" fillId="18" borderId="1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5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17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D34F"/>
      <color rgb="FFFF9999"/>
      <color rgb="FF96FF9C"/>
      <color rgb="FFFFFA69"/>
      <color rgb="FFFF2BA0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ei.prefeitura.sp.gov.br/sei/controlador.php?acao=protocolo_visualizar&amp;id_protocolo=150546139&amp;id_procedimento_atual=98785192&amp;infra_sistema=100000100&amp;infra_unidade_atual=110001116&amp;infra_hash=40efb5f52c0ab81d0cb5cbd107762f2eed19e98ef5cb8adf2cbc55741db889f03213466edc4d33b4bd2c1f0cc1f40d0cbeb45363c6d11efe3517df577d6f5fc4f4afb6ae4e977743e133a4397a87569e639d1d9f7230e33269871a661a5c4a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Y37843"/>
  <sheetViews>
    <sheetView showGridLines="0" tabSelected="1" topLeftCell="A10" zoomScale="85" zoomScaleNormal="85" workbookViewId="0">
      <pane xSplit="6" ySplit="4" topLeftCell="AS330" activePane="bottomRight" state="frozen"/>
      <selection pane="bottomRight" activeCell="AU336" sqref="AU336"/>
      <selection pane="bottomLeft"/>
      <selection pane="topRight"/>
    </sheetView>
  </sheetViews>
  <sheetFormatPr defaultColWidth="9.140625" defaultRowHeight="30" customHeight="1"/>
  <cols>
    <col min="1" max="1" width="10" style="195" bestFit="1" customWidth="1"/>
    <col min="2" max="2" width="19" style="195" bestFit="1" customWidth="1"/>
    <col min="3" max="3" width="13.28515625" style="120" customWidth="1"/>
    <col min="4" max="4" width="16" style="120" bestFit="1" customWidth="1"/>
    <col min="5" max="5" width="17.7109375" style="120" bestFit="1" customWidth="1"/>
    <col min="6" max="6" width="15.85546875" style="121" bestFit="1" customWidth="1"/>
    <col min="7" max="7" width="24" style="120" customWidth="1"/>
    <col min="8" max="8" width="22.85546875" style="120" customWidth="1"/>
    <col min="9" max="9" width="38.7109375" style="120" customWidth="1"/>
    <col min="10" max="10" width="70.28515625" style="121" bestFit="1" customWidth="1"/>
    <col min="11" max="11" width="20.7109375" style="121" customWidth="1"/>
    <col min="12" max="12" width="22.140625" style="121" customWidth="1"/>
    <col min="13" max="13" width="35.42578125" style="120" customWidth="1"/>
    <col min="14" max="14" width="51.85546875" style="120" bestFit="1" customWidth="1"/>
    <col min="15" max="15" width="19.85546875" style="188" bestFit="1" customWidth="1"/>
    <col min="16" max="16" width="60.42578125" style="122" bestFit="1" customWidth="1"/>
    <col min="17" max="17" width="50.42578125" style="261" customWidth="1"/>
    <col min="18" max="18" width="56.5703125" style="122" customWidth="1"/>
    <col min="19" max="19" width="49.28515625" style="122" customWidth="1"/>
    <col min="20" max="20" width="53.5703125" style="122" customWidth="1"/>
    <col min="21" max="21" width="49.28515625" style="122" customWidth="1"/>
    <col min="22" max="22" width="27.5703125" style="122" customWidth="1"/>
    <col min="23" max="23" width="30.5703125" style="122" customWidth="1"/>
    <col min="24" max="24" width="31.28515625" style="122" customWidth="1"/>
    <col min="25" max="25" width="21.28515625" style="122" customWidth="1"/>
    <col min="26" max="26" width="33.5703125" style="155" customWidth="1"/>
    <col min="27" max="27" width="103.7109375" style="120" customWidth="1"/>
    <col min="28" max="28" width="62.7109375" style="121" bestFit="1" customWidth="1"/>
    <col min="29" max="29" width="17.28515625" style="121" bestFit="1" customWidth="1"/>
    <col min="30" max="30" width="18.85546875" style="121" bestFit="1" customWidth="1"/>
    <col min="31" max="31" width="40.28515625" style="120" bestFit="1" customWidth="1"/>
    <col min="32" max="32" width="40.28515625" style="120" customWidth="1"/>
    <col min="33" max="33" width="28.28515625" style="206" bestFit="1" customWidth="1"/>
    <col min="34" max="34" width="34.7109375" style="206" bestFit="1" customWidth="1"/>
    <col min="35" max="35" width="70.5703125" style="120" bestFit="1" customWidth="1"/>
    <col min="36" max="36" width="38" style="120" bestFit="1" customWidth="1"/>
    <col min="37" max="37" width="38" style="120" customWidth="1"/>
    <col min="38" max="38" width="91.28515625" style="120" bestFit="1" customWidth="1"/>
    <col min="39" max="39" width="14.85546875" style="120" bestFit="1" customWidth="1"/>
    <col min="40" max="40" width="59.5703125" style="120" bestFit="1" customWidth="1"/>
    <col min="41" max="41" width="77.5703125" style="120" customWidth="1"/>
    <col min="42" max="42" width="43.42578125" style="121" bestFit="1" customWidth="1"/>
    <col min="43" max="43" width="40.140625" style="120" bestFit="1" customWidth="1"/>
    <col min="44" max="44" width="36.85546875" style="120" bestFit="1" customWidth="1"/>
    <col min="45" max="45" width="68" style="120" customWidth="1"/>
    <col min="46" max="46" width="45.42578125" style="120" bestFit="1" customWidth="1"/>
    <col min="47" max="47" width="43.28515625" style="122" customWidth="1"/>
    <col min="48" max="48" width="61.85546875" style="120" customWidth="1"/>
    <col min="49" max="49" width="42" style="120" bestFit="1" customWidth="1"/>
    <col min="50" max="50" width="31.28515625" style="120" bestFit="1" customWidth="1"/>
    <col min="51" max="51" width="25.28515625" style="122" bestFit="1" customWidth="1"/>
    <col min="52" max="52" width="33.5703125" style="156" bestFit="1" customWidth="1"/>
    <col min="53" max="53" width="34.140625" style="156" bestFit="1" customWidth="1"/>
    <col min="54" max="54" width="54.7109375" style="156" customWidth="1"/>
    <col min="55" max="55" width="18.140625" style="156" customWidth="1"/>
    <col min="56" max="56" width="28.28515625" style="120" bestFit="1" customWidth="1"/>
    <col min="57" max="58" width="43.42578125" style="120" bestFit="1" customWidth="1"/>
    <col min="59" max="59" width="43.85546875" style="157" bestFit="1" customWidth="1"/>
    <col min="60" max="60" width="27.140625" style="157" bestFit="1" customWidth="1"/>
    <col min="61" max="61" width="57" style="120" bestFit="1" customWidth="1"/>
    <col min="62" max="62" width="45.42578125" style="120" bestFit="1" customWidth="1"/>
    <col min="63" max="63" width="25" style="120" bestFit="1" customWidth="1"/>
    <col min="64" max="64" width="54.7109375" style="120" bestFit="1" customWidth="1"/>
    <col min="65" max="65" width="47.7109375" style="120" bestFit="1" customWidth="1"/>
    <col min="66" max="67" width="9.140625" style="120" bestFit="1" customWidth="1"/>
    <col min="68" max="68" width="24.140625" style="120" bestFit="1" customWidth="1"/>
    <col min="69" max="103" width="9.140625" style="120" bestFit="1" customWidth="1"/>
    <col min="104" max="16384" width="9.140625" style="120"/>
  </cols>
  <sheetData>
    <row r="1" spans="1:103" ht="30" customHeight="1">
      <c r="O1" s="157"/>
      <c r="Z1" s="122"/>
      <c r="AZ1" s="120"/>
      <c r="BA1" s="120"/>
      <c r="BB1" s="120"/>
      <c r="BC1" s="120"/>
    </row>
    <row r="2" spans="1:103" ht="30" customHeight="1">
      <c r="O2" s="157"/>
      <c r="Z2" s="122"/>
      <c r="AZ2" s="120"/>
      <c r="BA2" s="120"/>
      <c r="BB2" s="120"/>
      <c r="BC2" s="120"/>
    </row>
    <row r="3" spans="1:103" ht="30" customHeight="1">
      <c r="C3" s="120">
        <v>2</v>
      </c>
      <c r="D3" s="120" t="s">
        <v>0</v>
      </c>
      <c r="G3" s="120" t="s">
        <v>1</v>
      </c>
      <c r="H3" s="120" t="s">
        <v>2</v>
      </c>
      <c r="I3" s="120" t="s">
        <v>3</v>
      </c>
      <c r="M3" s="120" t="s">
        <v>4</v>
      </c>
      <c r="N3" s="120" t="s">
        <v>5</v>
      </c>
      <c r="O3" s="157"/>
      <c r="P3" s="122" t="s">
        <v>6</v>
      </c>
      <c r="R3" s="122" t="s">
        <v>6</v>
      </c>
      <c r="X3" s="122" t="s">
        <v>7</v>
      </c>
      <c r="Z3" s="122"/>
      <c r="AE3" s="120" t="s">
        <v>3</v>
      </c>
      <c r="AF3" s="120" t="s">
        <v>4</v>
      </c>
      <c r="AI3" s="120" t="s">
        <v>6</v>
      </c>
      <c r="AJ3" s="120" t="s">
        <v>6</v>
      </c>
      <c r="AM3" s="120" t="s">
        <v>8</v>
      </c>
      <c r="AN3" s="120" t="s">
        <v>9</v>
      </c>
      <c r="AZ3" s="120"/>
      <c r="BA3" s="120"/>
      <c r="BB3" s="120"/>
      <c r="BC3" s="120"/>
    </row>
    <row r="4" spans="1:103" ht="30" customHeight="1">
      <c r="C4" s="120">
        <v>4</v>
      </c>
      <c r="G4" s="120" t="s">
        <v>10</v>
      </c>
      <c r="H4" s="120" t="s">
        <v>11</v>
      </c>
      <c r="I4" s="120" t="s">
        <v>12</v>
      </c>
      <c r="M4" s="120" t="s">
        <v>13</v>
      </c>
      <c r="N4" s="120" t="s">
        <v>14</v>
      </c>
      <c r="O4" s="157"/>
      <c r="P4" s="122" t="s">
        <v>15</v>
      </c>
      <c r="R4" s="122" t="s">
        <v>15</v>
      </c>
      <c r="Z4" s="122"/>
      <c r="AE4" s="120" t="s">
        <v>12</v>
      </c>
      <c r="AF4" s="120" t="s">
        <v>13</v>
      </c>
      <c r="AI4" s="120" t="s">
        <v>16</v>
      </c>
      <c r="AJ4" s="120" t="s">
        <v>15</v>
      </c>
      <c r="AM4" s="120" t="s">
        <v>17</v>
      </c>
      <c r="AN4" s="120" t="s">
        <v>18</v>
      </c>
      <c r="AZ4" s="120"/>
      <c r="BA4" s="120"/>
      <c r="BB4" s="120"/>
      <c r="BC4" s="120"/>
    </row>
    <row r="5" spans="1:103" ht="30" customHeight="1">
      <c r="G5" s="120" t="s">
        <v>19</v>
      </c>
      <c r="H5" s="123" t="s">
        <v>20</v>
      </c>
      <c r="I5" s="120" t="s">
        <v>21</v>
      </c>
      <c r="N5" s="120" t="s">
        <v>22</v>
      </c>
      <c r="O5" s="157"/>
      <c r="Z5" s="122"/>
      <c r="AI5" s="120" t="s">
        <v>23</v>
      </c>
      <c r="AJ5" s="120" t="s">
        <v>24</v>
      </c>
      <c r="AN5" s="120" t="s">
        <v>25</v>
      </c>
      <c r="AZ5" s="120"/>
      <c r="BA5" s="120"/>
      <c r="BB5" s="120"/>
      <c r="BC5" s="120"/>
    </row>
    <row r="6" spans="1:103" ht="30" customHeight="1">
      <c r="G6" s="120" t="s">
        <v>26</v>
      </c>
      <c r="N6" s="120" t="s">
        <v>27</v>
      </c>
      <c r="O6" s="157"/>
      <c r="Z6" s="122"/>
      <c r="AI6" s="120" t="s">
        <v>28</v>
      </c>
      <c r="AJ6" s="120" t="s">
        <v>17</v>
      </c>
      <c r="AN6" s="120" t="s">
        <v>29</v>
      </c>
      <c r="AZ6" s="120"/>
      <c r="BA6" s="120"/>
      <c r="BB6" s="120"/>
      <c r="BC6" s="120"/>
    </row>
    <row r="7" spans="1:103" ht="30" customHeight="1">
      <c r="G7" s="120" t="s">
        <v>30</v>
      </c>
      <c r="O7" s="157"/>
      <c r="Z7" s="122"/>
      <c r="AZ7" s="120"/>
      <c r="BA7" s="120"/>
      <c r="BB7" s="120"/>
      <c r="BC7" s="120"/>
    </row>
    <row r="8" spans="1:103" ht="30" customHeight="1">
      <c r="G8" s="120" t="s">
        <v>31</v>
      </c>
      <c r="O8" s="157"/>
      <c r="Z8" s="122"/>
      <c r="AZ8" s="120"/>
      <c r="BA8" s="120"/>
      <c r="BB8" s="120"/>
      <c r="BC8" s="120"/>
    </row>
    <row r="9" spans="1:103" ht="30" customHeight="1">
      <c r="G9" s="120" t="s">
        <v>32</v>
      </c>
      <c r="O9" s="157"/>
      <c r="Z9" s="122"/>
      <c r="AZ9" s="120"/>
      <c r="BA9" s="120"/>
      <c r="BB9" s="120"/>
      <c r="BC9" s="120"/>
    </row>
    <row r="10" spans="1:103" ht="30" hidden="1" customHeight="1">
      <c r="O10" s="157"/>
      <c r="Z10" s="122"/>
      <c r="AP10" s="121" t="s">
        <v>33</v>
      </c>
      <c r="AQ10" s="121"/>
      <c r="AR10" s="121"/>
      <c r="AS10" s="121"/>
      <c r="AT10" s="121"/>
      <c r="AU10" s="121"/>
      <c r="AV10" s="121"/>
      <c r="AW10" s="121"/>
      <c r="AY10" s="120"/>
      <c r="AZ10" s="120"/>
      <c r="BA10" s="120"/>
      <c r="BB10" s="120"/>
      <c r="BC10" s="120"/>
    </row>
    <row r="11" spans="1:103" ht="14.25" hidden="1" customHeight="1">
      <c r="O11" s="157"/>
      <c r="Z11" s="122"/>
      <c r="AQ11" s="121"/>
      <c r="AR11" s="121"/>
      <c r="AS11" s="121"/>
      <c r="AT11" s="121"/>
      <c r="AU11" s="121"/>
      <c r="AV11" s="121"/>
      <c r="AW11" s="121"/>
      <c r="AY11" s="120"/>
      <c r="AZ11" s="120"/>
      <c r="BA11" s="120"/>
      <c r="BB11" s="120"/>
      <c r="BC11" s="120"/>
    </row>
    <row r="12" spans="1:103" s="196" customFormat="1" ht="30" customHeight="1">
      <c r="A12" s="336" t="s">
        <v>34</v>
      </c>
      <c r="B12" s="337"/>
      <c r="C12" s="337"/>
      <c r="D12" s="337"/>
      <c r="E12" s="337"/>
      <c r="F12" s="337"/>
      <c r="G12" s="337"/>
      <c r="H12" s="337"/>
      <c r="I12" s="337"/>
      <c r="J12" s="337"/>
      <c r="K12" s="337"/>
      <c r="L12" s="337"/>
      <c r="M12" s="337"/>
      <c r="N12" s="337"/>
      <c r="O12" s="338"/>
      <c r="P12" s="333" t="s">
        <v>35</v>
      </c>
      <c r="Q12" s="333"/>
      <c r="R12" s="333"/>
      <c r="S12" s="333"/>
      <c r="T12" s="333"/>
      <c r="U12" s="334"/>
      <c r="V12" s="333"/>
      <c r="W12" s="333"/>
      <c r="X12" s="333"/>
      <c r="Y12" s="334"/>
      <c r="Z12" s="333"/>
      <c r="AA12" s="335"/>
      <c r="AB12" s="227" t="s">
        <v>36</v>
      </c>
      <c r="AC12" s="227"/>
      <c r="AD12" s="227"/>
      <c r="AE12" s="227"/>
      <c r="AF12" s="227"/>
      <c r="AG12" s="228"/>
      <c r="AH12" s="228"/>
      <c r="AI12" s="227"/>
      <c r="AJ12" s="227"/>
      <c r="AK12" s="227"/>
      <c r="AL12" s="227"/>
      <c r="AM12" s="227"/>
      <c r="AN12" s="227"/>
      <c r="AO12" s="227"/>
      <c r="AP12" s="227"/>
      <c r="AQ12" s="227"/>
      <c r="AR12" s="227"/>
      <c r="AS12" s="227"/>
      <c r="AT12" s="227"/>
      <c r="AU12" s="229"/>
      <c r="AV12" s="227"/>
      <c r="AW12" s="227"/>
      <c r="AX12" s="227"/>
      <c r="AY12" s="229"/>
      <c r="AZ12" s="227"/>
      <c r="BA12" s="227"/>
      <c r="BB12" s="339" t="s">
        <v>37</v>
      </c>
      <c r="BC12" s="340"/>
      <c r="BD12" s="331"/>
      <c r="BE12" s="332"/>
      <c r="BF12" s="332"/>
      <c r="BG12" s="332"/>
      <c r="BH12" s="332"/>
      <c r="BI12" s="332"/>
      <c r="BJ12" s="332"/>
      <c r="BK12" s="332"/>
      <c r="BL12" s="332"/>
      <c r="BM12" s="332"/>
    </row>
    <row r="13" spans="1:103" s="121" customFormat="1" ht="48" customHeight="1">
      <c r="A13" s="124" t="s">
        <v>38</v>
      </c>
      <c r="B13" s="124" t="s">
        <v>39</v>
      </c>
      <c r="C13" s="125" t="s">
        <v>40</v>
      </c>
      <c r="D13" s="125" t="s">
        <v>41</v>
      </c>
      <c r="E13" s="125" t="s">
        <v>42</v>
      </c>
      <c r="F13" s="125" t="s">
        <v>43</v>
      </c>
      <c r="G13" s="125" t="s">
        <v>44</v>
      </c>
      <c r="H13" s="125" t="s">
        <v>45</v>
      </c>
      <c r="I13" s="125" t="s">
        <v>46</v>
      </c>
      <c r="J13" s="126" t="s">
        <v>47</v>
      </c>
      <c r="K13" s="126" t="s">
        <v>48</v>
      </c>
      <c r="L13" s="126" t="s">
        <v>49</v>
      </c>
      <c r="M13" s="126" t="s">
        <v>50</v>
      </c>
      <c r="N13" s="126" t="s">
        <v>51</v>
      </c>
      <c r="O13" s="187" t="s">
        <v>52</v>
      </c>
      <c r="P13" s="127" t="s">
        <v>53</v>
      </c>
      <c r="Q13" s="127" t="s">
        <v>54</v>
      </c>
      <c r="R13" s="127" t="s">
        <v>55</v>
      </c>
      <c r="S13" s="127" t="s">
        <v>56</v>
      </c>
      <c r="T13" s="127" t="s">
        <v>57</v>
      </c>
      <c r="U13" s="127" t="s">
        <v>58</v>
      </c>
      <c r="V13" s="127" t="s">
        <v>59</v>
      </c>
      <c r="W13" s="127" t="s">
        <v>60</v>
      </c>
      <c r="X13" s="127" t="s">
        <v>61</v>
      </c>
      <c r="Y13" s="127" t="s">
        <v>62</v>
      </c>
      <c r="Z13" s="127" t="s">
        <v>63</v>
      </c>
      <c r="AA13" s="128" t="s">
        <v>64</v>
      </c>
      <c r="AB13" s="129" t="s">
        <v>65</v>
      </c>
      <c r="AC13" s="129" t="s">
        <v>48</v>
      </c>
      <c r="AD13" s="129" t="s">
        <v>49</v>
      </c>
      <c r="AE13" s="130" t="s">
        <v>66</v>
      </c>
      <c r="AF13" s="129" t="s">
        <v>67</v>
      </c>
      <c r="AG13" s="207" t="s">
        <v>68</v>
      </c>
      <c r="AH13" s="207" t="s">
        <v>69</v>
      </c>
      <c r="AI13" s="129" t="s">
        <v>70</v>
      </c>
      <c r="AJ13" s="130" t="s">
        <v>71</v>
      </c>
      <c r="AK13" s="130" t="s">
        <v>72</v>
      </c>
      <c r="AL13" s="129" t="s">
        <v>73</v>
      </c>
      <c r="AM13" s="129" t="s">
        <v>74</v>
      </c>
      <c r="AN13" s="129" t="s">
        <v>75</v>
      </c>
      <c r="AO13" s="129" t="s">
        <v>76</v>
      </c>
      <c r="AP13" s="129" t="s">
        <v>77</v>
      </c>
      <c r="AQ13" s="129" t="s">
        <v>78</v>
      </c>
      <c r="AR13" s="129" t="s">
        <v>79</v>
      </c>
      <c r="AS13" s="129" t="s">
        <v>80</v>
      </c>
      <c r="AT13" s="129" t="s">
        <v>81</v>
      </c>
      <c r="AU13" s="213" t="s">
        <v>82</v>
      </c>
      <c r="AV13" s="129" t="s">
        <v>83</v>
      </c>
      <c r="AW13" s="129" t="s">
        <v>84</v>
      </c>
      <c r="AX13" s="129" t="s">
        <v>61</v>
      </c>
      <c r="AY13" s="213" t="s">
        <v>85</v>
      </c>
      <c r="AZ13" s="129" t="s">
        <v>86</v>
      </c>
      <c r="BA13" s="131" t="s">
        <v>87</v>
      </c>
      <c r="BB13" s="132" t="s">
        <v>88</v>
      </c>
      <c r="BC13" s="133" t="s">
        <v>89</v>
      </c>
      <c r="BD13" s="175" t="s">
        <v>90</v>
      </c>
      <c r="BE13" s="175" t="s">
        <v>91</v>
      </c>
      <c r="BF13" s="175" t="s">
        <v>92</v>
      </c>
      <c r="BG13" s="173" t="s">
        <v>93</v>
      </c>
      <c r="BH13" s="174" t="s">
        <v>94</v>
      </c>
      <c r="BI13" s="175" t="s">
        <v>95</v>
      </c>
      <c r="BJ13" s="159" t="s">
        <v>81</v>
      </c>
      <c r="BK13" s="159" t="s">
        <v>96</v>
      </c>
      <c r="BL13" s="175" t="s">
        <v>97</v>
      </c>
      <c r="BM13" s="159" t="s">
        <v>98</v>
      </c>
    </row>
    <row r="14" spans="1:103" s="121" customFormat="1" ht="30" customHeight="1">
      <c r="A14" s="134">
        <v>1</v>
      </c>
      <c r="B14" s="134" t="s">
        <v>99</v>
      </c>
      <c r="C14" s="134">
        <v>2</v>
      </c>
      <c r="D14" s="134" t="s">
        <v>100</v>
      </c>
      <c r="E14" s="134" t="s">
        <v>100</v>
      </c>
      <c r="F14" s="152" t="s">
        <v>101</v>
      </c>
      <c r="G14" s="149" t="s">
        <v>102</v>
      </c>
      <c r="H14" s="149" t="s">
        <v>103</v>
      </c>
      <c r="I14" s="149" t="s">
        <v>104</v>
      </c>
      <c r="J14" s="152" t="s">
        <v>105</v>
      </c>
      <c r="K14" s="152" t="s">
        <v>106</v>
      </c>
      <c r="L14" s="152" t="s">
        <v>107</v>
      </c>
      <c r="M14" s="149" t="s">
        <v>4</v>
      </c>
      <c r="N14" s="149" t="s">
        <v>5</v>
      </c>
      <c r="O14" s="194">
        <v>45929</v>
      </c>
      <c r="P14" s="139" t="s">
        <v>24</v>
      </c>
      <c r="Q14" s="139" t="s">
        <v>24</v>
      </c>
      <c r="R14" s="139" t="s">
        <v>24</v>
      </c>
      <c r="S14" s="139" t="s">
        <v>24</v>
      </c>
      <c r="T14" s="139" t="s">
        <v>24</v>
      </c>
      <c r="U14" s="139" t="s">
        <v>24</v>
      </c>
      <c r="V14" s="139" t="s">
        <v>24</v>
      </c>
      <c r="W14" s="139" t="s">
        <v>24</v>
      </c>
      <c r="X14" s="139" t="s">
        <v>24</v>
      </c>
      <c r="Y14" s="139" t="s">
        <v>24</v>
      </c>
      <c r="Z14" s="139" t="s">
        <v>24</v>
      </c>
      <c r="AA14" s="149"/>
      <c r="AB14" s="152" t="s">
        <v>105</v>
      </c>
      <c r="AC14" s="152" t="s">
        <v>106</v>
      </c>
      <c r="AD14" s="152" t="s">
        <v>107</v>
      </c>
      <c r="AE14" s="149" t="s">
        <v>108</v>
      </c>
      <c r="AF14" s="149" t="s">
        <v>4</v>
      </c>
      <c r="AG14" s="208">
        <v>93257.31</v>
      </c>
      <c r="AH14" s="208">
        <v>93257.31</v>
      </c>
      <c r="AI14" s="234" t="s">
        <v>6</v>
      </c>
      <c r="AJ14" s="138" t="s">
        <v>109</v>
      </c>
      <c r="AK14" s="200">
        <v>142053044</v>
      </c>
      <c r="AL14" s="134" t="s">
        <v>110</v>
      </c>
      <c r="AM14" s="134" t="s">
        <v>110</v>
      </c>
      <c r="AN14" s="149" t="s">
        <v>111</v>
      </c>
      <c r="AO14" s="224"/>
      <c r="AP14" s="152" t="s">
        <v>112</v>
      </c>
      <c r="AQ14" s="198" t="s">
        <v>110</v>
      </c>
      <c r="AR14" s="198" t="s">
        <v>110</v>
      </c>
      <c r="AS14" s="198" t="s">
        <v>110</v>
      </c>
      <c r="AT14" s="198" t="s">
        <v>110</v>
      </c>
      <c r="AU14" s="194">
        <v>45974</v>
      </c>
      <c r="AV14" s="198" t="s">
        <v>110</v>
      </c>
      <c r="AW14" s="198" t="s">
        <v>110</v>
      </c>
      <c r="AX14" s="194">
        <v>45980</v>
      </c>
      <c r="AY14" s="197">
        <v>45980</v>
      </c>
      <c r="AZ14" s="197" t="s">
        <v>33</v>
      </c>
      <c r="BA14" s="145" t="s">
        <v>113</v>
      </c>
      <c r="BB14" s="149" t="s">
        <v>110</v>
      </c>
      <c r="BC14" s="142">
        <f t="shared" ref="BC14:BC27" si="0">IF(AY14-KD14=0,"",AY14-O14)</f>
        <v>51</v>
      </c>
      <c r="BD14" s="134" t="str">
        <f t="shared" ref="BD14:BD27" si="1">IF(AND(AI14&lt;&gt;"SIM",AI14="UH"),"AA","INDENIZAÇÃO")</f>
        <v>INDENIZAÇÃO</v>
      </c>
      <c r="BE14" s="134" t="str">
        <f t="shared" ref="BE14:BE27" si="2">IF(AND(AY14&lt;&gt;"AGUARDANDO",AY14&lt;&gt;"",N14="AUXÍLIO ALUGUEL ATÉ INDENIZAÇÃO"),"SIM","NÃO")</f>
        <v>NÃO</v>
      </c>
      <c r="BF14" s="149" t="s">
        <v>24</v>
      </c>
      <c r="BG14" s="149" t="s">
        <v>24</v>
      </c>
      <c r="BH14" s="149" t="s">
        <v>24</v>
      </c>
      <c r="BI14" s="149" t="s">
        <v>110</v>
      </c>
      <c r="BJ14" s="149" t="s">
        <v>110</v>
      </c>
      <c r="BK14" s="194">
        <v>46231</v>
      </c>
      <c r="BL14" s="145" t="s">
        <v>114</v>
      </c>
      <c r="BM14" s="145"/>
    </row>
    <row r="15" spans="1:103" s="121" customFormat="1" ht="30" customHeight="1">
      <c r="A15" s="134">
        <v>2</v>
      </c>
      <c r="B15" s="134" t="s">
        <v>99</v>
      </c>
      <c r="C15" s="134">
        <v>2</v>
      </c>
      <c r="D15" s="134" t="s">
        <v>100</v>
      </c>
      <c r="E15" s="134" t="s">
        <v>100</v>
      </c>
      <c r="F15" s="152" t="s">
        <v>115</v>
      </c>
      <c r="G15" s="149" t="s">
        <v>102</v>
      </c>
      <c r="H15" s="149" t="s">
        <v>103</v>
      </c>
      <c r="I15" s="149" t="s">
        <v>104</v>
      </c>
      <c r="J15" s="152" t="s">
        <v>116</v>
      </c>
      <c r="K15" s="152" t="s">
        <v>117</v>
      </c>
      <c r="L15" s="152" t="s">
        <v>118</v>
      </c>
      <c r="M15" s="134" t="s">
        <v>4</v>
      </c>
      <c r="N15" s="149" t="s">
        <v>5</v>
      </c>
      <c r="O15" s="194">
        <v>46001</v>
      </c>
      <c r="P15" s="139" t="s">
        <v>24</v>
      </c>
      <c r="Q15" s="139" t="s">
        <v>24</v>
      </c>
      <c r="R15" s="139" t="s">
        <v>24</v>
      </c>
      <c r="S15" s="139" t="s">
        <v>24</v>
      </c>
      <c r="T15" s="139" t="s">
        <v>24</v>
      </c>
      <c r="U15" s="139" t="s">
        <v>24</v>
      </c>
      <c r="V15" s="139" t="s">
        <v>24</v>
      </c>
      <c r="W15" s="139" t="s">
        <v>24</v>
      </c>
      <c r="X15" s="139" t="s">
        <v>24</v>
      </c>
      <c r="Y15" s="139" t="s">
        <v>24</v>
      </c>
      <c r="Z15" s="139" t="s">
        <v>24</v>
      </c>
      <c r="AA15" s="149"/>
      <c r="AB15" s="152" t="s">
        <v>116</v>
      </c>
      <c r="AC15" s="152" t="s">
        <v>117</v>
      </c>
      <c r="AD15" s="152" t="s">
        <v>118</v>
      </c>
      <c r="AE15" s="149" t="s">
        <v>108</v>
      </c>
      <c r="AF15" s="134" t="s">
        <v>4</v>
      </c>
      <c r="AG15" s="208">
        <v>25625.02</v>
      </c>
      <c r="AH15" s="208">
        <f>AG15+30000</f>
        <v>55625.020000000004</v>
      </c>
      <c r="AI15" s="234" t="s">
        <v>6</v>
      </c>
      <c r="AJ15" s="138" t="s">
        <v>109</v>
      </c>
      <c r="AK15" s="200">
        <v>144628629</v>
      </c>
      <c r="AL15" s="134" t="s">
        <v>110</v>
      </c>
      <c r="AM15" s="134" t="s">
        <v>110</v>
      </c>
      <c r="AN15" s="149" t="s">
        <v>111</v>
      </c>
      <c r="AO15" s="224"/>
      <c r="AP15" s="152" t="s">
        <v>119</v>
      </c>
      <c r="AQ15" s="198" t="s">
        <v>110</v>
      </c>
      <c r="AR15" s="198" t="s">
        <v>110</v>
      </c>
      <c r="AS15" s="198" t="s">
        <v>110</v>
      </c>
      <c r="AT15" s="198" t="s">
        <v>110</v>
      </c>
      <c r="AU15" s="194">
        <v>46021</v>
      </c>
      <c r="AV15" s="198" t="s">
        <v>110</v>
      </c>
      <c r="AW15" s="198" t="s">
        <v>110</v>
      </c>
      <c r="AX15" s="194">
        <v>46041</v>
      </c>
      <c r="AY15" s="197">
        <v>46041</v>
      </c>
      <c r="AZ15" s="197" t="s">
        <v>33</v>
      </c>
      <c r="BA15" s="145" t="s">
        <v>113</v>
      </c>
      <c r="BB15" s="149" t="s">
        <v>110</v>
      </c>
      <c r="BC15" s="142">
        <f t="shared" si="0"/>
        <v>40</v>
      </c>
      <c r="BD15" s="134" t="str">
        <f t="shared" si="1"/>
        <v>INDENIZAÇÃO</v>
      </c>
      <c r="BE15" s="134" t="str">
        <f t="shared" si="2"/>
        <v>NÃO</v>
      </c>
      <c r="BF15" s="149" t="s">
        <v>24</v>
      </c>
      <c r="BG15" s="149" t="s">
        <v>24</v>
      </c>
      <c r="BH15" s="149" t="s">
        <v>24</v>
      </c>
      <c r="BI15" s="149" t="s">
        <v>110</v>
      </c>
      <c r="BJ15" s="149" t="s">
        <v>110</v>
      </c>
      <c r="BK15" s="194">
        <v>46231</v>
      </c>
      <c r="BL15" s="145" t="s">
        <v>114</v>
      </c>
      <c r="BM15" s="145"/>
      <c r="BN15" s="120"/>
      <c r="BO15" s="120"/>
      <c r="BP15" s="120"/>
      <c r="BQ15" s="120"/>
      <c r="BR15" s="120"/>
      <c r="BS15" s="120"/>
      <c r="BT15" s="120"/>
      <c r="BU15" s="120"/>
      <c r="BV15" s="120"/>
      <c r="BW15" s="120"/>
      <c r="BX15" s="120"/>
      <c r="BY15" s="120"/>
      <c r="BZ15" s="120"/>
      <c r="CA15" s="120"/>
      <c r="CB15" s="120"/>
      <c r="CC15" s="120"/>
      <c r="CD15" s="120"/>
      <c r="CE15" s="120"/>
      <c r="CF15" s="120"/>
      <c r="CG15" s="120"/>
      <c r="CH15" s="120"/>
      <c r="CI15" s="120"/>
      <c r="CJ15" s="120"/>
      <c r="CK15" s="120"/>
      <c r="CL15" s="120"/>
      <c r="CM15" s="120"/>
      <c r="CN15" s="120"/>
      <c r="CO15" s="120"/>
      <c r="CP15" s="120"/>
      <c r="CQ15" s="120"/>
      <c r="CR15" s="120"/>
      <c r="CS15" s="120"/>
      <c r="CT15" s="120"/>
      <c r="CU15" s="120"/>
      <c r="CV15" s="120"/>
      <c r="CW15" s="120"/>
      <c r="CX15" s="120"/>
      <c r="CY15" s="120"/>
    </row>
    <row r="16" spans="1:103" s="121" customFormat="1" ht="30" customHeight="1">
      <c r="A16" s="134">
        <v>3</v>
      </c>
      <c r="B16" s="134" t="s">
        <v>99</v>
      </c>
      <c r="C16" s="134">
        <v>2</v>
      </c>
      <c r="D16" s="134" t="s">
        <v>100</v>
      </c>
      <c r="E16" s="134" t="s">
        <v>100</v>
      </c>
      <c r="F16" s="152" t="s">
        <v>120</v>
      </c>
      <c r="G16" s="149" t="s">
        <v>102</v>
      </c>
      <c r="H16" s="149" t="s">
        <v>103</v>
      </c>
      <c r="I16" s="149" t="s">
        <v>104</v>
      </c>
      <c r="J16" s="152" t="s">
        <v>121</v>
      </c>
      <c r="K16" s="152" t="s">
        <v>122</v>
      </c>
      <c r="L16" s="152" t="s">
        <v>123</v>
      </c>
      <c r="M16" s="134" t="s">
        <v>4</v>
      </c>
      <c r="N16" s="149" t="s">
        <v>5</v>
      </c>
      <c r="O16" s="194">
        <v>46191</v>
      </c>
      <c r="P16" s="139" t="s">
        <v>24</v>
      </c>
      <c r="Q16" s="139" t="s">
        <v>24</v>
      </c>
      <c r="R16" s="139" t="s">
        <v>24</v>
      </c>
      <c r="S16" s="139" t="s">
        <v>24</v>
      </c>
      <c r="T16" s="139" t="s">
        <v>24</v>
      </c>
      <c r="U16" s="139" t="s">
        <v>24</v>
      </c>
      <c r="V16" s="139" t="s">
        <v>24</v>
      </c>
      <c r="W16" s="139" t="s">
        <v>24</v>
      </c>
      <c r="X16" s="139" t="s">
        <v>24</v>
      </c>
      <c r="Y16" s="139" t="s">
        <v>24</v>
      </c>
      <c r="Z16" s="139" t="s">
        <v>24</v>
      </c>
      <c r="AA16" s="149"/>
      <c r="AB16" s="152" t="s">
        <v>121</v>
      </c>
      <c r="AC16" s="152" t="s">
        <v>122</v>
      </c>
      <c r="AD16" s="152" t="s">
        <v>123</v>
      </c>
      <c r="AE16" s="149" t="s">
        <v>108</v>
      </c>
      <c r="AF16" s="134" t="s">
        <v>4</v>
      </c>
      <c r="AG16" s="208">
        <v>15395.37</v>
      </c>
      <c r="AH16" s="208">
        <v>45395.37</v>
      </c>
      <c r="AI16" s="234" t="s">
        <v>6</v>
      </c>
      <c r="AJ16" s="138" t="s">
        <v>109</v>
      </c>
      <c r="AK16" s="306">
        <v>155555098</v>
      </c>
      <c r="AL16" s="134" t="s">
        <v>110</v>
      </c>
      <c r="AM16" s="134" t="s">
        <v>110</v>
      </c>
      <c r="AN16" s="149" t="s">
        <v>111</v>
      </c>
      <c r="AO16" s="273"/>
      <c r="AP16" s="199" t="s">
        <v>124</v>
      </c>
      <c r="AQ16" s="198" t="s">
        <v>125</v>
      </c>
      <c r="AR16" s="198"/>
      <c r="AS16" s="198" t="s">
        <v>126</v>
      </c>
      <c r="AT16" s="198"/>
      <c r="AU16" s="194"/>
      <c r="AV16" s="198"/>
      <c r="AW16" s="198"/>
      <c r="AX16" s="194"/>
      <c r="AY16" s="197"/>
      <c r="AZ16" s="197"/>
      <c r="BA16" s="145"/>
      <c r="BB16" s="149"/>
      <c r="BC16" s="142" t="str">
        <f t="shared" si="0"/>
        <v/>
      </c>
      <c r="BD16" s="134" t="str">
        <f t="shared" si="1"/>
        <v>INDENIZAÇÃO</v>
      </c>
      <c r="BE16" s="134" t="str">
        <f t="shared" si="2"/>
        <v>NÃO</v>
      </c>
      <c r="BF16" s="149"/>
      <c r="BG16" s="149"/>
      <c r="BH16" s="149"/>
      <c r="BI16" s="145"/>
      <c r="BJ16" s="145"/>
      <c r="BK16" s="145"/>
      <c r="BL16" s="145"/>
      <c r="BM16" s="145"/>
      <c r="BN16" s="120"/>
      <c r="BO16" s="120"/>
      <c r="BP16" s="120"/>
      <c r="BQ16" s="120"/>
      <c r="BR16" s="120"/>
      <c r="BS16" s="120"/>
      <c r="BT16" s="120"/>
      <c r="BU16" s="120"/>
      <c r="BV16" s="120"/>
      <c r="BW16" s="120"/>
      <c r="BX16" s="120"/>
      <c r="BY16" s="120"/>
      <c r="BZ16" s="120"/>
      <c r="CA16" s="120"/>
      <c r="CB16" s="120"/>
      <c r="CC16" s="120"/>
      <c r="CD16" s="120"/>
      <c r="CE16" s="120"/>
      <c r="CF16" s="120"/>
      <c r="CG16" s="120"/>
      <c r="CH16" s="120"/>
      <c r="CI16" s="120"/>
      <c r="CJ16" s="120"/>
      <c r="CK16" s="120"/>
      <c r="CL16" s="120"/>
      <c r="CM16" s="120"/>
      <c r="CN16" s="120"/>
      <c r="CO16" s="120"/>
      <c r="CP16" s="120"/>
      <c r="CQ16" s="120"/>
      <c r="CR16" s="120"/>
      <c r="CS16" s="120"/>
      <c r="CT16" s="120"/>
      <c r="CU16" s="120"/>
      <c r="CV16" s="120"/>
      <c r="CW16" s="120"/>
      <c r="CX16" s="120"/>
      <c r="CY16" s="120"/>
    </row>
    <row r="17" spans="1:103" s="121" customFormat="1" ht="30" customHeight="1">
      <c r="A17" s="134">
        <v>4</v>
      </c>
      <c r="B17" s="134" t="s">
        <v>99</v>
      </c>
      <c r="C17" s="134">
        <v>2</v>
      </c>
      <c r="D17" s="134" t="s">
        <v>100</v>
      </c>
      <c r="E17" s="134" t="s">
        <v>100</v>
      </c>
      <c r="F17" s="138" t="s">
        <v>127</v>
      </c>
      <c r="G17" s="149" t="s">
        <v>102</v>
      </c>
      <c r="H17" s="149" t="s">
        <v>103</v>
      </c>
      <c r="I17" s="149" t="s">
        <v>104</v>
      </c>
      <c r="J17" s="152" t="s">
        <v>128</v>
      </c>
      <c r="K17" s="152" t="s">
        <v>129</v>
      </c>
      <c r="L17" s="152" t="s">
        <v>130</v>
      </c>
      <c r="M17" s="134" t="s">
        <v>4</v>
      </c>
      <c r="N17" s="149" t="s">
        <v>5</v>
      </c>
      <c r="O17" s="274">
        <v>45894</v>
      </c>
      <c r="P17" s="139" t="s">
        <v>24</v>
      </c>
      <c r="Q17" s="139" t="s">
        <v>24</v>
      </c>
      <c r="R17" s="139" t="s">
        <v>24</v>
      </c>
      <c r="S17" s="139" t="s">
        <v>24</v>
      </c>
      <c r="T17" s="139" t="s">
        <v>24</v>
      </c>
      <c r="U17" s="139" t="s">
        <v>24</v>
      </c>
      <c r="V17" s="139" t="s">
        <v>24</v>
      </c>
      <c r="W17" s="139" t="s">
        <v>24</v>
      </c>
      <c r="X17" s="139" t="s">
        <v>24</v>
      </c>
      <c r="Y17" s="139" t="s">
        <v>24</v>
      </c>
      <c r="Z17" s="139" t="s">
        <v>24</v>
      </c>
      <c r="AA17" s="273"/>
      <c r="AB17" s="152" t="s">
        <v>128</v>
      </c>
      <c r="AC17" s="152" t="s">
        <v>129</v>
      </c>
      <c r="AD17" s="152" t="s">
        <v>130</v>
      </c>
      <c r="AE17" s="149" t="s">
        <v>108</v>
      </c>
      <c r="AF17" s="134" t="s">
        <v>4</v>
      </c>
      <c r="AG17" s="208">
        <v>109217.07</v>
      </c>
      <c r="AH17" s="208">
        <v>109217.07</v>
      </c>
      <c r="AI17" s="231" t="s">
        <v>6</v>
      </c>
      <c r="AJ17" s="138" t="s">
        <v>109</v>
      </c>
      <c r="AK17" s="275">
        <v>128820851</v>
      </c>
      <c r="AL17" s="134" t="s">
        <v>110</v>
      </c>
      <c r="AM17" s="134" t="s">
        <v>110</v>
      </c>
      <c r="AN17" s="273" t="s">
        <v>111</v>
      </c>
      <c r="AO17" s="273"/>
      <c r="AP17" s="199" t="s">
        <v>131</v>
      </c>
      <c r="AQ17" s="198" t="s">
        <v>110</v>
      </c>
      <c r="AR17" s="198" t="s">
        <v>110</v>
      </c>
      <c r="AS17" s="198" t="s">
        <v>110</v>
      </c>
      <c r="AT17" s="198" t="s">
        <v>110</v>
      </c>
      <c r="AU17" s="274">
        <v>45937</v>
      </c>
      <c r="AV17" s="198" t="s">
        <v>110</v>
      </c>
      <c r="AW17" s="198" t="s">
        <v>110</v>
      </c>
      <c r="AX17" s="274">
        <v>45947</v>
      </c>
      <c r="AY17" s="140">
        <v>45947</v>
      </c>
      <c r="AZ17" s="140" t="s">
        <v>33</v>
      </c>
      <c r="BA17" s="145" t="s">
        <v>113</v>
      </c>
      <c r="BB17" s="198" t="s">
        <v>110</v>
      </c>
      <c r="BC17" s="142">
        <f t="shared" si="0"/>
        <v>53</v>
      </c>
      <c r="BD17" s="134" t="str">
        <f t="shared" si="1"/>
        <v>INDENIZAÇÃO</v>
      </c>
      <c r="BE17" s="134" t="str">
        <f t="shared" si="2"/>
        <v>NÃO</v>
      </c>
      <c r="BF17" s="198" t="s">
        <v>24</v>
      </c>
      <c r="BG17" s="198" t="s">
        <v>24</v>
      </c>
      <c r="BH17" s="198" t="s">
        <v>24</v>
      </c>
      <c r="BI17" s="149" t="s">
        <v>110</v>
      </c>
      <c r="BJ17" s="149" t="s">
        <v>110</v>
      </c>
      <c r="BK17" s="194">
        <v>46231</v>
      </c>
      <c r="BL17" s="145" t="s">
        <v>114</v>
      </c>
      <c r="BM17" s="145"/>
      <c r="BN17" s="120"/>
      <c r="BO17" s="120"/>
      <c r="BP17" s="120"/>
      <c r="BQ17" s="120"/>
      <c r="BR17" s="120"/>
      <c r="BS17" s="120"/>
      <c r="BT17" s="120"/>
      <c r="BU17" s="120"/>
      <c r="BV17" s="120"/>
      <c r="BW17" s="120"/>
      <c r="BX17" s="120"/>
      <c r="BY17" s="120"/>
      <c r="BZ17" s="120"/>
      <c r="CA17" s="120"/>
      <c r="CB17" s="120"/>
      <c r="CC17" s="120"/>
      <c r="CD17" s="120"/>
      <c r="CE17" s="120"/>
      <c r="CF17" s="120"/>
      <c r="CG17" s="120"/>
      <c r="CH17" s="120"/>
      <c r="CI17" s="120"/>
      <c r="CJ17" s="120"/>
      <c r="CK17" s="120"/>
      <c r="CL17" s="120"/>
      <c r="CM17" s="120"/>
      <c r="CN17" s="120"/>
      <c r="CO17" s="120"/>
      <c r="CP17" s="120"/>
      <c r="CQ17" s="120"/>
      <c r="CR17" s="120"/>
      <c r="CS17" s="120"/>
      <c r="CT17" s="120"/>
      <c r="CU17" s="120"/>
      <c r="CV17" s="120"/>
      <c r="CW17" s="120"/>
      <c r="CX17" s="120"/>
      <c r="CY17" s="120"/>
    </row>
    <row r="18" spans="1:103" s="121" customFormat="1" ht="30" customHeight="1">
      <c r="A18" s="134">
        <v>5</v>
      </c>
      <c r="B18" s="134" t="s">
        <v>99</v>
      </c>
      <c r="C18" s="134">
        <v>2</v>
      </c>
      <c r="D18" s="134" t="s">
        <v>100</v>
      </c>
      <c r="E18" s="134" t="s">
        <v>100</v>
      </c>
      <c r="F18" s="216" t="s">
        <v>132</v>
      </c>
      <c r="G18" s="149" t="s">
        <v>102</v>
      </c>
      <c r="H18" s="149" t="s">
        <v>103</v>
      </c>
      <c r="I18" s="149" t="s">
        <v>104</v>
      </c>
      <c r="J18" s="152" t="s">
        <v>133</v>
      </c>
      <c r="K18" s="152" t="s">
        <v>134</v>
      </c>
      <c r="L18" s="152" t="s">
        <v>135</v>
      </c>
      <c r="M18" s="134" t="s">
        <v>4</v>
      </c>
      <c r="N18" s="149" t="s">
        <v>5</v>
      </c>
      <c r="O18" s="274">
        <v>46191</v>
      </c>
      <c r="P18" s="139" t="s">
        <v>24</v>
      </c>
      <c r="Q18" s="139" t="s">
        <v>24</v>
      </c>
      <c r="R18" s="139" t="s">
        <v>24</v>
      </c>
      <c r="S18" s="139" t="s">
        <v>24</v>
      </c>
      <c r="T18" s="139" t="s">
        <v>24</v>
      </c>
      <c r="U18" s="139" t="s">
        <v>24</v>
      </c>
      <c r="V18" s="139" t="s">
        <v>24</v>
      </c>
      <c r="W18" s="139" t="s">
        <v>24</v>
      </c>
      <c r="X18" s="139" t="s">
        <v>24</v>
      </c>
      <c r="Y18" s="139" t="s">
        <v>24</v>
      </c>
      <c r="Z18" s="139" t="s">
        <v>24</v>
      </c>
      <c r="AA18" s="273"/>
      <c r="AB18" s="152" t="s">
        <v>133</v>
      </c>
      <c r="AC18" s="152" t="s">
        <v>134</v>
      </c>
      <c r="AD18" s="152" t="s">
        <v>135</v>
      </c>
      <c r="AE18" s="149" t="s">
        <v>108</v>
      </c>
      <c r="AF18" s="134" t="s">
        <v>4</v>
      </c>
      <c r="AG18" s="208">
        <v>28481.919999999998</v>
      </c>
      <c r="AH18" s="208">
        <v>58481.919999999998</v>
      </c>
      <c r="AI18" s="231" t="s">
        <v>6</v>
      </c>
      <c r="AJ18" s="138" t="s">
        <v>109</v>
      </c>
      <c r="AK18" s="275">
        <v>128821405</v>
      </c>
      <c r="AL18" s="134" t="s">
        <v>110</v>
      </c>
      <c r="AM18" s="134" t="s">
        <v>110</v>
      </c>
      <c r="AN18" s="149" t="s">
        <v>111</v>
      </c>
      <c r="AO18" s="273"/>
      <c r="AP18" s="199" t="s">
        <v>136</v>
      </c>
      <c r="AQ18" s="198" t="s">
        <v>125</v>
      </c>
      <c r="AR18" s="198"/>
      <c r="AS18" s="198" t="s">
        <v>126</v>
      </c>
      <c r="AT18" s="198"/>
      <c r="AU18" s="274"/>
      <c r="AV18" s="198"/>
      <c r="AW18" s="198"/>
      <c r="AX18" s="274"/>
      <c r="AY18" s="140"/>
      <c r="AZ18" s="140"/>
      <c r="BA18" s="145"/>
      <c r="BB18" s="198"/>
      <c r="BC18" s="142" t="str">
        <f t="shared" si="0"/>
        <v/>
      </c>
      <c r="BD18" s="134" t="str">
        <f t="shared" si="1"/>
        <v>INDENIZAÇÃO</v>
      </c>
      <c r="BE18" s="134" t="str">
        <f t="shared" si="2"/>
        <v>NÃO</v>
      </c>
      <c r="BF18" s="198"/>
      <c r="BG18" s="198"/>
      <c r="BH18" s="198"/>
      <c r="BI18" s="145"/>
      <c r="BJ18" s="145"/>
      <c r="BK18" s="279"/>
      <c r="BL18" s="145"/>
      <c r="BM18" s="145"/>
      <c r="BN18" s="120"/>
      <c r="BO18" s="120"/>
      <c r="BP18" s="120"/>
      <c r="BQ18" s="120"/>
      <c r="BR18" s="120"/>
      <c r="BS18" s="120"/>
      <c r="BT18" s="120"/>
      <c r="BU18" s="120"/>
      <c r="BV18" s="120"/>
      <c r="BW18" s="120"/>
      <c r="BX18" s="120"/>
      <c r="BY18" s="120"/>
      <c r="BZ18" s="120"/>
      <c r="CA18" s="120"/>
      <c r="CB18" s="120"/>
      <c r="CC18" s="120"/>
      <c r="CD18" s="120"/>
      <c r="CE18" s="120"/>
      <c r="CF18" s="120"/>
      <c r="CG18" s="120"/>
      <c r="CH18" s="120"/>
      <c r="CI18" s="120"/>
      <c r="CJ18" s="120"/>
      <c r="CK18" s="120"/>
      <c r="CL18" s="120"/>
      <c r="CM18" s="120"/>
      <c r="CN18" s="120"/>
      <c r="CO18" s="120"/>
      <c r="CP18" s="120"/>
      <c r="CQ18" s="120"/>
      <c r="CR18" s="120"/>
      <c r="CS18" s="120"/>
      <c r="CT18" s="120"/>
      <c r="CU18" s="120"/>
      <c r="CV18" s="120"/>
      <c r="CW18" s="120"/>
      <c r="CX18" s="120"/>
      <c r="CY18" s="120"/>
    </row>
    <row r="19" spans="1:103" s="121" customFormat="1" ht="30" customHeight="1">
      <c r="A19" s="134">
        <v>6</v>
      </c>
      <c r="B19" s="134" t="s">
        <v>99</v>
      </c>
      <c r="C19" s="134">
        <v>2</v>
      </c>
      <c r="D19" s="134" t="s">
        <v>100</v>
      </c>
      <c r="E19" s="134" t="s">
        <v>100</v>
      </c>
      <c r="F19" s="152" t="s">
        <v>137</v>
      </c>
      <c r="G19" s="149" t="s">
        <v>102</v>
      </c>
      <c r="H19" s="149" t="s">
        <v>103</v>
      </c>
      <c r="I19" s="149" t="s">
        <v>104</v>
      </c>
      <c r="J19" s="152" t="s">
        <v>138</v>
      </c>
      <c r="K19" s="152" t="s">
        <v>139</v>
      </c>
      <c r="L19" s="152" t="s">
        <v>140</v>
      </c>
      <c r="M19" s="149" t="s">
        <v>4</v>
      </c>
      <c r="N19" s="149" t="s">
        <v>5</v>
      </c>
      <c r="O19" s="194">
        <v>46001</v>
      </c>
      <c r="P19" s="139" t="s">
        <v>24</v>
      </c>
      <c r="Q19" s="139" t="s">
        <v>24</v>
      </c>
      <c r="R19" s="139" t="s">
        <v>24</v>
      </c>
      <c r="S19" s="139" t="s">
        <v>24</v>
      </c>
      <c r="T19" s="139" t="s">
        <v>24</v>
      </c>
      <c r="U19" s="139" t="s">
        <v>24</v>
      </c>
      <c r="V19" s="139" t="s">
        <v>24</v>
      </c>
      <c r="W19" s="139" t="s">
        <v>24</v>
      </c>
      <c r="X19" s="139" t="s">
        <v>24</v>
      </c>
      <c r="Y19" s="139" t="s">
        <v>24</v>
      </c>
      <c r="Z19" s="139" t="s">
        <v>24</v>
      </c>
      <c r="AA19" s="149"/>
      <c r="AB19" s="152" t="s">
        <v>138</v>
      </c>
      <c r="AC19" s="152" t="s">
        <v>139</v>
      </c>
      <c r="AD19" s="152" t="s">
        <v>140</v>
      </c>
      <c r="AE19" s="149" t="s">
        <v>108</v>
      </c>
      <c r="AF19" s="149" t="s">
        <v>4</v>
      </c>
      <c r="AG19" s="208">
        <v>11667.29</v>
      </c>
      <c r="AH19" s="208">
        <v>41667.29</v>
      </c>
      <c r="AI19" s="234" t="s">
        <v>6</v>
      </c>
      <c r="AJ19" s="138" t="s">
        <v>109</v>
      </c>
      <c r="AK19" s="200">
        <v>128821504</v>
      </c>
      <c r="AL19" s="134" t="s">
        <v>110</v>
      </c>
      <c r="AM19" s="134" t="s">
        <v>110</v>
      </c>
      <c r="AN19" s="273" t="s">
        <v>111</v>
      </c>
      <c r="AO19" s="224"/>
      <c r="AP19" s="152" t="s">
        <v>141</v>
      </c>
      <c r="AQ19" s="198" t="s">
        <v>110</v>
      </c>
      <c r="AR19" s="198" t="s">
        <v>110</v>
      </c>
      <c r="AS19" s="198" t="s">
        <v>110</v>
      </c>
      <c r="AT19" s="198" t="s">
        <v>110</v>
      </c>
      <c r="AU19" s="194">
        <v>46021</v>
      </c>
      <c r="AV19" s="198" t="s">
        <v>110</v>
      </c>
      <c r="AW19" s="198" t="s">
        <v>110</v>
      </c>
      <c r="AX19" s="194">
        <v>46041</v>
      </c>
      <c r="AY19" s="140">
        <v>46041</v>
      </c>
      <c r="AZ19" s="197" t="s">
        <v>33</v>
      </c>
      <c r="BA19" s="145" t="s">
        <v>113</v>
      </c>
      <c r="BB19" s="149" t="s">
        <v>110</v>
      </c>
      <c r="BC19" s="142">
        <f t="shared" si="0"/>
        <v>40</v>
      </c>
      <c r="BD19" s="134" t="str">
        <f t="shared" si="1"/>
        <v>INDENIZAÇÃO</v>
      </c>
      <c r="BE19" s="134" t="str">
        <f t="shared" si="2"/>
        <v>NÃO</v>
      </c>
      <c r="BF19" s="149" t="s">
        <v>24</v>
      </c>
      <c r="BG19" s="149" t="s">
        <v>24</v>
      </c>
      <c r="BH19" s="149" t="s">
        <v>24</v>
      </c>
      <c r="BI19" s="149" t="s">
        <v>110</v>
      </c>
      <c r="BJ19" s="149" t="s">
        <v>110</v>
      </c>
      <c r="BK19" s="194">
        <v>46231</v>
      </c>
      <c r="BL19" s="145" t="s">
        <v>114</v>
      </c>
      <c r="BM19" s="145"/>
    </row>
    <row r="20" spans="1:103" s="121" customFormat="1" ht="30" customHeight="1">
      <c r="A20" s="134">
        <v>7</v>
      </c>
      <c r="B20" s="134" t="s">
        <v>99</v>
      </c>
      <c r="C20" s="134">
        <v>2</v>
      </c>
      <c r="D20" s="134" t="s">
        <v>100</v>
      </c>
      <c r="E20" s="134" t="s">
        <v>100</v>
      </c>
      <c r="F20" s="152" t="s">
        <v>142</v>
      </c>
      <c r="G20" s="149" t="s">
        <v>102</v>
      </c>
      <c r="H20" s="149" t="s">
        <v>103</v>
      </c>
      <c r="I20" s="149" t="s">
        <v>104</v>
      </c>
      <c r="J20" s="152" t="s">
        <v>143</v>
      </c>
      <c r="K20" s="152" t="s">
        <v>144</v>
      </c>
      <c r="L20" s="152" t="s">
        <v>145</v>
      </c>
      <c r="M20" s="149" t="s">
        <v>4</v>
      </c>
      <c r="N20" s="149" t="s">
        <v>5</v>
      </c>
      <c r="O20" s="194">
        <v>45929</v>
      </c>
      <c r="P20" s="139" t="s">
        <v>24</v>
      </c>
      <c r="Q20" s="139" t="s">
        <v>24</v>
      </c>
      <c r="R20" s="139" t="s">
        <v>24</v>
      </c>
      <c r="S20" s="139" t="s">
        <v>24</v>
      </c>
      <c r="T20" s="139" t="s">
        <v>24</v>
      </c>
      <c r="U20" s="139" t="s">
        <v>24</v>
      </c>
      <c r="V20" s="139" t="s">
        <v>24</v>
      </c>
      <c r="W20" s="139" t="s">
        <v>24</v>
      </c>
      <c r="X20" s="139" t="s">
        <v>24</v>
      </c>
      <c r="Y20" s="139" t="s">
        <v>24</v>
      </c>
      <c r="Z20" s="139" t="s">
        <v>24</v>
      </c>
      <c r="AA20" s="149"/>
      <c r="AB20" s="152" t="s">
        <v>143</v>
      </c>
      <c r="AC20" s="152" t="s">
        <v>144</v>
      </c>
      <c r="AD20" s="152" t="s">
        <v>145</v>
      </c>
      <c r="AE20" s="149" t="s">
        <v>108</v>
      </c>
      <c r="AF20" s="149" t="s">
        <v>4</v>
      </c>
      <c r="AG20" s="208">
        <v>17145.939999999999</v>
      </c>
      <c r="AH20" s="208">
        <v>47145.94</v>
      </c>
      <c r="AI20" s="234" t="s">
        <v>6</v>
      </c>
      <c r="AJ20" s="138" t="s">
        <v>109</v>
      </c>
      <c r="AK20" s="200">
        <v>142053311</v>
      </c>
      <c r="AL20" s="134" t="s">
        <v>110</v>
      </c>
      <c r="AM20" s="134" t="s">
        <v>110</v>
      </c>
      <c r="AN20" s="149" t="s">
        <v>111</v>
      </c>
      <c r="AO20" s="283"/>
      <c r="AP20" s="152" t="s">
        <v>146</v>
      </c>
      <c r="AQ20" s="198" t="s">
        <v>110</v>
      </c>
      <c r="AR20" s="198" t="s">
        <v>110</v>
      </c>
      <c r="AS20" s="198" t="s">
        <v>110</v>
      </c>
      <c r="AT20" s="198" t="s">
        <v>110</v>
      </c>
      <c r="AU20" s="194">
        <v>45974</v>
      </c>
      <c r="AV20" s="198" t="s">
        <v>110</v>
      </c>
      <c r="AW20" s="198" t="s">
        <v>110</v>
      </c>
      <c r="AX20" s="194">
        <v>45980</v>
      </c>
      <c r="AY20" s="197">
        <v>45980</v>
      </c>
      <c r="AZ20" s="197" t="s">
        <v>33</v>
      </c>
      <c r="BA20" s="145" t="s">
        <v>113</v>
      </c>
      <c r="BB20" s="149" t="s">
        <v>110</v>
      </c>
      <c r="BC20" s="142">
        <f t="shared" si="0"/>
        <v>51</v>
      </c>
      <c r="BD20" s="134" t="str">
        <f t="shared" si="1"/>
        <v>INDENIZAÇÃO</v>
      </c>
      <c r="BE20" s="134" t="str">
        <f t="shared" si="2"/>
        <v>NÃO</v>
      </c>
      <c r="BF20" s="149" t="s">
        <v>24</v>
      </c>
      <c r="BG20" s="149" t="s">
        <v>24</v>
      </c>
      <c r="BH20" s="149" t="s">
        <v>24</v>
      </c>
      <c r="BI20" s="149" t="s">
        <v>110</v>
      </c>
      <c r="BJ20" s="149" t="s">
        <v>110</v>
      </c>
      <c r="BK20" s="194">
        <v>46231</v>
      </c>
      <c r="BL20" s="145" t="s">
        <v>114</v>
      </c>
      <c r="BM20" s="145"/>
      <c r="BN20" s="120"/>
      <c r="BO20" s="120"/>
      <c r="BP20" s="120"/>
      <c r="BQ20" s="120"/>
      <c r="BR20" s="120"/>
      <c r="BS20" s="120"/>
      <c r="BT20" s="120"/>
      <c r="BU20" s="120"/>
      <c r="BV20" s="120"/>
      <c r="BW20" s="120"/>
      <c r="BX20" s="120"/>
      <c r="BY20" s="120"/>
      <c r="BZ20" s="120"/>
      <c r="CA20" s="120"/>
      <c r="CB20" s="120"/>
      <c r="CC20" s="120"/>
      <c r="CD20" s="120"/>
      <c r="CE20" s="120"/>
      <c r="CF20" s="120"/>
      <c r="CG20" s="120"/>
      <c r="CH20" s="120"/>
      <c r="CI20" s="120"/>
      <c r="CJ20" s="120"/>
      <c r="CK20" s="120"/>
      <c r="CL20" s="120"/>
      <c r="CM20" s="120"/>
      <c r="CN20" s="120"/>
      <c r="CO20" s="120"/>
      <c r="CP20" s="120"/>
      <c r="CQ20" s="120"/>
      <c r="CR20" s="120"/>
      <c r="CS20" s="120"/>
      <c r="CT20" s="120"/>
      <c r="CU20" s="120"/>
      <c r="CV20" s="120"/>
      <c r="CW20" s="120"/>
      <c r="CX20" s="120"/>
      <c r="CY20" s="120"/>
    </row>
    <row r="21" spans="1:103" s="121" customFormat="1" ht="30" customHeight="1">
      <c r="A21" s="134">
        <v>8</v>
      </c>
      <c r="B21" s="134" t="s">
        <v>99</v>
      </c>
      <c r="C21" s="134">
        <v>2</v>
      </c>
      <c r="D21" s="134" t="s">
        <v>100</v>
      </c>
      <c r="E21" s="134" t="s">
        <v>100</v>
      </c>
      <c r="F21" s="152" t="s">
        <v>147</v>
      </c>
      <c r="G21" s="149" t="s">
        <v>102</v>
      </c>
      <c r="H21" s="149" t="s">
        <v>103</v>
      </c>
      <c r="I21" s="149" t="s">
        <v>104</v>
      </c>
      <c r="J21" s="152" t="s">
        <v>148</v>
      </c>
      <c r="K21" s="152" t="s">
        <v>149</v>
      </c>
      <c r="L21" s="152" t="s">
        <v>150</v>
      </c>
      <c r="M21" s="149" t="s">
        <v>4</v>
      </c>
      <c r="N21" s="149" t="s">
        <v>151</v>
      </c>
      <c r="O21" s="194"/>
      <c r="P21" s="139"/>
      <c r="Q21" s="139"/>
      <c r="R21" s="139"/>
      <c r="S21" s="139"/>
      <c r="T21" s="139"/>
      <c r="U21" s="139"/>
      <c r="V21" s="139"/>
      <c r="W21" s="139"/>
      <c r="X21" s="139"/>
      <c r="Y21" s="139"/>
      <c r="Z21" s="139"/>
      <c r="AA21" s="149"/>
      <c r="AB21" s="152" t="s">
        <v>148</v>
      </c>
      <c r="AC21" s="152" t="s">
        <v>149</v>
      </c>
      <c r="AD21" s="152" t="s">
        <v>150</v>
      </c>
      <c r="AE21" s="149" t="s">
        <v>108</v>
      </c>
      <c r="AF21" s="149" t="s">
        <v>4</v>
      </c>
      <c r="AG21" s="208"/>
      <c r="AH21" s="208"/>
      <c r="AI21" s="234"/>
      <c r="AJ21" s="138"/>
      <c r="AK21" s="200"/>
      <c r="AL21" s="134"/>
      <c r="AM21" s="134"/>
      <c r="AN21" s="149"/>
      <c r="AO21" s="283"/>
      <c r="AP21" s="152"/>
      <c r="AQ21" s="198"/>
      <c r="AR21" s="198"/>
      <c r="AS21" s="198"/>
      <c r="AT21" s="198"/>
      <c r="AU21" s="194"/>
      <c r="AV21" s="198"/>
      <c r="AW21" s="198"/>
      <c r="AX21" s="194"/>
      <c r="AY21" s="145"/>
      <c r="AZ21" s="145"/>
      <c r="BA21" s="145"/>
      <c r="BB21" s="149"/>
      <c r="BC21" s="142" t="str">
        <f t="shared" si="0"/>
        <v/>
      </c>
      <c r="BD21" s="134" t="str">
        <f t="shared" si="1"/>
        <v>INDENIZAÇÃO</v>
      </c>
      <c r="BE21" s="134" t="str">
        <f t="shared" si="2"/>
        <v>NÃO</v>
      </c>
      <c r="BF21" s="149"/>
      <c r="BG21" s="194"/>
      <c r="BH21" s="194"/>
      <c r="BI21" s="149"/>
      <c r="BJ21" s="149"/>
      <c r="BK21" s="149"/>
      <c r="BL21" s="149"/>
      <c r="BM21" s="149"/>
      <c r="BN21" s="120"/>
      <c r="BO21" s="120"/>
      <c r="BP21" s="120"/>
      <c r="BQ21" s="120"/>
      <c r="BR21" s="120"/>
      <c r="BS21" s="120"/>
      <c r="BT21" s="120"/>
      <c r="BU21" s="120"/>
      <c r="BV21" s="120"/>
      <c r="BW21" s="120"/>
      <c r="BX21" s="120"/>
      <c r="BY21" s="120"/>
      <c r="BZ21" s="120"/>
      <c r="CA21" s="120"/>
      <c r="CB21" s="120"/>
      <c r="CC21" s="120"/>
      <c r="CD21" s="120"/>
      <c r="CE21" s="120"/>
      <c r="CF21" s="120"/>
      <c r="CG21" s="120"/>
      <c r="CH21" s="120"/>
      <c r="CI21" s="120"/>
      <c r="CJ21" s="120"/>
      <c r="CK21" s="120"/>
      <c r="CL21" s="120"/>
      <c r="CM21" s="120"/>
      <c r="CN21" s="120"/>
      <c r="CO21" s="120"/>
      <c r="CP21" s="120"/>
      <c r="CQ21" s="120"/>
      <c r="CR21" s="120"/>
      <c r="CS21" s="120"/>
      <c r="CT21" s="120"/>
      <c r="CU21" s="120"/>
      <c r="CV21" s="120"/>
      <c r="CW21" s="120"/>
      <c r="CX21" s="120"/>
      <c r="CY21" s="120"/>
    </row>
    <row r="22" spans="1:103" s="121" customFormat="1" ht="30" customHeight="1">
      <c r="A22" s="134">
        <v>9</v>
      </c>
      <c r="B22" s="134" t="s">
        <v>99</v>
      </c>
      <c r="C22" s="134">
        <v>2</v>
      </c>
      <c r="D22" s="134" t="s">
        <v>100</v>
      </c>
      <c r="E22" s="134" t="s">
        <v>100</v>
      </c>
      <c r="F22" s="152" t="s">
        <v>152</v>
      </c>
      <c r="G22" s="149" t="s">
        <v>102</v>
      </c>
      <c r="H22" s="149" t="s">
        <v>103</v>
      </c>
      <c r="I22" s="149" t="s">
        <v>104</v>
      </c>
      <c r="J22" s="152" t="s">
        <v>153</v>
      </c>
      <c r="K22" s="152" t="s">
        <v>154</v>
      </c>
      <c r="L22" s="152" t="s">
        <v>155</v>
      </c>
      <c r="M22" s="149" t="s">
        <v>4</v>
      </c>
      <c r="N22" s="149" t="s">
        <v>151</v>
      </c>
      <c r="O22" s="194"/>
      <c r="P22" s="139"/>
      <c r="Q22" s="139"/>
      <c r="R22" s="139"/>
      <c r="S22" s="139"/>
      <c r="T22" s="139"/>
      <c r="U22" s="139"/>
      <c r="V22" s="139"/>
      <c r="W22" s="139"/>
      <c r="X22" s="139"/>
      <c r="Y22" s="139"/>
      <c r="Z22" s="139"/>
      <c r="AA22" s="149"/>
      <c r="AB22" s="152" t="s">
        <v>153</v>
      </c>
      <c r="AC22" s="152" t="s">
        <v>154</v>
      </c>
      <c r="AD22" s="152" t="s">
        <v>155</v>
      </c>
      <c r="AE22" s="149" t="s">
        <v>108</v>
      </c>
      <c r="AF22" s="149" t="s">
        <v>4</v>
      </c>
      <c r="AG22" s="208"/>
      <c r="AH22" s="208"/>
      <c r="AI22" s="234"/>
      <c r="AJ22" s="138"/>
      <c r="AK22" s="200"/>
      <c r="AL22" s="134"/>
      <c r="AM22" s="134"/>
      <c r="AN22" s="149"/>
      <c r="AO22" s="283"/>
      <c r="AP22" s="152"/>
      <c r="AQ22" s="198"/>
      <c r="AR22" s="198"/>
      <c r="AS22" s="198"/>
      <c r="AT22" s="198"/>
      <c r="AU22" s="194"/>
      <c r="AV22" s="198"/>
      <c r="AW22" s="198"/>
      <c r="AX22" s="194"/>
      <c r="AY22" s="145"/>
      <c r="AZ22" s="145"/>
      <c r="BA22" s="145"/>
      <c r="BB22" s="149"/>
      <c r="BC22" s="142" t="str">
        <f t="shared" si="0"/>
        <v/>
      </c>
      <c r="BD22" s="134" t="str">
        <f t="shared" si="1"/>
        <v>INDENIZAÇÃO</v>
      </c>
      <c r="BE22" s="134" t="str">
        <f t="shared" si="2"/>
        <v>NÃO</v>
      </c>
      <c r="BF22" s="149"/>
      <c r="BG22" s="194"/>
      <c r="BH22" s="194"/>
      <c r="BI22" s="149"/>
      <c r="BJ22" s="149"/>
      <c r="BK22" s="149"/>
      <c r="BL22" s="149"/>
      <c r="BM22" s="149"/>
      <c r="BN22" s="120"/>
      <c r="BO22" s="120"/>
      <c r="BP22" s="120"/>
      <c r="BQ22" s="120"/>
      <c r="BR22" s="120"/>
      <c r="BS22" s="120"/>
      <c r="BT22" s="120"/>
      <c r="BU22" s="120"/>
      <c r="BV22" s="120"/>
      <c r="BW22" s="120"/>
      <c r="BX22" s="120"/>
      <c r="BY22" s="120"/>
      <c r="BZ22" s="120"/>
      <c r="CA22" s="120"/>
      <c r="CB22" s="120"/>
      <c r="CC22" s="120"/>
      <c r="CD22" s="120"/>
      <c r="CE22" s="120"/>
      <c r="CF22" s="120"/>
      <c r="CG22" s="120"/>
      <c r="CH22" s="120"/>
      <c r="CI22" s="120"/>
      <c r="CJ22" s="120"/>
      <c r="CK22" s="120"/>
      <c r="CL22" s="120"/>
      <c r="CM22" s="120"/>
      <c r="CN22" s="120"/>
      <c r="CO22" s="120"/>
      <c r="CP22" s="120"/>
      <c r="CQ22" s="120"/>
      <c r="CR22" s="120"/>
      <c r="CS22" s="120"/>
      <c r="CT22" s="120"/>
      <c r="CU22" s="120"/>
      <c r="CV22" s="120"/>
      <c r="CW22" s="120"/>
      <c r="CX22" s="120"/>
      <c r="CY22" s="120"/>
    </row>
    <row r="23" spans="1:103" s="121" customFormat="1" ht="30" customHeight="1">
      <c r="A23" s="134">
        <v>10</v>
      </c>
      <c r="B23" s="134" t="s">
        <v>99</v>
      </c>
      <c r="C23" s="134">
        <v>2</v>
      </c>
      <c r="D23" s="134" t="s">
        <v>100</v>
      </c>
      <c r="E23" s="134" t="s">
        <v>100</v>
      </c>
      <c r="F23" s="138" t="s">
        <v>156</v>
      </c>
      <c r="G23" s="149" t="s">
        <v>102</v>
      </c>
      <c r="H23" s="149" t="s">
        <v>103</v>
      </c>
      <c r="I23" s="149" t="s">
        <v>104</v>
      </c>
      <c r="J23" s="152" t="s">
        <v>157</v>
      </c>
      <c r="K23" s="152" t="s">
        <v>158</v>
      </c>
      <c r="L23" s="152" t="s">
        <v>159</v>
      </c>
      <c r="M23" s="134" t="s">
        <v>4</v>
      </c>
      <c r="N23" s="134" t="s">
        <v>5</v>
      </c>
      <c r="O23" s="274">
        <v>45915</v>
      </c>
      <c r="P23" s="139" t="s">
        <v>24</v>
      </c>
      <c r="Q23" s="139" t="s">
        <v>24</v>
      </c>
      <c r="R23" s="139" t="s">
        <v>24</v>
      </c>
      <c r="S23" s="139" t="s">
        <v>24</v>
      </c>
      <c r="T23" s="139" t="s">
        <v>24</v>
      </c>
      <c r="U23" s="139" t="s">
        <v>24</v>
      </c>
      <c r="V23" s="139" t="s">
        <v>24</v>
      </c>
      <c r="W23" s="139" t="s">
        <v>24</v>
      </c>
      <c r="X23" s="139" t="s">
        <v>24</v>
      </c>
      <c r="Y23" s="139" t="s">
        <v>24</v>
      </c>
      <c r="Z23" s="139" t="s">
        <v>24</v>
      </c>
      <c r="AA23" s="273"/>
      <c r="AB23" s="152" t="s">
        <v>157</v>
      </c>
      <c r="AC23" s="152" t="s">
        <v>158</v>
      </c>
      <c r="AD23" s="152" t="s">
        <v>159</v>
      </c>
      <c r="AE23" s="149" t="s">
        <v>108</v>
      </c>
      <c r="AF23" s="134" t="s">
        <v>4</v>
      </c>
      <c r="AG23" s="208">
        <v>25576.15</v>
      </c>
      <c r="AH23" s="208">
        <v>55576.15</v>
      </c>
      <c r="AI23" s="231" t="s">
        <v>6</v>
      </c>
      <c r="AJ23" s="138" t="s">
        <v>109</v>
      </c>
      <c r="AK23" s="275">
        <v>142052759</v>
      </c>
      <c r="AL23" s="134" t="s">
        <v>110</v>
      </c>
      <c r="AM23" s="134" t="s">
        <v>110</v>
      </c>
      <c r="AN23" s="273" t="s">
        <v>111</v>
      </c>
      <c r="AO23" s="283" t="s">
        <v>160</v>
      </c>
      <c r="AP23" s="199" t="s">
        <v>161</v>
      </c>
      <c r="AQ23" s="198" t="s">
        <v>110</v>
      </c>
      <c r="AR23" s="198" t="s">
        <v>110</v>
      </c>
      <c r="AS23" s="198" t="s">
        <v>110</v>
      </c>
      <c r="AT23" s="198" t="s">
        <v>110</v>
      </c>
      <c r="AU23" s="274">
        <v>46051</v>
      </c>
      <c r="AV23" s="198" t="s">
        <v>110</v>
      </c>
      <c r="AW23" s="198" t="s">
        <v>110</v>
      </c>
      <c r="AX23" s="274">
        <v>46062</v>
      </c>
      <c r="AY23" s="197">
        <v>46062</v>
      </c>
      <c r="AZ23" s="145" t="s">
        <v>33</v>
      </c>
      <c r="BA23" s="141" t="s">
        <v>113</v>
      </c>
      <c r="BB23" s="198" t="s">
        <v>110</v>
      </c>
      <c r="BC23" s="142">
        <f t="shared" si="0"/>
        <v>147</v>
      </c>
      <c r="BD23" s="134" t="str">
        <f t="shared" si="1"/>
        <v>INDENIZAÇÃO</v>
      </c>
      <c r="BE23" s="134" t="str">
        <f t="shared" si="2"/>
        <v>NÃO</v>
      </c>
      <c r="BF23" s="198" t="s">
        <v>24</v>
      </c>
      <c r="BG23" s="198" t="s">
        <v>24</v>
      </c>
      <c r="BH23" s="198" t="s">
        <v>24</v>
      </c>
      <c r="BI23" s="149" t="s">
        <v>110</v>
      </c>
      <c r="BJ23" s="149" t="s">
        <v>110</v>
      </c>
      <c r="BK23" s="194">
        <v>46231</v>
      </c>
      <c r="BL23" s="145" t="s">
        <v>114</v>
      </c>
      <c r="BM23" s="145"/>
    </row>
    <row r="24" spans="1:103" s="276" customFormat="1" ht="30" customHeight="1">
      <c r="A24" s="134">
        <v>11</v>
      </c>
      <c r="B24" s="134" t="s">
        <v>99</v>
      </c>
      <c r="C24" s="134">
        <v>2</v>
      </c>
      <c r="D24" s="134" t="s">
        <v>100</v>
      </c>
      <c r="E24" s="134" t="s">
        <v>100</v>
      </c>
      <c r="F24" s="138" t="s">
        <v>162</v>
      </c>
      <c r="G24" s="149" t="s">
        <v>102</v>
      </c>
      <c r="H24" s="149" t="s">
        <v>103</v>
      </c>
      <c r="I24" s="149" t="s">
        <v>104</v>
      </c>
      <c r="J24" s="152" t="s">
        <v>163</v>
      </c>
      <c r="K24" s="152" t="s">
        <v>164</v>
      </c>
      <c r="L24" s="152" t="s">
        <v>165</v>
      </c>
      <c r="M24" s="134" t="s">
        <v>4</v>
      </c>
      <c r="N24" s="134" t="s">
        <v>5</v>
      </c>
      <c r="O24" s="274">
        <v>46001</v>
      </c>
      <c r="P24" s="139" t="s">
        <v>24</v>
      </c>
      <c r="Q24" s="139" t="s">
        <v>24</v>
      </c>
      <c r="R24" s="139" t="s">
        <v>24</v>
      </c>
      <c r="S24" s="139" t="s">
        <v>24</v>
      </c>
      <c r="T24" s="139" t="s">
        <v>24</v>
      </c>
      <c r="U24" s="139" t="s">
        <v>24</v>
      </c>
      <c r="V24" s="139" t="s">
        <v>24</v>
      </c>
      <c r="W24" s="139" t="s">
        <v>24</v>
      </c>
      <c r="X24" s="139" t="s">
        <v>24</v>
      </c>
      <c r="Y24" s="139" t="s">
        <v>24</v>
      </c>
      <c r="Z24" s="139" t="s">
        <v>24</v>
      </c>
      <c r="AA24" s="273"/>
      <c r="AB24" s="152" t="s">
        <v>163</v>
      </c>
      <c r="AC24" s="152" t="s">
        <v>164</v>
      </c>
      <c r="AD24" s="152" t="s">
        <v>165</v>
      </c>
      <c r="AE24" s="149" t="s">
        <v>108</v>
      </c>
      <c r="AF24" s="134" t="s">
        <v>4</v>
      </c>
      <c r="AG24" s="208">
        <v>98498.27</v>
      </c>
      <c r="AH24" s="208">
        <v>98498.27</v>
      </c>
      <c r="AI24" s="231" t="s">
        <v>6</v>
      </c>
      <c r="AJ24" s="138" t="s">
        <v>109</v>
      </c>
      <c r="AK24" s="275">
        <v>147254941</v>
      </c>
      <c r="AL24" s="134" t="s">
        <v>110</v>
      </c>
      <c r="AM24" s="134" t="s">
        <v>110</v>
      </c>
      <c r="AN24" s="273" t="s">
        <v>111</v>
      </c>
      <c r="AO24" s="283"/>
      <c r="AP24" s="152" t="s">
        <v>166</v>
      </c>
      <c r="AQ24" s="198" t="s">
        <v>110</v>
      </c>
      <c r="AR24" s="198" t="s">
        <v>110</v>
      </c>
      <c r="AS24" s="149" t="s">
        <v>110</v>
      </c>
      <c r="AT24" s="198" t="s">
        <v>110</v>
      </c>
      <c r="AU24" s="274">
        <v>46087</v>
      </c>
      <c r="AV24" s="149" t="s">
        <v>110</v>
      </c>
      <c r="AW24" s="149" t="s">
        <v>110</v>
      </c>
      <c r="AX24" s="274">
        <v>46097</v>
      </c>
      <c r="AY24" s="197">
        <v>46097</v>
      </c>
      <c r="AZ24" s="145" t="s">
        <v>33</v>
      </c>
      <c r="BA24" s="145" t="s">
        <v>113</v>
      </c>
      <c r="BB24" s="198" t="s">
        <v>110</v>
      </c>
      <c r="BC24" s="142">
        <f t="shared" si="0"/>
        <v>96</v>
      </c>
      <c r="BD24" s="134" t="str">
        <f t="shared" si="1"/>
        <v>INDENIZAÇÃO</v>
      </c>
      <c r="BE24" s="134" t="str">
        <f t="shared" si="2"/>
        <v>NÃO</v>
      </c>
      <c r="BF24" s="198" t="s">
        <v>24</v>
      </c>
      <c r="BG24" s="198" t="s">
        <v>24</v>
      </c>
      <c r="BH24" s="198" t="s">
        <v>24</v>
      </c>
      <c r="BI24" s="149" t="s">
        <v>110</v>
      </c>
      <c r="BJ24" s="149" t="s">
        <v>110</v>
      </c>
      <c r="BK24" s="194">
        <v>46231</v>
      </c>
      <c r="BL24" s="145" t="s">
        <v>114</v>
      </c>
      <c r="BM24" s="145"/>
      <c r="BN24" s="121"/>
      <c r="BO24" s="121"/>
      <c r="BP24" s="121"/>
      <c r="BQ24" s="121"/>
      <c r="BR24" s="121"/>
      <c r="BS24" s="121"/>
      <c r="BT24" s="121"/>
      <c r="BU24" s="121"/>
      <c r="BV24" s="121"/>
      <c r="BW24" s="121"/>
      <c r="BX24" s="121"/>
      <c r="BY24" s="121"/>
      <c r="BZ24" s="121"/>
      <c r="CA24" s="121"/>
      <c r="CB24" s="121"/>
      <c r="CC24" s="121"/>
      <c r="CD24" s="121"/>
      <c r="CE24" s="121"/>
      <c r="CF24" s="121"/>
      <c r="CG24" s="121"/>
      <c r="CH24" s="121"/>
      <c r="CI24" s="121"/>
      <c r="CJ24" s="121"/>
      <c r="CK24" s="121"/>
      <c r="CL24" s="121"/>
      <c r="CM24" s="121"/>
      <c r="CN24" s="121"/>
      <c r="CO24" s="121"/>
      <c r="CP24" s="121"/>
      <c r="CQ24" s="121"/>
      <c r="CR24" s="121"/>
      <c r="CS24" s="121"/>
      <c r="CT24" s="121"/>
      <c r="CU24" s="121"/>
      <c r="CV24" s="121"/>
      <c r="CW24" s="121"/>
      <c r="CX24" s="121"/>
      <c r="CY24" s="121"/>
    </row>
    <row r="25" spans="1:103" s="276" customFormat="1" ht="30" customHeight="1">
      <c r="A25" s="134">
        <v>12</v>
      </c>
      <c r="B25" s="134" t="s">
        <v>99</v>
      </c>
      <c r="C25" s="134">
        <v>2</v>
      </c>
      <c r="D25" s="134" t="s">
        <v>100</v>
      </c>
      <c r="E25" s="134" t="s">
        <v>100</v>
      </c>
      <c r="F25" s="152" t="s">
        <v>167</v>
      </c>
      <c r="G25" s="149" t="s">
        <v>102</v>
      </c>
      <c r="H25" s="149" t="s">
        <v>103</v>
      </c>
      <c r="I25" s="149" t="s">
        <v>104</v>
      </c>
      <c r="J25" s="152" t="s">
        <v>168</v>
      </c>
      <c r="K25" s="152" t="s">
        <v>169</v>
      </c>
      <c r="L25" s="152" t="s">
        <v>170</v>
      </c>
      <c r="M25" s="149" t="s">
        <v>4</v>
      </c>
      <c r="N25" s="149" t="s">
        <v>5</v>
      </c>
      <c r="O25" s="194">
        <v>45929</v>
      </c>
      <c r="P25" s="139" t="s">
        <v>24</v>
      </c>
      <c r="Q25" s="139" t="s">
        <v>24</v>
      </c>
      <c r="R25" s="139" t="s">
        <v>24</v>
      </c>
      <c r="S25" s="139" t="s">
        <v>24</v>
      </c>
      <c r="T25" s="139" t="s">
        <v>24</v>
      </c>
      <c r="U25" s="139" t="s">
        <v>24</v>
      </c>
      <c r="V25" s="139" t="s">
        <v>24</v>
      </c>
      <c r="W25" s="139" t="s">
        <v>24</v>
      </c>
      <c r="X25" s="139" t="s">
        <v>24</v>
      </c>
      <c r="Y25" s="139" t="s">
        <v>24</v>
      </c>
      <c r="Z25" s="139" t="s">
        <v>24</v>
      </c>
      <c r="AA25" s="149"/>
      <c r="AB25" s="152" t="s">
        <v>168</v>
      </c>
      <c r="AC25" s="152" t="s">
        <v>169</v>
      </c>
      <c r="AD25" s="152" t="s">
        <v>170</v>
      </c>
      <c r="AE25" s="149" t="s">
        <v>108</v>
      </c>
      <c r="AF25" s="149" t="s">
        <v>4</v>
      </c>
      <c r="AG25" s="208">
        <v>41473.730000000003</v>
      </c>
      <c r="AH25" s="208">
        <v>60000</v>
      </c>
      <c r="AI25" s="234" t="s">
        <v>6</v>
      </c>
      <c r="AJ25" s="138" t="s">
        <v>109</v>
      </c>
      <c r="AK25" s="200">
        <v>142053743</v>
      </c>
      <c r="AL25" s="134" t="s">
        <v>110</v>
      </c>
      <c r="AM25" s="134" t="s">
        <v>110</v>
      </c>
      <c r="AN25" s="149" t="s">
        <v>111</v>
      </c>
      <c r="AO25" s="283"/>
      <c r="AP25" s="152" t="s">
        <v>171</v>
      </c>
      <c r="AQ25" s="198" t="s">
        <v>110</v>
      </c>
      <c r="AR25" s="198" t="s">
        <v>110</v>
      </c>
      <c r="AS25" s="198" t="s">
        <v>110</v>
      </c>
      <c r="AT25" s="198" t="s">
        <v>110</v>
      </c>
      <c r="AU25" s="194">
        <v>45974</v>
      </c>
      <c r="AV25" s="198" t="s">
        <v>110</v>
      </c>
      <c r="AW25" s="198" t="s">
        <v>110</v>
      </c>
      <c r="AX25" s="194">
        <v>45980</v>
      </c>
      <c r="AY25" s="197">
        <v>45980</v>
      </c>
      <c r="AZ25" s="197" t="s">
        <v>33</v>
      </c>
      <c r="BA25" s="145" t="s">
        <v>113</v>
      </c>
      <c r="BB25" s="149" t="s">
        <v>110</v>
      </c>
      <c r="BC25" s="142">
        <f t="shared" si="0"/>
        <v>51</v>
      </c>
      <c r="BD25" s="134" t="str">
        <f t="shared" si="1"/>
        <v>INDENIZAÇÃO</v>
      </c>
      <c r="BE25" s="134" t="str">
        <f t="shared" si="2"/>
        <v>NÃO</v>
      </c>
      <c r="BF25" s="149" t="s">
        <v>24</v>
      </c>
      <c r="BG25" s="149" t="s">
        <v>24</v>
      </c>
      <c r="BH25" s="149" t="s">
        <v>24</v>
      </c>
      <c r="BI25" s="149" t="s">
        <v>110</v>
      </c>
      <c r="BJ25" s="149" t="s">
        <v>110</v>
      </c>
      <c r="BK25" s="194">
        <v>46231</v>
      </c>
      <c r="BL25" s="145" t="s">
        <v>114</v>
      </c>
      <c r="BM25" s="145"/>
      <c r="BN25" s="120"/>
      <c r="BO25" s="120"/>
      <c r="BP25" s="120"/>
      <c r="BQ25" s="121"/>
      <c r="BR25" s="121"/>
      <c r="BS25" s="121"/>
      <c r="BT25" s="121"/>
      <c r="BU25" s="121"/>
      <c r="BV25" s="121"/>
      <c r="BW25" s="121"/>
      <c r="BX25" s="121"/>
      <c r="BY25" s="121"/>
      <c r="BZ25" s="121"/>
      <c r="CA25" s="121"/>
      <c r="CB25" s="121"/>
      <c r="CC25" s="121"/>
      <c r="CD25" s="121"/>
      <c r="CE25" s="121"/>
      <c r="CF25" s="121"/>
      <c r="CG25" s="121"/>
      <c r="CH25" s="121"/>
      <c r="CI25" s="121"/>
      <c r="CJ25" s="121"/>
      <c r="CK25" s="121"/>
      <c r="CL25" s="121"/>
      <c r="CM25" s="121"/>
      <c r="CN25" s="121"/>
      <c r="CO25" s="121"/>
      <c r="CP25" s="121"/>
      <c r="CQ25" s="121"/>
      <c r="CR25" s="121"/>
      <c r="CS25" s="121"/>
      <c r="CT25" s="121"/>
      <c r="CU25" s="121"/>
      <c r="CV25" s="121"/>
      <c r="CW25" s="121"/>
      <c r="CX25" s="121"/>
      <c r="CY25" s="121"/>
    </row>
    <row r="26" spans="1:103" s="276" customFormat="1" ht="30" customHeight="1">
      <c r="A26" s="134">
        <v>13</v>
      </c>
      <c r="B26" s="134" t="s">
        <v>99</v>
      </c>
      <c r="C26" s="134">
        <v>2</v>
      </c>
      <c r="D26" s="134" t="s">
        <v>100</v>
      </c>
      <c r="E26" s="134" t="s">
        <v>100</v>
      </c>
      <c r="F26" s="199" t="s">
        <v>172</v>
      </c>
      <c r="G26" s="149" t="s">
        <v>102</v>
      </c>
      <c r="H26" s="149" t="s">
        <v>103</v>
      </c>
      <c r="I26" s="149" t="s">
        <v>104</v>
      </c>
      <c r="J26" s="152" t="s">
        <v>173</v>
      </c>
      <c r="K26" s="152" t="s">
        <v>174</v>
      </c>
      <c r="L26" s="152" t="s">
        <v>175</v>
      </c>
      <c r="M26" s="149" t="s">
        <v>4</v>
      </c>
      <c r="N26" s="149" t="s">
        <v>5</v>
      </c>
      <c r="O26" s="194">
        <v>46148</v>
      </c>
      <c r="P26" s="139" t="s">
        <v>24</v>
      </c>
      <c r="Q26" s="139" t="s">
        <v>24</v>
      </c>
      <c r="R26" s="139" t="s">
        <v>24</v>
      </c>
      <c r="S26" s="139" t="s">
        <v>24</v>
      </c>
      <c r="T26" s="139" t="s">
        <v>24</v>
      </c>
      <c r="U26" s="139" t="s">
        <v>24</v>
      </c>
      <c r="V26" s="139" t="s">
        <v>24</v>
      </c>
      <c r="W26" s="139" t="s">
        <v>24</v>
      </c>
      <c r="X26" s="139" t="s">
        <v>24</v>
      </c>
      <c r="Y26" s="139" t="s">
        <v>24</v>
      </c>
      <c r="Z26" s="139" t="s">
        <v>24</v>
      </c>
      <c r="AA26" s="149"/>
      <c r="AB26" s="152" t="s">
        <v>173</v>
      </c>
      <c r="AC26" s="152" t="s">
        <v>174</v>
      </c>
      <c r="AD26" s="152" t="s">
        <v>175</v>
      </c>
      <c r="AE26" s="149" t="s">
        <v>108</v>
      </c>
      <c r="AF26" s="149" t="s">
        <v>4</v>
      </c>
      <c r="AG26" s="208">
        <v>39668.78</v>
      </c>
      <c r="AH26" s="208">
        <v>60000</v>
      </c>
      <c r="AI26" s="234" t="s">
        <v>6</v>
      </c>
      <c r="AJ26" s="138" t="s">
        <v>109</v>
      </c>
      <c r="AK26" s="200">
        <v>155556034</v>
      </c>
      <c r="AL26" s="134" t="s">
        <v>176</v>
      </c>
      <c r="AM26" s="134" t="s">
        <v>110</v>
      </c>
      <c r="AN26" s="149" t="s">
        <v>177</v>
      </c>
      <c r="AO26" s="283"/>
      <c r="AP26" s="152"/>
      <c r="AQ26" s="198"/>
      <c r="AR26" s="198"/>
      <c r="AS26" s="198"/>
      <c r="AT26" s="198"/>
      <c r="AU26" s="194"/>
      <c r="AV26" s="198"/>
      <c r="AW26" s="198"/>
      <c r="AX26" s="194"/>
      <c r="AY26" s="197"/>
      <c r="AZ26" s="197"/>
      <c r="BA26" s="145"/>
      <c r="BB26" s="149"/>
      <c r="BC26" s="142" t="str">
        <f t="shared" si="0"/>
        <v/>
      </c>
      <c r="BD26" s="134" t="str">
        <f t="shared" si="1"/>
        <v>INDENIZAÇÃO</v>
      </c>
      <c r="BE26" s="134" t="str">
        <f t="shared" si="2"/>
        <v>NÃO</v>
      </c>
      <c r="BF26" s="149"/>
      <c r="BG26" s="149"/>
      <c r="BH26" s="149"/>
      <c r="BI26" s="145"/>
      <c r="BJ26" s="145"/>
      <c r="BK26" s="145"/>
      <c r="BL26" s="145"/>
      <c r="BM26" s="145"/>
      <c r="BN26" s="120"/>
      <c r="BO26" s="120"/>
      <c r="BP26" s="120"/>
      <c r="BQ26" s="121"/>
      <c r="BR26" s="121"/>
      <c r="BS26" s="121"/>
      <c r="BT26" s="121"/>
      <c r="BU26" s="121"/>
      <c r="BV26" s="121"/>
      <c r="BW26" s="121"/>
      <c r="BX26" s="121"/>
      <c r="BY26" s="121"/>
      <c r="BZ26" s="121"/>
      <c r="CA26" s="121"/>
      <c r="CB26" s="121"/>
      <c r="CC26" s="121"/>
      <c r="CD26" s="121"/>
      <c r="CE26" s="121"/>
      <c r="CF26" s="121"/>
      <c r="CG26" s="121"/>
      <c r="CH26" s="121"/>
      <c r="CI26" s="121"/>
      <c r="CJ26" s="121"/>
      <c r="CK26" s="121"/>
      <c r="CL26" s="121"/>
      <c r="CM26" s="121"/>
      <c r="CN26" s="121"/>
      <c r="CO26" s="121"/>
      <c r="CP26" s="121"/>
      <c r="CQ26" s="121"/>
      <c r="CR26" s="121"/>
      <c r="CS26" s="121"/>
      <c r="CT26" s="121"/>
      <c r="CU26" s="121"/>
      <c r="CV26" s="121"/>
      <c r="CW26" s="121"/>
      <c r="CX26" s="121"/>
      <c r="CY26" s="121"/>
    </row>
    <row r="27" spans="1:103" s="276" customFormat="1" ht="30" customHeight="1">
      <c r="A27" s="134">
        <v>14</v>
      </c>
      <c r="B27" s="134" t="s">
        <v>99</v>
      </c>
      <c r="C27" s="134">
        <v>2</v>
      </c>
      <c r="D27" s="134" t="s">
        <v>100</v>
      </c>
      <c r="E27" s="134" t="s">
        <v>100</v>
      </c>
      <c r="F27" s="138" t="s">
        <v>178</v>
      </c>
      <c r="G27" s="149" t="s">
        <v>102</v>
      </c>
      <c r="H27" s="149" t="s">
        <v>103</v>
      </c>
      <c r="I27" s="149" t="s">
        <v>104</v>
      </c>
      <c r="J27" s="152" t="s">
        <v>179</v>
      </c>
      <c r="K27" s="152" t="s">
        <v>180</v>
      </c>
      <c r="L27" s="152" t="s">
        <v>181</v>
      </c>
      <c r="M27" s="134" t="s">
        <v>4</v>
      </c>
      <c r="N27" s="134" t="s">
        <v>5</v>
      </c>
      <c r="O27" s="274">
        <v>45894</v>
      </c>
      <c r="P27" s="139" t="s">
        <v>24</v>
      </c>
      <c r="Q27" s="139" t="s">
        <v>24</v>
      </c>
      <c r="R27" s="139" t="s">
        <v>24</v>
      </c>
      <c r="S27" s="139" t="s">
        <v>24</v>
      </c>
      <c r="T27" s="139" t="s">
        <v>24</v>
      </c>
      <c r="U27" s="139" t="s">
        <v>24</v>
      </c>
      <c r="V27" s="139" t="s">
        <v>24</v>
      </c>
      <c r="W27" s="139" t="s">
        <v>24</v>
      </c>
      <c r="X27" s="139" t="s">
        <v>24</v>
      </c>
      <c r="Y27" s="139" t="s">
        <v>24</v>
      </c>
      <c r="Z27" s="139" t="s">
        <v>24</v>
      </c>
      <c r="AA27" s="273"/>
      <c r="AB27" s="152" t="s">
        <v>179</v>
      </c>
      <c r="AC27" s="152" t="s">
        <v>180</v>
      </c>
      <c r="AD27" s="152" t="s">
        <v>181</v>
      </c>
      <c r="AE27" s="149" t="s">
        <v>108</v>
      </c>
      <c r="AF27" s="134" t="s">
        <v>4</v>
      </c>
      <c r="AG27" s="208">
        <v>5274.69</v>
      </c>
      <c r="AH27" s="208">
        <v>35274.69</v>
      </c>
      <c r="AI27" s="231" t="s">
        <v>6</v>
      </c>
      <c r="AJ27" s="138" t="s">
        <v>109</v>
      </c>
      <c r="AK27" s="275">
        <v>128821642</v>
      </c>
      <c r="AL27" s="134" t="s">
        <v>110</v>
      </c>
      <c r="AM27" s="134" t="s">
        <v>110</v>
      </c>
      <c r="AN27" s="273" t="s">
        <v>111</v>
      </c>
      <c r="AO27" s="273"/>
      <c r="AP27" s="199" t="s">
        <v>182</v>
      </c>
      <c r="AQ27" s="198" t="s">
        <v>110</v>
      </c>
      <c r="AR27" s="198" t="s">
        <v>110</v>
      </c>
      <c r="AS27" s="198" t="s">
        <v>110</v>
      </c>
      <c r="AT27" s="198" t="s">
        <v>110</v>
      </c>
      <c r="AU27" s="274">
        <v>45937</v>
      </c>
      <c r="AV27" s="198" t="s">
        <v>110</v>
      </c>
      <c r="AW27" s="198" t="s">
        <v>110</v>
      </c>
      <c r="AX27" s="274">
        <v>45987</v>
      </c>
      <c r="AY27" s="197">
        <v>45987</v>
      </c>
      <c r="AZ27" s="197" t="s">
        <v>33</v>
      </c>
      <c r="BA27" s="145" t="s">
        <v>113</v>
      </c>
      <c r="BB27" s="149" t="s">
        <v>110</v>
      </c>
      <c r="BC27" s="142">
        <f t="shared" si="0"/>
        <v>93</v>
      </c>
      <c r="BD27" s="134" t="str">
        <f t="shared" si="1"/>
        <v>INDENIZAÇÃO</v>
      </c>
      <c r="BE27" s="134" t="str">
        <f t="shared" si="2"/>
        <v>NÃO</v>
      </c>
      <c r="BF27" s="149" t="s">
        <v>24</v>
      </c>
      <c r="BG27" s="149" t="s">
        <v>24</v>
      </c>
      <c r="BH27" s="149" t="s">
        <v>24</v>
      </c>
      <c r="BI27" s="149" t="s">
        <v>110</v>
      </c>
      <c r="BJ27" s="149" t="s">
        <v>110</v>
      </c>
      <c r="BK27" s="194">
        <v>46231</v>
      </c>
      <c r="BL27" s="145" t="s">
        <v>114</v>
      </c>
      <c r="BM27" s="145"/>
    </row>
    <row r="28" spans="1:103" s="276" customFormat="1" ht="30" customHeight="1">
      <c r="A28" s="134">
        <v>15</v>
      </c>
      <c r="B28" s="134" t="s">
        <v>99</v>
      </c>
      <c r="C28" s="134">
        <v>2</v>
      </c>
      <c r="D28" s="134" t="s">
        <v>100</v>
      </c>
      <c r="E28" s="134" t="s">
        <v>100</v>
      </c>
      <c r="F28" s="152" t="s">
        <v>183</v>
      </c>
      <c r="G28" s="149" t="s">
        <v>102</v>
      </c>
      <c r="H28" s="149" t="s">
        <v>103</v>
      </c>
      <c r="I28" s="149" t="s">
        <v>104</v>
      </c>
      <c r="J28" s="152" t="s">
        <v>184</v>
      </c>
      <c r="K28" s="152" t="s">
        <v>185</v>
      </c>
      <c r="L28" s="152" t="s">
        <v>186</v>
      </c>
      <c r="M28" s="149" t="s">
        <v>4</v>
      </c>
      <c r="N28" s="149" t="s">
        <v>5</v>
      </c>
      <c r="O28" s="194">
        <v>46139</v>
      </c>
      <c r="P28" s="139" t="s">
        <v>24</v>
      </c>
      <c r="Q28" s="139" t="s">
        <v>24</v>
      </c>
      <c r="R28" s="139" t="s">
        <v>24</v>
      </c>
      <c r="S28" s="139" t="s">
        <v>24</v>
      </c>
      <c r="T28" s="139" t="s">
        <v>24</v>
      </c>
      <c r="U28" s="139" t="s">
        <v>24</v>
      </c>
      <c r="V28" s="139" t="s">
        <v>24</v>
      </c>
      <c r="W28" s="139" t="s">
        <v>24</v>
      </c>
      <c r="X28" s="139" t="s">
        <v>24</v>
      </c>
      <c r="Y28" s="139" t="s">
        <v>24</v>
      </c>
      <c r="Z28" s="139" t="s">
        <v>24</v>
      </c>
      <c r="AA28" s="149"/>
      <c r="AB28" s="152" t="s">
        <v>184</v>
      </c>
      <c r="AC28" s="152" t="s">
        <v>185</v>
      </c>
      <c r="AD28" s="152" t="s">
        <v>186</v>
      </c>
      <c r="AE28" s="149" t="s">
        <v>108</v>
      </c>
      <c r="AF28" s="149" t="s">
        <v>4</v>
      </c>
      <c r="AG28" s="208">
        <v>9604.58</v>
      </c>
      <c r="AH28" s="208">
        <v>39604.58</v>
      </c>
      <c r="AI28" s="234" t="s">
        <v>6</v>
      </c>
      <c r="AJ28" s="138" t="s">
        <v>109</v>
      </c>
      <c r="AK28" s="275" t="s">
        <v>187</v>
      </c>
      <c r="AL28" s="134" t="s">
        <v>110</v>
      </c>
      <c r="AM28" s="134" t="s">
        <v>110</v>
      </c>
      <c r="AN28" s="273" t="s">
        <v>111</v>
      </c>
      <c r="AO28" s="226"/>
      <c r="AP28" s="199" t="s">
        <v>188</v>
      </c>
      <c r="AQ28" s="149" t="s">
        <v>110</v>
      </c>
      <c r="AR28" s="149" t="s">
        <v>110</v>
      </c>
      <c r="AS28" s="149" t="s">
        <v>110</v>
      </c>
      <c r="AT28" s="149" t="s">
        <v>110</v>
      </c>
      <c r="AU28" s="194">
        <v>46182</v>
      </c>
      <c r="AV28" s="149" t="s">
        <v>110</v>
      </c>
      <c r="AW28" s="149" t="s">
        <v>110</v>
      </c>
      <c r="AX28" s="194">
        <v>46189</v>
      </c>
      <c r="AY28" s="197">
        <v>46189</v>
      </c>
      <c r="AZ28" s="145" t="s">
        <v>33</v>
      </c>
      <c r="BA28" s="145" t="s">
        <v>113</v>
      </c>
      <c r="BB28" s="149" t="s">
        <v>110</v>
      </c>
      <c r="BC28" s="142">
        <f t="shared" ref="BC28:BC92" si="3">IF(AY28-KD28=0,"",AY28-O28)</f>
        <v>50</v>
      </c>
      <c r="BD28" s="134" t="str">
        <f t="shared" ref="BD28:BD92" si="4">IF(AND(AI28&lt;&gt;"SIM",AI28="UH"),"AA","INDENIZAÇÃO")</f>
        <v>INDENIZAÇÃO</v>
      </c>
      <c r="BE28" s="134" t="str">
        <f t="shared" ref="BE28:BE92" si="5">IF(AND(AY28&lt;&gt;"AGUARDANDO",AY28&lt;&gt;"",N28="AUXÍLIO ALUGUEL ATÉ INDENIZAÇÃO"),"SIM","NÃO")</f>
        <v>NÃO</v>
      </c>
      <c r="BF28" s="149" t="s">
        <v>24</v>
      </c>
      <c r="BG28" s="149" t="s">
        <v>24</v>
      </c>
      <c r="BH28" s="149" t="s">
        <v>24</v>
      </c>
      <c r="BI28" s="145" t="s">
        <v>189</v>
      </c>
      <c r="BJ28" s="145"/>
      <c r="BK28" s="145"/>
      <c r="BL28" s="145"/>
      <c r="BM28" s="145"/>
    </row>
    <row r="29" spans="1:103" s="276" customFormat="1" ht="30" customHeight="1">
      <c r="A29" s="134"/>
      <c r="B29" s="134" t="s">
        <v>99</v>
      </c>
      <c r="C29" s="134">
        <v>2</v>
      </c>
      <c r="D29" s="134" t="s">
        <v>100</v>
      </c>
      <c r="E29" s="134" t="s">
        <v>100</v>
      </c>
      <c r="F29" s="152" t="s">
        <v>190</v>
      </c>
      <c r="G29" s="149" t="s">
        <v>102</v>
      </c>
      <c r="H29" s="149" t="s">
        <v>103</v>
      </c>
      <c r="I29" s="149" t="s">
        <v>104</v>
      </c>
      <c r="J29" s="329" t="s">
        <v>191</v>
      </c>
      <c r="K29" s="330" t="s">
        <v>192</v>
      </c>
      <c r="L29" s="330" t="s">
        <v>193</v>
      </c>
      <c r="M29" s="149" t="s">
        <v>4</v>
      </c>
      <c r="N29" s="149" t="s">
        <v>5</v>
      </c>
      <c r="O29" s="194"/>
      <c r="P29" s="139"/>
      <c r="Q29" s="139"/>
      <c r="R29" s="139"/>
      <c r="S29" s="139"/>
      <c r="T29" s="139"/>
      <c r="U29" s="139"/>
      <c r="V29" s="139"/>
      <c r="W29" s="139"/>
      <c r="X29" s="139"/>
      <c r="Y29" s="139"/>
      <c r="Z29" s="139"/>
      <c r="AA29" s="149"/>
      <c r="AB29" s="329" t="s">
        <v>191</v>
      </c>
      <c r="AC29" s="330" t="s">
        <v>192</v>
      </c>
      <c r="AD29" s="330" t="s">
        <v>193</v>
      </c>
      <c r="AE29" s="149" t="s">
        <v>108</v>
      </c>
      <c r="AF29" s="149" t="s">
        <v>4</v>
      </c>
      <c r="AG29" s="208"/>
      <c r="AH29" s="208"/>
      <c r="AI29" s="234" t="s">
        <v>6</v>
      </c>
      <c r="AJ29" s="138"/>
      <c r="AK29" s="275"/>
      <c r="AL29" s="134"/>
      <c r="AM29" s="134"/>
      <c r="AN29" s="273"/>
      <c r="AO29" s="226"/>
      <c r="AP29" s="199"/>
      <c r="AQ29" s="149"/>
      <c r="AR29" s="149"/>
      <c r="AS29" s="149"/>
      <c r="AT29" s="149"/>
      <c r="AU29" s="194"/>
      <c r="AV29" s="149"/>
      <c r="AW29" s="149"/>
      <c r="AX29" s="194"/>
      <c r="AY29" s="197"/>
      <c r="AZ29" s="145"/>
      <c r="BA29" s="145"/>
      <c r="BB29" s="149"/>
      <c r="BC29" s="142"/>
      <c r="BD29" s="134"/>
      <c r="BE29" s="134"/>
      <c r="BF29" s="149"/>
      <c r="BG29" s="149"/>
      <c r="BH29" s="149"/>
      <c r="BI29" s="145"/>
      <c r="BJ29" s="145"/>
      <c r="BK29" s="145"/>
      <c r="BL29" s="145"/>
      <c r="BM29" s="145"/>
    </row>
    <row r="30" spans="1:103" s="276" customFormat="1" ht="30" customHeight="1">
      <c r="A30" s="134">
        <v>16</v>
      </c>
      <c r="B30" s="134" t="s">
        <v>99</v>
      </c>
      <c r="C30" s="134">
        <v>2</v>
      </c>
      <c r="D30" s="134" t="s">
        <v>100</v>
      </c>
      <c r="E30" s="134" t="s">
        <v>100</v>
      </c>
      <c r="F30" s="138" t="s">
        <v>194</v>
      </c>
      <c r="G30" s="149" t="s">
        <v>102</v>
      </c>
      <c r="H30" s="149" t="s">
        <v>103</v>
      </c>
      <c r="I30" s="149" t="s">
        <v>104</v>
      </c>
      <c r="J30" s="152" t="s">
        <v>195</v>
      </c>
      <c r="K30" s="152" t="s">
        <v>196</v>
      </c>
      <c r="L30" s="152" t="s">
        <v>197</v>
      </c>
      <c r="M30" s="134" t="s">
        <v>4</v>
      </c>
      <c r="N30" s="134" t="s">
        <v>5</v>
      </c>
      <c r="O30" s="274">
        <v>45894</v>
      </c>
      <c r="P30" s="139" t="s">
        <v>24</v>
      </c>
      <c r="Q30" s="139" t="s">
        <v>24</v>
      </c>
      <c r="R30" s="139" t="s">
        <v>24</v>
      </c>
      <c r="S30" s="139" t="s">
        <v>24</v>
      </c>
      <c r="T30" s="139" t="s">
        <v>24</v>
      </c>
      <c r="U30" s="139" t="s">
        <v>24</v>
      </c>
      <c r="V30" s="139" t="s">
        <v>24</v>
      </c>
      <c r="W30" s="139" t="s">
        <v>24</v>
      </c>
      <c r="X30" s="139" t="s">
        <v>24</v>
      </c>
      <c r="Y30" s="139" t="s">
        <v>24</v>
      </c>
      <c r="Z30" s="139" t="s">
        <v>24</v>
      </c>
      <c r="AA30" s="273"/>
      <c r="AB30" s="152" t="s">
        <v>195</v>
      </c>
      <c r="AC30" s="152" t="s">
        <v>196</v>
      </c>
      <c r="AD30" s="152" t="s">
        <v>197</v>
      </c>
      <c r="AE30" s="149" t="s">
        <v>108</v>
      </c>
      <c r="AF30" s="134" t="s">
        <v>4</v>
      </c>
      <c r="AG30" s="208">
        <v>23408.06</v>
      </c>
      <c r="AH30" s="208">
        <v>53408.06</v>
      </c>
      <c r="AI30" s="231" t="s">
        <v>6</v>
      </c>
      <c r="AJ30" s="138" t="s">
        <v>109</v>
      </c>
      <c r="AK30" s="275">
        <v>128821715</v>
      </c>
      <c r="AL30" s="134" t="s">
        <v>110</v>
      </c>
      <c r="AM30" s="134" t="s">
        <v>110</v>
      </c>
      <c r="AN30" s="273" t="s">
        <v>111</v>
      </c>
      <c r="AO30" s="273"/>
      <c r="AP30" s="199" t="s">
        <v>198</v>
      </c>
      <c r="AQ30" s="198" t="s">
        <v>110</v>
      </c>
      <c r="AR30" s="198" t="s">
        <v>110</v>
      </c>
      <c r="AS30" s="198" t="s">
        <v>110</v>
      </c>
      <c r="AT30" s="198" t="s">
        <v>110</v>
      </c>
      <c r="AU30" s="274">
        <v>45937</v>
      </c>
      <c r="AV30" s="198" t="s">
        <v>110</v>
      </c>
      <c r="AW30" s="198" t="s">
        <v>110</v>
      </c>
      <c r="AX30" s="274">
        <v>45947</v>
      </c>
      <c r="AY30" s="140">
        <v>45947</v>
      </c>
      <c r="AZ30" s="140" t="s">
        <v>33</v>
      </c>
      <c r="BA30" s="145" t="s">
        <v>113</v>
      </c>
      <c r="BB30" s="198" t="s">
        <v>110</v>
      </c>
      <c r="BC30" s="142">
        <f t="shared" si="3"/>
        <v>53</v>
      </c>
      <c r="BD30" s="134" t="str">
        <f t="shared" si="4"/>
        <v>INDENIZAÇÃO</v>
      </c>
      <c r="BE30" s="134" t="str">
        <f t="shared" si="5"/>
        <v>NÃO</v>
      </c>
      <c r="BF30" s="198" t="s">
        <v>24</v>
      </c>
      <c r="BG30" s="198" t="s">
        <v>24</v>
      </c>
      <c r="BH30" s="198" t="s">
        <v>24</v>
      </c>
      <c r="BI30" s="149" t="s">
        <v>110</v>
      </c>
      <c r="BJ30" s="149" t="s">
        <v>110</v>
      </c>
      <c r="BK30" s="194">
        <v>46231</v>
      </c>
      <c r="BL30" s="145" t="s">
        <v>114</v>
      </c>
      <c r="BM30" s="145"/>
    </row>
    <row r="31" spans="1:103" s="121" customFormat="1" ht="30" customHeight="1">
      <c r="A31" s="134">
        <v>17</v>
      </c>
      <c r="B31" s="134" t="s">
        <v>99</v>
      </c>
      <c r="C31" s="134">
        <v>2</v>
      </c>
      <c r="D31" s="134" t="s">
        <v>100</v>
      </c>
      <c r="E31" s="134" t="s">
        <v>100</v>
      </c>
      <c r="F31" s="138" t="s">
        <v>199</v>
      </c>
      <c r="G31" s="149" t="s">
        <v>102</v>
      </c>
      <c r="H31" s="149" t="s">
        <v>103</v>
      </c>
      <c r="I31" s="149" t="s">
        <v>104</v>
      </c>
      <c r="J31" s="152" t="s">
        <v>200</v>
      </c>
      <c r="K31" s="152" t="s">
        <v>201</v>
      </c>
      <c r="L31" s="152" t="s">
        <v>202</v>
      </c>
      <c r="M31" s="134" t="s">
        <v>4</v>
      </c>
      <c r="N31" s="134" t="s">
        <v>5</v>
      </c>
      <c r="O31" s="274">
        <v>46001</v>
      </c>
      <c r="P31" s="139" t="s">
        <v>24</v>
      </c>
      <c r="Q31" s="139" t="s">
        <v>24</v>
      </c>
      <c r="R31" s="139" t="s">
        <v>24</v>
      </c>
      <c r="S31" s="139" t="s">
        <v>24</v>
      </c>
      <c r="T31" s="139" t="s">
        <v>24</v>
      </c>
      <c r="U31" s="139" t="s">
        <v>24</v>
      </c>
      <c r="V31" s="139" t="s">
        <v>24</v>
      </c>
      <c r="W31" s="139" t="s">
        <v>24</v>
      </c>
      <c r="X31" s="139" t="s">
        <v>24</v>
      </c>
      <c r="Y31" s="139" t="s">
        <v>24</v>
      </c>
      <c r="Z31" s="139" t="s">
        <v>24</v>
      </c>
      <c r="AA31" s="273"/>
      <c r="AB31" s="152" t="s">
        <v>200</v>
      </c>
      <c r="AC31" s="152" t="s">
        <v>201</v>
      </c>
      <c r="AD31" s="152" t="s">
        <v>202</v>
      </c>
      <c r="AE31" s="149" t="s">
        <v>108</v>
      </c>
      <c r="AF31" s="134" t="s">
        <v>4</v>
      </c>
      <c r="AG31" s="208">
        <v>30881.25</v>
      </c>
      <c r="AH31" s="208">
        <v>60000</v>
      </c>
      <c r="AI31" s="231" t="s">
        <v>6</v>
      </c>
      <c r="AJ31" s="138" t="s">
        <v>109</v>
      </c>
      <c r="AK31" s="275">
        <v>142053894</v>
      </c>
      <c r="AL31" s="134" t="s">
        <v>110</v>
      </c>
      <c r="AM31" s="134" t="s">
        <v>110</v>
      </c>
      <c r="AN31" s="273" t="s">
        <v>111</v>
      </c>
      <c r="AO31" s="273"/>
      <c r="AP31" s="152" t="s">
        <v>203</v>
      </c>
      <c r="AQ31" s="198" t="s">
        <v>110</v>
      </c>
      <c r="AR31" s="198" t="s">
        <v>110</v>
      </c>
      <c r="AS31" s="198" t="s">
        <v>110</v>
      </c>
      <c r="AT31" s="198" t="s">
        <v>110</v>
      </c>
      <c r="AU31" s="194">
        <v>46021</v>
      </c>
      <c r="AV31" s="198" t="s">
        <v>110</v>
      </c>
      <c r="AW31" s="198" t="s">
        <v>110</v>
      </c>
      <c r="AX31" s="194">
        <v>46041</v>
      </c>
      <c r="AY31" s="197">
        <v>46041</v>
      </c>
      <c r="AZ31" s="197" t="s">
        <v>33</v>
      </c>
      <c r="BA31" s="145" t="s">
        <v>113</v>
      </c>
      <c r="BB31" s="149" t="s">
        <v>110</v>
      </c>
      <c r="BC31" s="142">
        <f t="shared" si="3"/>
        <v>40</v>
      </c>
      <c r="BD31" s="134" t="str">
        <f t="shared" si="4"/>
        <v>INDENIZAÇÃO</v>
      </c>
      <c r="BE31" s="134" t="str">
        <f t="shared" si="5"/>
        <v>NÃO</v>
      </c>
      <c r="BF31" s="149" t="s">
        <v>24</v>
      </c>
      <c r="BG31" s="149" t="s">
        <v>24</v>
      </c>
      <c r="BH31" s="149" t="s">
        <v>24</v>
      </c>
      <c r="BI31" s="149" t="s">
        <v>110</v>
      </c>
      <c r="BJ31" s="149" t="s">
        <v>110</v>
      </c>
      <c r="BK31" s="194">
        <v>46231</v>
      </c>
      <c r="BL31" s="145" t="s">
        <v>114</v>
      </c>
      <c r="BM31" s="145"/>
      <c r="BN31" s="120"/>
      <c r="BO31" s="120"/>
      <c r="BP31" s="120"/>
      <c r="BQ31" s="120"/>
      <c r="BR31" s="120"/>
      <c r="BS31" s="120"/>
      <c r="BT31" s="120"/>
      <c r="BU31" s="120"/>
      <c r="BV31" s="120"/>
      <c r="BW31" s="120"/>
      <c r="BX31" s="120"/>
      <c r="BY31" s="120"/>
      <c r="BZ31" s="120"/>
      <c r="CA31" s="120"/>
      <c r="CB31" s="120"/>
      <c r="CC31" s="120"/>
      <c r="CD31" s="120"/>
      <c r="CE31" s="120"/>
      <c r="CF31" s="120"/>
      <c r="CG31" s="120"/>
      <c r="CH31" s="120"/>
      <c r="CI31" s="120"/>
      <c r="CJ31" s="120"/>
      <c r="CK31" s="120"/>
      <c r="CL31" s="120"/>
      <c r="CM31" s="120"/>
      <c r="CN31" s="120"/>
      <c r="CO31" s="120"/>
      <c r="CP31" s="120"/>
      <c r="CQ31" s="120"/>
      <c r="CR31" s="120"/>
      <c r="CS31" s="120"/>
      <c r="CT31" s="120"/>
      <c r="CU31" s="120"/>
      <c r="CV31" s="120"/>
      <c r="CW31" s="120"/>
      <c r="CX31" s="120"/>
      <c r="CY31" s="120"/>
    </row>
    <row r="32" spans="1:103" s="121" customFormat="1" ht="30" customHeight="1">
      <c r="A32" s="134">
        <v>18</v>
      </c>
      <c r="B32" s="134" t="s">
        <v>99</v>
      </c>
      <c r="C32" s="134">
        <v>2</v>
      </c>
      <c r="D32" s="134" t="s">
        <v>100</v>
      </c>
      <c r="E32" s="134" t="s">
        <v>100</v>
      </c>
      <c r="F32" s="138" t="s">
        <v>204</v>
      </c>
      <c r="G32" s="149" t="s">
        <v>102</v>
      </c>
      <c r="H32" s="149" t="s">
        <v>103</v>
      </c>
      <c r="I32" s="149" t="s">
        <v>104</v>
      </c>
      <c r="J32" s="152" t="s">
        <v>205</v>
      </c>
      <c r="K32" s="152" t="s">
        <v>206</v>
      </c>
      <c r="L32" s="152" t="s">
        <v>207</v>
      </c>
      <c r="M32" s="134" t="s">
        <v>4</v>
      </c>
      <c r="N32" s="134" t="s">
        <v>5</v>
      </c>
      <c r="O32" s="274">
        <v>45894</v>
      </c>
      <c r="P32" s="139" t="s">
        <v>24</v>
      </c>
      <c r="Q32" s="139" t="s">
        <v>24</v>
      </c>
      <c r="R32" s="139" t="s">
        <v>24</v>
      </c>
      <c r="S32" s="139" t="s">
        <v>24</v>
      </c>
      <c r="T32" s="139" t="s">
        <v>24</v>
      </c>
      <c r="U32" s="139" t="s">
        <v>24</v>
      </c>
      <c r="V32" s="139" t="s">
        <v>24</v>
      </c>
      <c r="W32" s="139" t="s">
        <v>24</v>
      </c>
      <c r="X32" s="139" t="s">
        <v>24</v>
      </c>
      <c r="Y32" s="139" t="s">
        <v>24</v>
      </c>
      <c r="Z32" s="139" t="s">
        <v>24</v>
      </c>
      <c r="AA32" s="273"/>
      <c r="AB32" s="152" t="s">
        <v>205</v>
      </c>
      <c r="AC32" s="152" t="s">
        <v>206</v>
      </c>
      <c r="AD32" s="152" t="s">
        <v>207</v>
      </c>
      <c r="AE32" s="149" t="s">
        <v>108</v>
      </c>
      <c r="AF32" s="134" t="s">
        <v>4</v>
      </c>
      <c r="AG32" s="208">
        <v>49197.74</v>
      </c>
      <c r="AH32" s="208">
        <v>60000</v>
      </c>
      <c r="AI32" s="231" t="s">
        <v>6</v>
      </c>
      <c r="AJ32" s="138" t="s">
        <v>109</v>
      </c>
      <c r="AK32" s="275">
        <v>128821794</v>
      </c>
      <c r="AL32" s="134" t="s">
        <v>110</v>
      </c>
      <c r="AM32" s="134" t="s">
        <v>110</v>
      </c>
      <c r="AN32" s="273" t="s">
        <v>111</v>
      </c>
      <c r="AO32" s="273"/>
      <c r="AP32" s="199" t="s">
        <v>208</v>
      </c>
      <c r="AQ32" s="198" t="s">
        <v>110</v>
      </c>
      <c r="AR32" s="198" t="s">
        <v>110</v>
      </c>
      <c r="AS32" s="198" t="s">
        <v>110</v>
      </c>
      <c r="AT32" s="198" t="s">
        <v>110</v>
      </c>
      <c r="AU32" s="274">
        <v>45937</v>
      </c>
      <c r="AV32" s="198" t="s">
        <v>110</v>
      </c>
      <c r="AW32" s="198" t="s">
        <v>110</v>
      </c>
      <c r="AX32" s="274">
        <v>45975</v>
      </c>
      <c r="AY32" s="197">
        <v>45975</v>
      </c>
      <c r="AZ32" s="197" t="s">
        <v>33</v>
      </c>
      <c r="BA32" s="145" t="s">
        <v>113</v>
      </c>
      <c r="BB32" s="149" t="s">
        <v>110</v>
      </c>
      <c r="BC32" s="142">
        <f t="shared" si="3"/>
        <v>81</v>
      </c>
      <c r="BD32" s="134" t="str">
        <f t="shared" si="4"/>
        <v>INDENIZAÇÃO</v>
      </c>
      <c r="BE32" s="134" t="str">
        <f t="shared" si="5"/>
        <v>NÃO</v>
      </c>
      <c r="BF32" s="149" t="s">
        <v>24</v>
      </c>
      <c r="BG32" s="149" t="s">
        <v>24</v>
      </c>
      <c r="BH32" s="149" t="s">
        <v>24</v>
      </c>
      <c r="BI32" s="149" t="s">
        <v>110</v>
      </c>
      <c r="BJ32" s="149" t="s">
        <v>110</v>
      </c>
      <c r="BK32" s="194">
        <v>46231</v>
      </c>
      <c r="BL32" s="145" t="s">
        <v>114</v>
      </c>
      <c r="BM32" s="145"/>
      <c r="BN32" s="120"/>
      <c r="BO32" s="120"/>
      <c r="BP32" s="120"/>
      <c r="BQ32" s="120"/>
      <c r="BR32" s="120"/>
      <c r="BS32" s="120"/>
      <c r="BT32" s="120"/>
      <c r="BU32" s="120"/>
      <c r="BV32" s="120"/>
      <c r="BW32" s="120"/>
      <c r="BX32" s="120"/>
      <c r="BY32" s="120"/>
      <c r="BZ32" s="120"/>
      <c r="CA32" s="120"/>
      <c r="CB32" s="120"/>
      <c r="CC32" s="120"/>
      <c r="CD32" s="120"/>
      <c r="CE32" s="120"/>
      <c r="CF32" s="120"/>
      <c r="CG32" s="120"/>
      <c r="CH32" s="120"/>
      <c r="CI32" s="120"/>
      <c r="CJ32" s="120"/>
      <c r="CK32" s="120"/>
      <c r="CL32" s="120"/>
      <c r="CM32" s="120"/>
      <c r="CN32" s="120"/>
      <c r="CO32" s="120"/>
      <c r="CP32" s="120"/>
      <c r="CQ32" s="120"/>
      <c r="CR32" s="120"/>
      <c r="CS32" s="120"/>
      <c r="CT32" s="120"/>
      <c r="CU32" s="120"/>
      <c r="CV32" s="120"/>
      <c r="CW32" s="120"/>
      <c r="CX32" s="120"/>
      <c r="CY32" s="120"/>
    </row>
    <row r="33" spans="1:103" s="121" customFormat="1" ht="30" customHeight="1">
      <c r="A33" s="134">
        <v>19</v>
      </c>
      <c r="B33" s="134" t="s">
        <v>99</v>
      </c>
      <c r="C33" s="134">
        <v>2</v>
      </c>
      <c r="D33" s="134" t="s">
        <v>100</v>
      </c>
      <c r="E33" s="134" t="s">
        <v>100</v>
      </c>
      <c r="F33" s="138" t="s">
        <v>209</v>
      </c>
      <c r="G33" s="149" t="s">
        <v>102</v>
      </c>
      <c r="H33" s="149" t="s">
        <v>103</v>
      </c>
      <c r="I33" s="149" t="s">
        <v>104</v>
      </c>
      <c r="J33" s="152" t="s">
        <v>210</v>
      </c>
      <c r="K33" s="152" t="s">
        <v>211</v>
      </c>
      <c r="L33" s="152" t="s">
        <v>212</v>
      </c>
      <c r="M33" s="134" t="s">
        <v>4</v>
      </c>
      <c r="N33" s="134" t="s">
        <v>213</v>
      </c>
      <c r="O33" s="274"/>
      <c r="P33" s="139"/>
      <c r="Q33" s="139"/>
      <c r="R33" s="139"/>
      <c r="S33" s="139"/>
      <c r="T33" s="139"/>
      <c r="U33" s="139"/>
      <c r="V33" s="139"/>
      <c r="W33" s="139"/>
      <c r="X33" s="139"/>
      <c r="Y33" s="139"/>
      <c r="Z33" s="139"/>
      <c r="AA33" s="273"/>
      <c r="AB33" s="152" t="s">
        <v>210</v>
      </c>
      <c r="AC33" s="152" t="s">
        <v>211</v>
      </c>
      <c r="AD33" s="152" t="s">
        <v>212</v>
      </c>
      <c r="AE33" s="273"/>
      <c r="AF33" s="134"/>
      <c r="AG33" s="208"/>
      <c r="AH33" s="208"/>
      <c r="AI33" s="231"/>
      <c r="AJ33" s="138"/>
      <c r="AK33" s="275"/>
      <c r="AL33" s="134"/>
      <c r="AM33" s="134"/>
      <c r="AN33" s="273"/>
      <c r="AO33" s="273"/>
      <c r="AP33" s="199"/>
      <c r="AQ33" s="198"/>
      <c r="AR33" s="198"/>
      <c r="AS33" s="198"/>
      <c r="AT33" s="198"/>
      <c r="AU33" s="274"/>
      <c r="AV33" s="198"/>
      <c r="AW33" s="198"/>
      <c r="AX33" s="274"/>
      <c r="AY33" s="140"/>
      <c r="AZ33" s="141"/>
      <c r="BA33" s="145"/>
      <c r="BB33" s="198"/>
      <c r="BC33" s="142" t="str">
        <f t="shared" si="3"/>
        <v/>
      </c>
      <c r="BD33" s="134" t="str">
        <f t="shared" si="4"/>
        <v>INDENIZAÇÃO</v>
      </c>
      <c r="BE33" s="134" t="str">
        <f t="shared" si="5"/>
        <v>NÃO</v>
      </c>
      <c r="BF33" s="198"/>
      <c r="BG33" s="198"/>
      <c r="BH33" s="198"/>
      <c r="BI33" s="198"/>
      <c r="BJ33" s="198"/>
      <c r="BK33" s="274"/>
      <c r="BL33" s="198"/>
      <c r="BM33" s="198"/>
      <c r="BN33" s="149"/>
      <c r="BO33" s="149"/>
      <c r="BP33" s="149"/>
      <c r="BQ33" s="149"/>
      <c r="BR33" s="149"/>
      <c r="BS33" s="149"/>
      <c r="BT33" s="149"/>
      <c r="BU33" s="149"/>
      <c r="BV33" s="149"/>
      <c r="BW33" s="149"/>
      <c r="BX33" s="149"/>
      <c r="BY33" s="149"/>
      <c r="BZ33" s="149"/>
      <c r="CA33" s="149"/>
      <c r="CB33" s="149"/>
      <c r="CC33" s="149"/>
      <c r="CD33" s="149"/>
      <c r="CE33" s="149"/>
      <c r="CF33" s="149"/>
      <c r="CG33" s="149"/>
      <c r="CH33" s="149"/>
      <c r="CI33" s="200"/>
      <c r="CJ33" s="149"/>
      <c r="CK33" s="149"/>
      <c r="CL33" s="149"/>
      <c r="CM33" s="149"/>
      <c r="CN33" s="149"/>
      <c r="CO33" s="149"/>
      <c r="CP33" s="149"/>
      <c r="CQ33" s="149"/>
      <c r="CR33" s="149"/>
      <c r="CS33" s="149"/>
      <c r="CT33" s="149"/>
      <c r="CU33" s="149"/>
      <c r="CV33" s="149"/>
      <c r="CW33" s="149"/>
      <c r="CX33" s="149"/>
      <c r="CY33" s="149"/>
    </row>
    <row r="34" spans="1:103" s="121" customFormat="1" ht="30" customHeight="1">
      <c r="A34" s="134">
        <v>20</v>
      </c>
      <c r="B34" s="134" t="s">
        <v>99</v>
      </c>
      <c r="C34" s="134">
        <v>2</v>
      </c>
      <c r="D34" s="134" t="s">
        <v>100</v>
      </c>
      <c r="E34" s="134" t="s">
        <v>100</v>
      </c>
      <c r="F34" s="138" t="s">
        <v>214</v>
      </c>
      <c r="G34" s="149" t="s">
        <v>102</v>
      </c>
      <c r="H34" s="149" t="s">
        <v>103</v>
      </c>
      <c r="I34" s="149" t="s">
        <v>104</v>
      </c>
      <c r="J34" s="152" t="s">
        <v>215</v>
      </c>
      <c r="K34" s="152" t="s">
        <v>216</v>
      </c>
      <c r="L34" s="152" t="s">
        <v>217</v>
      </c>
      <c r="M34" s="134" t="s">
        <v>4</v>
      </c>
      <c r="N34" s="134" t="s">
        <v>5</v>
      </c>
      <c r="O34" s="274">
        <v>45905</v>
      </c>
      <c r="P34" s="139" t="s">
        <v>24</v>
      </c>
      <c r="Q34" s="139" t="s">
        <v>24</v>
      </c>
      <c r="R34" s="139" t="s">
        <v>24</v>
      </c>
      <c r="S34" s="139" t="s">
        <v>24</v>
      </c>
      <c r="T34" s="139" t="s">
        <v>24</v>
      </c>
      <c r="U34" s="139" t="s">
        <v>24</v>
      </c>
      <c r="V34" s="139" t="s">
        <v>24</v>
      </c>
      <c r="W34" s="139" t="s">
        <v>24</v>
      </c>
      <c r="X34" s="139" t="s">
        <v>24</v>
      </c>
      <c r="Y34" s="139" t="s">
        <v>24</v>
      </c>
      <c r="Z34" s="139" t="s">
        <v>24</v>
      </c>
      <c r="AA34" s="273"/>
      <c r="AB34" s="152" t="s">
        <v>215</v>
      </c>
      <c r="AC34" s="152" t="s">
        <v>216</v>
      </c>
      <c r="AD34" s="152" t="s">
        <v>217</v>
      </c>
      <c r="AE34" s="149" t="s">
        <v>108</v>
      </c>
      <c r="AF34" s="134" t="s">
        <v>4</v>
      </c>
      <c r="AG34" s="208">
        <v>3653.17</v>
      </c>
      <c r="AH34" s="208">
        <v>33653.17</v>
      </c>
      <c r="AI34" s="231" t="s">
        <v>6</v>
      </c>
      <c r="AJ34" s="138" t="s">
        <v>109</v>
      </c>
      <c r="AK34" s="275">
        <v>128822058</v>
      </c>
      <c r="AL34" s="134" t="s">
        <v>110</v>
      </c>
      <c r="AM34" s="134" t="s">
        <v>110</v>
      </c>
      <c r="AN34" s="273" t="s">
        <v>111</v>
      </c>
      <c r="AO34" s="273"/>
      <c r="AP34" s="199" t="s">
        <v>218</v>
      </c>
      <c r="AQ34" s="198" t="s">
        <v>110</v>
      </c>
      <c r="AR34" s="198" t="s">
        <v>110</v>
      </c>
      <c r="AS34" s="198" t="s">
        <v>110</v>
      </c>
      <c r="AT34" s="198" t="s">
        <v>110</v>
      </c>
      <c r="AU34" s="274">
        <v>45937</v>
      </c>
      <c r="AV34" s="198" t="s">
        <v>110</v>
      </c>
      <c r="AW34" s="198" t="s">
        <v>110</v>
      </c>
      <c r="AX34" s="274">
        <v>45947</v>
      </c>
      <c r="AY34" s="140">
        <v>45947</v>
      </c>
      <c r="AZ34" s="140" t="s">
        <v>33</v>
      </c>
      <c r="BA34" s="145" t="s">
        <v>113</v>
      </c>
      <c r="BB34" s="198" t="s">
        <v>110</v>
      </c>
      <c r="BC34" s="142">
        <f t="shared" si="3"/>
        <v>42</v>
      </c>
      <c r="BD34" s="134" t="str">
        <f t="shared" si="4"/>
        <v>INDENIZAÇÃO</v>
      </c>
      <c r="BE34" s="134" t="str">
        <f t="shared" si="5"/>
        <v>NÃO</v>
      </c>
      <c r="BF34" s="198" t="s">
        <v>24</v>
      </c>
      <c r="BG34" s="198" t="s">
        <v>24</v>
      </c>
      <c r="BH34" s="198" t="s">
        <v>24</v>
      </c>
      <c r="BI34" s="149" t="s">
        <v>110</v>
      </c>
      <c r="BJ34" s="149" t="s">
        <v>110</v>
      </c>
      <c r="BK34" s="194">
        <v>46231</v>
      </c>
      <c r="BL34" s="145" t="s">
        <v>114</v>
      </c>
      <c r="BM34" s="145"/>
      <c r="BN34" s="149"/>
      <c r="BO34" s="149"/>
      <c r="BP34" s="149"/>
      <c r="BQ34" s="149"/>
      <c r="BR34" s="149"/>
      <c r="BS34" s="149"/>
      <c r="BT34" s="149"/>
      <c r="BU34" s="149"/>
      <c r="BV34" s="149"/>
      <c r="BW34" s="149"/>
      <c r="BX34" s="149"/>
      <c r="BY34" s="149"/>
      <c r="BZ34" s="149"/>
      <c r="CA34" s="149"/>
      <c r="CB34" s="149"/>
      <c r="CC34" s="149"/>
      <c r="CD34" s="149"/>
      <c r="CE34" s="149"/>
      <c r="CF34" s="149"/>
      <c r="CG34" s="149"/>
      <c r="CH34" s="149"/>
      <c r="CI34" s="200"/>
      <c r="CJ34" s="149"/>
      <c r="CK34" s="149"/>
      <c r="CL34" s="149"/>
      <c r="CM34" s="149"/>
      <c r="CN34" s="149"/>
      <c r="CO34" s="149"/>
      <c r="CP34" s="149"/>
      <c r="CQ34" s="149"/>
      <c r="CR34" s="149"/>
      <c r="CS34" s="149"/>
      <c r="CT34" s="149"/>
      <c r="CU34" s="149"/>
      <c r="CV34" s="149"/>
      <c r="CW34" s="149"/>
      <c r="CX34" s="149"/>
      <c r="CY34" s="149"/>
    </row>
    <row r="35" spans="1:103" s="121" customFormat="1" ht="30" customHeight="1">
      <c r="A35" s="134">
        <v>21</v>
      </c>
      <c r="B35" s="134" t="s">
        <v>99</v>
      </c>
      <c r="C35" s="134">
        <v>2</v>
      </c>
      <c r="D35" s="134" t="s">
        <v>100</v>
      </c>
      <c r="E35" s="134" t="s">
        <v>100</v>
      </c>
      <c r="F35" s="138" t="s">
        <v>219</v>
      </c>
      <c r="G35" s="149" t="s">
        <v>102</v>
      </c>
      <c r="H35" s="149" t="s">
        <v>103</v>
      </c>
      <c r="I35" s="149" t="s">
        <v>104</v>
      </c>
      <c r="J35" s="152" t="s">
        <v>220</v>
      </c>
      <c r="K35" s="152" t="s">
        <v>221</v>
      </c>
      <c r="L35" s="152" t="s">
        <v>222</v>
      </c>
      <c r="M35" s="134" t="s">
        <v>4</v>
      </c>
      <c r="N35" s="134" t="s">
        <v>5</v>
      </c>
      <c r="O35" s="274">
        <v>46063</v>
      </c>
      <c r="P35" s="139" t="s">
        <v>24</v>
      </c>
      <c r="Q35" s="139" t="s">
        <v>24</v>
      </c>
      <c r="R35" s="139" t="s">
        <v>24</v>
      </c>
      <c r="S35" s="139" t="s">
        <v>24</v>
      </c>
      <c r="T35" s="139" t="s">
        <v>24</v>
      </c>
      <c r="U35" s="139" t="s">
        <v>24</v>
      </c>
      <c r="V35" s="139" t="s">
        <v>24</v>
      </c>
      <c r="W35" s="139" t="s">
        <v>24</v>
      </c>
      <c r="X35" s="139" t="s">
        <v>24</v>
      </c>
      <c r="Y35" s="139" t="s">
        <v>24</v>
      </c>
      <c r="Z35" s="139" t="s">
        <v>24</v>
      </c>
      <c r="AA35" s="273"/>
      <c r="AB35" s="152" t="s">
        <v>220</v>
      </c>
      <c r="AC35" s="152" t="s">
        <v>221</v>
      </c>
      <c r="AD35" s="152" t="s">
        <v>222</v>
      </c>
      <c r="AE35" s="149" t="s">
        <v>108</v>
      </c>
      <c r="AF35" s="134" t="s">
        <v>4</v>
      </c>
      <c r="AG35" s="208">
        <v>15372.17</v>
      </c>
      <c r="AH35" s="208">
        <v>45372.17</v>
      </c>
      <c r="AI35" s="231" t="s">
        <v>6</v>
      </c>
      <c r="AJ35" s="138" t="s">
        <v>109</v>
      </c>
      <c r="AK35" s="275">
        <v>149983688</v>
      </c>
      <c r="AL35" s="149" t="s">
        <v>110</v>
      </c>
      <c r="AM35" s="134" t="s">
        <v>110</v>
      </c>
      <c r="AN35" s="134" t="s">
        <v>111</v>
      </c>
      <c r="AO35" s="273"/>
      <c r="AP35" s="276" t="s">
        <v>223</v>
      </c>
      <c r="AQ35" s="198" t="s">
        <v>110</v>
      </c>
      <c r="AR35" s="198" t="s">
        <v>110</v>
      </c>
      <c r="AS35" s="198" t="s">
        <v>110</v>
      </c>
      <c r="AT35" s="198" t="s">
        <v>110</v>
      </c>
      <c r="AU35" s="144">
        <v>46142</v>
      </c>
      <c r="AV35" s="198" t="s">
        <v>110</v>
      </c>
      <c r="AW35" s="198" t="s">
        <v>110</v>
      </c>
      <c r="AX35" s="144">
        <v>46153</v>
      </c>
      <c r="AY35" s="140">
        <v>46153</v>
      </c>
      <c r="AZ35" s="145" t="s">
        <v>33</v>
      </c>
      <c r="BA35" s="145" t="s">
        <v>113</v>
      </c>
      <c r="BB35" s="149" t="s">
        <v>110</v>
      </c>
      <c r="BC35" s="142">
        <f t="shared" si="3"/>
        <v>90</v>
      </c>
      <c r="BD35" s="134" t="str">
        <f t="shared" si="4"/>
        <v>INDENIZAÇÃO</v>
      </c>
      <c r="BE35" s="134" t="str">
        <f t="shared" si="5"/>
        <v>NÃO</v>
      </c>
      <c r="BF35" s="149" t="s">
        <v>24</v>
      </c>
      <c r="BG35" s="149" t="s">
        <v>24</v>
      </c>
      <c r="BH35" s="149" t="s">
        <v>24</v>
      </c>
      <c r="BI35" s="149" t="s">
        <v>110</v>
      </c>
      <c r="BJ35" s="149" t="s">
        <v>110</v>
      </c>
      <c r="BK35" s="194">
        <v>46231</v>
      </c>
      <c r="BL35" s="145" t="s">
        <v>114</v>
      </c>
      <c r="BM35" s="145"/>
      <c r="BN35" s="149"/>
      <c r="BO35" s="149"/>
      <c r="BP35" s="149"/>
      <c r="BQ35" s="149"/>
      <c r="BR35" s="149"/>
      <c r="BS35" s="149"/>
      <c r="BT35" s="149"/>
      <c r="BU35" s="149"/>
      <c r="BV35" s="149"/>
      <c r="BW35" s="149"/>
      <c r="BX35" s="149"/>
      <c r="BY35" s="149"/>
      <c r="BZ35" s="149"/>
      <c r="CA35" s="149"/>
      <c r="CB35" s="149"/>
      <c r="CC35" s="149"/>
      <c r="CD35" s="149"/>
      <c r="CE35" s="149"/>
      <c r="CF35" s="149"/>
      <c r="CG35" s="149"/>
      <c r="CH35" s="149"/>
      <c r="CI35" s="200"/>
      <c r="CJ35" s="149"/>
      <c r="CK35" s="149"/>
      <c r="CL35" s="149"/>
      <c r="CM35" s="149"/>
      <c r="CN35" s="149"/>
      <c r="CO35" s="149"/>
      <c r="CP35" s="149"/>
      <c r="CQ35" s="149"/>
      <c r="CR35" s="149"/>
      <c r="CS35" s="149"/>
      <c r="CT35" s="149"/>
      <c r="CU35" s="149"/>
      <c r="CV35" s="149"/>
      <c r="CW35" s="149"/>
      <c r="CX35" s="149"/>
      <c r="CY35" s="149"/>
    </row>
    <row r="36" spans="1:103" s="121" customFormat="1" ht="30" customHeight="1">
      <c r="A36" s="134">
        <v>22</v>
      </c>
      <c r="B36" s="134" t="s">
        <v>99</v>
      </c>
      <c r="C36" s="134">
        <v>2</v>
      </c>
      <c r="D36" s="134" t="s">
        <v>100</v>
      </c>
      <c r="E36" s="134" t="s">
        <v>100</v>
      </c>
      <c r="F36" s="138" t="s">
        <v>224</v>
      </c>
      <c r="G36" s="149" t="s">
        <v>102</v>
      </c>
      <c r="H36" s="149" t="s">
        <v>103</v>
      </c>
      <c r="I36" s="149" t="s">
        <v>104</v>
      </c>
      <c r="J36" s="152" t="s">
        <v>225</v>
      </c>
      <c r="K36" s="152" t="s">
        <v>226</v>
      </c>
      <c r="L36" s="152" t="s">
        <v>227</v>
      </c>
      <c r="M36" s="134" t="s">
        <v>4</v>
      </c>
      <c r="N36" s="134" t="s">
        <v>213</v>
      </c>
      <c r="O36" s="274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273"/>
      <c r="AB36" s="152" t="s">
        <v>225</v>
      </c>
      <c r="AC36" s="152" t="s">
        <v>226</v>
      </c>
      <c r="AD36" s="152" t="s">
        <v>227</v>
      </c>
      <c r="AE36" s="273"/>
      <c r="AF36" s="134"/>
      <c r="AG36" s="208"/>
      <c r="AH36" s="208"/>
      <c r="AI36" s="231"/>
      <c r="AJ36" s="138"/>
      <c r="AK36" s="275"/>
      <c r="AL36" s="134"/>
      <c r="AM36" s="134"/>
      <c r="AN36" s="273"/>
      <c r="AO36" s="273"/>
      <c r="AP36" s="276"/>
      <c r="AQ36" s="198"/>
      <c r="AR36" s="198"/>
      <c r="AS36" s="198"/>
      <c r="AT36" s="198"/>
      <c r="AU36" s="274"/>
      <c r="AV36" s="198"/>
      <c r="AW36" s="198"/>
      <c r="AX36" s="274"/>
      <c r="AY36" s="140"/>
      <c r="AZ36" s="140"/>
      <c r="BA36" s="145"/>
      <c r="BB36" s="198"/>
      <c r="BC36" s="142" t="str">
        <f t="shared" si="3"/>
        <v/>
      </c>
      <c r="BD36" s="134" t="str">
        <f t="shared" si="4"/>
        <v>INDENIZAÇÃO</v>
      </c>
      <c r="BE36" s="134" t="str">
        <f t="shared" si="5"/>
        <v>NÃO</v>
      </c>
      <c r="BF36" s="198"/>
      <c r="BG36" s="198"/>
      <c r="BH36" s="198"/>
      <c r="BI36" s="145"/>
      <c r="BJ36" s="145"/>
      <c r="BK36" s="279"/>
      <c r="BL36" s="145"/>
      <c r="BM36" s="145"/>
      <c r="BN36" s="149"/>
      <c r="BO36" s="149"/>
      <c r="BP36" s="149"/>
      <c r="BQ36" s="149"/>
      <c r="BR36" s="149"/>
      <c r="BS36" s="149"/>
      <c r="BT36" s="149"/>
      <c r="BU36" s="149"/>
      <c r="BV36" s="149"/>
      <c r="BW36" s="149"/>
      <c r="BX36" s="149"/>
      <c r="BY36" s="149"/>
      <c r="BZ36" s="149"/>
      <c r="CA36" s="149"/>
      <c r="CB36" s="149"/>
      <c r="CC36" s="149"/>
      <c r="CD36" s="149"/>
      <c r="CE36" s="149"/>
      <c r="CF36" s="149"/>
      <c r="CG36" s="149"/>
      <c r="CH36" s="149"/>
      <c r="CI36" s="200"/>
      <c r="CJ36" s="149"/>
      <c r="CK36" s="149"/>
      <c r="CL36" s="149"/>
      <c r="CM36" s="149"/>
      <c r="CN36" s="149"/>
      <c r="CO36" s="149"/>
      <c r="CP36" s="149"/>
      <c r="CQ36" s="149"/>
      <c r="CR36" s="149"/>
      <c r="CS36" s="149"/>
      <c r="CT36" s="149"/>
      <c r="CU36" s="149"/>
      <c r="CV36" s="149"/>
      <c r="CW36" s="149"/>
      <c r="CX36" s="149"/>
      <c r="CY36" s="149"/>
    </row>
    <row r="37" spans="1:103" s="121" customFormat="1" ht="30" customHeight="1">
      <c r="A37" s="134">
        <v>23</v>
      </c>
      <c r="B37" s="134" t="s">
        <v>99</v>
      </c>
      <c r="C37" s="134">
        <v>2</v>
      </c>
      <c r="D37" s="134" t="s">
        <v>100</v>
      </c>
      <c r="E37" s="134" t="s">
        <v>100</v>
      </c>
      <c r="F37" s="138" t="s">
        <v>228</v>
      </c>
      <c r="G37" s="149" t="s">
        <v>102</v>
      </c>
      <c r="H37" s="149" t="s">
        <v>103</v>
      </c>
      <c r="I37" s="149" t="s">
        <v>104</v>
      </c>
      <c r="J37" s="152" t="s">
        <v>229</v>
      </c>
      <c r="K37" s="152" t="s">
        <v>230</v>
      </c>
      <c r="L37" s="152" t="s">
        <v>231</v>
      </c>
      <c r="M37" s="134" t="s">
        <v>4</v>
      </c>
      <c r="N37" s="134" t="s">
        <v>213</v>
      </c>
      <c r="O37" s="274"/>
      <c r="P37" s="139"/>
      <c r="Q37" s="139"/>
      <c r="R37" s="139"/>
      <c r="S37" s="139"/>
      <c r="T37" s="139"/>
      <c r="U37" s="139"/>
      <c r="V37" s="139"/>
      <c r="W37" s="139"/>
      <c r="X37" s="139"/>
      <c r="Y37" s="139"/>
      <c r="Z37" s="139"/>
      <c r="AA37" s="273"/>
      <c r="AB37" s="152" t="s">
        <v>229</v>
      </c>
      <c r="AC37" s="152" t="s">
        <v>230</v>
      </c>
      <c r="AD37" s="152" t="s">
        <v>231</v>
      </c>
      <c r="AE37" s="149" t="s">
        <v>108</v>
      </c>
      <c r="AF37" s="134" t="s">
        <v>4</v>
      </c>
      <c r="AG37" s="208"/>
      <c r="AH37" s="208"/>
      <c r="AI37" s="231"/>
      <c r="AJ37" s="138"/>
      <c r="AK37" s="275"/>
      <c r="AL37" s="134"/>
      <c r="AM37" s="134"/>
      <c r="AN37" s="273"/>
      <c r="AO37" s="273"/>
      <c r="AP37" s="276"/>
      <c r="AQ37" s="198"/>
      <c r="AR37" s="198"/>
      <c r="AS37" s="198"/>
      <c r="AT37" s="198"/>
      <c r="AU37" s="274"/>
      <c r="AV37" s="198"/>
      <c r="AW37" s="198"/>
      <c r="AX37" s="274"/>
      <c r="AY37" s="140"/>
      <c r="AZ37" s="140"/>
      <c r="BA37" s="145"/>
      <c r="BB37" s="198"/>
      <c r="BC37" s="142" t="str">
        <f t="shared" si="3"/>
        <v/>
      </c>
      <c r="BD37" s="134" t="str">
        <f t="shared" si="4"/>
        <v>INDENIZAÇÃO</v>
      </c>
      <c r="BE37" s="134" t="str">
        <f t="shared" si="5"/>
        <v>NÃO</v>
      </c>
      <c r="BF37" s="198"/>
      <c r="BG37" s="198"/>
      <c r="BH37" s="198"/>
      <c r="BI37" s="145"/>
      <c r="BJ37" s="145"/>
      <c r="BK37" s="279"/>
      <c r="BL37" s="145"/>
      <c r="BM37" s="145"/>
      <c r="BN37" s="149"/>
      <c r="BO37" s="149"/>
      <c r="BP37" s="149"/>
      <c r="BQ37" s="149"/>
      <c r="BR37" s="149"/>
      <c r="BS37" s="149"/>
      <c r="BT37" s="149"/>
      <c r="BU37" s="149"/>
      <c r="BV37" s="149"/>
      <c r="BW37" s="149"/>
      <c r="BX37" s="149"/>
      <c r="BY37" s="149"/>
      <c r="BZ37" s="149"/>
      <c r="CA37" s="149"/>
      <c r="CB37" s="149"/>
      <c r="CC37" s="149"/>
      <c r="CD37" s="149"/>
      <c r="CE37" s="149"/>
      <c r="CF37" s="149"/>
      <c r="CG37" s="149"/>
      <c r="CH37" s="149"/>
      <c r="CI37" s="200"/>
      <c r="CJ37" s="149"/>
      <c r="CK37" s="149"/>
      <c r="CL37" s="149"/>
      <c r="CM37" s="149"/>
      <c r="CN37" s="149"/>
      <c r="CO37" s="149"/>
      <c r="CP37" s="149"/>
      <c r="CQ37" s="149"/>
      <c r="CR37" s="149"/>
      <c r="CS37" s="149"/>
      <c r="CT37" s="149"/>
      <c r="CU37" s="149"/>
      <c r="CV37" s="149"/>
      <c r="CW37" s="149"/>
      <c r="CX37" s="149"/>
      <c r="CY37" s="149"/>
    </row>
    <row r="38" spans="1:103" s="121" customFormat="1" ht="30" customHeight="1">
      <c r="A38" s="134">
        <v>24</v>
      </c>
      <c r="B38" s="134" t="s">
        <v>99</v>
      </c>
      <c r="C38" s="134">
        <v>2</v>
      </c>
      <c r="D38" s="134" t="s">
        <v>100</v>
      </c>
      <c r="E38" s="134" t="s">
        <v>100</v>
      </c>
      <c r="F38" s="152" t="s">
        <v>232</v>
      </c>
      <c r="G38" s="149" t="s">
        <v>102</v>
      </c>
      <c r="H38" s="149" t="s">
        <v>103</v>
      </c>
      <c r="I38" s="149" t="s">
        <v>104</v>
      </c>
      <c r="J38" s="152" t="s">
        <v>233</v>
      </c>
      <c r="K38" s="152" t="s">
        <v>234</v>
      </c>
      <c r="L38" s="152" t="s">
        <v>235</v>
      </c>
      <c r="M38" s="149" t="s">
        <v>4</v>
      </c>
      <c r="N38" s="149" t="s">
        <v>5</v>
      </c>
      <c r="O38" s="194">
        <v>45929</v>
      </c>
      <c r="P38" s="139" t="s">
        <v>24</v>
      </c>
      <c r="Q38" s="139" t="s">
        <v>24</v>
      </c>
      <c r="R38" s="139" t="s">
        <v>24</v>
      </c>
      <c r="S38" s="139" t="s">
        <v>24</v>
      </c>
      <c r="T38" s="139" t="s">
        <v>24</v>
      </c>
      <c r="U38" s="139" t="s">
        <v>24</v>
      </c>
      <c r="V38" s="139" t="s">
        <v>24</v>
      </c>
      <c r="W38" s="139" t="s">
        <v>24</v>
      </c>
      <c r="X38" s="139" t="s">
        <v>24</v>
      </c>
      <c r="Y38" s="139" t="s">
        <v>24</v>
      </c>
      <c r="Z38" s="139" t="s">
        <v>24</v>
      </c>
      <c r="AA38" s="149"/>
      <c r="AB38" s="152" t="s">
        <v>233</v>
      </c>
      <c r="AC38" s="152" t="s">
        <v>234</v>
      </c>
      <c r="AD38" s="152" t="s">
        <v>235</v>
      </c>
      <c r="AE38" s="149" t="s">
        <v>108</v>
      </c>
      <c r="AF38" s="149" t="s">
        <v>4</v>
      </c>
      <c r="AG38" s="208">
        <v>42209.31</v>
      </c>
      <c r="AH38" s="208">
        <v>60000</v>
      </c>
      <c r="AI38" s="234" t="s">
        <v>6</v>
      </c>
      <c r="AJ38" s="138" t="s">
        <v>109</v>
      </c>
      <c r="AK38" s="200">
        <v>142054025</v>
      </c>
      <c r="AL38" s="134" t="s">
        <v>110</v>
      </c>
      <c r="AM38" s="134" t="s">
        <v>110</v>
      </c>
      <c r="AN38" s="149" t="s">
        <v>111</v>
      </c>
      <c r="AO38" s="283"/>
      <c r="AP38" s="276" t="s">
        <v>236</v>
      </c>
      <c r="AQ38" s="198" t="s">
        <v>110</v>
      </c>
      <c r="AR38" s="198" t="s">
        <v>110</v>
      </c>
      <c r="AS38" s="198" t="s">
        <v>110</v>
      </c>
      <c r="AT38" s="198" t="s">
        <v>110</v>
      </c>
      <c r="AU38" s="194">
        <v>45974</v>
      </c>
      <c r="AV38" s="198" t="s">
        <v>110</v>
      </c>
      <c r="AW38" s="198" t="s">
        <v>110</v>
      </c>
      <c r="AX38" s="194">
        <v>45980</v>
      </c>
      <c r="AY38" s="197">
        <v>45980</v>
      </c>
      <c r="AZ38" s="197" t="s">
        <v>33</v>
      </c>
      <c r="BA38" s="145" t="s">
        <v>113</v>
      </c>
      <c r="BB38" s="149" t="s">
        <v>110</v>
      </c>
      <c r="BC38" s="142">
        <f t="shared" si="3"/>
        <v>51</v>
      </c>
      <c r="BD38" s="134" t="str">
        <f t="shared" si="4"/>
        <v>INDENIZAÇÃO</v>
      </c>
      <c r="BE38" s="134" t="str">
        <f t="shared" si="5"/>
        <v>NÃO</v>
      </c>
      <c r="BF38" s="149" t="s">
        <v>24</v>
      </c>
      <c r="BG38" s="149" t="s">
        <v>24</v>
      </c>
      <c r="BH38" s="149" t="s">
        <v>24</v>
      </c>
      <c r="BI38" s="149" t="s">
        <v>110</v>
      </c>
      <c r="BJ38" s="149" t="s">
        <v>110</v>
      </c>
      <c r="BK38" s="194">
        <v>46231</v>
      </c>
      <c r="BL38" s="145" t="s">
        <v>114</v>
      </c>
      <c r="BM38" s="145"/>
      <c r="BN38" s="149"/>
      <c r="BO38" s="149"/>
      <c r="BP38" s="149"/>
      <c r="BQ38" s="149"/>
      <c r="BR38" s="149"/>
      <c r="BS38" s="149"/>
      <c r="BT38" s="149"/>
      <c r="BU38" s="149"/>
      <c r="BV38" s="149"/>
      <c r="BW38" s="149"/>
      <c r="BX38" s="149"/>
      <c r="BY38" s="149"/>
      <c r="BZ38" s="149"/>
      <c r="CA38" s="149"/>
      <c r="CB38" s="149"/>
      <c r="CC38" s="149"/>
      <c r="CD38" s="149"/>
      <c r="CE38" s="149"/>
      <c r="CF38" s="149"/>
      <c r="CG38" s="149"/>
      <c r="CH38" s="149"/>
      <c r="CI38" s="200"/>
      <c r="CJ38" s="149"/>
      <c r="CK38" s="149"/>
      <c r="CL38" s="149"/>
      <c r="CM38" s="149"/>
      <c r="CN38" s="149"/>
      <c r="CO38" s="149"/>
      <c r="CP38" s="149"/>
      <c r="CQ38" s="149"/>
      <c r="CR38" s="149"/>
      <c r="CS38" s="149"/>
      <c r="CT38" s="149"/>
      <c r="CU38" s="149"/>
      <c r="CV38" s="149"/>
      <c r="CW38" s="149"/>
      <c r="CX38" s="149"/>
      <c r="CY38" s="149"/>
    </row>
    <row r="39" spans="1:103" s="134" customFormat="1" ht="30" customHeight="1">
      <c r="A39" s="134">
        <v>25</v>
      </c>
      <c r="B39" s="134" t="s">
        <v>99</v>
      </c>
      <c r="C39" s="134">
        <v>2</v>
      </c>
      <c r="D39" s="134" t="s">
        <v>100</v>
      </c>
      <c r="E39" s="134" t="s">
        <v>100</v>
      </c>
      <c r="F39" s="152" t="s">
        <v>237</v>
      </c>
      <c r="G39" s="149" t="s">
        <v>102</v>
      </c>
      <c r="H39" s="149" t="s">
        <v>103</v>
      </c>
      <c r="I39" s="149" t="s">
        <v>104</v>
      </c>
      <c r="J39" s="152" t="s">
        <v>238</v>
      </c>
      <c r="K39" s="152" t="s">
        <v>239</v>
      </c>
      <c r="L39" s="152" t="s">
        <v>240</v>
      </c>
      <c r="M39" s="149" t="s">
        <v>4</v>
      </c>
      <c r="N39" s="149" t="s">
        <v>5</v>
      </c>
      <c r="O39" s="194">
        <v>45929</v>
      </c>
      <c r="P39" s="139" t="s">
        <v>24</v>
      </c>
      <c r="Q39" s="139" t="s">
        <v>24</v>
      </c>
      <c r="R39" s="139" t="s">
        <v>24</v>
      </c>
      <c r="S39" s="139" t="s">
        <v>24</v>
      </c>
      <c r="T39" s="139" t="s">
        <v>24</v>
      </c>
      <c r="U39" s="139" t="s">
        <v>24</v>
      </c>
      <c r="V39" s="139" t="s">
        <v>24</v>
      </c>
      <c r="W39" s="139" t="s">
        <v>24</v>
      </c>
      <c r="X39" s="139" t="s">
        <v>24</v>
      </c>
      <c r="Y39" s="139" t="s">
        <v>24</v>
      </c>
      <c r="Z39" s="139" t="s">
        <v>24</v>
      </c>
      <c r="AA39" s="149"/>
      <c r="AB39" s="152" t="s">
        <v>238</v>
      </c>
      <c r="AC39" s="152" t="s">
        <v>239</v>
      </c>
      <c r="AD39" s="152" t="s">
        <v>240</v>
      </c>
      <c r="AE39" s="149" t="s">
        <v>108</v>
      </c>
      <c r="AF39" s="149" t="s">
        <v>4</v>
      </c>
      <c r="AG39" s="208">
        <v>105987.17</v>
      </c>
      <c r="AH39" s="208">
        <v>105987.17</v>
      </c>
      <c r="AI39" s="149" t="s">
        <v>6</v>
      </c>
      <c r="AJ39" s="138" t="s">
        <v>109</v>
      </c>
      <c r="AK39" s="149">
        <v>142054424</v>
      </c>
      <c r="AL39" s="134" t="s">
        <v>110</v>
      </c>
      <c r="AM39" s="134" t="s">
        <v>110</v>
      </c>
      <c r="AN39" s="149" t="s">
        <v>111</v>
      </c>
      <c r="AO39" s="226"/>
      <c r="AP39" s="276" t="s">
        <v>241</v>
      </c>
      <c r="AQ39" s="198" t="s">
        <v>110</v>
      </c>
      <c r="AR39" s="198" t="s">
        <v>110</v>
      </c>
      <c r="AS39" s="198" t="s">
        <v>110</v>
      </c>
      <c r="AT39" s="198" t="s">
        <v>110</v>
      </c>
      <c r="AU39" s="194">
        <v>45974</v>
      </c>
      <c r="AV39" s="198" t="s">
        <v>110</v>
      </c>
      <c r="AW39" s="198" t="s">
        <v>110</v>
      </c>
      <c r="AX39" s="194">
        <v>45980</v>
      </c>
      <c r="AY39" s="197">
        <v>45980</v>
      </c>
      <c r="AZ39" s="197" t="s">
        <v>33</v>
      </c>
      <c r="BA39" s="145" t="s">
        <v>113</v>
      </c>
      <c r="BB39" s="149" t="s">
        <v>110</v>
      </c>
      <c r="BC39" s="142">
        <f t="shared" si="3"/>
        <v>51</v>
      </c>
      <c r="BD39" s="134" t="str">
        <f t="shared" si="4"/>
        <v>INDENIZAÇÃO</v>
      </c>
      <c r="BE39" s="134" t="str">
        <f t="shared" si="5"/>
        <v>NÃO</v>
      </c>
      <c r="BF39" s="149" t="s">
        <v>24</v>
      </c>
      <c r="BG39" s="149" t="s">
        <v>24</v>
      </c>
      <c r="BH39" s="149" t="s">
        <v>24</v>
      </c>
      <c r="BI39" s="149" t="s">
        <v>110</v>
      </c>
      <c r="BJ39" s="149" t="s">
        <v>110</v>
      </c>
      <c r="BK39" s="194">
        <v>46231</v>
      </c>
      <c r="BL39" s="145" t="s">
        <v>114</v>
      </c>
      <c r="BM39" s="145"/>
      <c r="BN39" s="149"/>
      <c r="BO39" s="149"/>
      <c r="BP39" s="149"/>
      <c r="BQ39" s="149"/>
      <c r="BR39" s="149"/>
      <c r="BS39" s="149"/>
      <c r="BT39" s="149"/>
      <c r="BU39" s="149"/>
      <c r="BV39" s="149"/>
      <c r="BW39" s="149"/>
      <c r="BX39" s="149"/>
      <c r="BY39" s="149"/>
      <c r="BZ39" s="149"/>
      <c r="CA39" s="149"/>
      <c r="CB39" s="149"/>
      <c r="CC39" s="149"/>
      <c r="CD39" s="149"/>
      <c r="CE39" s="149"/>
      <c r="CF39" s="149"/>
      <c r="CG39" s="149"/>
      <c r="CH39" s="149"/>
      <c r="CI39" s="200"/>
      <c r="CJ39" s="149"/>
      <c r="CK39" s="149"/>
      <c r="CL39" s="149"/>
      <c r="CM39" s="149"/>
      <c r="CN39" s="149"/>
      <c r="CO39" s="149"/>
      <c r="CP39" s="149"/>
      <c r="CQ39" s="149"/>
      <c r="CR39" s="149"/>
      <c r="CS39" s="149"/>
      <c r="CT39" s="149"/>
      <c r="CU39" s="149"/>
      <c r="CV39" s="149"/>
      <c r="CW39" s="149"/>
      <c r="CX39" s="149"/>
      <c r="CY39" s="149"/>
    </row>
    <row r="40" spans="1:103" s="134" customFormat="1" ht="30" customHeight="1">
      <c r="A40" s="134">
        <v>26</v>
      </c>
      <c r="B40" s="273" t="s">
        <v>99</v>
      </c>
      <c r="C40" s="273">
        <v>2</v>
      </c>
      <c r="D40" s="273" t="s">
        <v>100</v>
      </c>
      <c r="E40" s="273" t="s">
        <v>100</v>
      </c>
      <c r="F40" s="199" t="s">
        <v>242</v>
      </c>
      <c r="G40" s="149" t="s">
        <v>102</v>
      </c>
      <c r="H40" s="149" t="s">
        <v>103</v>
      </c>
      <c r="I40" s="149" t="s">
        <v>104</v>
      </c>
      <c r="J40" s="152" t="s">
        <v>243</v>
      </c>
      <c r="K40" s="152" t="s">
        <v>244</v>
      </c>
      <c r="L40" s="152" t="s">
        <v>245</v>
      </c>
      <c r="M40" s="149" t="s">
        <v>4</v>
      </c>
      <c r="N40" s="149" t="s">
        <v>5</v>
      </c>
      <c r="O40" s="194">
        <v>45929</v>
      </c>
      <c r="P40" s="139" t="s">
        <v>24</v>
      </c>
      <c r="Q40" s="139" t="s">
        <v>24</v>
      </c>
      <c r="R40" s="139" t="s">
        <v>24</v>
      </c>
      <c r="S40" s="139" t="s">
        <v>24</v>
      </c>
      <c r="T40" s="139" t="s">
        <v>24</v>
      </c>
      <c r="U40" s="139" t="s">
        <v>24</v>
      </c>
      <c r="V40" s="139" t="s">
        <v>24</v>
      </c>
      <c r="W40" s="139" t="s">
        <v>24</v>
      </c>
      <c r="X40" s="139" t="s">
        <v>24</v>
      </c>
      <c r="Y40" s="139" t="s">
        <v>24</v>
      </c>
      <c r="Z40" s="139" t="s">
        <v>24</v>
      </c>
      <c r="AA40" s="149"/>
      <c r="AB40" s="152" t="s">
        <v>243</v>
      </c>
      <c r="AC40" s="152" t="s">
        <v>244</v>
      </c>
      <c r="AD40" s="152" t="s">
        <v>245</v>
      </c>
      <c r="AE40" s="149" t="s">
        <v>108</v>
      </c>
      <c r="AF40" s="149" t="s">
        <v>4</v>
      </c>
      <c r="AG40" s="208">
        <v>47627.75</v>
      </c>
      <c r="AH40" s="208">
        <v>60000</v>
      </c>
      <c r="AI40" s="149" t="s">
        <v>6</v>
      </c>
      <c r="AJ40" s="138" t="s">
        <v>109</v>
      </c>
      <c r="AK40" s="149">
        <v>142054521</v>
      </c>
      <c r="AL40" s="134" t="s">
        <v>110</v>
      </c>
      <c r="AM40" s="134" t="s">
        <v>110</v>
      </c>
      <c r="AN40" s="149" t="s">
        <v>111</v>
      </c>
      <c r="AO40" s="226"/>
      <c r="AP40" s="276" t="s">
        <v>246</v>
      </c>
      <c r="AQ40" s="198" t="s">
        <v>110</v>
      </c>
      <c r="AR40" s="198" t="s">
        <v>110</v>
      </c>
      <c r="AS40" s="198" t="s">
        <v>110</v>
      </c>
      <c r="AT40" s="198" t="s">
        <v>110</v>
      </c>
      <c r="AU40" s="194">
        <v>45974</v>
      </c>
      <c r="AV40" s="198" t="s">
        <v>110</v>
      </c>
      <c r="AW40" s="198" t="s">
        <v>110</v>
      </c>
      <c r="AX40" s="194">
        <v>45980</v>
      </c>
      <c r="AY40" s="197">
        <v>45980</v>
      </c>
      <c r="AZ40" s="197" t="s">
        <v>33</v>
      </c>
      <c r="BA40" s="145" t="s">
        <v>113</v>
      </c>
      <c r="BB40" s="149" t="s">
        <v>110</v>
      </c>
      <c r="BC40" s="142">
        <f t="shared" si="3"/>
        <v>51</v>
      </c>
      <c r="BD40" s="134" t="str">
        <f t="shared" si="4"/>
        <v>INDENIZAÇÃO</v>
      </c>
      <c r="BE40" s="134" t="str">
        <f t="shared" si="5"/>
        <v>NÃO</v>
      </c>
      <c r="BF40" s="149" t="s">
        <v>24</v>
      </c>
      <c r="BG40" s="149" t="s">
        <v>24</v>
      </c>
      <c r="BH40" s="149" t="s">
        <v>24</v>
      </c>
      <c r="BI40" s="149" t="s">
        <v>110</v>
      </c>
      <c r="BJ40" s="149" t="s">
        <v>110</v>
      </c>
      <c r="BK40" s="194">
        <v>46231</v>
      </c>
      <c r="BL40" s="145" t="s">
        <v>114</v>
      </c>
      <c r="BM40" s="145"/>
      <c r="BN40" s="149"/>
      <c r="BO40" s="149"/>
      <c r="BP40" s="149"/>
      <c r="BQ40" s="149"/>
      <c r="BR40" s="149"/>
      <c r="BS40" s="149"/>
      <c r="BT40" s="149"/>
      <c r="BU40" s="149"/>
      <c r="BV40" s="149"/>
      <c r="BW40" s="149"/>
      <c r="BX40" s="149"/>
      <c r="BY40" s="149"/>
      <c r="BZ40" s="149"/>
      <c r="CA40" s="149"/>
      <c r="CB40" s="149"/>
      <c r="CC40" s="149"/>
      <c r="CD40" s="149"/>
      <c r="CE40" s="149"/>
      <c r="CF40" s="149"/>
      <c r="CG40" s="149"/>
      <c r="CH40" s="149"/>
      <c r="CI40" s="200"/>
      <c r="CJ40" s="149"/>
      <c r="CK40" s="149"/>
      <c r="CL40" s="149"/>
      <c r="CM40" s="149"/>
      <c r="CN40" s="149"/>
      <c r="CO40" s="149"/>
      <c r="CP40" s="149"/>
      <c r="CQ40" s="149"/>
      <c r="CR40" s="149"/>
      <c r="CS40" s="149"/>
      <c r="CT40" s="149"/>
      <c r="CU40" s="149"/>
      <c r="CV40" s="149"/>
      <c r="CW40" s="149"/>
      <c r="CX40" s="149"/>
      <c r="CY40" s="149"/>
    </row>
    <row r="41" spans="1:103" s="134" customFormat="1" ht="30" customHeight="1">
      <c r="A41" s="134">
        <v>27</v>
      </c>
      <c r="B41" s="134" t="s">
        <v>99</v>
      </c>
      <c r="C41" s="134">
        <v>2</v>
      </c>
      <c r="D41" s="134" t="s">
        <v>100</v>
      </c>
      <c r="E41" s="134" t="s">
        <v>100</v>
      </c>
      <c r="F41" s="152" t="s">
        <v>247</v>
      </c>
      <c r="G41" s="149" t="s">
        <v>102</v>
      </c>
      <c r="H41" s="149" t="s">
        <v>103</v>
      </c>
      <c r="I41" s="149" t="s">
        <v>104</v>
      </c>
      <c r="J41" s="152" t="s">
        <v>248</v>
      </c>
      <c r="K41" s="152" t="s">
        <v>249</v>
      </c>
      <c r="L41" s="152" t="s">
        <v>250</v>
      </c>
      <c r="M41" s="149" t="s">
        <v>4</v>
      </c>
      <c r="N41" s="149" t="s">
        <v>5</v>
      </c>
      <c r="O41" s="194">
        <v>45959</v>
      </c>
      <c r="P41" s="139" t="s">
        <v>24</v>
      </c>
      <c r="Q41" s="139" t="s">
        <v>24</v>
      </c>
      <c r="R41" s="139" t="s">
        <v>24</v>
      </c>
      <c r="S41" s="139" t="s">
        <v>24</v>
      </c>
      <c r="T41" s="139" t="s">
        <v>24</v>
      </c>
      <c r="U41" s="139" t="s">
        <v>24</v>
      </c>
      <c r="V41" s="139" t="s">
        <v>24</v>
      </c>
      <c r="W41" s="139" t="s">
        <v>24</v>
      </c>
      <c r="X41" s="139" t="s">
        <v>24</v>
      </c>
      <c r="Y41" s="139" t="s">
        <v>24</v>
      </c>
      <c r="Z41" s="139" t="s">
        <v>24</v>
      </c>
      <c r="AA41" s="149"/>
      <c r="AB41" s="152" t="s">
        <v>248</v>
      </c>
      <c r="AC41" s="152" t="s">
        <v>249</v>
      </c>
      <c r="AD41" s="152" t="s">
        <v>250</v>
      </c>
      <c r="AE41" s="149" t="s">
        <v>108</v>
      </c>
      <c r="AF41" s="149" t="s">
        <v>4</v>
      </c>
      <c r="AG41" s="208">
        <v>55268.79</v>
      </c>
      <c r="AH41" s="208">
        <v>60000</v>
      </c>
      <c r="AI41" s="149" t="s">
        <v>6</v>
      </c>
      <c r="AJ41" s="138" t="s">
        <v>109</v>
      </c>
      <c r="AK41" s="149">
        <v>144756915</v>
      </c>
      <c r="AL41" s="198" t="s">
        <v>110</v>
      </c>
      <c r="AM41" s="134" t="s">
        <v>110</v>
      </c>
      <c r="AN41" s="273" t="s">
        <v>111</v>
      </c>
      <c r="AO41" s="149" t="s">
        <v>251</v>
      </c>
      <c r="AP41" s="276" t="s">
        <v>252</v>
      </c>
      <c r="AQ41" s="198" t="s">
        <v>110</v>
      </c>
      <c r="AR41" s="198" t="s">
        <v>110</v>
      </c>
      <c r="AS41" s="198" t="s">
        <v>110</v>
      </c>
      <c r="AT41" s="198" t="s">
        <v>110</v>
      </c>
      <c r="AU41" s="194">
        <v>46021</v>
      </c>
      <c r="AV41" s="198" t="s">
        <v>110</v>
      </c>
      <c r="AW41" s="198" t="s">
        <v>110</v>
      </c>
      <c r="AX41" s="194">
        <v>46041</v>
      </c>
      <c r="AY41" s="197">
        <v>46041</v>
      </c>
      <c r="AZ41" s="197" t="s">
        <v>33</v>
      </c>
      <c r="BA41" s="145" t="s">
        <v>113</v>
      </c>
      <c r="BB41" s="149" t="s">
        <v>110</v>
      </c>
      <c r="BC41" s="142">
        <f t="shared" si="3"/>
        <v>82</v>
      </c>
      <c r="BD41" s="134" t="str">
        <f t="shared" si="4"/>
        <v>INDENIZAÇÃO</v>
      </c>
      <c r="BE41" s="134" t="str">
        <f t="shared" si="5"/>
        <v>NÃO</v>
      </c>
      <c r="BF41" s="149" t="s">
        <v>24</v>
      </c>
      <c r="BG41" s="149" t="s">
        <v>24</v>
      </c>
      <c r="BH41" s="149" t="s">
        <v>24</v>
      </c>
      <c r="BI41" s="149" t="s">
        <v>110</v>
      </c>
      <c r="BJ41" s="149" t="s">
        <v>110</v>
      </c>
      <c r="BK41" s="194">
        <v>46231</v>
      </c>
      <c r="BL41" s="145" t="s">
        <v>114</v>
      </c>
      <c r="BM41" s="145"/>
      <c r="BN41" s="149"/>
      <c r="BO41" s="149"/>
      <c r="BP41" s="149"/>
      <c r="BQ41" s="149"/>
      <c r="BR41" s="149"/>
      <c r="BS41" s="149"/>
      <c r="BT41" s="149"/>
      <c r="BU41" s="149"/>
      <c r="BV41" s="149"/>
      <c r="BW41" s="149"/>
      <c r="BX41" s="149"/>
      <c r="BY41" s="149"/>
      <c r="BZ41" s="149"/>
      <c r="CA41" s="149"/>
      <c r="CB41" s="149"/>
      <c r="CC41" s="149"/>
      <c r="CD41" s="149"/>
      <c r="CE41" s="149"/>
      <c r="CF41" s="149"/>
      <c r="CG41" s="149"/>
      <c r="CH41" s="149"/>
      <c r="CI41" s="200"/>
      <c r="CJ41" s="149"/>
      <c r="CK41" s="149"/>
      <c r="CL41" s="149"/>
      <c r="CM41" s="149"/>
      <c r="CN41" s="149"/>
      <c r="CO41" s="149"/>
      <c r="CP41" s="149"/>
      <c r="CQ41" s="149"/>
      <c r="CR41" s="149"/>
      <c r="CS41" s="149"/>
      <c r="CT41" s="149"/>
      <c r="CU41" s="149"/>
      <c r="CV41" s="149"/>
      <c r="CW41" s="149"/>
      <c r="CX41" s="149"/>
      <c r="CY41" s="149"/>
    </row>
    <row r="42" spans="1:103" s="134" customFormat="1" ht="30" customHeight="1">
      <c r="A42" s="134">
        <v>28</v>
      </c>
      <c r="B42" s="134" t="s">
        <v>99</v>
      </c>
      <c r="C42" s="134">
        <v>2</v>
      </c>
      <c r="D42" s="134" t="s">
        <v>100</v>
      </c>
      <c r="E42" s="134" t="s">
        <v>100</v>
      </c>
      <c r="F42" s="152" t="s">
        <v>253</v>
      </c>
      <c r="G42" s="149" t="s">
        <v>102</v>
      </c>
      <c r="H42" s="149" t="s">
        <v>103</v>
      </c>
      <c r="I42" s="149" t="s">
        <v>104</v>
      </c>
      <c r="J42" s="152" t="s">
        <v>254</v>
      </c>
      <c r="K42" s="152" t="s">
        <v>255</v>
      </c>
      <c r="L42" s="152" t="s">
        <v>256</v>
      </c>
      <c r="M42" s="149" t="s">
        <v>4</v>
      </c>
      <c r="N42" s="149" t="s">
        <v>5</v>
      </c>
      <c r="O42" s="194">
        <v>45929</v>
      </c>
      <c r="P42" s="139" t="s">
        <v>24</v>
      </c>
      <c r="Q42" s="139" t="s">
        <v>24</v>
      </c>
      <c r="R42" s="139" t="s">
        <v>24</v>
      </c>
      <c r="S42" s="139" t="s">
        <v>24</v>
      </c>
      <c r="T42" s="139" t="s">
        <v>24</v>
      </c>
      <c r="U42" s="139" t="s">
        <v>24</v>
      </c>
      <c r="V42" s="139" t="s">
        <v>24</v>
      </c>
      <c r="W42" s="139" t="s">
        <v>24</v>
      </c>
      <c r="X42" s="139" t="s">
        <v>24</v>
      </c>
      <c r="Y42" s="139" t="s">
        <v>24</v>
      </c>
      <c r="Z42" s="139" t="s">
        <v>24</v>
      </c>
      <c r="AA42" s="149"/>
      <c r="AB42" s="152" t="s">
        <v>254</v>
      </c>
      <c r="AC42" s="152" t="s">
        <v>255</v>
      </c>
      <c r="AD42" s="152" t="s">
        <v>256</v>
      </c>
      <c r="AE42" s="149" t="s">
        <v>108</v>
      </c>
      <c r="AF42" s="149" t="s">
        <v>4</v>
      </c>
      <c r="AG42" s="208">
        <v>94771.8</v>
      </c>
      <c r="AH42" s="208">
        <v>94771.8</v>
      </c>
      <c r="AI42" s="149" t="s">
        <v>6</v>
      </c>
      <c r="AJ42" s="138" t="s">
        <v>109</v>
      </c>
      <c r="AK42" s="149">
        <v>142054614</v>
      </c>
      <c r="AL42" s="134" t="s">
        <v>110</v>
      </c>
      <c r="AM42" s="134" t="s">
        <v>110</v>
      </c>
      <c r="AN42" s="149" t="s">
        <v>111</v>
      </c>
      <c r="AO42" s="226"/>
      <c r="AP42" s="276" t="s">
        <v>257</v>
      </c>
      <c r="AQ42" s="198" t="s">
        <v>110</v>
      </c>
      <c r="AR42" s="198" t="s">
        <v>110</v>
      </c>
      <c r="AS42" s="198" t="s">
        <v>110</v>
      </c>
      <c r="AT42" s="198" t="s">
        <v>110</v>
      </c>
      <c r="AU42" s="194">
        <v>45974</v>
      </c>
      <c r="AV42" s="198" t="s">
        <v>110</v>
      </c>
      <c r="AW42" s="198" t="s">
        <v>110</v>
      </c>
      <c r="AX42" s="194">
        <v>45980</v>
      </c>
      <c r="AY42" s="197">
        <v>45980</v>
      </c>
      <c r="AZ42" s="197" t="s">
        <v>33</v>
      </c>
      <c r="BA42" s="145" t="s">
        <v>113</v>
      </c>
      <c r="BB42" s="149" t="s">
        <v>110</v>
      </c>
      <c r="BC42" s="142">
        <f t="shared" si="3"/>
        <v>51</v>
      </c>
      <c r="BD42" s="134" t="str">
        <f t="shared" si="4"/>
        <v>INDENIZAÇÃO</v>
      </c>
      <c r="BE42" s="134" t="str">
        <f t="shared" si="5"/>
        <v>NÃO</v>
      </c>
      <c r="BF42" s="149" t="s">
        <v>24</v>
      </c>
      <c r="BG42" s="149" t="s">
        <v>24</v>
      </c>
      <c r="BH42" s="149" t="s">
        <v>24</v>
      </c>
      <c r="BI42" s="149" t="s">
        <v>110</v>
      </c>
      <c r="BJ42" s="149" t="s">
        <v>110</v>
      </c>
      <c r="BK42" s="194">
        <v>46231</v>
      </c>
      <c r="BL42" s="145" t="s">
        <v>114</v>
      </c>
      <c r="BM42" s="145"/>
      <c r="BN42" s="149"/>
      <c r="BO42" s="149"/>
      <c r="BP42" s="149"/>
      <c r="BQ42" s="149"/>
      <c r="BR42" s="149"/>
      <c r="BS42" s="149"/>
      <c r="BT42" s="149"/>
      <c r="BU42" s="149"/>
      <c r="BV42" s="149"/>
      <c r="BW42" s="149"/>
      <c r="BX42" s="149"/>
      <c r="BY42" s="149"/>
      <c r="BZ42" s="149"/>
      <c r="CA42" s="149"/>
      <c r="CB42" s="149"/>
      <c r="CC42" s="149"/>
      <c r="CD42" s="149"/>
      <c r="CE42" s="149"/>
      <c r="CF42" s="149"/>
      <c r="CG42" s="149"/>
      <c r="CH42" s="149"/>
      <c r="CI42" s="200"/>
      <c r="CJ42" s="149"/>
      <c r="CK42" s="149"/>
      <c r="CL42" s="149"/>
      <c r="CM42" s="149"/>
      <c r="CN42" s="149"/>
      <c r="CO42" s="149"/>
      <c r="CP42" s="149"/>
      <c r="CQ42" s="149"/>
      <c r="CR42" s="149"/>
      <c r="CS42" s="149"/>
      <c r="CT42" s="149"/>
      <c r="CU42" s="149"/>
      <c r="CV42" s="149"/>
      <c r="CW42" s="149"/>
      <c r="CX42" s="149"/>
      <c r="CY42" s="149"/>
    </row>
    <row r="43" spans="1:103" s="134" customFormat="1" ht="30" customHeight="1">
      <c r="A43" s="134">
        <v>29</v>
      </c>
      <c r="B43" s="134" t="s">
        <v>99</v>
      </c>
      <c r="C43" s="134">
        <v>2</v>
      </c>
      <c r="D43" s="134" t="s">
        <v>100</v>
      </c>
      <c r="E43" s="134" t="s">
        <v>100</v>
      </c>
      <c r="F43" s="152" t="s">
        <v>258</v>
      </c>
      <c r="G43" s="149" t="s">
        <v>102</v>
      </c>
      <c r="H43" s="149" t="s">
        <v>103</v>
      </c>
      <c r="I43" s="149" t="s">
        <v>104</v>
      </c>
      <c r="J43" s="152" t="s">
        <v>259</v>
      </c>
      <c r="K43" s="152" t="s">
        <v>260</v>
      </c>
      <c r="L43" s="152" t="s">
        <v>261</v>
      </c>
      <c r="M43" s="149" t="s">
        <v>4</v>
      </c>
      <c r="N43" s="149" t="s">
        <v>5</v>
      </c>
      <c r="O43" s="194">
        <v>45929</v>
      </c>
      <c r="P43" s="139" t="s">
        <v>24</v>
      </c>
      <c r="Q43" s="139" t="s">
        <v>24</v>
      </c>
      <c r="R43" s="139" t="s">
        <v>24</v>
      </c>
      <c r="S43" s="139" t="s">
        <v>24</v>
      </c>
      <c r="T43" s="139" t="s">
        <v>24</v>
      </c>
      <c r="U43" s="139" t="s">
        <v>24</v>
      </c>
      <c r="V43" s="139" t="s">
        <v>24</v>
      </c>
      <c r="W43" s="139" t="s">
        <v>24</v>
      </c>
      <c r="X43" s="139" t="s">
        <v>24</v>
      </c>
      <c r="Y43" s="139" t="s">
        <v>24</v>
      </c>
      <c r="Z43" s="139" t="s">
        <v>24</v>
      </c>
      <c r="AA43" s="149"/>
      <c r="AB43" s="152" t="s">
        <v>259</v>
      </c>
      <c r="AC43" s="152" t="s">
        <v>260</v>
      </c>
      <c r="AD43" s="152" t="s">
        <v>261</v>
      </c>
      <c r="AE43" s="149" t="s">
        <v>108</v>
      </c>
      <c r="AF43" s="149" t="s">
        <v>4</v>
      </c>
      <c r="AG43" s="208">
        <v>74754.58</v>
      </c>
      <c r="AH43" s="208">
        <v>74754.58</v>
      </c>
      <c r="AI43" s="149" t="s">
        <v>6</v>
      </c>
      <c r="AJ43" s="138" t="s">
        <v>109</v>
      </c>
      <c r="AK43" s="149">
        <v>142054660</v>
      </c>
      <c r="AL43" s="134" t="s">
        <v>110</v>
      </c>
      <c r="AM43" s="134" t="s">
        <v>110</v>
      </c>
      <c r="AN43" s="149" t="s">
        <v>111</v>
      </c>
      <c r="AO43" s="226"/>
      <c r="AP43" s="276" t="s">
        <v>262</v>
      </c>
      <c r="AQ43" s="198" t="s">
        <v>110</v>
      </c>
      <c r="AR43" s="198" t="s">
        <v>110</v>
      </c>
      <c r="AS43" s="198" t="s">
        <v>110</v>
      </c>
      <c r="AT43" s="198" t="s">
        <v>110</v>
      </c>
      <c r="AU43" s="194">
        <v>45974</v>
      </c>
      <c r="AV43" s="198" t="s">
        <v>110</v>
      </c>
      <c r="AW43" s="198" t="s">
        <v>110</v>
      </c>
      <c r="AX43" s="194">
        <v>45980</v>
      </c>
      <c r="AY43" s="197">
        <v>45980</v>
      </c>
      <c r="AZ43" s="197" t="s">
        <v>33</v>
      </c>
      <c r="BA43" s="145" t="s">
        <v>113</v>
      </c>
      <c r="BB43" s="149" t="s">
        <v>110</v>
      </c>
      <c r="BC43" s="142">
        <f t="shared" si="3"/>
        <v>51</v>
      </c>
      <c r="BD43" s="134" t="str">
        <f t="shared" si="4"/>
        <v>INDENIZAÇÃO</v>
      </c>
      <c r="BE43" s="134" t="str">
        <f t="shared" si="5"/>
        <v>NÃO</v>
      </c>
      <c r="BF43" s="149" t="s">
        <v>24</v>
      </c>
      <c r="BG43" s="149" t="s">
        <v>24</v>
      </c>
      <c r="BH43" s="149" t="s">
        <v>24</v>
      </c>
      <c r="BI43" s="149" t="s">
        <v>110</v>
      </c>
      <c r="BJ43" s="149" t="s">
        <v>110</v>
      </c>
      <c r="BK43" s="194">
        <v>46231</v>
      </c>
      <c r="BL43" s="145" t="s">
        <v>114</v>
      </c>
      <c r="BM43" s="145"/>
      <c r="BN43" s="121"/>
      <c r="BO43" s="121"/>
      <c r="BP43" s="121"/>
      <c r="BQ43" s="152"/>
      <c r="BR43" s="152"/>
      <c r="BS43" s="152"/>
      <c r="BT43" s="152"/>
      <c r="BU43" s="152"/>
      <c r="BV43" s="152"/>
      <c r="BW43" s="152"/>
      <c r="BX43" s="152"/>
      <c r="BY43" s="152"/>
      <c r="BZ43" s="152"/>
      <c r="CA43" s="152"/>
      <c r="CB43" s="152"/>
      <c r="CC43" s="152"/>
      <c r="CD43" s="152"/>
      <c r="CE43" s="152"/>
      <c r="CF43" s="152"/>
      <c r="CG43" s="152"/>
      <c r="CH43" s="152"/>
      <c r="CI43" s="282"/>
      <c r="CJ43" s="152"/>
      <c r="CK43" s="152"/>
      <c r="CL43" s="152"/>
      <c r="CM43" s="152"/>
      <c r="CN43" s="152"/>
      <c r="CO43" s="152"/>
      <c r="CP43" s="152"/>
      <c r="CQ43" s="152"/>
      <c r="CR43" s="152"/>
      <c r="CS43" s="152"/>
      <c r="CT43" s="152"/>
      <c r="CU43" s="152"/>
      <c r="CV43" s="152"/>
      <c r="CW43" s="152"/>
      <c r="CX43" s="152"/>
      <c r="CY43" s="152"/>
    </row>
    <row r="44" spans="1:103" s="134" customFormat="1" ht="30" customHeight="1">
      <c r="A44" s="134">
        <v>30</v>
      </c>
      <c r="B44" s="134" t="s">
        <v>99</v>
      </c>
      <c r="C44" s="134">
        <v>2</v>
      </c>
      <c r="D44" s="134" t="s">
        <v>100</v>
      </c>
      <c r="E44" s="134" t="s">
        <v>100</v>
      </c>
      <c r="F44" s="152" t="s">
        <v>263</v>
      </c>
      <c r="G44" s="149" t="s">
        <v>102</v>
      </c>
      <c r="H44" s="149" t="s">
        <v>103</v>
      </c>
      <c r="I44" s="149" t="s">
        <v>104</v>
      </c>
      <c r="J44" s="152" t="s">
        <v>264</v>
      </c>
      <c r="K44" s="152" t="s">
        <v>265</v>
      </c>
      <c r="L44" s="152" t="s">
        <v>266</v>
      </c>
      <c r="M44" s="149" t="s">
        <v>4</v>
      </c>
      <c r="N44" s="149" t="s">
        <v>5</v>
      </c>
      <c r="O44" s="194">
        <v>46001</v>
      </c>
      <c r="P44" s="139" t="s">
        <v>24</v>
      </c>
      <c r="Q44" s="139" t="s">
        <v>24</v>
      </c>
      <c r="R44" s="139" t="s">
        <v>24</v>
      </c>
      <c r="S44" s="139" t="s">
        <v>24</v>
      </c>
      <c r="T44" s="139" t="s">
        <v>24</v>
      </c>
      <c r="U44" s="139" t="s">
        <v>24</v>
      </c>
      <c r="V44" s="139" t="s">
        <v>24</v>
      </c>
      <c r="W44" s="139" t="s">
        <v>24</v>
      </c>
      <c r="X44" s="139" t="s">
        <v>24</v>
      </c>
      <c r="Y44" s="139" t="s">
        <v>24</v>
      </c>
      <c r="Z44" s="139" t="s">
        <v>24</v>
      </c>
      <c r="AA44" s="149"/>
      <c r="AB44" s="152" t="s">
        <v>264</v>
      </c>
      <c r="AC44" s="152" t="s">
        <v>265</v>
      </c>
      <c r="AD44" s="152" t="s">
        <v>266</v>
      </c>
      <c r="AE44" s="149" t="s">
        <v>108</v>
      </c>
      <c r="AF44" s="149" t="s">
        <v>4</v>
      </c>
      <c r="AG44" s="208">
        <v>94771.8</v>
      </c>
      <c r="AH44" s="208">
        <v>94771.8</v>
      </c>
      <c r="AI44" s="149" t="s">
        <v>6</v>
      </c>
      <c r="AJ44" s="138" t="s">
        <v>109</v>
      </c>
      <c r="AK44" s="149">
        <v>142054714</v>
      </c>
      <c r="AL44" s="134" t="s">
        <v>110</v>
      </c>
      <c r="AM44" s="134" t="s">
        <v>110</v>
      </c>
      <c r="AN44" s="149" t="s">
        <v>111</v>
      </c>
      <c r="AO44" s="149"/>
      <c r="AP44" s="276" t="s">
        <v>267</v>
      </c>
      <c r="AQ44" s="134" t="s">
        <v>110</v>
      </c>
      <c r="AR44" s="134" t="s">
        <v>110</v>
      </c>
      <c r="AS44" s="134" t="s">
        <v>110</v>
      </c>
      <c r="AT44" s="134" t="s">
        <v>110</v>
      </c>
      <c r="AU44" s="144">
        <v>46098</v>
      </c>
      <c r="AV44" s="134" t="s">
        <v>110</v>
      </c>
      <c r="AW44" s="134" t="s">
        <v>110</v>
      </c>
      <c r="AX44" s="144">
        <v>46108</v>
      </c>
      <c r="AY44" s="197">
        <v>46108</v>
      </c>
      <c r="AZ44" s="145" t="s">
        <v>33</v>
      </c>
      <c r="BA44" s="145" t="s">
        <v>113</v>
      </c>
      <c r="BB44" s="149" t="s">
        <v>110</v>
      </c>
      <c r="BC44" s="142">
        <f t="shared" si="3"/>
        <v>107</v>
      </c>
      <c r="BD44" s="134" t="str">
        <f t="shared" si="4"/>
        <v>INDENIZAÇÃO</v>
      </c>
      <c r="BE44" s="134" t="str">
        <f t="shared" si="5"/>
        <v>NÃO</v>
      </c>
      <c r="BF44" s="149" t="s">
        <v>24</v>
      </c>
      <c r="BG44" s="149" t="s">
        <v>24</v>
      </c>
      <c r="BH44" s="149" t="s">
        <v>24</v>
      </c>
      <c r="BI44" s="149" t="s">
        <v>110</v>
      </c>
      <c r="BJ44" s="149" t="s">
        <v>110</v>
      </c>
      <c r="BK44" s="194">
        <v>46231</v>
      </c>
      <c r="BL44" s="145" t="s">
        <v>114</v>
      </c>
      <c r="BM44" s="145"/>
      <c r="CI44" s="211"/>
    </row>
    <row r="45" spans="1:103" s="134" customFormat="1" ht="30" customHeight="1">
      <c r="A45" s="134">
        <v>31</v>
      </c>
      <c r="B45" s="134" t="s">
        <v>99</v>
      </c>
      <c r="C45" s="134">
        <v>2</v>
      </c>
      <c r="D45" s="134" t="s">
        <v>100</v>
      </c>
      <c r="E45" s="134" t="s">
        <v>100</v>
      </c>
      <c r="F45" s="152" t="s">
        <v>268</v>
      </c>
      <c r="G45" s="149" t="s">
        <v>102</v>
      </c>
      <c r="H45" s="149" t="s">
        <v>103</v>
      </c>
      <c r="I45" s="149" t="s">
        <v>104</v>
      </c>
      <c r="J45" s="152" t="s">
        <v>269</v>
      </c>
      <c r="K45" s="152" t="s">
        <v>270</v>
      </c>
      <c r="L45" s="152" t="s">
        <v>271</v>
      </c>
      <c r="M45" s="149" t="s">
        <v>4</v>
      </c>
      <c r="N45" s="149" t="s">
        <v>5</v>
      </c>
      <c r="O45" s="194">
        <v>46057</v>
      </c>
      <c r="P45" s="139" t="s">
        <v>24</v>
      </c>
      <c r="Q45" s="139" t="s">
        <v>24</v>
      </c>
      <c r="R45" s="139" t="s">
        <v>24</v>
      </c>
      <c r="S45" s="139" t="s">
        <v>24</v>
      </c>
      <c r="T45" s="139" t="s">
        <v>24</v>
      </c>
      <c r="U45" s="139" t="s">
        <v>24</v>
      </c>
      <c r="V45" s="139" t="s">
        <v>24</v>
      </c>
      <c r="W45" s="139" t="s">
        <v>24</v>
      </c>
      <c r="X45" s="139" t="s">
        <v>24</v>
      </c>
      <c r="Y45" s="139" t="s">
        <v>24</v>
      </c>
      <c r="Z45" s="139" t="s">
        <v>24</v>
      </c>
      <c r="AA45" s="149"/>
      <c r="AB45" s="152" t="s">
        <v>269</v>
      </c>
      <c r="AC45" s="152" t="s">
        <v>270</v>
      </c>
      <c r="AD45" s="152" t="s">
        <v>271</v>
      </c>
      <c r="AE45" s="149" t="s">
        <v>108</v>
      </c>
      <c r="AF45" s="149" t="s">
        <v>4</v>
      </c>
      <c r="AG45" s="208">
        <v>54206.78</v>
      </c>
      <c r="AH45" s="208">
        <v>60000</v>
      </c>
      <c r="AI45" s="149" t="s">
        <v>6</v>
      </c>
      <c r="AJ45" s="138" t="s">
        <v>109</v>
      </c>
      <c r="AK45" s="149">
        <v>128822494</v>
      </c>
      <c r="AL45" s="149" t="s">
        <v>110</v>
      </c>
      <c r="AM45" s="134" t="s">
        <v>110</v>
      </c>
      <c r="AN45" s="134" t="s">
        <v>111</v>
      </c>
      <c r="AO45" s="226"/>
      <c r="AP45" s="276" t="s">
        <v>272</v>
      </c>
      <c r="AQ45" s="198" t="s">
        <v>110</v>
      </c>
      <c r="AR45" s="198" t="s">
        <v>110</v>
      </c>
      <c r="AS45" s="198" t="s">
        <v>110</v>
      </c>
      <c r="AT45" s="198" t="s">
        <v>110</v>
      </c>
      <c r="AU45" s="144">
        <v>46142</v>
      </c>
      <c r="AV45" s="198" t="s">
        <v>110</v>
      </c>
      <c r="AW45" s="134" t="s">
        <v>110</v>
      </c>
      <c r="AX45" s="144">
        <v>46171</v>
      </c>
      <c r="AY45" s="140">
        <v>46171</v>
      </c>
      <c r="AZ45" s="197" t="s">
        <v>33</v>
      </c>
      <c r="BA45" s="145" t="s">
        <v>113</v>
      </c>
      <c r="BB45" s="149" t="s">
        <v>110</v>
      </c>
      <c r="BC45" s="142">
        <f t="shared" si="3"/>
        <v>114</v>
      </c>
      <c r="BD45" s="134" t="str">
        <f t="shared" si="4"/>
        <v>INDENIZAÇÃO</v>
      </c>
      <c r="BE45" s="134" t="str">
        <f t="shared" si="5"/>
        <v>NÃO</v>
      </c>
      <c r="BF45" s="149" t="s">
        <v>24</v>
      </c>
      <c r="BG45" s="149" t="s">
        <v>24</v>
      </c>
      <c r="BH45" s="149" t="s">
        <v>24</v>
      </c>
      <c r="BI45" s="149" t="s">
        <v>110</v>
      </c>
      <c r="BJ45" s="149" t="s">
        <v>110</v>
      </c>
      <c r="BK45" s="194">
        <v>46231</v>
      </c>
      <c r="BL45" s="145" t="s">
        <v>114</v>
      </c>
      <c r="BM45" s="145"/>
      <c r="CI45" s="211"/>
    </row>
    <row r="46" spans="1:103" s="134" customFormat="1" ht="30" customHeight="1">
      <c r="A46" s="134">
        <v>32</v>
      </c>
      <c r="B46" s="134" t="s">
        <v>99</v>
      </c>
      <c r="C46" s="134">
        <v>2</v>
      </c>
      <c r="D46" s="134" t="s">
        <v>100</v>
      </c>
      <c r="E46" s="134" t="s">
        <v>100</v>
      </c>
      <c r="F46" s="152" t="s">
        <v>273</v>
      </c>
      <c r="G46" s="149" t="s">
        <v>102</v>
      </c>
      <c r="H46" s="149" t="s">
        <v>103</v>
      </c>
      <c r="I46" s="149" t="s">
        <v>104</v>
      </c>
      <c r="J46" s="152" t="s">
        <v>274</v>
      </c>
      <c r="K46" s="152" t="s">
        <v>275</v>
      </c>
      <c r="L46" s="152" t="s">
        <v>276</v>
      </c>
      <c r="M46" s="149" t="s">
        <v>4</v>
      </c>
      <c r="N46" s="149" t="s">
        <v>5</v>
      </c>
      <c r="O46" s="194">
        <v>46077</v>
      </c>
      <c r="P46" s="139" t="s">
        <v>24</v>
      </c>
      <c r="Q46" s="139" t="s">
        <v>24</v>
      </c>
      <c r="R46" s="139" t="s">
        <v>24</v>
      </c>
      <c r="S46" s="139" t="s">
        <v>24</v>
      </c>
      <c r="T46" s="139" t="s">
        <v>24</v>
      </c>
      <c r="U46" s="139" t="s">
        <v>24</v>
      </c>
      <c r="V46" s="139" t="s">
        <v>24</v>
      </c>
      <c r="W46" s="139" t="s">
        <v>24</v>
      </c>
      <c r="X46" s="139" t="s">
        <v>24</v>
      </c>
      <c r="Y46" s="139" t="s">
        <v>24</v>
      </c>
      <c r="Z46" s="139" t="s">
        <v>24</v>
      </c>
      <c r="AA46" s="149"/>
      <c r="AB46" s="152" t="s">
        <v>274</v>
      </c>
      <c r="AC46" s="152" t="s">
        <v>275</v>
      </c>
      <c r="AD46" s="152" t="s">
        <v>276</v>
      </c>
      <c r="AE46" s="149" t="s">
        <v>108</v>
      </c>
      <c r="AF46" s="149" t="s">
        <v>4</v>
      </c>
      <c r="AG46" s="208">
        <v>99276.28</v>
      </c>
      <c r="AH46" s="208">
        <v>99276.28</v>
      </c>
      <c r="AI46" s="234" t="s">
        <v>6</v>
      </c>
      <c r="AJ46" s="138" t="s">
        <v>109</v>
      </c>
      <c r="AK46" s="200">
        <v>128823660</v>
      </c>
      <c r="AL46" s="149" t="s">
        <v>110</v>
      </c>
      <c r="AM46" s="134" t="s">
        <v>110</v>
      </c>
      <c r="AN46" s="149" t="s">
        <v>111</v>
      </c>
      <c r="AO46" s="226"/>
      <c r="AP46" s="276" t="s">
        <v>277</v>
      </c>
      <c r="AQ46" s="149" t="s">
        <v>110</v>
      </c>
      <c r="AR46" s="149" t="s">
        <v>110</v>
      </c>
      <c r="AS46" s="149" t="s">
        <v>110</v>
      </c>
      <c r="AT46" s="149" t="s">
        <v>110</v>
      </c>
      <c r="AU46" s="194">
        <v>46182</v>
      </c>
      <c r="AV46" s="149" t="s">
        <v>110</v>
      </c>
      <c r="AW46" s="149" t="s">
        <v>110</v>
      </c>
      <c r="AX46" s="194">
        <v>46223</v>
      </c>
      <c r="AY46" s="197">
        <v>46223</v>
      </c>
      <c r="AZ46" s="197" t="s">
        <v>33</v>
      </c>
      <c r="BA46" s="145" t="s">
        <v>113</v>
      </c>
      <c r="BB46" s="149" t="s">
        <v>110</v>
      </c>
      <c r="BC46" s="142">
        <f t="shared" si="3"/>
        <v>146</v>
      </c>
      <c r="BD46" s="134" t="str">
        <f t="shared" si="4"/>
        <v>INDENIZAÇÃO</v>
      </c>
      <c r="BE46" s="134" t="str">
        <f t="shared" si="5"/>
        <v>NÃO</v>
      </c>
      <c r="BF46" s="149" t="s">
        <v>24</v>
      </c>
      <c r="BG46" s="149" t="s">
        <v>24</v>
      </c>
      <c r="BH46" s="149" t="s">
        <v>24</v>
      </c>
      <c r="BI46" s="145" t="s">
        <v>189</v>
      </c>
      <c r="BJ46" s="145"/>
      <c r="BK46" s="145"/>
      <c r="BL46" s="145"/>
      <c r="BM46" s="145"/>
      <c r="CI46" s="211"/>
    </row>
    <row r="47" spans="1:103" s="134" customFormat="1" ht="30" customHeight="1">
      <c r="A47" s="134">
        <v>33</v>
      </c>
      <c r="B47" s="134" t="s">
        <v>99</v>
      </c>
      <c r="C47" s="134">
        <v>1</v>
      </c>
      <c r="D47" s="134" t="s">
        <v>100</v>
      </c>
      <c r="E47" s="134" t="s">
        <v>100</v>
      </c>
      <c r="F47" s="138" t="s">
        <v>278</v>
      </c>
      <c r="G47" s="149" t="s">
        <v>1</v>
      </c>
      <c r="H47" s="149" t="s">
        <v>2</v>
      </c>
      <c r="I47" s="149" t="s">
        <v>279</v>
      </c>
      <c r="J47" s="152" t="s">
        <v>280</v>
      </c>
      <c r="K47" s="152" t="s">
        <v>281</v>
      </c>
      <c r="L47" s="152" t="s">
        <v>282</v>
      </c>
      <c r="M47" s="134" t="s">
        <v>4</v>
      </c>
      <c r="N47" s="134" t="s">
        <v>14</v>
      </c>
      <c r="O47" s="194">
        <v>46063</v>
      </c>
      <c r="P47" s="197" t="s">
        <v>17</v>
      </c>
      <c r="Q47" s="264" t="s">
        <v>283</v>
      </c>
      <c r="R47" s="197"/>
      <c r="S47" s="197"/>
      <c r="T47" s="197"/>
      <c r="U47" s="197"/>
      <c r="V47" s="197"/>
      <c r="W47" s="197"/>
      <c r="X47" s="197"/>
      <c r="Y47" s="197"/>
      <c r="Z47" s="197"/>
      <c r="AA47" s="250"/>
      <c r="AB47" s="152" t="s">
        <v>284</v>
      </c>
      <c r="AC47" s="152" t="s">
        <v>285</v>
      </c>
      <c r="AD47" s="152" t="s">
        <v>286</v>
      </c>
      <c r="AE47" s="134" t="s">
        <v>287</v>
      </c>
      <c r="AF47" s="149" t="s">
        <v>4</v>
      </c>
      <c r="AG47" s="208">
        <v>46426.74</v>
      </c>
      <c r="AH47" s="208">
        <v>46426.74</v>
      </c>
      <c r="AI47" s="232" t="s">
        <v>6</v>
      </c>
      <c r="AJ47" s="138" t="s">
        <v>109</v>
      </c>
      <c r="AK47" s="214">
        <v>149983772</v>
      </c>
      <c r="AL47" s="149" t="s">
        <v>110</v>
      </c>
      <c r="AM47" s="134" t="s">
        <v>110</v>
      </c>
      <c r="AN47" s="134" t="s">
        <v>111</v>
      </c>
      <c r="AO47" s="149"/>
      <c r="AP47" s="276" t="s">
        <v>288</v>
      </c>
      <c r="AQ47" s="149" t="s">
        <v>110</v>
      </c>
      <c r="AR47" s="149" t="s">
        <v>110</v>
      </c>
      <c r="AS47" s="198" t="s">
        <v>110</v>
      </c>
      <c r="AT47" s="149" t="s">
        <v>110</v>
      </c>
      <c r="AU47" s="194">
        <v>46182</v>
      </c>
      <c r="AV47" s="149" t="s">
        <v>110</v>
      </c>
      <c r="AW47" s="149" t="s">
        <v>110</v>
      </c>
      <c r="AX47" s="194">
        <v>46189</v>
      </c>
      <c r="AY47" s="197">
        <v>46189</v>
      </c>
      <c r="AZ47" s="145" t="s">
        <v>33</v>
      </c>
      <c r="BA47" s="145" t="s">
        <v>113</v>
      </c>
      <c r="BB47" s="149" t="s">
        <v>110</v>
      </c>
      <c r="BC47" s="142">
        <f t="shared" si="3"/>
        <v>126</v>
      </c>
      <c r="BD47" s="134" t="str">
        <f t="shared" si="4"/>
        <v>INDENIZAÇÃO</v>
      </c>
      <c r="BE47" s="134" t="str">
        <f t="shared" si="5"/>
        <v>NÃO</v>
      </c>
      <c r="BF47" s="149" t="s">
        <v>24</v>
      </c>
      <c r="BG47" s="149" t="s">
        <v>24</v>
      </c>
      <c r="BH47" s="149" t="s">
        <v>24</v>
      </c>
      <c r="BI47" s="145" t="s">
        <v>189</v>
      </c>
      <c r="BJ47" s="145"/>
      <c r="BK47" s="145"/>
      <c r="BL47" s="145"/>
      <c r="BM47" s="145"/>
      <c r="BN47" s="276"/>
      <c r="BO47" s="276"/>
      <c r="BP47" s="276"/>
      <c r="CI47" s="211"/>
    </row>
    <row r="48" spans="1:103" s="149" customFormat="1" ht="30" customHeight="1">
      <c r="A48" s="134">
        <v>34</v>
      </c>
      <c r="B48" s="134" t="s">
        <v>99</v>
      </c>
      <c r="C48" s="134">
        <v>2</v>
      </c>
      <c r="D48" s="134" t="s">
        <v>100</v>
      </c>
      <c r="E48" s="134" t="s">
        <v>100</v>
      </c>
      <c r="F48" s="152" t="s">
        <v>289</v>
      </c>
      <c r="G48" s="149" t="s">
        <v>102</v>
      </c>
      <c r="H48" s="149" t="s">
        <v>103</v>
      </c>
      <c r="I48" s="149" t="s">
        <v>104</v>
      </c>
      <c r="J48" s="152" t="s">
        <v>290</v>
      </c>
      <c r="K48" s="152" t="s">
        <v>291</v>
      </c>
      <c r="L48" s="152" t="s">
        <v>292</v>
      </c>
      <c r="M48" s="149" t="s">
        <v>4</v>
      </c>
      <c r="N48" s="149" t="s">
        <v>213</v>
      </c>
      <c r="O48" s="194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B48" s="152" t="s">
        <v>290</v>
      </c>
      <c r="AC48" s="152" t="s">
        <v>291</v>
      </c>
      <c r="AD48" s="152" t="s">
        <v>292</v>
      </c>
      <c r="AE48" s="149" t="s">
        <v>108</v>
      </c>
      <c r="AF48" s="149" t="s">
        <v>4</v>
      </c>
      <c r="AG48" s="208"/>
      <c r="AH48" s="208"/>
      <c r="AI48" s="234"/>
      <c r="AJ48" s="138"/>
      <c r="AK48" s="200"/>
      <c r="AL48" s="134"/>
      <c r="AM48" s="134"/>
      <c r="AO48" s="226"/>
      <c r="AP48" s="276"/>
      <c r="AQ48" s="198"/>
      <c r="AR48" s="198"/>
      <c r="AS48" s="198"/>
      <c r="AT48" s="198"/>
      <c r="AU48" s="194"/>
      <c r="AV48" s="198"/>
      <c r="AW48" s="198"/>
      <c r="AX48" s="194"/>
      <c r="AY48" s="145"/>
      <c r="AZ48" s="145"/>
      <c r="BA48" s="145"/>
      <c r="BC48" s="142" t="str">
        <f t="shared" si="3"/>
        <v/>
      </c>
      <c r="BD48" s="134" t="str">
        <f t="shared" si="4"/>
        <v>INDENIZAÇÃO</v>
      </c>
      <c r="BE48" s="134" t="str">
        <f t="shared" si="5"/>
        <v>NÃO</v>
      </c>
      <c r="BG48" s="194"/>
      <c r="BH48" s="194"/>
      <c r="CI48" s="200"/>
    </row>
    <row r="49" spans="1:87" s="149" customFormat="1" ht="30" customHeight="1">
      <c r="A49" s="134">
        <v>35</v>
      </c>
      <c r="B49" s="134" t="s">
        <v>99</v>
      </c>
      <c r="C49" s="134">
        <v>2</v>
      </c>
      <c r="D49" s="134" t="s">
        <v>100</v>
      </c>
      <c r="E49" s="134" t="s">
        <v>100</v>
      </c>
      <c r="F49" s="138" t="s">
        <v>293</v>
      </c>
      <c r="G49" s="149" t="s">
        <v>102</v>
      </c>
      <c r="H49" s="149" t="s">
        <v>103</v>
      </c>
      <c r="I49" s="149" t="s">
        <v>104</v>
      </c>
      <c r="J49" s="152" t="s">
        <v>294</v>
      </c>
      <c r="K49" s="152" t="s">
        <v>158</v>
      </c>
      <c r="L49" s="152" t="s">
        <v>295</v>
      </c>
      <c r="M49" s="134" t="s">
        <v>4</v>
      </c>
      <c r="N49" s="134" t="s">
        <v>5</v>
      </c>
      <c r="O49" s="274">
        <v>46063</v>
      </c>
      <c r="P49" s="139" t="s">
        <v>24</v>
      </c>
      <c r="Q49" s="139" t="s">
        <v>24</v>
      </c>
      <c r="R49" s="139" t="s">
        <v>24</v>
      </c>
      <c r="S49" s="139" t="s">
        <v>24</v>
      </c>
      <c r="T49" s="139" t="s">
        <v>24</v>
      </c>
      <c r="U49" s="139" t="s">
        <v>24</v>
      </c>
      <c r="V49" s="139" t="s">
        <v>24</v>
      </c>
      <c r="W49" s="139" t="s">
        <v>24</v>
      </c>
      <c r="X49" s="139" t="s">
        <v>24</v>
      </c>
      <c r="Y49" s="139" t="s">
        <v>24</v>
      </c>
      <c r="Z49" s="139" t="s">
        <v>24</v>
      </c>
      <c r="AA49" s="273"/>
      <c r="AB49" s="152" t="s">
        <v>294</v>
      </c>
      <c r="AC49" s="152" t="s">
        <v>158</v>
      </c>
      <c r="AD49" s="152" t="s">
        <v>295</v>
      </c>
      <c r="AE49" s="149" t="s">
        <v>108</v>
      </c>
      <c r="AF49" s="134" t="s">
        <v>4</v>
      </c>
      <c r="AG49" s="208">
        <v>48599.19</v>
      </c>
      <c r="AH49" s="208">
        <v>60000</v>
      </c>
      <c r="AI49" s="273" t="s">
        <v>6</v>
      </c>
      <c r="AJ49" s="138" t="s">
        <v>109</v>
      </c>
      <c r="AK49" s="198">
        <v>128822591</v>
      </c>
      <c r="AL49" s="149" t="s">
        <v>110</v>
      </c>
      <c r="AM49" s="134" t="s">
        <v>110</v>
      </c>
      <c r="AN49" s="134" t="s">
        <v>111</v>
      </c>
      <c r="AO49" s="273"/>
      <c r="AP49" s="276" t="s">
        <v>296</v>
      </c>
      <c r="AQ49" s="198" t="s">
        <v>110</v>
      </c>
      <c r="AR49" s="198" t="s">
        <v>110</v>
      </c>
      <c r="AS49" s="198" t="s">
        <v>110</v>
      </c>
      <c r="AT49" s="198" t="s">
        <v>110</v>
      </c>
      <c r="AU49" s="144">
        <v>46142</v>
      </c>
      <c r="AV49" s="198" t="s">
        <v>110</v>
      </c>
      <c r="AW49" s="198" t="s">
        <v>110</v>
      </c>
      <c r="AX49" s="144">
        <v>46164</v>
      </c>
      <c r="AY49" s="140">
        <v>46164</v>
      </c>
      <c r="AZ49" s="145" t="s">
        <v>33</v>
      </c>
      <c r="BA49" s="145" t="s">
        <v>113</v>
      </c>
      <c r="BB49" s="149" t="s">
        <v>110</v>
      </c>
      <c r="BC49" s="142">
        <f t="shared" si="3"/>
        <v>101</v>
      </c>
      <c r="BD49" s="134" t="str">
        <f t="shared" si="4"/>
        <v>INDENIZAÇÃO</v>
      </c>
      <c r="BE49" s="134" t="str">
        <f t="shared" si="5"/>
        <v>NÃO</v>
      </c>
      <c r="BF49" s="149" t="s">
        <v>24</v>
      </c>
      <c r="BG49" s="149" t="s">
        <v>24</v>
      </c>
      <c r="BH49" s="149" t="s">
        <v>24</v>
      </c>
      <c r="BI49" s="149" t="s">
        <v>110</v>
      </c>
      <c r="BJ49" s="149" t="s">
        <v>110</v>
      </c>
      <c r="BK49" s="194">
        <v>46231</v>
      </c>
      <c r="BL49" s="145" t="s">
        <v>114</v>
      </c>
      <c r="BM49" s="145"/>
      <c r="BN49" s="120"/>
      <c r="BO49" s="120"/>
      <c r="BP49" s="120"/>
      <c r="CI49" s="200"/>
    </row>
    <row r="50" spans="1:87" s="149" customFormat="1" ht="30" customHeight="1">
      <c r="A50" s="134">
        <v>36</v>
      </c>
      <c r="B50" s="134" t="s">
        <v>99</v>
      </c>
      <c r="C50" s="134">
        <v>2</v>
      </c>
      <c r="D50" s="134" t="s">
        <v>158</v>
      </c>
      <c r="E50" s="134" t="s">
        <v>100</v>
      </c>
      <c r="F50" s="152" t="s">
        <v>297</v>
      </c>
      <c r="G50" s="149" t="s">
        <v>102</v>
      </c>
      <c r="H50" s="149" t="s">
        <v>103</v>
      </c>
      <c r="I50" s="149" t="s">
        <v>104</v>
      </c>
      <c r="J50" s="152" t="s">
        <v>298</v>
      </c>
      <c r="K50" s="152" t="s">
        <v>299</v>
      </c>
      <c r="L50" s="152" t="s">
        <v>300</v>
      </c>
      <c r="M50" s="149" t="s">
        <v>4</v>
      </c>
      <c r="N50" s="149" t="s">
        <v>5</v>
      </c>
      <c r="O50" s="194">
        <v>46065</v>
      </c>
      <c r="P50" s="139" t="s">
        <v>24</v>
      </c>
      <c r="Q50" s="139" t="s">
        <v>24</v>
      </c>
      <c r="R50" s="139" t="s">
        <v>24</v>
      </c>
      <c r="S50" s="139" t="s">
        <v>24</v>
      </c>
      <c r="T50" s="139" t="s">
        <v>24</v>
      </c>
      <c r="U50" s="139" t="s">
        <v>24</v>
      </c>
      <c r="V50" s="139" t="s">
        <v>24</v>
      </c>
      <c r="W50" s="139" t="s">
        <v>24</v>
      </c>
      <c r="X50" s="139" t="s">
        <v>24</v>
      </c>
      <c r="Y50" s="139" t="s">
        <v>24</v>
      </c>
      <c r="Z50" s="139" t="s">
        <v>24</v>
      </c>
      <c r="AB50" s="152" t="s">
        <v>298</v>
      </c>
      <c r="AC50" s="152" t="s">
        <v>299</v>
      </c>
      <c r="AD50" s="152" t="s">
        <v>300</v>
      </c>
      <c r="AE50" s="149" t="s">
        <v>108</v>
      </c>
      <c r="AF50" s="149" t="s">
        <v>4</v>
      </c>
      <c r="AG50" s="208">
        <v>13982.11</v>
      </c>
      <c r="AH50" s="208">
        <f>AG50+30000</f>
        <v>43982.11</v>
      </c>
      <c r="AI50" s="234" t="s">
        <v>6</v>
      </c>
      <c r="AJ50" s="138" t="s">
        <v>301</v>
      </c>
      <c r="AK50" s="149">
        <v>142054845</v>
      </c>
      <c r="AL50" s="149" t="s">
        <v>110</v>
      </c>
      <c r="AM50" s="134" t="s">
        <v>110</v>
      </c>
      <c r="AN50" s="134" t="s">
        <v>111</v>
      </c>
      <c r="AO50" s="272"/>
      <c r="AP50" s="276" t="s">
        <v>302</v>
      </c>
      <c r="AQ50" s="198" t="s">
        <v>110</v>
      </c>
      <c r="AR50" s="198" t="s">
        <v>110</v>
      </c>
      <c r="AS50" s="198" t="s">
        <v>110</v>
      </c>
      <c r="AT50" s="198" t="s">
        <v>110</v>
      </c>
      <c r="AU50" s="144">
        <v>46142</v>
      </c>
      <c r="AV50" s="198" t="s">
        <v>110</v>
      </c>
      <c r="AW50" s="198" t="s">
        <v>110</v>
      </c>
      <c r="AX50" s="144">
        <v>46153</v>
      </c>
      <c r="AY50" s="140">
        <v>46153</v>
      </c>
      <c r="AZ50" s="145" t="s">
        <v>33</v>
      </c>
      <c r="BA50" s="145" t="s">
        <v>113</v>
      </c>
      <c r="BB50" s="149" t="s">
        <v>110</v>
      </c>
      <c r="BC50" s="142">
        <f t="shared" si="3"/>
        <v>88</v>
      </c>
      <c r="BD50" s="134" t="str">
        <f t="shared" si="4"/>
        <v>INDENIZAÇÃO</v>
      </c>
      <c r="BE50" s="134" t="str">
        <f t="shared" si="5"/>
        <v>NÃO</v>
      </c>
      <c r="BF50" s="198" t="s">
        <v>24</v>
      </c>
      <c r="BG50" s="198" t="s">
        <v>24</v>
      </c>
      <c r="BH50" s="198" t="s">
        <v>24</v>
      </c>
      <c r="BI50" s="149" t="s">
        <v>110</v>
      </c>
      <c r="BJ50" s="149" t="s">
        <v>110</v>
      </c>
      <c r="BK50" s="194">
        <v>46231</v>
      </c>
      <c r="BL50" s="145" t="s">
        <v>114</v>
      </c>
      <c r="BM50" s="145"/>
      <c r="BN50" s="120"/>
      <c r="BO50" s="120"/>
      <c r="BP50" s="120"/>
      <c r="CI50" s="200"/>
    </row>
    <row r="51" spans="1:87" s="149" customFormat="1" ht="30" customHeight="1">
      <c r="A51" s="134">
        <v>37</v>
      </c>
      <c r="B51" s="134" t="s">
        <v>99</v>
      </c>
      <c r="C51" s="134">
        <v>2</v>
      </c>
      <c r="D51" s="134" t="s">
        <v>100</v>
      </c>
      <c r="E51" s="134" t="s">
        <v>100</v>
      </c>
      <c r="F51" s="152" t="s">
        <v>303</v>
      </c>
      <c r="G51" s="149" t="s">
        <v>102</v>
      </c>
      <c r="H51" s="149" t="s">
        <v>103</v>
      </c>
      <c r="I51" s="149" t="s">
        <v>104</v>
      </c>
      <c r="J51" s="152" t="s">
        <v>304</v>
      </c>
      <c r="K51" s="152" t="s">
        <v>305</v>
      </c>
      <c r="L51" s="152" t="s">
        <v>306</v>
      </c>
      <c r="M51" s="149" t="s">
        <v>4</v>
      </c>
      <c r="N51" s="149" t="s">
        <v>5</v>
      </c>
      <c r="O51" s="194">
        <v>45929</v>
      </c>
      <c r="P51" s="139" t="s">
        <v>24</v>
      </c>
      <c r="Q51" s="139" t="s">
        <v>24</v>
      </c>
      <c r="R51" s="139" t="s">
        <v>24</v>
      </c>
      <c r="S51" s="139" t="s">
        <v>24</v>
      </c>
      <c r="T51" s="139" t="s">
        <v>24</v>
      </c>
      <c r="U51" s="139" t="s">
        <v>24</v>
      </c>
      <c r="V51" s="139" t="s">
        <v>24</v>
      </c>
      <c r="W51" s="139" t="s">
        <v>24</v>
      </c>
      <c r="X51" s="139" t="s">
        <v>24</v>
      </c>
      <c r="Y51" s="139" t="s">
        <v>24</v>
      </c>
      <c r="Z51" s="139" t="s">
        <v>24</v>
      </c>
      <c r="AB51" s="152" t="s">
        <v>304</v>
      </c>
      <c r="AC51" s="152" t="s">
        <v>305</v>
      </c>
      <c r="AD51" s="152" t="s">
        <v>306</v>
      </c>
      <c r="AE51" s="149" t="s">
        <v>108</v>
      </c>
      <c r="AF51" s="149" t="s">
        <v>4</v>
      </c>
      <c r="AG51" s="208">
        <v>52213.96</v>
      </c>
      <c r="AH51" s="208">
        <v>60000</v>
      </c>
      <c r="AI51" s="149" t="s">
        <v>6</v>
      </c>
      <c r="AJ51" s="138" t="s">
        <v>109</v>
      </c>
      <c r="AK51" s="149">
        <v>142535500</v>
      </c>
      <c r="AL51" s="134" t="s">
        <v>110</v>
      </c>
      <c r="AM51" s="134" t="s">
        <v>110</v>
      </c>
      <c r="AN51" s="149" t="s">
        <v>111</v>
      </c>
      <c r="AO51" s="224"/>
      <c r="AP51" s="152" t="s">
        <v>307</v>
      </c>
      <c r="AQ51" s="198" t="s">
        <v>110</v>
      </c>
      <c r="AR51" s="198" t="s">
        <v>110</v>
      </c>
      <c r="AS51" s="198" t="s">
        <v>110</v>
      </c>
      <c r="AT51" s="198" t="s">
        <v>110</v>
      </c>
      <c r="AU51" s="194">
        <v>45960</v>
      </c>
      <c r="AV51" s="198" t="s">
        <v>110</v>
      </c>
      <c r="AW51" s="198" t="s">
        <v>110</v>
      </c>
      <c r="AX51" s="194">
        <v>45968</v>
      </c>
      <c r="AY51" s="140">
        <v>45968</v>
      </c>
      <c r="AZ51" s="145" t="s">
        <v>33</v>
      </c>
      <c r="BA51" s="145" t="s">
        <v>113</v>
      </c>
      <c r="BB51" s="149" t="s">
        <v>110</v>
      </c>
      <c r="BC51" s="142">
        <f t="shared" si="3"/>
        <v>39</v>
      </c>
      <c r="BD51" s="134" t="str">
        <f t="shared" si="4"/>
        <v>INDENIZAÇÃO</v>
      </c>
      <c r="BE51" s="134" t="str">
        <f t="shared" si="5"/>
        <v>NÃO</v>
      </c>
      <c r="BF51" s="149" t="s">
        <v>24</v>
      </c>
      <c r="BG51" s="149" t="s">
        <v>24</v>
      </c>
      <c r="BH51" s="149" t="s">
        <v>24</v>
      </c>
      <c r="BI51" s="149" t="s">
        <v>110</v>
      </c>
      <c r="BJ51" s="149" t="s">
        <v>110</v>
      </c>
      <c r="BK51" s="194">
        <v>46231</v>
      </c>
      <c r="BL51" s="145" t="s">
        <v>114</v>
      </c>
      <c r="BM51" s="145"/>
      <c r="BN51" s="120"/>
      <c r="BO51" s="120"/>
      <c r="BP51" s="120"/>
      <c r="CI51" s="200"/>
    </row>
    <row r="52" spans="1:87" s="149" customFormat="1" ht="30" customHeight="1">
      <c r="A52" s="134">
        <v>38</v>
      </c>
      <c r="B52" s="134" t="s">
        <v>99</v>
      </c>
      <c r="C52" s="143">
        <v>2</v>
      </c>
      <c r="D52" s="134" t="s">
        <v>100</v>
      </c>
      <c r="E52" s="134" t="s">
        <v>100</v>
      </c>
      <c r="F52" s="199" t="s">
        <v>308</v>
      </c>
      <c r="G52" s="149" t="s">
        <v>102</v>
      </c>
      <c r="H52" s="149" t="s">
        <v>103</v>
      </c>
      <c r="I52" s="149" t="s">
        <v>104</v>
      </c>
      <c r="J52" s="152" t="s">
        <v>309</v>
      </c>
      <c r="K52" s="152" t="s">
        <v>310</v>
      </c>
      <c r="L52" s="152" t="s">
        <v>311</v>
      </c>
      <c r="M52" s="134" t="s">
        <v>4</v>
      </c>
      <c r="N52" s="134" t="s">
        <v>5</v>
      </c>
      <c r="O52" s="194">
        <v>46001</v>
      </c>
      <c r="P52" s="139" t="s">
        <v>24</v>
      </c>
      <c r="Q52" s="139" t="s">
        <v>24</v>
      </c>
      <c r="R52" s="139" t="s">
        <v>24</v>
      </c>
      <c r="S52" s="139" t="s">
        <v>24</v>
      </c>
      <c r="T52" s="139" t="s">
        <v>24</v>
      </c>
      <c r="U52" s="139" t="s">
        <v>24</v>
      </c>
      <c r="V52" s="139" t="s">
        <v>24</v>
      </c>
      <c r="W52" s="139" t="s">
        <v>24</v>
      </c>
      <c r="X52" s="139" t="s">
        <v>24</v>
      </c>
      <c r="Y52" s="139" t="s">
        <v>24</v>
      </c>
      <c r="Z52" s="139" t="s">
        <v>24</v>
      </c>
      <c r="AB52" s="152" t="s">
        <v>309</v>
      </c>
      <c r="AC52" s="152" t="s">
        <v>310</v>
      </c>
      <c r="AD52" s="152" t="s">
        <v>311</v>
      </c>
      <c r="AE52" s="149" t="s">
        <v>108</v>
      </c>
      <c r="AF52" s="134" t="s">
        <v>4</v>
      </c>
      <c r="AG52" s="208">
        <v>67953.509999999995</v>
      </c>
      <c r="AH52" s="208">
        <v>67953.509999999995</v>
      </c>
      <c r="AI52" s="273" t="s">
        <v>6</v>
      </c>
      <c r="AJ52" s="138" t="s">
        <v>109</v>
      </c>
      <c r="AK52" s="149">
        <v>144631293</v>
      </c>
      <c r="AL52" s="134" t="s">
        <v>110</v>
      </c>
      <c r="AM52" s="134" t="s">
        <v>110</v>
      </c>
      <c r="AN52" s="149" t="s">
        <v>111</v>
      </c>
      <c r="AO52" s="226"/>
      <c r="AP52" s="152" t="s">
        <v>312</v>
      </c>
      <c r="AQ52" s="198" t="s">
        <v>110</v>
      </c>
      <c r="AR52" s="198" t="s">
        <v>110</v>
      </c>
      <c r="AS52" s="198" t="s">
        <v>110</v>
      </c>
      <c r="AT52" s="198" t="s">
        <v>110</v>
      </c>
      <c r="AU52" s="194">
        <v>46021</v>
      </c>
      <c r="AV52" s="198" t="s">
        <v>110</v>
      </c>
      <c r="AW52" s="198" t="s">
        <v>110</v>
      </c>
      <c r="AX52" s="194">
        <v>46041</v>
      </c>
      <c r="AY52" s="197">
        <v>46041</v>
      </c>
      <c r="AZ52" s="197" t="s">
        <v>33</v>
      </c>
      <c r="BA52" s="145" t="s">
        <v>113</v>
      </c>
      <c r="BB52" s="149" t="s">
        <v>110</v>
      </c>
      <c r="BC52" s="142">
        <f t="shared" si="3"/>
        <v>40</v>
      </c>
      <c r="BD52" s="134" t="str">
        <f t="shared" si="4"/>
        <v>INDENIZAÇÃO</v>
      </c>
      <c r="BE52" s="134" t="str">
        <f t="shared" si="5"/>
        <v>NÃO</v>
      </c>
      <c r="BF52" s="149" t="s">
        <v>24</v>
      </c>
      <c r="BG52" s="149" t="s">
        <v>24</v>
      </c>
      <c r="BH52" s="149" t="s">
        <v>24</v>
      </c>
      <c r="BI52" s="145" t="s">
        <v>189</v>
      </c>
      <c r="BJ52" s="145"/>
      <c r="BK52" s="145"/>
      <c r="BL52" s="145"/>
      <c r="BM52" s="145"/>
      <c r="BN52" s="120"/>
      <c r="BO52" s="120"/>
      <c r="BP52" s="120"/>
      <c r="CI52" s="200"/>
    </row>
    <row r="53" spans="1:87" s="149" customFormat="1" ht="30" customHeight="1">
      <c r="A53" s="134">
        <v>39</v>
      </c>
      <c r="B53" s="134" t="s">
        <v>99</v>
      </c>
      <c r="C53" s="143">
        <v>2</v>
      </c>
      <c r="D53" s="134" t="s">
        <v>100</v>
      </c>
      <c r="E53" s="134" t="s">
        <v>100</v>
      </c>
      <c r="F53" s="152" t="s">
        <v>313</v>
      </c>
      <c r="G53" s="149" t="s">
        <v>102</v>
      </c>
      <c r="H53" s="149" t="s">
        <v>103</v>
      </c>
      <c r="I53" s="149" t="s">
        <v>104</v>
      </c>
      <c r="J53" s="152" t="s">
        <v>314</v>
      </c>
      <c r="K53" s="152" t="s">
        <v>315</v>
      </c>
      <c r="L53" s="152" t="s">
        <v>316</v>
      </c>
      <c r="M53" s="149" t="s">
        <v>4</v>
      </c>
      <c r="N53" s="149" t="s">
        <v>5</v>
      </c>
      <c r="O53" s="194">
        <v>46001</v>
      </c>
      <c r="P53" s="139" t="s">
        <v>24</v>
      </c>
      <c r="Q53" s="139" t="s">
        <v>24</v>
      </c>
      <c r="R53" s="139" t="s">
        <v>24</v>
      </c>
      <c r="S53" s="139" t="s">
        <v>24</v>
      </c>
      <c r="T53" s="139" t="s">
        <v>24</v>
      </c>
      <c r="U53" s="139" t="s">
        <v>24</v>
      </c>
      <c r="V53" s="139" t="s">
        <v>24</v>
      </c>
      <c r="W53" s="139" t="s">
        <v>24</v>
      </c>
      <c r="X53" s="139" t="s">
        <v>24</v>
      </c>
      <c r="Y53" s="139" t="s">
        <v>24</v>
      </c>
      <c r="Z53" s="139" t="s">
        <v>24</v>
      </c>
      <c r="AB53" s="152" t="s">
        <v>314</v>
      </c>
      <c r="AC53" s="152" t="s">
        <v>315</v>
      </c>
      <c r="AD53" s="152" t="s">
        <v>316</v>
      </c>
      <c r="AE53" s="149" t="s">
        <v>108</v>
      </c>
      <c r="AF53" s="149" t="s">
        <v>4</v>
      </c>
      <c r="AG53" s="208">
        <v>22337.45</v>
      </c>
      <c r="AH53" s="208">
        <v>52337.45</v>
      </c>
      <c r="AI53" s="149" t="s">
        <v>6</v>
      </c>
      <c r="AJ53" s="138" t="s">
        <v>109</v>
      </c>
      <c r="AK53" s="149">
        <v>144631719</v>
      </c>
      <c r="AL53" s="134" t="s">
        <v>110</v>
      </c>
      <c r="AM53" s="134" t="s">
        <v>110</v>
      </c>
      <c r="AN53" s="149" t="s">
        <v>111</v>
      </c>
      <c r="AO53" s="224"/>
      <c r="AP53" s="152" t="s">
        <v>317</v>
      </c>
      <c r="AQ53" s="198" t="s">
        <v>110</v>
      </c>
      <c r="AR53" s="198" t="s">
        <v>110</v>
      </c>
      <c r="AS53" s="198" t="s">
        <v>110</v>
      </c>
      <c r="AT53" s="198" t="s">
        <v>110</v>
      </c>
      <c r="AU53" s="194">
        <v>46021</v>
      </c>
      <c r="AV53" s="198" t="s">
        <v>110</v>
      </c>
      <c r="AW53" s="198" t="s">
        <v>110</v>
      </c>
      <c r="AX53" s="194">
        <v>46049</v>
      </c>
      <c r="AY53" s="197">
        <v>46049</v>
      </c>
      <c r="AZ53" s="197" t="s">
        <v>33</v>
      </c>
      <c r="BA53" s="145" t="s">
        <v>113</v>
      </c>
      <c r="BB53" s="149" t="s">
        <v>110</v>
      </c>
      <c r="BC53" s="142">
        <f t="shared" si="3"/>
        <v>48</v>
      </c>
      <c r="BD53" s="134" t="str">
        <f t="shared" si="4"/>
        <v>INDENIZAÇÃO</v>
      </c>
      <c r="BE53" s="134" t="str">
        <f t="shared" si="5"/>
        <v>NÃO</v>
      </c>
      <c r="BF53" s="149" t="s">
        <v>24</v>
      </c>
      <c r="BG53" s="149" t="s">
        <v>24</v>
      </c>
      <c r="BH53" s="149" t="s">
        <v>24</v>
      </c>
      <c r="BI53" s="145" t="s">
        <v>189</v>
      </c>
      <c r="BJ53" s="145"/>
      <c r="BK53" s="145"/>
      <c r="BL53" s="145"/>
      <c r="BM53" s="145"/>
      <c r="BN53" s="120"/>
      <c r="BO53" s="120"/>
      <c r="BP53" s="120"/>
      <c r="CI53" s="200"/>
    </row>
    <row r="54" spans="1:87" s="149" customFormat="1" ht="30" customHeight="1">
      <c r="A54" s="134">
        <v>40</v>
      </c>
      <c r="B54" s="134" t="s">
        <v>99</v>
      </c>
      <c r="C54" s="143">
        <v>2</v>
      </c>
      <c r="D54" s="134" t="s">
        <v>100</v>
      </c>
      <c r="E54" s="134" t="s">
        <v>100</v>
      </c>
      <c r="F54" s="152" t="s">
        <v>318</v>
      </c>
      <c r="G54" s="149" t="s">
        <v>102</v>
      </c>
      <c r="H54" s="149" t="s">
        <v>103</v>
      </c>
      <c r="I54" s="149" t="s">
        <v>104</v>
      </c>
      <c r="J54" s="152" t="s">
        <v>319</v>
      </c>
      <c r="K54" s="152" t="s">
        <v>320</v>
      </c>
      <c r="L54" s="152" t="s">
        <v>321</v>
      </c>
      <c r="M54" s="149" t="s">
        <v>4</v>
      </c>
      <c r="N54" s="149" t="s">
        <v>5</v>
      </c>
      <c r="O54" s="194">
        <v>46001</v>
      </c>
      <c r="P54" s="139" t="s">
        <v>24</v>
      </c>
      <c r="Q54" s="139" t="s">
        <v>24</v>
      </c>
      <c r="R54" s="139" t="s">
        <v>24</v>
      </c>
      <c r="S54" s="139" t="s">
        <v>24</v>
      </c>
      <c r="T54" s="139" t="s">
        <v>24</v>
      </c>
      <c r="U54" s="139" t="s">
        <v>24</v>
      </c>
      <c r="V54" s="139" t="s">
        <v>24</v>
      </c>
      <c r="W54" s="139" t="s">
        <v>24</v>
      </c>
      <c r="X54" s="139" t="s">
        <v>24</v>
      </c>
      <c r="Y54" s="139" t="s">
        <v>24</v>
      </c>
      <c r="Z54" s="139" t="s">
        <v>24</v>
      </c>
      <c r="AB54" s="152" t="s">
        <v>319</v>
      </c>
      <c r="AC54" s="152" t="s">
        <v>320</v>
      </c>
      <c r="AD54" s="152" t="s">
        <v>321</v>
      </c>
      <c r="AE54" s="149" t="s">
        <v>108</v>
      </c>
      <c r="AF54" s="149" t="s">
        <v>4</v>
      </c>
      <c r="AG54" s="208">
        <v>73998.36</v>
      </c>
      <c r="AH54" s="208">
        <v>73998.36</v>
      </c>
      <c r="AI54" s="149" t="s">
        <v>6</v>
      </c>
      <c r="AJ54" s="138" t="s">
        <v>301</v>
      </c>
      <c r="AK54" s="149">
        <v>128822658</v>
      </c>
      <c r="AL54" s="134" t="s">
        <v>110</v>
      </c>
      <c r="AM54" s="134" t="s">
        <v>110</v>
      </c>
      <c r="AN54" s="149" t="s">
        <v>111</v>
      </c>
      <c r="AO54" s="224"/>
      <c r="AP54" s="152" t="s">
        <v>322</v>
      </c>
      <c r="AQ54" s="198" t="s">
        <v>110</v>
      </c>
      <c r="AR54" s="198" t="s">
        <v>110</v>
      </c>
      <c r="AS54" s="198" t="s">
        <v>110</v>
      </c>
      <c r="AT54" s="198" t="s">
        <v>110</v>
      </c>
      <c r="AU54" s="194">
        <v>46021</v>
      </c>
      <c r="AV54" s="198" t="s">
        <v>110</v>
      </c>
      <c r="AW54" s="198" t="s">
        <v>110</v>
      </c>
      <c r="AX54" s="194">
        <v>46041</v>
      </c>
      <c r="AY54" s="197">
        <v>46041</v>
      </c>
      <c r="AZ54" s="197" t="s">
        <v>33</v>
      </c>
      <c r="BA54" s="145" t="s">
        <v>113</v>
      </c>
      <c r="BB54" s="149" t="s">
        <v>110</v>
      </c>
      <c r="BC54" s="142">
        <f t="shared" si="3"/>
        <v>40</v>
      </c>
      <c r="BD54" s="134" t="str">
        <f t="shared" si="4"/>
        <v>INDENIZAÇÃO</v>
      </c>
      <c r="BE54" s="134" t="str">
        <f t="shared" si="5"/>
        <v>NÃO</v>
      </c>
      <c r="BF54" s="149" t="s">
        <v>24</v>
      </c>
      <c r="BG54" s="149" t="s">
        <v>24</v>
      </c>
      <c r="BH54" s="149" t="s">
        <v>24</v>
      </c>
      <c r="BI54" s="145" t="s">
        <v>189</v>
      </c>
      <c r="BJ54" s="145"/>
      <c r="BK54" s="145"/>
      <c r="BL54" s="145"/>
      <c r="BM54" s="145"/>
      <c r="CI54" s="200"/>
    </row>
    <row r="55" spans="1:87" s="149" customFormat="1" ht="30" customHeight="1">
      <c r="A55" s="134">
        <v>41</v>
      </c>
      <c r="B55" s="134" t="s">
        <v>99</v>
      </c>
      <c r="C55" s="134">
        <v>1</v>
      </c>
      <c r="D55" s="134" t="s">
        <v>100</v>
      </c>
      <c r="E55" s="134" t="s">
        <v>100</v>
      </c>
      <c r="F55" s="138" t="s">
        <v>323</v>
      </c>
      <c r="G55" s="149" t="s">
        <v>1</v>
      </c>
      <c r="H55" s="149" t="s">
        <v>2</v>
      </c>
      <c r="I55" s="149" t="s">
        <v>108</v>
      </c>
      <c r="J55" s="152" t="s">
        <v>324</v>
      </c>
      <c r="K55" s="152" t="s">
        <v>325</v>
      </c>
      <c r="L55" s="152" t="s">
        <v>326</v>
      </c>
      <c r="M55" s="134" t="s">
        <v>4</v>
      </c>
      <c r="N55" s="134" t="s">
        <v>5</v>
      </c>
      <c r="O55" s="194">
        <v>46100</v>
      </c>
      <c r="P55" s="144" t="s">
        <v>24</v>
      </c>
      <c r="Q55" s="144" t="s">
        <v>24</v>
      </c>
      <c r="R55" s="144" t="s">
        <v>24</v>
      </c>
      <c r="S55" s="144" t="s">
        <v>24</v>
      </c>
      <c r="T55" s="144" t="s">
        <v>24</v>
      </c>
      <c r="U55" s="144" t="s">
        <v>24</v>
      </c>
      <c r="V55" s="144" t="s">
        <v>24</v>
      </c>
      <c r="W55" s="144" t="s">
        <v>24</v>
      </c>
      <c r="X55" s="144" t="s">
        <v>24</v>
      </c>
      <c r="Y55" s="144" t="s">
        <v>24</v>
      </c>
      <c r="Z55" s="144" t="s">
        <v>24</v>
      </c>
      <c r="AB55" s="152" t="s">
        <v>324</v>
      </c>
      <c r="AC55" s="152" t="s">
        <v>325</v>
      </c>
      <c r="AD55" s="152" t="s">
        <v>326</v>
      </c>
      <c r="AE55" s="149" t="s">
        <v>108</v>
      </c>
      <c r="AF55" s="149" t="s">
        <v>4</v>
      </c>
      <c r="AG55" s="208">
        <v>48561.54</v>
      </c>
      <c r="AH55" s="208">
        <v>60000</v>
      </c>
      <c r="AI55" s="214" t="s">
        <v>6</v>
      </c>
      <c r="AJ55" s="138" t="s">
        <v>109</v>
      </c>
      <c r="AK55" s="214">
        <v>108769893</v>
      </c>
      <c r="AL55" s="149" t="s">
        <v>110</v>
      </c>
      <c r="AM55" s="149" t="s">
        <v>110</v>
      </c>
      <c r="AN55" s="149" t="s">
        <v>111</v>
      </c>
      <c r="AP55" s="121" t="s">
        <v>327</v>
      </c>
      <c r="AQ55" s="149" t="s">
        <v>110</v>
      </c>
      <c r="AR55" s="149" t="s">
        <v>110</v>
      </c>
      <c r="AS55" s="149" t="s">
        <v>110</v>
      </c>
      <c r="AT55" s="149" t="s">
        <v>110</v>
      </c>
      <c r="AU55" s="194">
        <v>46182</v>
      </c>
      <c r="AV55" s="149" t="s">
        <v>110</v>
      </c>
      <c r="AW55" s="149" t="s">
        <v>110</v>
      </c>
      <c r="AX55" s="194">
        <v>46189</v>
      </c>
      <c r="AY55" s="197">
        <v>46189</v>
      </c>
      <c r="AZ55" s="145" t="s">
        <v>33</v>
      </c>
      <c r="BA55" s="145" t="s">
        <v>113</v>
      </c>
      <c r="BB55" s="149" t="s">
        <v>110</v>
      </c>
      <c r="BC55" s="142">
        <f t="shared" si="3"/>
        <v>89</v>
      </c>
      <c r="BD55" s="134" t="str">
        <f t="shared" si="4"/>
        <v>INDENIZAÇÃO</v>
      </c>
      <c r="BE55" s="134" t="str">
        <f t="shared" si="5"/>
        <v>NÃO</v>
      </c>
      <c r="BF55" s="149" t="s">
        <v>24</v>
      </c>
      <c r="BG55" s="149" t="s">
        <v>24</v>
      </c>
      <c r="BH55" s="149" t="s">
        <v>24</v>
      </c>
      <c r="BI55" s="145" t="s">
        <v>189</v>
      </c>
      <c r="BJ55" s="145"/>
      <c r="BK55" s="145"/>
      <c r="BL55" s="145"/>
      <c r="BM55" s="145"/>
      <c r="BN55" s="276"/>
      <c r="BO55" s="276"/>
      <c r="CI55" s="200"/>
    </row>
    <row r="56" spans="1:87" s="149" customFormat="1" ht="30" customHeight="1">
      <c r="A56" s="134">
        <v>42</v>
      </c>
      <c r="B56" s="134" t="s">
        <v>99</v>
      </c>
      <c r="C56" s="134">
        <v>1</v>
      </c>
      <c r="D56" s="134" t="s">
        <v>100</v>
      </c>
      <c r="E56" s="134" t="s">
        <v>100</v>
      </c>
      <c r="F56" s="138" t="s">
        <v>328</v>
      </c>
      <c r="G56" s="149" t="s">
        <v>10</v>
      </c>
      <c r="H56" s="149" t="s">
        <v>26</v>
      </c>
      <c r="I56" s="149" t="s">
        <v>287</v>
      </c>
      <c r="J56" s="152" t="s">
        <v>329</v>
      </c>
      <c r="K56" s="152" t="s">
        <v>330</v>
      </c>
      <c r="L56" s="152" t="s">
        <v>331</v>
      </c>
      <c r="M56" s="134" t="s">
        <v>4</v>
      </c>
      <c r="N56" s="214" t="s">
        <v>5</v>
      </c>
      <c r="O56" s="194">
        <v>46100</v>
      </c>
      <c r="P56" s="144" t="s">
        <v>24</v>
      </c>
      <c r="Q56" s="144" t="s">
        <v>24</v>
      </c>
      <c r="R56" s="144" t="s">
        <v>24</v>
      </c>
      <c r="S56" s="144" t="s">
        <v>24</v>
      </c>
      <c r="T56" s="144" t="s">
        <v>24</v>
      </c>
      <c r="U56" s="144" t="s">
        <v>24</v>
      </c>
      <c r="V56" s="144" t="s">
        <v>24</v>
      </c>
      <c r="W56" s="144" t="s">
        <v>24</v>
      </c>
      <c r="X56" s="144" t="s">
        <v>24</v>
      </c>
      <c r="Y56" s="144" t="s">
        <v>24</v>
      </c>
      <c r="Z56" s="144" t="s">
        <v>24</v>
      </c>
      <c r="AB56" s="152" t="s">
        <v>329</v>
      </c>
      <c r="AC56" s="152" t="s">
        <v>330</v>
      </c>
      <c r="AD56" s="152" t="s">
        <v>331</v>
      </c>
      <c r="AE56" s="134" t="s">
        <v>287</v>
      </c>
      <c r="AF56" s="149" t="s">
        <v>4</v>
      </c>
      <c r="AG56" s="208">
        <v>5164.21</v>
      </c>
      <c r="AH56" s="208">
        <f>AG56+30000</f>
        <v>35164.21</v>
      </c>
      <c r="AI56" s="214" t="s">
        <v>6</v>
      </c>
      <c r="AJ56" s="138" t="s">
        <v>109</v>
      </c>
      <c r="AK56" s="214">
        <v>94134502</v>
      </c>
      <c r="AL56" s="149" t="s">
        <v>110</v>
      </c>
      <c r="AM56" s="149" t="s">
        <v>110</v>
      </c>
      <c r="AN56" s="149" t="s">
        <v>111</v>
      </c>
      <c r="AP56" s="121" t="s">
        <v>332</v>
      </c>
      <c r="AQ56" s="149" t="s">
        <v>110</v>
      </c>
      <c r="AR56" s="149" t="s">
        <v>110</v>
      </c>
      <c r="AS56" s="149" t="s">
        <v>110</v>
      </c>
      <c r="AT56" s="149" t="s">
        <v>110</v>
      </c>
      <c r="AU56" s="194">
        <v>46182</v>
      </c>
      <c r="AV56" s="149" t="s">
        <v>110</v>
      </c>
      <c r="AW56" s="149" t="s">
        <v>110</v>
      </c>
      <c r="AX56" s="194">
        <v>46189</v>
      </c>
      <c r="AY56" s="197">
        <v>46189</v>
      </c>
      <c r="AZ56" s="145" t="s">
        <v>33</v>
      </c>
      <c r="BA56" s="145" t="s">
        <v>113</v>
      </c>
      <c r="BB56" s="149" t="s">
        <v>110</v>
      </c>
      <c r="BC56" s="142">
        <f t="shared" si="3"/>
        <v>89</v>
      </c>
      <c r="BD56" s="134" t="str">
        <f t="shared" si="4"/>
        <v>INDENIZAÇÃO</v>
      </c>
      <c r="BE56" s="134" t="str">
        <f t="shared" si="5"/>
        <v>NÃO</v>
      </c>
      <c r="BF56" s="149" t="s">
        <v>24</v>
      </c>
      <c r="BG56" s="149" t="s">
        <v>24</v>
      </c>
      <c r="BH56" s="149" t="s">
        <v>24</v>
      </c>
      <c r="BI56" s="145" t="s">
        <v>189</v>
      </c>
      <c r="BJ56" s="145"/>
      <c r="BK56" s="145"/>
      <c r="BL56" s="145"/>
      <c r="BM56" s="145"/>
      <c r="BN56" s="276"/>
      <c r="BO56" s="276"/>
      <c r="CI56" s="200"/>
    </row>
    <row r="57" spans="1:87" s="149" customFormat="1" ht="30" customHeight="1">
      <c r="A57" s="134">
        <v>43</v>
      </c>
      <c r="B57" s="134" t="s">
        <v>99</v>
      </c>
      <c r="C57" s="134">
        <v>2</v>
      </c>
      <c r="D57" s="134"/>
      <c r="E57" s="134"/>
      <c r="F57" s="152" t="s">
        <v>333</v>
      </c>
      <c r="G57" s="149" t="s">
        <v>102</v>
      </c>
      <c r="H57" s="149" t="s">
        <v>103</v>
      </c>
      <c r="I57" s="149" t="s">
        <v>104</v>
      </c>
      <c r="J57" s="152" t="s">
        <v>334</v>
      </c>
      <c r="K57" s="152" t="s">
        <v>335</v>
      </c>
      <c r="L57" s="152" t="s">
        <v>336</v>
      </c>
      <c r="M57" s="149" t="s">
        <v>4</v>
      </c>
      <c r="N57" s="149" t="s">
        <v>5</v>
      </c>
      <c r="O57" s="194">
        <v>46043</v>
      </c>
      <c r="P57" s="139" t="s">
        <v>24</v>
      </c>
      <c r="Q57" s="139" t="s">
        <v>24</v>
      </c>
      <c r="R57" s="139" t="s">
        <v>24</v>
      </c>
      <c r="S57" s="139" t="s">
        <v>24</v>
      </c>
      <c r="T57" s="139" t="s">
        <v>24</v>
      </c>
      <c r="U57" s="139" t="s">
        <v>24</v>
      </c>
      <c r="V57" s="139" t="s">
        <v>24</v>
      </c>
      <c r="W57" s="139" t="s">
        <v>24</v>
      </c>
      <c r="X57" s="139" t="s">
        <v>24</v>
      </c>
      <c r="Y57" s="139" t="s">
        <v>24</v>
      </c>
      <c r="Z57" s="139" t="s">
        <v>24</v>
      </c>
      <c r="AB57" s="152" t="s">
        <v>334</v>
      </c>
      <c r="AC57" s="152" t="s">
        <v>335</v>
      </c>
      <c r="AD57" s="152" t="s">
        <v>336</v>
      </c>
      <c r="AE57" s="149" t="s">
        <v>108</v>
      </c>
      <c r="AF57" s="149" t="s">
        <v>4</v>
      </c>
      <c r="AG57" s="208">
        <v>50009</v>
      </c>
      <c r="AH57" s="208">
        <v>60000</v>
      </c>
      <c r="AI57" s="149" t="s">
        <v>6</v>
      </c>
      <c r="AJ57" s="138" t="s">
        <v>301</v>
      </c>
      <c r="AK57" s="149">
        <v>144783700</v>
      </c>
      <c r="AL57" s="134" t="s">
        <v>110</v>
      </c>
      <c r="AM57" s="134" t="s">
        <v>110</v>
      </c>
      <c r="AN57" s="149" t="s">
        <v>111</v>
      </c>
      <c r="AO57" s="272"/>
      <c r="AP57" s="276" t="s">
        <v>337</v>
      </c>
      <c r="AQ57" s="198" t="s">
        <v>110</v>
      </c>
      <c r="AR57" s="198" t="s">
        <v>110</v>
      </c>
      <c r="AS57" s="198" t="s">
        <v>110</v>
      </c>
      <c r="AT57" s="198" t="s">
        <v>110</v>
      </c>
      <c r="AU57" s="144">
        <v>46142</v>
      </c>
      <c r="AV57" s="198" t="s">
        <v>110</v>
      </c>
      <c r="AW57" s="198" t="s">
        <v>110</v>
      </c>
      <c r="AX57" s="144">
        <v>46153</v>
      </c>
      <c r="AY57" s="140">
        <v>46153</v>
      </c>
      <c r="AZ57" s="145" t="s">
        <v>33</v>
      </c>
      <c r="BA57" s="145" t="s">
        <v>113</v>
      </c>
      <c r="BB57" s="149" t="s">
        <v>110</v>
      </c>
      <c r="BC57" s="142">
        <f t="shared" si="3"/>
        <v>110</v>
      </c>
      <c r="BD57" s="134" t="str">
        <f t="shared" si="4"/>
        <v>INDENIZAÇÃO</v>
      </c>
      <c r="BE57" s="134" t="str">
        <f t="shared" si="5"/>
        <v>NÃO</v>
      </c>
      <c r="BF57" s="149" t="s">
        <v>24</v>
      </c>
      <c r="BG57" s="149" t="s">
        <v>24</v>
      </c>
      <c r="BH57" s="149" t="s">
        <v>24</v>
      </c>
      <c r="BI57" s="145" t="s">
        <v>189</v>
      </c>
      <c r="BJ57" s="145"/>
      <c r="BK57" s="145"/>
      <c r="BL57" s="145"/>
      <c r="BM57" s="145"/>
      <c r="BN57" s="120"/>
      <c r="BO57" s="120"/>
      <c r="BP57" s="120"/>
      <c r="CI57" s="200"/>
    </row>
    <row r="58" spans="1:87" s="149" customFormat="1" ht="30" customHeight="1">
      <c r="A58" s="134">
        <v>44</v>
      </c>
      <c r="B58" s="134" t="s">
        <v>99</v>
      </c>
      <c r="C58" s="134">
        <v>2</v>
      </c>
      <c r="D58" s="134" t="s">
        <v>100</v>
      </c>
      <c r="E58" s="134" t="s">
        <v>100</v>
      </c>
      <c r="F58" s="152" t="s">
        <v>338</v>
      </c>
      <c r="G58" s="149" t="s">
        <v>102</v>
      </c>
      <c r="H58" s="149" t="s">
        <v>103</v>
      </c>
      <c r="I58" s="149" t="s">
        <v>104</v>
      </c>
      <c r="J58" s="152" t="s">
        <v>339</v>
      </c>
      <c r="K58" s="152" t="s">
        <v>340</v>
      </c>
      <c r="L58" s="152" t="s">
        <v>341</v>
      </c>
      <c r="M58" s="149" t="s">
        <v>4</v>
      </c>
      <c r="N58" s="149" t="s">
        <v>5</v>
      </c>
      <c r="O58" s="194">
        <v>46001</v>
      </c>
      <c r="P58" s="139" t="s">
        <v>24</v>
      </c>
      <c r="Q58" s="139" t="s">
        <v>24</v>
      </c>
      <c r="R58" s="139" t="s">
        <v>24</v>
      </c>
      <c r="S58" s="139" t="s">
        <v>24</v>
      </c>
      <c r="T58" s="139" t="s">
        <v>24</v>
      </c>
      <c r="U58" s="139" t="s">
        <v>24</v>
      </c>
      <c r="V58" s="139" t="s">
        <v>24</v>
      </c>
      <c r="W58" s="139" t="s">
        <v>24</v>
      </c>
      <c r="X58" s="139" t="s">
        <v>24</v>
      </c>
      <c r="Y58" s="139" t="s">
        <v>24</v>
      </c>
      <c r="Z58" s="139" t="s">
        <v>24</v>
      </c>
      <c r="AB58" s="152" t="s">
        <v>339</v>
      </c>
      <c r="AC58" s="152" t="s">
        <v>340</v>
      </c>
      <c r="AD58" s="152" t="s">
        <v>341</v>
      </c>
      <c r="AE58" s="149" t="s">
        <v>108</v>
      </c>
      <c r="AF58" s="149" t="s">
        <v>4</v>
      </c>
      <c r="AG58" s="208">
        <v>80844.149999999994</v>
      </c>
      <c r="AH58" s="208">
        <v>80844.149999999994</v>
      </c>
      <c r="AI58" s="149" t="s">
        <v>6</v>
      </c>
      <c r="AJ58" s="138" t="s">
        <v>301</v>
      </c>
      <c r="AK58" s="149">
        <v>142055029</v>
      </c>
      <c r="AL58" s="134" t="s">
        <v>110</v>
      </c>
      <c r="AM58" s="134" t="s">
        <v>110</v>
      </c>
      <c r="AN58" s="149" t="s">
        <v>111</v>
      </c>
      <c r="AO58" s="224"/>
      <c r="AP58" s="152" t="s">
        <v>342</v>
      </c>
      <c r="AQ58" s="149" t="s">
        <v>110</v>
      </c>
      <c r="AR58" s="149" t="s">
        <v>110</v>
      </c>
      <c r="AS58" s="149" t="s">
        <v>110</v>
      </c>
      <c r="AT58" s="149" t="s">
        <v>110</v>
      </c>
      <c r="AU58" s="144">
        <v>46090</v>
      </c>
      <c r="AV58" s="149" t="s">
        <v>110</v>
      </c>
      <c r="AW58" s="149" t="s">
        <v>110</v>
      </c>
      <c r="AX58" s="274">
        <v>46097</v>
      </c>
      <c r="AY58" s="197">
        <v>46097</v>
      </c>
      <c r="AZ58" s="145" t="s">
        <v>33</v>
      </c>
      <c r="BA58" s="145" t="s">
        <v>113</v>
      </c>
      <c r="BB58" s="198" t="s">
        <v>110</v>
      </c>
      <c r="BC58" s="142">
        <f t="shared" si="3"/>
        <v>96</v>
      </c>
      <c r="BD58" s="134" t="str">
        <f t="shared" si="4"/>
        <v>INDENIZAÇÃO</v>
      </c>
      <c r="BE58" s="134" t="str">
        <f t="shared" si="5"/>
        <v>NÃO</v>
      </c>
      <c r="BF58" s="198" t="s">
        <v>24</v>
      </c>
      <c r="BG58" s="198" t="s">
        <v>24</v>
      </c>
      <c r="BH58" s="198" t="s">
        <v>24</v>
      </c>
      <c r="BI58" s="145" t="s">
        <v>189</v>
      </c>
      <c r="BJ58" s="145"/>
      <c r="BK58" s="279"/>
      <c r="BL58" s="145"/>
      <c r="BM58" s="145"/>
      <c r="CI58" s="200"/>
    </row>
    <row r="59" spans="1:87" s="149" customFormat="1" ht="30" customHeight="1">
      <c r="A59" s="134">
        <v>156</v>
      </c>
      <c r="B59" s="134" t="s">
        <v>99</v>
      </c>
      <c r="C59" s="134">
        <v>1</v>
      </c>
      <c r="D59" s="134" t="s">
        <v>100</v>
      </c>
      <c r="E59" s="134" t="s">
        <v>100</v>
      </c>
      <c r="F59" s="138" t="s">
        <v>343</v>
      </c>
      <c r="G59" s="149" t="s">
        <v>344</v>
      </c>
      <c r="H59" s="149" t="s">
        <v>2</v>
      </c>
      <c r="I59" s="149" t="s">
        <v>287</v>
      </c>
      <c r="J59" s="152" t="s">
        <v>345</v>
      </c>
      <c r="K59" s="152" t="s">
        <v>346</v>
      </c>
      <c r="L59" s="152" t="s">
        <v>347</v>
      </c>
      <c r="M59" s="134" t="s">
        <v>4</v>
      </c>
      <c r="N59" s="134" t="s">
        <v>5</v>
      </c>
      <c r="O59" s="194">
        <v>46129</v>
      </c>
      <c r="P59" s="144" t="s">
        <v>24</v>
      </c>
      <c r="Q59" s="144" t="s">
        <v>24</v>
      </c>
      <c r="R59" s="144" t="s">
        <v>24</v>
      </c>
      <c r="S59" s="144" t="s">
        <v>24</v>
      </c>
      <c r="T59" s="144" t="s">
        <v>24</v>
      </c>
      <c r="U59" s="144" t="s">
        <v>24</v>
      </c>
      <c r="V59" s="144" t="s">
        <v>24</v>
      </c>
      <c r="W59" s="144" t="s">
        <v>24</v>
      </c>
      <c r="X59" s="144" t="s">
        <v>24</v>
      </c>
      <c r="Y59" s="144" t="s">
        <v>24</v>
      </c>
      <c r="Z59" s="144" t="s">
        <v>24</v>
      </c>
      <c r="AB59" s="152" t="s">
        <v>345</v>
      </c>
      <c r="AC59" s="152" t="s">
        <v>346</v>
      </c>
      <c r="AD59" s="152" t="s">
        <v>347</v>
      </c>
      <c r="AE59" s="134" t="s">
        <v>287</v>
      </c>
      <c r="AF59" s="149" t="s">
        <v>4</v>
      </c>
      <c r="AG59" s="208">
        <v>57508.6</v>
      </c>
      <c r="AH59" s="208">
        <v>60000</v>
      </c>
      <c r="AI59" s="134" t="s">
        <v>6</v>
      </c>
      <c r="AJ59" s="138" t="s">
        <v>109</v>
      </c>
      <c r="AK59" s="134">
        <v>130628222</v>
      </c>
      <c r="AL59" s="134" t="s">
        <v>110</v>
      </c>
      <c r="AM59" s="198" t="s">
        <v>110</v>
      </c>
      <c r="AN59" s="273" t="s">
        <v>111</v>
      </c>
      <c r="AP59" s="152" t="s">
        <v>348</v>
      </c>
      <c r="AQ59" s="198" t="s">
        <v>110</v>
      </c>
      <c r="AR59" s="198" t="s">
        <v>110</v>
      </c>
      <c r="AS59" s="198" t="s">
        <v>110</v>
      </c>
      <c r="AT59" s="198" t="s">
        <v>110</v>
      </c>
      <c r="AU59" s="194">
        <v>46226</v>
      </c>
      <c r="AV59" s="198" t="s">
        <v>110</v>
      </c>
      <c r="AW59" s="198" t="s">
        <v>110</v>
      </c>
      <c r="AX59" s="194">
        <v>46233</v>
      </c>
      <c r="AY59" s="145" t="s">
        <v>33</v>
      </c>
      <c r="AZ59" s="145"/>
      <c r="BA59" s="145" t="s">
        <v>1</v>
      </c>
      <c r="BC59" s="142" t="e">
        <f>IF(AY59-KD59=0,"",AY59-O59)</f>
        <v>#VALUE!</v>
      </c>
      <c r="BD59" s="134" t="str">
        <f>IF(AND(AI59&lt;&gt;"SIM",AI59="UH"),"AA","INDENIZAÇÃO")</f>
        <v>INDENIZAÇÃO</v>
      </c>
      <c r="BE59" s="134" t="str">
        <f>IF(AND(AY59&lt;&gt;"AGUARDANDO",AY59&lt;&gt;"",N59="AUXÍLIO ALUGUEL ATÉ INDENIZAÇÃO"),"SIM","NÃO")</f>
        <v>NÃO</v>
      </c>
      <c r="BF59" s="134"/>
      <c r="BG59" s="194"/>
      <c r="BH59" s="194"/>
      <c r="CI59" s="200"/>
    </row>
    <row r="60" spans="1:87" s="149" customFormat="1" ht="30" customHeight="1">
      <c r="A60" s="134">
        <v>46</v>
      </c>
      <c r="B60" s="134" t="s">
        <v>99</v>
      </c>
      <c r="C60" s="134">
        <v>2</v>
      </c>
      <c r="D60" s="134" t="s">
        <v>100</v>
      </c>
      <c r="E60" s="134" t="s">
        <v>100</v>
      </c>
      <c r="F60" s="138" t="s">
        <v>349</v>
      </c>
      <c r="G60" s="149" t="s">
        <v>102</v>
      </c>
      <c r="H60" s="149" t="s">
        <v>2</v>
      </c>
      <c r="I60" s="149" t="s">
        <v>12</v>
      </c>
      <c r="J60" s="152" t="s">
        <v>350</v>
      </c>
      <c r="K60" s="152" t="s">
        <v>351</v>
      </c>
      <c r="L60" s="152" t="s">
        <v>352</v>
      </c>
      <c r="M60" s="134" t="s">
        <v>4</v>
      </c>
      <c r="N60" s="134" t="s">
        <v>5</v>
      </c>
      <c r="O60" s="194">
        <v>46140</v>
      </c>
      <c r="P60" s="144" t="s">
        <v>24</v>
      </c>
      <c r="Q60" s="144" t="s">
        <v>24</v>
      </c>
      <c r="R60" s="144" t="s">
        <v>24</v>
      </c>
      <c r="S60" s="144" t="s">
        <v>24</v>
      </c>
      <c r="T60" s="144" t="s">
        <v>24</v>
      </c>
      <c r="U60" s="144" t="s">
        <v>24</v>
      </c>
      <c r="V60" s="144" t="s">
        <v>24</v>
      </c>
      <c r="W60" s="144" t="s">
        <v>24</v>
      </c>
      <c r="X60" s="144" t="s">
        <v>24</v>
      </c>
      <c r="Y60" s="144" t="s">
        <v>24</v>
      </c>
      <c r="Z60" s="144" t="s">
        <v>24</v>
      </c>
      <c r="AB60" s="152" t="s">
        <v>350</v>
      </c>
      <c r="AC60" s="152" t="s">
        <v>351</v>
      </c>
      <c r="AD60" s="152" t="s">
        <v>352</v>
      </c>
      <c r="AE60" s="149" t="s">
        <v>108</v>
      </c>
      <c r="AF60" s="149" t="s">
        <v>4</v>
      </c>
      <c r="AG60" s="208">
        <v>71849.91</v>
      </c>
      <c r="AH60" s="208">
        <v>71849.91</v>
      </c>
      <c r="AI60" s="214" t="s">
        <v>6</v>
      </c>
      <c r="AJ60" s="138" t="s">
        <v>109</v>
      </c>
      <c r="AK60" s="308" t="s">
        <v>353</v>
      </c>
      <c r="AL60" s="134" t="s">
        <v>110</v>
      </c>
      <c r="AM60" s="149" t="s">
        <v>110</v>
      </c>
      <c r="AN60" s="273" t="s">
        <v>111</v>
      </c>
      <c r="AP60" s="152" t="s">
        <v>354</v>
      </c>
      <c r="AQ60" s="149" t="s">
        <v>110</v>
      </c>
      <c r="AR60" s="149" t="s">
        <v>110</v>
      </c>
      <c r="AS60" s="149" t="s">
        <v>110</v>
      </c>
      <c r="AT60" s="149" t="s">
        <v>110</v>
      </c>
      <c r="AU60" s="194">
        <v>46182</v>
      </c>
      <c r="AV60" s="149" t="s">
        <v>110</v>
      </c>
      <c r="AW60" s="149" t="s">
        <v>110</v>
      </c>
      <c r="AX60" s="194">
        <v>46189</v>
      </c>
      <c r="AY60" s="197">
        <v>46189</v>
      </c>
      <c r="AZ60" s="145" t="s">
        <v>33</v>
      </c>
      <c r="BA60" s="145" t="s">
        <v>113</v>
      </c>
      <c r="BB60" s="149" t="s">
        <v>110</v>
      </c>
      <c r="BC60" s="142">
        <f>IF(AY60-KD60=0,"",AY60-O60)</f>
        <v>49</v>
      </c>
      <c r="BD60" s="134" t="str">
        <f>IF(AND(AI60&lt;&gt;"SIM",AI60="UH"),"AA","INDENIZAÇÃO")</f>
        <v>INDENIZAÇÃO</v>
      </c>
      <c r="BE60" s="134" t="str">
        <f>IF(AND(AY60&lt;&gt;"AGUARDANDO",AY60&lt;&gt;"",N60="AUXÍLIO ALUGUEL ATÉ INDENIZAÇÃO"),"SIM","NÃO")</f>
        <v>NÃO</v>
      </c>
      <c r="BF60" s="149" t="s">
        <v>24</v>
      </c>
      <c r="BG60" s="149" t="s">
        <v>24</v>
      </c>
      <c r="BH60" s="149" t="s">
        <v>24</v>
      </c>
      <c r="BI60" s="145" t="s">
        <v>189</v>
      </c>
      <c r="BJ60" s="145"/>
      <c r="BK60" s="145"/>
      <c r="BL60" s="145"/>
      <c r="BM60" s="145"/>
      <c r="BN60" s="276"/>
      <c r="BO60" s="276"/>
      <c r="CI60" s="200"/>
    </row>
    <row r="61" spans="1:87" s="149" customFormat="1" ht="30" customHeight="1">
      <c r="A61" s="134">
        <v>47</v>
      </c>
      <c r="B61" s="245" t="s">
        <v>99</v>
      </c>
      <c r="C61" s="245">
        <v>1</v>
      </c>
      <c r="D61" s="245" t="s">
        <v>100</v>
      </c>
      <c r="E61" s="245" t="s">
        <v>100</v>
      </c>
      <c r="F61" s="246" t="s">
        <v>355</v>
      </c>
      <c r="G61" s="149" t="s">
        <v>102</v>
      </c>
      <c r="H61" s="149" t="s">
        <v>103</v>
      </c>
      <c r="I61" s="149" t="s">
        <v>108</v>
      </c>
      <c r="J61" s="152" t="s">
        <v>356</v>
      </c>
      <c r="K61" s="152" t="s">
        <v>357</v>
      </c>
      <c r="L61" s="152" t="s">
        <v>358</v>
      </c>
      <c r="M61" s="245" t="s">
        <v>4</v>
      </c>
      <c r="N61" s="245" t="s">
        <v>5</v>
      </c>
      <c r="O61" s="248">
        <v>45628</v>
      </c>
      <c r="P61" s="249" t="s">
        <v>24</v>
      </c>
      <c r="Q61" s="249" t="s">
        <v>24</v>
      </c>
      <c r="R61" s="249" t="s">
        <v>24</v>
      </c>
      <c r="S61" s="249" t="s">
        <v>24</v>
      </c>
      <c r="T61" s="249" t="s">
        <v>24</v>
      </c>
      <c r="U61" s="249" t="s">
        <v>24</v>
      </c>
      <c r="V61" s="249" t="s">
        <v>24</v>
      </c>
      <c r="W61" s="249" t="s">
        <v>24</v>
      </c>
      <c r="X61" s="249" t="s">
        <v>24</v>
      </c>
      <c r="Y61" s="249" t="s">
        <v>24</v>
      </c>
      <c r="Z61" s="249" t="s">
        <v>24</v>
      </c>
      <c r="AA61" s="245"/>
      <c r="AB61" s="152" t="s">
        <v>356</v>
      </c>
      <c r="AC61" s="152" t="s">
        <v>357</v>
      </c>
      <c r="AD61" s="152" t="s">
        <v>358</v>
      </c>
      <c r="AE61" s="149" t="s">
        <v>108</v>
      </c>
      <c r="AF61" s="250" t="s">
        <v>4</v>
      </c>
      <c r="AG61" s="208">
        <v>44270.74</v>
      </c>
      <c r="AH61" s="208">
        <v>60000</v>
      </c>
      <c r="AI61" s="245" t="s">
        <v>6</v>
      </c>
      <c r="AJ61" s="246" t="s">
        <v>109</v>
      </c>
      <c r="AK61" s="250"/>
      <c r="AL61" s="245" t="s">
        <v>110</v>
      </c>
      <c r="AM61" s="245" t="s">
        <v>110</v>
      </c>
      <c r="AN61" s="245" t="s">
        <v>111</v>
      </c>
      <c r="AO61" s="245"/>
      <c r="AP61" s="253" t="s">
        <v>359</v>
      </c>
      <c r="AQ61" s="250" t="s">
        <v>110</v>
      </c>
      <c r="AR61" s="250" t="s">
        <v>110</v>
      </c>
      <c r="AS61" s="250" t="s">
        <v>110</v>
      </c>
      <c r="AT61" s="250" t="s">
        <v>110</v>
      </c>
      <c r="AU61" s="248">
        <v>45755</v>
      </c>
      <c r="AV61" s="250" t="s">
        <v>110</v>
      </c>
      <c r="AW61" s="250" t="s">
        <v>110</v>
      </c>
      <c r="AX61" s="248">
        <v>45763</v>
      </c>
      <c r="AY61" s="254">
        <v>45763</v>
      </c>
      <c r="AZ61" s="245" t="s">
        <v>360</v>
      </c>
      <c r="BA61" s="245" t="s">
        <v>1</v>
      </c>
      <c r="BB61" s="250" t="s">
        <v>110</v>
      </c>
      <c r="BC61" s="142">
        <f>IF(AY61-KD61=0,"",AY61-O61)</f>
        <v>135</v>
      </c>
      <c r="BD61" s="134" t="str">
        <f>IF(AND(AI61&lt;&gt;"SIM",AI61="UH"),"AA","INDENIZAÇÃO")</f>
        <v>INDENIZAÇÃO</v>
      </c>
      <c r="BE61" s="134" t="str">
        <f>IF(AND(AY61&lt;&gt;"AGUARDANDO",AY61&lt;&gt;"",N61="AUXÍLIO ALUGUEL ATÉ INDENIZAÇÃO"),"SIM","NÃO")</f>
        <v>NÃO</v>
      </c>
      <c r="BF61" s="250" t="s">
        <v>24</v>
      </c>
      <c r="BG61" s="250" t="s">
        <v>24</v>
      </c>
      <c r="BH61" s="250" t="s">
        <v>24</v>
      </c>
      <c r="BI61" s="250" t="s">
        <v>110</v>
      </c>
      <c r="BJ61" s="250" t="s">
        <v>110</v>
      </c>
      <c r="BK61" s="248">
        <v>45783</v>
      </c>
      <c r="BL61" s="250" t="s">
        <v>110</v>
      </c>
      <c r="BM61" s="250" t="s">
        <v>33</v>
      </c>
      <c r="CI61" s="200"/>
    </row>
    <row r="62" spans="1:87" s="149" customFormat="1" ht="30" customHeight="1">
      <c r="A62" s="134">
        <v>48</v>
      </c>
      <c r="B62" s="245" t="s">
        <v>99</v>
      </c>
      <c r="C62" s="245">
        <v>1</v>
      </c>
      <c r="D62" s="245" t="s">
        <v>100</v>
      </c>
      <c r="E62" s="245" t="s">
        <v>100</v>
      </c>
      <c r="F62" s="246" t="s">
        <v>361</v>
      </c>
      <c r="G62" s="149" t="s">
        <v>102</v>
      </c>
      <c r="H62" s="149" t="s">
        <v>103</v>
      </c>
      <c r="I62" s="149" t="s">
        <v>108</v>
      </c>
      <c r="J62" s="152" t="s">
        <v>362</v>
      </c>
      <c r="K62" s="152" t="s">
        <v>363</v>
      </c>
      <c r="L62" s="152" t="s">
        <v>364</v>
      </c>
      <c r="M62" s="245" t="s">
        <v>4</v>
      </c>
      <c r="N62" s="245" t="s">
        <v>5</v>
      </c>
      <c r="O62" s="248">
        <v>45594</v>
      </c>
      <c r="P62" s="249" t="s">
        <v>24</v>
      </c>
      <c r="Q62" s="249" t="s">
        <v>24</v>
      </c>
      <c r="R62" s="249" t="s">
        <v>24</v>
      </c>
      <c r="S62" s="249" t="s">
        <v>24</v>
      </c>
      <c r="T62" s="249" t="s">
        <v>24</v>
      </c>
      <c r="U62" s="249" t="s">
        <v>24</v>
      </c>
      <c r="V62" s="249" t="s">
        <v>24</v>
      </c>
      <c r="W62" s="249" t="s">
        <v>24</v>
      </c>
      <c r="X62" s="249" t="s">
        <v>24</v>
      </c>
      <c r="Y62" s="249" t="s">
        <v>24</v>
      </c>
      <c r="Z62" s="249" t="s">
        <v>24</v>
      </c>
      <c r="AA62" s="245"/>
      <c r="AB62" s="152" t="s">
        <v>362</v>
      </c>
      <c r="AC62" s="152" t="s">
        <v>363</v>
      </c>
      <c r="AD62" s="152" t="s">
        <v>364</v>
      </c>
      <c r="AE62" s="149" t="s">
        <v>108</v>
      </c>
      <c r="AF62" s="250" t="s">
        <v>4</v>
      </c>
      <c r="AG62" s="208">
        <v>17439.060000000001</v>
      </c>
      <c r="AH62" s="208">
        <v>47439.06</v>
      </c>
      <c r="AI62" s="245" t="s">
        <v>6</v>
      </c>
      <c r="AJ62" s="246" t="s">
        <v>109</v>
      </c>
      <c r="AK62" s="250"/>
      <c r="AL62" s="250" t="s">
        <v>110</v>
      </c>
      <c r="AM62" s="245" t="s">
        <v>110</v>
      </c>
      <c r="AN62" s="245" t="s">
        <v>111</v>
      </c>
      <c r="AO62" s="255"/>
      <c r="AP62" s="253" t="s">
        <v>365</v>
      </c>
      <c r="AQ62" s="250" t="s">
        <v>110</v>
      </c>
      <c r="AR62" s="250" t="s">
        <v>110</v>
      </c>
      <c r="AS62" s="250" t="s">
        <v>110</v>
      </c>
      <c r="AT62" s="250" t="s">
        <v>110</v>
      </c>
      <c r="AU62" s="248">
        <v>45755</v>
      </c>
      <c r="AV62" s="250" t="s">
        <v>110</v>
      </c>
      <c r="AW62" s="250" t="s">
        <v>110</v>
      </c>
      <c r="AX62" s="254">
        <v>45762</v>
      </c>
      <c r="AY62" s="254">
        <v>45762</v>
      </c>
      <c r="AZ62" s="245" t="s">
        <v>360</v>
      </c>
      <c r="BA62" s="245" t="s">
        <v>1</v>
      </c>
      <c r="BB62" s="250" t="s">
        <v>110</v>
      </c>
      <c r="BC62" s="142">
        <f>IF(AY62-KD62=0,"",AY62-O62)</f>
        <v>168</v>
      </c>
      <c r="BD62" s="134" t="str">
        <f>IF(AND(AI62&lt;&gt;"SIM",AI62="UH"),"AA","INDENIZAÇÃO")</f>
        <v>INDENIZAÇÃO</v>
      </c>
      <c r="BE62" s="134" t="str">
        <f>IF(AND(AY62&lt;&gt;"AGUARDANDO",AY62&lt;&gt;"",N62="AUXÍLIO ALUGUEL ATÉ INDENIZAÇÃO"),"SIM","NÃO")</f>
        <v>NÃO</v>
      </c>
      <c r="BF62" s="250" t="s">
        <v>24</v>
      </c>
      <c r="BG62" s="250" t="s">
        <v>24</v>
      </c>
      <c r="BH62" s="250" t="s">
        <v>24</v>
      </c>
      <c r="BI62" s="250" t="s">
        <v>110</v>
      </c>
      <c r="BJ62" s="250" t="s">
        <v>110</v>
      </c>
      <c r="BK62" s="248">
        <v>45783</v>
      </c>
      <c r="BL62" s="250" t="s">
        <v>110</v>
      </c>
      <c r="BM62" s="250" t="s">
        <v>33</v>
      </c>
      <c r="CI62" s="200"/>
    </row>
    <row r="63" spans="1:87" s="149" customFormat="1" ht="30" customHeight="1">
      <c r="A63" s="134">
        <v>49</v>
      </c>
      <c r="B63" s="134" t="s">
        <v>99</v>
      </c>
      <c r="C63" s="134">
        <v>1</v>
      </c>
      <c r="D63" s="134" t="s">
        <v>100</v>
      </c>
      <c r="E63" s="134" t="s">
        <v>100</v>
      </c>
      <c r="F63" s="138" t="s">
        <v>366</v>
      </c>
      <c r="G63" s="149" t="s">
        <v>344</v>
      </c>
      <c r="H63" s="149" t="s">
        <v>103</v>
      </c>
      <c r="I63" s="149" t="s">
        <v>287</v>
      </c>
      <c r="J63" s="152" t="s">
        <v>367</v>
      </c>
      <c r="K63" s="152" t="s">
        <v>368</v>
      </c>
      <c r="L63" s="152" t="s">
        <v>369</v>
      </c>
      <c r="M63" s="134" t="s">
        <v>4</v>
      </c>
      <c r="N63" s="214" t="s">
        <v>370</v>
      </c>
      <c r="O63" s="161"/>
      <c r="P63" s="139"/>
      <c r="Q63" s="262"/>
      <c r="R63" s="177"/>
      <c r="S63" s="176"/>
      <c r="T63" s="176"/>
      <c r="U63" s="176"/>
      <c r="V63" s="176"/>
      <c r="W63" s="176"/>
      <c r="X63" s="176"/>
      <c r="Y63" s="139"/>
      <c r="Z63" s="148"/>
      <c r="AA63" s="134"/>
      <c r="AB63" s="152" t="s">
        <v>367</v>
      </c>
      <c r="AC63" s="152" t="s">
        <v>368</v>
      </c>
      <c r="AD63" s="152" t="s">
        <v>369</v>
      </c>
      <c r="AE63" s="134" t="s">
        <v>287</v>
      </c>
      <c r="AF63" s="134"/>
      <c r="AG63" s="208" t="s">
        <v>371</v>
      </c>
      <c r="AH63" s="208" t="s">
        <v>371</v>
      </c>
      <c r="AI63" s="134" t="s">
        <v>371</v>
      </c>
      <c r="AJ63" s="134" t="s">
        <v>371</v>
      </c>
      <c r="AK63" s="134"/>
      <c r="AL63" s="134"/>
      <c r="AM63" s="134"/>
      <c r="AN63" s="134"/>
      <c r="AO63" s="134"/>
      <c r="AP63" s="138"/>
      <c r="AQ63" s="134"/>
      <c r="AR63" s="134"/>
      <c r="AS63" s="134"/>
      <c r="AT63" s="134"/>
      <c r="AU63" s="177"/>
      <c r="AV63" s="134"/>
      <c r="AW63" s="134"/>
      <c r="AX63" s="139"/>
      <c r="AY63" s="140"/>
      <c r="AZ63" s="140"/>
      <c r="BA63" s="141"/>
      <c r="BC63" s="142" t="str">
        <f>IF(AY63-KD63=0,"",AY63-O63)</f>
        <v/>
      </c>
      <c r="BD63" s="134" t="str">
        <f>IF(AND(AI63&lt;&gt;"SIM",AI63="UH"),"AA","INDENIZAÇÃO")</f>
        <v>INDENIZAÇÃO</v>
      </c>
      <c r="BE63" s="134" t="str">
        <f>IF(AND(AY63&lt;&gt;"AGUARDANDO",AY63&lt;&gt;"",N63="AUXÍLIO ALUGUEL ATÉ INDENIZAÇÃO"),"SIM","NÃO")</f>
        <v>NÃO</v>
      </c>
      <c r="BF63" s="134"/>
      <c r="BG63" s="134"/>
      <c r="BH63" s="134"/>
      <c r="BI63" s="134"/>
      <c r="BJ63" s="141"/>
      <c r="BK63" s="141"/>
      <c r="BL63" s="141"/>
      <c r="BM63" s="141"/>
      <c r="CI63" s="200"/>
    </row>
    <row r="64" spans="1:87" s="149" customFormat="1" ht="30" customHeight="1">
      <c r="A64" s="134">
        <v>50</v>
      </c>
      <c r="B64" s="134" t="s">
        <v>99</v>
      </c>
      <c r="C64" s="134">
        <v>1</v>
      </c>
      <c r="D64" s="134" t="s">
        <v>100</v>
      </c>
      <c r="E64" s="134" t="s">
        <v>100</v>
      </c>
      <c r="F64" s="138" t="s">
        <v>372</v>
      </c>
      <c r="G64" s="149" t="s">
        <v>102</v>
      </c>
      <c r="H64" s="149" t="s">
        <v>373</v>
      </c>
      <c r="I64" s="149" t="s">
        <v>287</v>
      </c>
      <c r="J64" s="152" t="s">
        <v>367</v>
      </c>
      <c r="K64" s="152" t="s">
        <v>368</v>
      </c>
      <c r="L64" s="152" t="s">
        <v>369</v>
      </c>
      <c r="M64" s="134" t="s">
        <v>4</v>
      </c>
      <c r="N64" s="134" t="s">
        <v>371</v>
      </c>
      <c r="O64" s="161"/>
      <c r="P64" s="139"/>
      <c r="Q64" s="262"/>
      <c r="R64" s="139"/>
      <c r="S64" s="139"/>
      <c r="T64" s="139"/>
      <c r="U64" s="139"/>
      <c r="V64" s="139"/>
      <c r="W64" s="139"/>
      <c r="X64" s="139"/>
      <c r="Y64" s="139"/>
      <c r="Z64" s="139"/>
      <c r="AA64" s="134"/>
      <c r="AB64" s="152" t="s">
        <v>367</v>
      </c>
      <c r="AC64" s="152" t="s">
        <v>368</v>
      </c>
      <c r="AD64" s="152" t="s">
        <v>369</v>
      </c>
      <c r="AE64" s="134" t="s">
        <v>287</v>
      </c>
      <c r="AF64" s="134"/>
      <c r="AG64" s="208" t="s">
        <v>371</v>
      </c>
      <c r="AH64" s="208" t="s">
        <v>371</v>
      </c>
      <c r="AI64" s="134" t="s">
        <v>371</v>
      </c>
      <c r="AJ64" s="134" t="s">
        <v>371</v>
      </c>
      <c r="AK64" s="134"/>
      <c r="AL64" s="134"/>
      <c r="AM64" s="134"/>
      <c r="AN64" s="134"/>
      <c r="AO64" s="134"/>
      <c r="AP64" s="138"/>
      <c r="AQ64" s="134"/>
      <c r="AR64" s="134"/>
      <c r="AS64" s="134"/>
      <c r="AT64" s="134"/>
      <c r="AU64" s="139"/>
      <c r="AV64" s="134"/>
      <c r="AW64" s="134"/>
      <c r="AX64" s="139"/>
      <c r="AY64" s="139"/>
      <c r="AZ64" s="139"/>
      <c r="BA64" s="134"/>
      <c r="BC64" s="142" t="str">
        <f>IF(AY64-KD64=0,"",AY64-O64)</f>
        <v/>
      </c>
      <c r="BD64" s="134" t="str">
        <f>IF(AND(AI64&lt;&gt;"SIM",AI64="UH"),"AA","INDENIZAÇÃO")</f>
        <v>INDENIZAÇÃO</v>
      </c>
      <c r="BE64" s="134" t="str">
        <f>IF(AND(AY64&lt;&gt;"AGUARDANDO",AY64&lt;&gt;"",N64="AUXÍLIO ALUGUEL ATÉ INDENIZAÇÃO"),"SIM","NÃO")</f>
        <v>NÃO</v>
      </c>
      <c r="BF64" s="134"/>
      <c r="BG64" s="134"/>
      <c r="BH64" s="134"/>
      <c r="BI64" s="134"/>
      <c r="BJ64" s="134"/>
      <c r="BK64" s="139"/>
      <c r="BL64" s="134"/>
      <c r="BM64" s="141"/>
      <c r="CI64" s="200"/>
    </row>
    <row r="65" spans="1:87" s="149" customFormat="1" ht="30" customHeight="1">
      <c r="A65" s="134">
        <v>51</v>
      </c>
      <c r="B65" s="134" t="s">
        <v>99</v>
      </c>
      <c r="C65" s="134">
        <v>1</v>
      </c>
      <c r="D65" s="134" t="s">
        <v>100</v>
      </c>
      <c r="E65" s="134" t="s">
        <v>100</v>
      </c>
      <c r="F65" s="138" t="s">
        <v>374</v>
      </c>
      <c r="G65" s="149" t="s">
        <v>102</v>
      </c>
      <c r="H65" s="149" t="s">
        <v>103</v>
      </c>
      <c r="I65" s="149" t="s">
        <v>108</v>
      </c>
      <c r="J65" s="152" t="s">
        <v>375</v>
      </c>
      <c r="K65" s="152" t="s">
        <v>376</v>
      </c>
      <c r="L65" s="152" t="s">
        <v>377</v>
      </c>
      <c r="M65" s="134" t="s">
        <v>4</v>
      </c>
      <c r="N65" s="134" t="s">
        <v>5</v>
      </c>
      <c r="O65" s="161">
        <v>45756</v>
      </c>
      <c r="P65" s="139" t="s">
        <v>24</v>
      </c>
      <c r="Q65" s="139" t="s">
        <v>24</v>
      </c>
      <c r="R65" s="139" t="s">
        <v>24</v>
      </c>
      <c r="S65" s="139" t="s">
        <v>24</v>
      </c>
      <c r="T65" s="139" t="s">
        <v>24</v>
      </c>
      <c r="U65" s="139" t="s">
        <v>24</v>
      </c>
      <c r="V65" s="139" t="s">
        <v>24</v>
      </c>
      <c r="W65" s="139" t="s">
        <v>24</v>
      </c>
      <c r="X65" s="139" t="s">
        <v>24</v>
      </c>
      <c r="Y65" s="139" t="s">
        <v>24</v>
      </c>
      <c r="Z65" s="139" t="s">
        <v>24</v>
      </c>
      <c r="AA65" s="134"/>
      <c r="AB65" s="152" t="s">
        <v>375</v>
      </c>
      <c r="AC65" s="152" t="s">
        <v>376</v>
      </c>
      <c r="AD65" s="152" t="s">
        <v>377</v>
      </c>
      <c r="AE65" s="149" t="s">
        <v>108</v>
      </c>
      <c r="AF65" s="134" t="s">
        <v>4</v>
      </c>
      <c r="AG65" s="208">
        <v>111675.61</v>
      </c>
      <c r="AH65" s="208">
        <v>111675.61</v>
      </c>
      <c r="AI65" s="134" t="s">
        <v>6</v>
      </c>
      <c r="AJ65" s="138" t="s">
        <v>109</v>
      </c>
      <c r="AK65" s="134">
        <v>98357275</v>
      </c>
      <c r="AL65" s="134" t="s">
        <v>110</v>
      </c>
      <c r="AM65" s="134" t="s">
        <v>110</v>
      </c>
      <c r="AN65" s="134" t="s">
        <v>111</v>
      </c>
      <c r="AO65" s="134" t="s">
        <v>378</v>
      </c>
      <c r="AP65" s="152" t="s">
        <v>379</v>
      </c>
      <c r="AQ65" s="198" t="s">
        <v>110</v>
      </c>
      <c r="AR65" s="198" t="s">
        <v>110</v>
      </c>
      <c r="AS65" s="198" t="s">
        <v>110</v>
      </c>
      <c r="AT65" s="198" t="s">
        <v>110</v>
      </c>
      <c r="AU65" s="161">
        <v>45831</v>
      </c>
      <c r="AV65" s="198" t="s">
        <v>110</v>
      </c>
      <c r="AW65" s="198" t="s">
        <v>110</v>
      </c>
      <c r="AX65" s="161">
        <v>45834</v>
      </c>
      <c r="AY65" s="140">
        <v>45834</v>
      </c>
      <c r="AZ65" s="145" t="s">
        <v>33</v>
      </c>
      <c r="BA65" s="145" t="s">
        <v>113</v>
      </c>
      <c r="BB65" s="149" t="s">
        <v>110</v>
      </c>
      <c r="BC65" s="142">
        <f>IF(AY65-KD65=0,"",AY65-O65)</f>
        <v>78</v>
      </c>
      <c r="BD65" s="134" t="str">
        <f>IF(AND(AI65&lt;&gt;"SIM",AI65="UH"),"AA","INDENIZAÇÃO")</f>
        <v>INDENIZAÇÃO</v>
      </c>
      <c r="BE65" s="134" t="str">
        <f>IF(AND(AY65&lt;&gt;"AGUARDANDO",AY65&lt;&gt;"",N65="AUXÍLIO ALUGUEL ATÉ INDENIZAÇÃO"),"SIM","NÃO")</f>
        <v>NÃO</v>
      </c>
      <c r="BF65" s="134" t="s">
        <v>24</v>
      </c>
      <c r="BG65" s="134" t="s">
        <v>24</v>
      </c>
      <c r="BH65" s="134" t="s">
        <v>24</v>
      </c>
      <c r="BI65" s="198" t="s">
        <v>110</v>
      </c>
      <c r="BJ65" s="198" t="s">
        <v>110</v>
      </c>
      <c r="BK65" s="194">
        <v>45859</v>
      </c>
      <c r="BL65" s="149" t="s">
        <v>110</v>
      </c>
      <c r="BM65" s="141" t="s">
        <v>33</v>
      </c>
      <c r="CI65" s="200"/>
    </row>
    <row r="66" spans="1:87" s="149" customFormat="1" ht="30" customHeight="1">
      <c r="A66" s="134">
        <v>52</v>
      </c>
      <c r="B66" s="134" t="s">
        <v>99</v>
      </c>
      <c r="C66" s="134">
        <v>1</v>
      </c>
      <c r="D66" s="134" t="s">
        <v>100</v>
      </c>
      <c r="E66" s="134" t="s">
        <v>100</v>
      </c>
      <c r="F66" s="138" t="s">
        <v>380</v>
      </c>
      <c r="G66" s="149" t="s">
        <v>10</v>
      </c>
      <c r="H66" s="149" t="s">
        <v>103</v>
      </c>
      <c r="I66" s="149" t="s">
        <v>287</v>
      </c>
      <c r="J66" s="152" t="s">
        <v>381</v>
      </c>
      <c r="K66" s="152" t="s">
        <v>382</v>
      </c>
      <c r="L66" s="152" t="s">
        <v>383</v>
      </c>
      <c r="M66" s="134" t="s">
        <v>4</v>
      </c>
      <c r="N66" s="134" t="s">
        <v>5</v>
      </c>
      <c r="O66" s="161">
        <v>45845</v>
      </c>
      <c r="P66" s="139" t="s">
        <v>24</v>
      </c>
      <c r="Q66" s="139" t="s">
        <v>24</v>
      </c>
      <c r="R66" s="139" t="s">
        <v>24</v>
      </c>
      <c r="S66" s="139" t="s">
        <v>24</v>
      </c>
      <c r="T66" s="139" t="s">
        <v>24</v>
      </c>
      <c r="U66" s="139" t="s">
        <v>24</v>
      </c>
      <c r="V66" s="139" t="s">
        <v>24</v>
      </c>
      <c r="W66" s="139" t="s">
        <v>24</v>
      </c>
      <c r="X66" s="139" t="s">
        <v>24</v>
      </c>
      <c r="Y66" s="139" t="s">
        <v>24</v>
      </c>
      <c r="Z66" s="139" t="s">
        <v>24</v>
      </c>
      <c r="AA66" s="134" t="s">
        <v>384</v>
      </c>
      <c r="AB66" s="152" t="s">
        <v>381</v>
      </c>
      <c r="AC66" s="152" t="s">
        <v>382</v>
      </c>
      <c r="AD66" s="152" t="s">
        <v>383</v>
      </c>
      <c r="AE66" s="134" t="s">
        <v>287</v>
      </c>
      <c r="AF66" s="134" t="s">
        <v>4</v>
      </c>
      <c r="AG66" s="208">
        <v>42733.06</v>
      </c>
      <c r="AH66" s="208">
        <v>60000</v>
      </c>
      <c r="AI66" s="230" t="s">
        <v>6</v>
      </c>
      <c r="AJ66" s="138" t="s">
        <v>109</v>
      </c>
      <c r="AK66" s="211">
        <v>125886650</v>
      </c>
      <c r="AL66" s="149" t="s">
        <v>110</v>
      </c>
      <c r="AM66" s="149" t="s">
        <v>110</v>
      </c>
      <c r="AN66" s="149" t="s">
        <v>111</v>
      </c>
      <c r="AO66" s="134" t="s">
        <v>384</v>
      </c>
      <c r="AP66" s="138" t="s">
        <v>385</v>
      </c>
      <c r="AQ66" s="198" t="s">
        <v>110</v>
      </c>
      <c r="AR66" s="198" t="s">
        <v>110</v>
      </c>
      <c r="AS66" s="198" t="s">
        <v>110</v>
      </c>
      <c r="AT66" s="198" t="s">
        <v>110</v>
      </c>
      <c r="AU66" s="161">
        <v>45890</v>
      </c>
      <c r="AV66" s="198" t="s">
        <v>110</v>
      </c>
      <c r="AW66" s="198" t="s">
        <v>110</v>
      </c>
      <c r="AX66" s="161">
        <v>45902</v>
      </c>
      <c r="AY66" s="140">
        <v>45902</v>
      </c>
      <c r="AZ66" s="140" t="s">
        <v>33</v>
      </c>
      <c r="BA66" s="141" t="s">
        <v>113</v>
      </c>
      <c r="BB66" s="149" t="s">
        <v>110</v>
      </c>
      <c r="BC66" s="142">
        <f>IF(AY66-KD66=0,"",AY66-O66)</f>
        <v>57</v>
      </c>
      <c r="BD66" s="134" t="str">
        <f>IF(AND(AI66&lt;&gt;"SIM",AI66="UH"),"AA","INDENIZAÇÃO")</f>
        <v>INDENIZAÇÃO</v>
      </c>
      <c r="BE66" s="134" t="str">
        <f>IF(AND(AY66&lt;&gt;"AGUARDANDO",AY66&lt;&gt;"",N66="AUXÍLIO ALUGUEL ATÉ INDENIZAÇÃO"),"SIM","NÃO")</f>
        <v>NÃO</v>
      </c>
      <c r="BF66" s="149" t="s">
        <v>24</v>
      </c>
      <c r="BG66" s="149" t="s">
        <v>24</v>
      </c>
      <c r="BH66" s="149" t="s">
        <v>24</v>
      </c>
      <c r="BI66" s="198" t="s">
        <v>110</v>
      </c>
      <c r="BJ66" s="198" t="s">
        <v>110</v>
      </c>
      <c r="BK66" s="161">
        <v>45923</v>
      </c>
      <c r="BL66" s="198" t="s">
        <v>110</v>
      </c>
      <c r="BM66" s="145" t="s">
        <v>33</v>
      </c>
      <c r="CI66" s="200"/>
    </row>
    <row r="67" spans="1:87" s="149" customFormat="1" ht="30" customHeight="1">
      <c r="A67" s="134">
        <v>53</v>
      </c>
      <c r="B67" s="134" t="s">
        <v>99</v>
      </c>
      <c r="C67" s="134">
        <v>1</v>
      </c>
      <c r="D67" s="134" t="s">
        <v>100</v>
      </c>
      <c r="E67" s="134" t="s">
        <v>100</v>
      </c>
      <c r="F67" s="138" t="s">
        <v>386</v>
      </c>
      <c r="G67" s="149" t="s">
        <v>102</v>
      </c>
      <c r="H67" s="149" t="s">
        <v>103</v>
      </c>
      <c r="I67" s="149" t="s">
        <v>387</v>
      </c>
      <c r="J67" s="152" t="s">
        <v>388</v>
      </c>
      <c r="K67" s="152" t="s">
        <v>389</v>
      </c>
      <c r="L67" s="152" t="s">
        <v>390</v>
      </c>
      <c r="M67" s="134" t="s">
        <v>4</v>
      </c>
      <c r="N67" s="134" t="s">
        <v>14</v>
      </c>
      <c r="O67" s="161">
        <v>46001</v>
      </c>
      <c r="P67" s="197" t="s">
        <v>17</v>
      </c>
      <c r="Q67" s="264" t="s">
        <v>283</v>
      </c>
      <c r="R67" s="197"/>
      <c r="S67" s="197"/>
      <c r="T67" s="197"/>
      <c r="U67" s="197"/>
      <c r="V67" s="197"/>
      <c r="W67" s="197"/>
      <c r="X67" s="197"/>
      <c r="Y67" s="197"/>
      <c r="Z67" s="197"/>
      <c r="AA67" s="134"/>
      <c r="AB67" s="152" t="s">
        <v>391</v>
      </c>
      <c r="AC67" s="152" t="s">
        <v>392</v>
      </c>
      <c r="AD67" s="152" t="s">
        <v>393</v>
      </c>
      <c r="AE67" s="134" t="s">
        <v>287</v>
      </c>
      <c r="AF67" s="134" t="s">
        <v>4</v>
      </c>
      <c r="AG67" s="208">
        <v>8587.15</v>
      </c>
      <c r="AH67" s="208">
        <v>8587.15</v>
      </c>
      <c r="AI67" s="230" t="s">
        <v>6</v>
      </c>
      <c r="AJ67" s="138" t="s">
        <v>109</v>
      </c>
      <c r="AK67" s="211">
        <v>93744622</v>
      </c>
      <c r="AL67" s="149" t="s">
        <v>110</v>
      </c>
      <c r="AM67" s="149" t="s">
        <v>110</v>
      </c>
      <c r="AN67" s="149" t="s">
        <v>111</v>
      </c>
      <c r="AO67" s="134"/>
      <c r="AP67" s="199" t="s">
        <v>394</v>
      </c>
      <c r="AQ67" s="149" t="s">
        <v>110</v>
      </c>
      <c r="AR67" s="149" t="s">
        <v>110</v>
      </c>
      <c r="AS67" s="149" t="s">
        <v>110</v>
      </c>
      <c r="AT67" s="198" t="s">
        <v>110</v>
      </c>
      <c r="AU67" s="144">
        <v>46087</v>
      </c>
      <c r="AV67" s="149" t="s">
        <v>110</v>
      </c>
      <c r="AW67" s="149" t="s">
        <v>110</v>
      </c>
      <c r="AX67" s="274">
        <v>46097</v>
      </c>
      <c r="AY67" s="197">
        <v>46097</v>
      </c>
      <c r="AZ67" s="145" t="s">
        <v>33</v>
      </c>
      <c r="BA67" s="145" t="s">
        <v>113</v>
      </c>
      <c r="BB67" s="198" t="s">
        <v>110</v>
      </c>
      <c r="BC67" s="142">
        <f>IF(AY67-KD67=0,"",AY67-O67)</f>
        <v>96</v>
      </c>
      <c r="BD67" s="134" t="str">
        <f>IF(AND(AI67&lt;&gt;"SIM",AI67="UH"),"AA","INDENIZAÇÃO")</f>
        <v>INDENIZAÇÃO</v>
      </c>
      <c r="BE67" s="134" t="str">
        <f>IF(AND(AY67&lt;&gt;"AGUARDANDO",AY67&lt;&gt;"",N67="AUXÍLIO ALUGUEL ATÉ INDENIZAÇÃO"),"SIM","NÃO")</f>
        <v>NÃO</v>
      </c>
      <c r="BF67" s="198" t="s">
        <v>24</v>
      </c>
      <c r="BG67" s="198" t="s">
        <v>24</v>
      </c>
      <c r="BH67" s="198" t="s">
        <v>24</v>
      </c>
      <c r="BI67" s="145" t="s">
        <v>189</v>
      </c>
      <c r="BJ67" s="145"/>
      <c r="BK67" s="279"/>
      <c r="BL67" s="145"/>
      <c r="BM67" s="145"/>
      <c r="CI67" s="200"/>
    </row>
    <row r="68" spans="1:87" s="149" customFormat="1" ht="30" customHeight="1">
      <c r="A68" s="134">
        <v>54</v>
      </c>
      <c r="B68" s="134" t="s">
        <v>99</v>
      </c>
      <c r="C68" s="134">
        <v>1</v>
      </c>
      <c r="D68" s="134" t="s">
        <v>100</v>
      </c>
      <c r="E68" s="134" t="s">
        <v>100</v>
      </c>
      <c r="F68" s="138" t="s">
        <v>395</v>
      </c>
      <c r="G68" s="149" t="s">
        <v>102</v>
      </c>
      <c r="H68" s="149" t="s">
        <v>373</v>
      </c>
      <c r="I68" s="149" t="s">
        <v>287</v>
      </c>
      <c r="J68" s="152" t="s">
        <v>396</v>
      </c>
      <c r="K68" s="152" t="s">
        <v>397</v>
      </c>
      <c r="L68" s="152" t="s">
        <v>398</v>
      </c>
      <c r="M68" s="134" t="s">
        <v>4</v>
      </c>
      <c r="N68" s="134" t="s">
        <v>5</v>
      </c>
      <c r="O68" s="161" t="s">
        <v>399</v>
      </c>
      <c r="P68" s="139" t="s">
        <v>24</v>
      </c>
      <c r="Q68" s="139" t="s">
        <v>24</v>
      </c>
      <c r="R68" s="139" t="s">
        <v>24</v>
      </c>
      <c r="S68" s="139" t="s">
        <v>24</v>
      </c>
      <c r="T68" s="139" t="s">
        <v>24</v>
      </c>
      <c r="U68" s="139" t="s">
        <v>24</v>
      </c>
      <c r="V68" s="139" t="s">
        <v>24</v>
      </c>
      <c r="W68" s="139" t="s">
        <v>24</v>
      </c>
      <c r="X68" s="139" t="s">
        <v>24</v>
      </c>
      <c r="Y68" s="139" t="s">
        <v>24</v>
      </c>
      <c r="Z68" s="139" t="s">
        <v>24</v>
      </c>
      <c r="AA68" s="143"/>
      <c r="AB68" s="152" t="s">
        <v>396</v>
      </c>
      <c r="AC68" s="152" t="s">
        <v>397</v>
      </c>
      <c r="AD68" s="152" t="s">
        <v>398</v>
      </c>
      <c r="AE68" s="134" t="s">
        <v>287</v>
      </c>
      <c r="AF68" s="134" t="s">
        <v>4</v>
      </c>
      <c r="AG68" s="208">
        <v>19390.12</v>
      </c>
      <c r="AH68" s="208">
        <v>49390.12</v>
      </c>
      <c r="AI68" s="230" t="s">
        <v>6</v>
      </c>
      <c r="AJ68" s="138" t="s">
        <v>109</v>
      </c>
      <c r="AK68" s="307" t="s">
        <v>400</v>
      </c>
      <c r="AL68" s="134" t="s">
        <v>110</v>
      </c>
      <c r="AM68" s="134" t="s">
        <v>110</v>
      </c>
      <c r="AN68" s="273" t="s">
        <v>111</v>
      </c>
      <c r="AO68" s="134"/>
      <c r="AP68" s="138" t="s">
        <v>401</v>
      </c>
      <c r="AQ68" s="198" t="s">
        <v>110</v>
      </c>
      <c r="AR68" s="198" t="s">
        <v>110</v>
      </c>
      <c r="AS68" s="198" t="s">
        <v>110</v>
      </c>
      <c r="AT68" s="198" t="s">
        <v>110</v>
      </c>
      <c r="AU68" s="194">
        <v>46226</v>
      </c>
      <c r="AV68" s="198" t="s">
        <v>110</v>
      </c>
      <c r="AW68" s="198" t="s">
        <v>110</v>
      </c>
      <c r="AX68" s="194">
        <v>46233</v>
      </c>
      <c r="AY68" s="145" t="s">
        <v>33</v>
      </c>
      <c r="AZ68" s="140"/>
      <c r="BA68" s="145" t="s">
        <v>1</v>
      </c>
      <c r="BC68" s="142" t="e">
        <f>IF(AY68-KD68=0,"",AY68-O68)</f>
        <v>#VALUE!</v>
      </c>
      <c r="BD68" s="134" t="str">
        <f>IF(AND(AI68&lt;&gt;"SIM",AI68="UH"),"AA","INDENIZAÇÃO")</f>
        <v>INDENIZAÇÃO</v>
      </c>
      <c r="BE68" s="134" t="str">
        <f>IF(AND(AY68&lt;&gt;"AGUARDANDO",AY68&lt;&gt;"",N68="AUXÍLIO ALUGUEL ATÉ INDENIZAÇÃO"),"SIM","NÃO")</f>
        <v>NÃO</v>
      </c>
      <c r="BF68" s="134"/>
      <c r="BG68" s="134"/>
      <c r="BH68" s="134"/>
      <c r="BI68" s="134"/>
      <c r="BJ68" s="134"/>
      <c r="BK68" s="134"/>
      <c r="BL68" s="134"/>
      <c r="BM68" s="134"/>
      <c r="CI68" s="200"/>
    </row>
    <row r="69" spans="1:87" s="149" customFormat="1" ht="30" customHeight="1">
      <c r="A69" s="134">
        <v>55</v>
      </c>
      <c r="B69" s="245" t="s">
        <v>99</v>
      </c>
      <c r="C69" s="245">
        <v>1</v>
      </c>
      <c r="D69" s="245" t="s">
        <v>100</v>
      </c>
      <c r="E69" s="245" t="s">
        <v>100</v>
      </c>
      <c r="F69" s="246" t="s">
        <v>402</v>
      </c>
      <c r="G69" s="149" t="s">
        <v>102</v>
      </c>
      <c r="H69" s="149" t="s">
        <v>103</v>
      </c>
      <c r="I69" s="149" t="s">
        <v>108</v>
      </c>
      <c r="J69" s="152" t="s">
        <v>403</v>
      </c>
      <c r="K69" s="152" t="s">
        <v>404</v>
      </c>
      <c r="L69" s="152" t="s">
        <v>405</v>
      </c>
      <c r="M69" s="245" t="s">
        <v>4</v>
      </c>
      <c r="N69" s="245" t="s">
        <v>5</v>
      </c>
      <c r="O69" s="256">
        <v>45628</v>
      </c>
      <c r="P69" s="249" t="s">
        <v>24</v>
      </c>
      <c r="Q69" s="249" t="s">
        <v>24</v>
      </c>
      <c r="R69" s="249" t="s">
        <v>24</v>
      </c>
      <c r="S69" s="249" t="s">
        <v>24</v>
      </c>
      <c r="T69" s="249" t="s">
        <v>24</v>
      </c>
      <c r="U69" s="249" t="s">
        <v>24</v>
      </c>
      <c r="V69" s="249" t="s">
        <v>24</v>
      </c>
      <c r="W69" s="249" t="s">
        <v>24</v>
      </c>
      <c r="X69" s="249" t="s">
        <v>24</v>
      </c>
      <c r="Y69" s="249" t="s">
        <v>24</v>
      </c>
      <c r="Z69" s="249" t="s">
        <v>24</v>
      </c>
      <c r="AA69" s="250"/>
      <c r="AB69" s="152" t="s">
        <v>403</v>
      </c>
      <c r="AC69" s="152" t="s">
        <v>404</v>
      </c>
      <c r="AD69" s="152" t="s">
        <v>405</v>
      </c>
      <c r="AE69" s="149" t="s">
        <v>108</v>
      </c>
      <c r="AF69" s="250" t="s">
        <v>4</v>
      </c>
      <c r="AG69" s="208">
        <v>74737.86</v>
      </c>
      <c r="AH69" s="208">
        <v>74737.86</v>
      </c>
      <c r="AI69" s="251" t="s">
        <v>6</v>
      </c>
      <c r="AJ69" s="246" t="s">
        <v>109</v>
      </c>
      <c r="AK69" s="257"/>
      <c r="AL69" s="245" t="s">
        <v>110</v>
      </c>
      <c r="AM69" s="250" t="s">
        <v>110</v>
      </c>
      <c r="AN69" s="245" t="s">
        <v>111</v>
      </c>
      <c r="AO69" s="250"/>
      <c r="AP69" s="253" t="s">
        <v>406</v>
      </c>
      <c r="AQ69" s="250" t="s">
        <v>110</v>
      </c>
      <c r="AR69" s="250" t="s">
        <v>110</v>
      </c>
      <c r="AS69" s="250" t="s">
        <v>110</v>
      </c>
      <c r="AT69" s="250" t="s">
        <v>110</v>
      </c>
      <c r="AU69" s="248">
        <v>45755</v>
      </c>
      <c r="AV69" s="250" t="s">
        <v>110</v>
      </c>
      <c r="AW69" s="250" t="s">
        <v>110</v>
      </c>
      <c r="AX69" s="254">
        <v>45762</v>
      </c>
      <c r="AY69" s="140">
        <v>45762</v>
      </c>
      <c r="AZ69" s="245" t="s">
        <v>360</v>
      </c>
      <c r="BA69" s="245" t="s">
        <v>1</v>
      </c>
      <c r="BB69" s="250" t="s">
        <v>110</v>
      </c>
      <c r="BC69" s="142">
        <f>IF(AY69-KD69=0,"",AY69-O69)</f>
        <v>134</v>
      </c>
      <c r="BD69" s="134" t="str">
        <f>IF(AND(AI69&lt;&gt;"SIM",AI69="UH"),"AA","INDENIZAÇÃO")</f>
        <v>INDENIZAÇÃO</v>
      </c>
      <c r="BE69" s="134" t="str">
        <f>IF(AND(AY69&lt;&gt;"AGUARDANDO",AY69&lt;&gt;"",N69="AUXÍLIO ALUGUEL ATÉ INDENIZAÇÃO"),"SIM","NÃO")</f>
        <v>NÃO</v>
      </c>
      <c r="BF69" s="250" t="s">
        <v>24</v>
      </c>
      <c r="BG69" s="250" t="s">
        <v>24</v>
      </c>
      <c r="BH69" s="250" t="s">
        <v>24</v>
      </c>
      <c r="BI69" s="250" t="s">
        <v>110</v>
      </c>
      <c r="BJ69" s="250" t="s">
        <v>110</v>
      </c>
      <c r="BK69" s="248">
        <v>45783</v>
      </c>
      <c r="BL69" s="250" t="s">
        <v>110</v>
      </c>
      <c r="BM69" s="250" t="s">
        <v>33</v>
      </c>
      <c r="CI69" s="200"/>
    </row>
    <row r="70" spans="1:87" s="149" customFormat="1" ht="30" customHeight="1">
      <c r="A70" s="134">
        <v>56</v>
      </c>
      <c r="B70" s="134" t="s">
        <v>99</v>
      </c>
      <c r="C70" s="134">
        <v>1</v>
      </c>
      <c r="D70" s="134" t="s">
        <v>100</v>
      </c>
      <c r="E70" s="134" t="s">
        <v>100</v>
      </c>
      <c r="F70" s="138" t="s">
        <v>407</v>
      </c>
      <c r="G70" s="149" t="s">
        <v>102</v>
      </c>
      <c r="H70" s="149" t="s">
        <v>373</v>
      </c>
      <c r="I70" s="149" t="s">
        <v>287</v>
      </c>
      <c r="J70" s="152" t="s">
        <v>408</v>
      </c>
      <c r="K70" s="152" t="s">
        <v>409</v>
      </c>
      <c r="L70" s="152" t="s">
        <v>410</v>
      </c>
      <c r="M70" s="134" t="s">
        <v>4</v>
      </c>
      <c r="N70" s="134" t="s">
        <v>5</v>
      </c>
      <c r="O70" s="194">
        <v>46210</v>
      </c>
      <c r="P70" s="139" t="s">
        <v>24</v>
      </c>
      <c r="Q70" s="139" t="s">
        <v>24</v>
      </c>
      <c r="R70" s="139" t="s">
        <v>24</v>
      </c>
      <c r="S70" s="139" t="s">
        <v>24</v>
      </c>
      <c r="T70" s="139" t="s">
        <v>24</v>
      </c>
      <c r="U70" s="139" t="s">
        <v>24</v>
      </c>
      <c r="V70" s="139" t="s">
        <v>24</v>
      </c>
      <c r="W70" s="139" t="s">
        <v>24</v>
      </c>
      <c r="X70" s="139" t="s">
        <v>24</v>
      </c>
      <c r="Y70" s="139" t="s">
        <v>24</v>
      </c>
      <c r="Z70" s="139" t="s">
        <v>24</v>
      </c>
      <c r="AB70" s="152" t="s">
        <v>408</v>
      </c>
      <c r="AC70" s="152" t="s">
        <v>411</v>
      </c>
      <c r="AD70" s="152" t="s">
        <v>410</v>
      </c>
      <c r="AE70" s="134" t="s">
        <v>287</v>
      </c>
      <c r="AF70" s="250" t="s">
        <v>4</v>
      </c>
      <c r="AG70" s="208">
        <v>74082.429999999993</v>
      </c>
      <c r="AH70" s="208">
        <v>74082.429999999993</v>
      </c>
      <c r="AI70" s="230" t="s">
        <v>6</v>
      </c>
      <c r="AJ70" s="138" t="s">
        <v>109</v>
      </c>
      <c r="AK70" s="170">
        <v>94290429</v>
      </c>
      <c r="AL70" s="171" t="s">
        <v>176</v>
      </c>
      <c r="AM70" s="171" t="s">
        <v>110</v>
      </c>
      <c r="AN70" s="171" t="s">
        <v>177</v>
      </c>
      <c r="AP70" s="203"/>
      <c r="AQ70" s="171"/>
      <c r="AR70" s="171"/>
      <c r="AS70" s="171"/>
      <c r="AT70" s="171"/>
      <c r="AU70" s="171"/>
      <c r="AV70" s="171"/>
      <c r="AW70" s="171"/>
      <c r="AX70" s="171"/>
      <c r="BC70" s="142" t="str">
        <f>IF(AY70-KD70=0,"",AY70-O70)</f>
        <v/>
      </c>
      <c r="BD70" s="134" t="str">
        <f>IF(AND(AI70&lt;&gt;"SIM",AI70="UH"),"AA","INDENIZAÇÃO")</f>
        <v>INDENIZAÇÃO</v>
      </c>
      <c r="BE70" s="134" t="str">
        <f>IF(AND(AY70&lt;&gt;"AGUARDANDO",AY70&lt;&gt;"",N70="AUXÍLIO ALUGUEL ATÉ INDENIZAÇÃO"),"SIM","NÃO")</f>
        <v>NÃO</v>
      </c>
      <c r="BF70" s="134"/>
      <c r="BG70" s="194"/>
      <c r="BH70" s="194"/>
      <c r="CI70" s="200"/>
    </row>
    <row r="71" spans="1:87" s="149" customFormat="1" ht="30" customHeight="1">
      <c r="A71" s="134">
        <v>57</v>
      </c>
      <c r="B71" s="134" t="s">
        <v>99</v>
      </c>
      <c r="C71" s="134">
        <v>1</v>
      </c>
      <c r="D71" s="134" t="s">
        <v>100</v>
      </c>
      <c r="E71" s="134" t="s">
        <v>100</v>
      </c>
      <c r="F71" s="138" t="s">
        <v>412</v>
      </c>
      <c r="G71" s="149" t="s">
        <v>102</v>
      </c>
      <c r="H71" s="149" t="s">
        <v>103</v>
      </c>
      <c r="I71" s="149" t="s">
        <v>387</v>
      </c>
      <c r="J71" s="152" t="s">
        <v>413</v>
      </c>
      <c r="K71" s="152" t="s">
        <v>414</v>
      </c>
      <c r="L71" s="152" t="s">
        <v>415</v>
      </c>
      <c r="M71" s="134" t="s">
        <v>4</v>
      </c>
      <c r="N71" s="134" t="s">
        <v>371</v>
      </c>
      <c r="O71" s="194"/>
      <c r="P71" s="144"/>
      <c r="Q71" s="263"/>
      <c r="R71" s="144"/>
      <c r="S71" s="144"/>
      <c r="T71" s="144"/>
      <c r="U71" s="144"/>
      <c r="V71" s="144"/>
      <c r="W71" s="144"/>
      <c r="X71" s="144"/>
      <c r="Y71" s="144"/>
      <c r="Z71" s="144"/>
      <c r="AB71" s="152" t="s">
        <v>408</v>
      </c>
      <c r="AC71" s="152" t="s">
        <v>416</v>
      </c>
      <c r="AD71" s="152" t="s">
        <v>410</v>
      </c>
      <c r="AE71" s="134" t="s">
        <v>287</v>
      </c>
      <c r="AG71" s="208" t="s">
        <v>371</v>
      </c>
      <c r="AH71" s="208" t="s">
        <v>371</v>
      </c>
      <c r="AI71" s="134" t="s">
        <v>371</v>
      </c>
      <c r="AJ71" s="134" t="s">
        <v>371</v>
      </c>
      <c r="AK71" s="134"/>
      <c r="AP71" s="152"/>
      <c r="BC71" s="142" t="str">
        <f>IF(AY71-KD71=0,"",AY71-O71)</f>
        <v/>
      </c>
      <c r="BD71" s="134" t="str">
        <f>IF(AND(AI71&lt;&gt;"SIM",AI71="UH"),"AA","INDENIZAÇÃO")</f>
        <v>INDENIZAÇÃO</v>
      </c>
      <c r="BE71" s="134" t="str">
        <f>IF(AND(AY71&lt;&gt;"AGUARDANDO",AY71&lt;&gt;"",N71="AUXÍLIO ALUGUEL ATÉ INDENIZAÇÃO"),"SIM","NÃO")</f>
        <v>NÃO</v>
      </c>
      <c r="BF71" s="134"/>
      <c r="BG71" s="194"/>
      <c r="BH71" s="194"/>
      <c r="CI71" s="200"/>
    </row>
    <row r="72" spans="1:87" s="149" customFormat="1" ht="30" customHeight="1">
      <c r="A72" s="134">
        <v>58</v>
      </c>
      <c r="B72" s="245" t="s">
        <v>99</v>
      </c>
      <c r="C72" s="134">
        <v>1</v>
      </c>
      <c r="D72" s="134" t="s">
        <v>100</v>
      </c>
      <c r="E72" s="134" t="s">
        <v>100</v>
      </c>
      <c r="F72" s="138" t="s">
        <v>417</v>
      </c>
      <c r="G72" s="149" t="s">
        <v>10</v>
      </c>
      <c r="H72" s="149" t="s">
        <v>103</v>
      </c>
      <c r="I72" s="149" t="s">
        <v>287</v>
      </c>
      <c r="J72" s="152" t="s">
        <v>408</v>
      </c>
      <c r="K72" s="152" t="s">
        <v>416</v>
      </c>
      <c r="L72" s="152" t="s">
        <v>410</v>
      </c>
      <c r="M72" s="134" t="s">
        <v>4</v>
      </c>
      <c r="N72" s="134"/>
      <c r="O72" s="194"/>
      <c r="P72" s="144"/>
      <c r="Q72" s="263"/>
      <c r="R72" s="144"/>
      <c r="S72" s="144"/>
      <c r="T72" s="144"/>
      <c r="U72" s="144"/>
      <c r="V72" s="144"/>
      <c r="W72" s="144"/>
      <c r="X72" s="144"/>
      <c r="Y72" s="144"/>
      <c r="Z72" s="144"/>
      <c r="AB72" s="152" t="s">
        <v>408</v>
      </c>
      <c r="AC72" s="152" t="s">
        <v>416</v>
      </c>
      <c r="AD72" s="152" t="s">
        <v>410</v>
      </c>
      <c r="AE72" s="134" t="s">
        <v>287</v>
      </c>
      <c r="AG72" s="208"/>
      <c r="AH72" s="208"/>
      <c r="AI72" s="134"/>
      <c r="AJ72" s="134"/>
      <c r="AK72" s="134"/>
      <c r="AP72" s="152"/>
      <c r="BC72" s="142" t="str">
        <f>IF(AY72-KD72=0,"",AY72-O72)</f>
        <v/>
      </c>
      <c r="BD72" s="134" t="str">
        <f>IF(AND(AI72&lt;&gt;"SIM",AI72="UH"),"AA","INDENIZAÇÃO")</f>
        <v>INDENIZAÇÃO</v>
      </c>
      <c r="BE72" s="134" t="str">
        <f>IF(AND(AY72&lt;&gt;"AGUARDANDO",AY72&lt;&gt;"",N72="AUXÍLIO ALUGUEL ATÉ INDENIZAÇÃO"),"SIM","NÃO")</f>
        <v>NÃO</v>
      </c>
      <c r="BF72" s="134"/>
      <c r="BG72" s="194"/>
      <c r="BH72" s="194"/>
      <c r="CI72" s="200"/>
    </row>
    <row r="73" spans="1:87" s="149" customFormat="1" ht="30" customHeight="1">
      <c r="A73" s="134">
        <v>59</v>
      </c>
      <c r="B73" s="134" t="s">
        <v>99</v>
      </c>
      <c r="C73" s="134">
        <v>1</v>
      </c>
      <c r="D73" s="134" t="s">
        <v>100</v>
      </c>
      <c r="E73" s="134" t="s">
        <v>100</v>
      </c>
      <c r="F73" s="138" t="s">
        <v>418</v>
      </c>
      <c r="G73" s="149" t="s">
        <v>1</v>
      </c>
      <c r="H73" s="149" t="s">
        <v>103</v>
      </c>
      <c r="I73" s="149" t="s">
        <v>387</v>
      </c>
      <c r="J73" s="152" t="s">
        <v>419</v>
      </c>
      <c r="K73" s="152" t="s">
        <v>420</v>
      </c>
      <c r="L73" s="152" t="s">
        <v>421</v>
      </c>
      <c r="M73" s="134" t="s">
        <v>4</v>
      </c>
      <c r="N73" s="134" t="s">
        <v>371</v>
      </c>
      <c r="O73" s="194"/>
      <c r="P73" s="144"/>
      <c r="Q73" s="263"/>
      <c r="R73" s="144"/>
      <c r="S73" s="144"/>
      <c r="T73" s="144"/>
      <c r="U73" s="144"/>
      <c r="V73" s="144"/>
      <c r="W73" s="144"/>
      <c r="X73" s="144"/>
      <c r="Y73" s="144"/>
      <c r="Z73" s="144"/>
      <c r="AB73" s="152" t="s">
        <v>408</v>
      </c>
      <c r="AC73" s="152" t="s">
        <v>416</v>
      </c>
      <c r="AD73" s="152" t="s">
        <v>410</v>
      </c>
      <c r="AE73" s="134" t="s">
        <v>287</v>
      </c>
      <c r="AG73" s="208" t="s">
        <v>371</v>
      </c>
      <c r="AH73" s="208" t="s">
        <v>371</v>
      </c>
      <c r="AI73" s="134" t="s">
        <v>371</v>
      </c>
      <c r="AJ73" s="134" t="s">
        <v>371</v>
      </c>
      <c r="AK73" s="134"/>
      <c r="AP73" s="152"/>
      <c r="BC73" s="142" t="str">
        <f>IF(AY73-KD73=0,"",AY73-O73)</f>
        <v/>
      </c>
      <c r="BD73" s="134" t="str">
        <f>IF(AND(AI73&lt;&gt;"SIM",AI73="UH"),"AA","INDENIZAÇÃO")</f>
        <v>INDENIZAÇÃO</v>
      </c>
      <c r="BE73" s="134" t="str">
        <f>IF(AND(AY73&lt;&gt;"AGUARDANDO",AY73&lt;&gt;"",N73="AUXÍLIO ALUGUEL ATÉ INDENIZAÇÃO"),"SIM","NÃO")</f>
        <v>NÃO</v>
      </c>
      <c r="BF73" s="134"/>
      <c r="BG73" s="194"/>
      <c r="BH73" s="194"/>
      <c r="CI73" s="200"/>
    </row>
    <row r="74" spans="1:87" s="149" customFormat="1" ht="30" customHeight="1">
      <c r="A74" s="134">
        <v>60</v>
      </c>
      <c r="B74" s="134" t="s">
        <v>99</v>
      </c>
      <c r="C74" s="134">
        <v>1</v>
      </c>
      <c r="D74" s="134" t="s">
        <v>100</v>
      </c>
      <c r="E74" s="134" t="s">
        <v>100</v>
      </c>
      <c r="F74" s="138" t="s">
        <v>422</v>
      </c>
      <c r="G74" s="149" t="s">
        <v>344</v>
      </c>
      <c r="H74" s="149" t="s">
        <v>103</v>
      </c>
      <c r="I74" s="149" t="s">
        <v>287</v>
      </c>
      <c r="J74" s="152" t="s">
        <v>408</v>
      </c>
      <c r="K74" s="152" t="s">
        <v>416</v>
      </c>
      <c r="L74" s="152" t="s">
        <v>410</v>
      </c>
      <c r="M74" s="134" t="s">
        <v>4</v>
      </c>
      <c r="N74" s="134"/>
      <c r="O74" s="194"/>
      <c r="P74" s="144"/>
      <c r="Q74" s="263"/>
      <c r="R74" s="144"/>
      <c r="S74" s="144"/>
      <c r="T74" s="144"/>
      <c r="U74" s="144"/>
      <c r="V74" s="144"/>
      <c r="W74" s="144"/>
      <c r="X74" s="144"/>
      <c r="Y74" s="144"/>
      <c r="Z74" s="144"/>
      <c r="AB74" s="152" t="s">
        <v>408</v>
      </c>
      <c r="AC74" s="152" t="s">
        <v>416</v>
      </c>
      <c r="AD74" s="152" t="s">
        <v>410</v>
      </c>
      <c r="AE74" s="134" t="s">
        <v>287</v>
      </c>
      <c r="AG74" s="208"/>
      <c r="AH74" s="208"/>
      <c r="AI74" s="134"/>
      <c r="AJ74" s="134"/>
      <c r="AK74" s="134"/>
      <c r="AP74" s="152"/>
      <c r="BC74" s="142" t="str">
        <f>IF(AY74-KD74=0,"",AY74-O74)</f>
        <v/>
      </c>
      <c r="BD74" s="134" t="str">
        <f>IF(AND(AI74&lt;&gt;"SIM",AI74="UH"),"AA","INDENIZAÇÃO")</f>
        <v>INDENIZAÇÃO</v>
      </c>
      <c r="BE74" s="134" t="str">
        <f>IF(AND(AY74&lt;&gt;"AGUARDANDO",AY74&lt;&gt;"",N74="AUXÍLIO ALUGUEL ATÉ INDENIZAÇÃO"),"SIM","NÃO")</f>
        <v>NÃO</v>
      </c>
      <c r="BF74" s="134"/>
      <c r="BG74" s="194"/>
      <c r="BH74" s="194"/>
      <c r="CI74" s="200"/>
    </row>
    <row r="75" spans="1:87" s="149" customFormat="1" ht="30" customHeight="1">
      <c r="A75" s="134">
        <v>61</v>
      </c>
      <c r="B75" s="134" t="s">
        <v>99</v>
      </c>
      <c r="C75" s="134">
        <v>1</v>
      </c>
      <c r="D75" s="134" t="s">
        <v>100</v>
      </c>
      <c r="E75" s="134" t="s">
        <v>100</v>
      </c>
      <c r="F75" s="138" t="s">
        <v>423</v>
      </c>
      <c r="G75" s="149" t="s">
        <v>1</v>
      </c>
      <c r="H75" s="149" t="s">
        <v>103</v>
      </c>
      <c r="I75" s="149" t="s">
        <v>108</v>
      </c>
      <c r="J75" s="152" t="s">
        <v>408</v>
      </c>
      <c r="K75" s="152" t="s">
        <v>416</v>
      </c>
      <c r="L75" s="152" t="s">
        <v>410</v>
      </c>
      <c r="M75" s="134" t="s">
        <v>4</v>
      </c>
      <c r="N75" s="134" t="s">
        <v>371</v>
      </c>
      <c r="O75" s="194"/>
      <c r="P75" s="144"/>
      <c r="Q75" s="263"/>
      <c r="R75" s="144"/>
      <c r="S75" s="144"/>
      <c r="T75" s="144"/>
      <c r="U75" s="144"/>
      <c r="V75" s="144"/>
      <c r="W75" s="144"/>
      <c r="X75" s="144"/>
      <c r="Y75" s="144"/>
      <c r="Z75" s="144"/>
      <c r="AB75" s="152" t="s">
        <v>408</v>
      </c>
      <c r="AC75" s="152" t="s">
        <v>416</v>
      </c>
      <c r="AD75" s="152" t="s">
        <v>410</v>
      </c>
      <c r="AE75" s="149" t="s">
        <v>108</v>
      </c>
      <c r="AG75" s="208" t="s">
        <v>371</v>
      </c>
      <c r="AH75" s="208" t="s">
        <v>371</v>
      </c>
      <c r="AI75" s="134" t="s">
        <v>371</v>
      </c>
      <c r="AJ75" s="134" t="s">
        <v>371</v>
      </c>
      <c r="AK75" s="134"/>
      <c r="AP75" s="152"/>
      <c r="BC75" s="142" t="str">
        <f>IF(AY75-KD75=0,"",AY75-O75)</f>
        <v/>
      </c>
      <c r="BD75" s="134" t="str">
        <f>IF(AND(AI75&lt;&gt;"SIM",AI75="UH"),"AA","INDENIZAÇÃO")</f>
        <v>INDENIZAÇÃO</v>
      </c>
      <c r="BE75" s="134" t="str">
        <f>IF(AND(AY75&lt;&gt;"AGUARDANDO",AY75&lt;&gt;"",N75="AUXÍLIO ALUGUEL ATÉ INDENIZAÇÃO"),"SIM","NÃO")</f>
        <v>NÃO</v>
      </c>
      <c r="BF75" s="134"/>
      <c r="BG75" s="194"/>
      <c r="BH75" s="194"/>
      <c r="CI75" s="200"/>
    </row>
    <row r="76" spans="1:87" s="149" customFormat="1" ht="30" customHeight="1">
      <c r="A76" s="134">
        <v>62</v>
      </c>
      <c r="B76" s="309" t="s">
        <v>99</v>
      </c>
      <c r="C76" s="309">
        <v>2</v>
      </c>
      <c r="D76" s="309" t="s">
        <v>100</v>
      </c>
      <c r="E76" s="309" t="s">
        <v>100</v>
      </c>
      <c r="F76" s="310" t="s">
        <v>424</v>
      </c>
      <c r="G76" s="149" t="s">
        <v>1</v>
      </c>
      <c r="H76" s="149" t="s">
        <v>103</v>
      </c>
      <c r="I76" s="149" t="s">
        <v>104</v>
      </c>
      <c r="J76" s="152" t="s">
        <v>425</v>
      </c>
      <c r="K76" s="152" t="s">
        <v>426</v>
      </c>
      <c r="L76" s="152" t="s">
        <v>427</v>
      </c>
      <c r="M76" s="134" t="s">
        <v>4</v>
      </c>
      <c r="N76" s="134" t="s">
        <v>5</v>
      </c>
      <c r="O76" s="194">
        <v>46149</v>
      </c>
      <c r="P76" s="144" t="s">
        <v>24</v>
      </c>
      <c r="Q76" s="144" t="s">
        <v>24</v>
      </c>
      <c r="R76" s="144" t="s">
        <v>24</v>
      </c>
      <c r="S76" s="144" t="s">
        <v>24</v>
      </c>
      <c r="T76" s="144" t="s">
        <v>24</v>
      </c>
      <c r="U76" s="144" t="s">
        <v>24</v>
      </c>
      <c r="V76" s="144" t="s">
        <v>24</v>
      </c>
      <c r="W76" s="144" t="s">
        <v>24</v>
      </c>
      <c r="X76" s="144" t="s">
        <v>24</v>
      </c>
      <c r="Y76" s="144" t="s">
        <v>24</v>
      </c>
      <c r="Z76" s="144" t="s">
        <v>24</v>
      </c>
      <c r="AB76" s="152" t="s">
        <v>425</v>
      </c>
      <c r="AC76" s="152" t="s">
        <v>426</v>
      </c>
      <c r="AD76" s="152" t="s">
        <v>427</v>
      </c>
      <c r="AE76" s="149" t="s">
        <v>108</v>
      </c>
      <c r="AF76" s="149" t="s">
        <v>4</v>
      </c>
      <c r="AG76" s="208">
        <v>36559.269999999997</v>
      </c>
      <c r="AH76" s="208">
        <v>60000</v>
      </c>
      <c r="AI76" s="134" t="s">
        <v>6</v>
      </c>
      <c r="AJ76" s="138" t="s">
        <v>109</v>
      </c>
      <c r="AK76" s="134">
        <v>155556308</v>
      </c>
      <c r="AL76" s="149" t="s">
        <v>176</v>
      </c>
      <c r="AM76" s="149" t="s">
        <v>110</v>
      </c>
      <c r="AN76" s="149" t="s">
        <v>177</v>
      </c>
      <c r="AP76" s="152"/>
      <c r="BC76" s="142" t="str">
        <f>IF(AY76-KD76=0,"",AY76-O76)</f>
        <v/>
      </c>
      <c r="BD76" s="134" t="str">
        <f>IF(AND(AI76&lt;&gt;"SIM",AI76="UH"),"AA","INDENIZAÇÃO")</f>
        <v>INDENIZAÇÃO</v>
      </c>
      <c r="BE76" s="134" t="str">
        <f>IF(AND(AY76&lt;&gt;"AGUARDANDO",AY76&lt;&gt;"",N76="AUXÍLIO ALUGUEL ATÉ INDENIZAÇÃO"),"SIM","NÃO")</f>
        <v>NÃO</v>
      </c>
      <c r="BF76" s="134"/>
      <c r="BG76" s="194"/>
      <c r="BH76" s="194"/>
      <c r="CI76" s="200"/>
    </row>
    <row r="77" spans="1:87" s="149" customFormat="1" ht="30" customHeight="1">
      <c r="A77" s="134">
        <v>63</v>
      </c>
      <c r="B77" s="134" t="s">
        <v>99</v>
      </c>
      <c r="C77" s="134">
        <v>1</v>
      </c>
      <c r="D77" s="134" t="s">
        <v>100</v>
      </c>
      <c r="E77" s="134" t="s">
        <v>100</v>
      </c>
      <c r="F77" s="138" t="s">
        <v>428</v>
      </c>
      <c r="G77" s="149" t="s">
        <v>429</v>
      </c>
      <c r="H77" s="149" t="s">
        <v>430</v>
      </c>
      <c r="I77" s="149" t="s">
        <v>287</v>
      </c>
      <c r="J77" s="152" t="s">
        <v>431</v>
      </c>
      <c r="K77" s="152" t="s">
        <v>432</v>
      </c>
      <c r="L77" s="152" t="s">
        <v>433</v>
      </c>
      <c r="M77" s="134" t="s">
        <v>4</v>
      </c>
      <c r="N77" s="134" t="s">
        <v>5</v>
      </c>
      <c r="O77" s="194">
        <v>45849</v>
      </c>
      <c r="P77" s="144" t="s">
        <v>24</v>
      </c>
      <c r="Q77" s="144" t="s">
        <v>24</v>
      </c>
      <c r="R77" s="144" t="s">
        <v>24</v>
      </c>
      <c r="S77" s="144" t="s">
        <v>24</v>
      </c>
      <c r="T77" s="144" t="s">
        <v>24</v>
      </c>
      <c r="U77" s="144" t="s">
        <v>24</v>
      </c>
      <c r="V77" s="144" t="s">
        <v>24</v>
      </c>
      <c r="W77" s="144" t="s">
        <v>24</v>
      </c>
      <c r="X77" s="144" t="s">
        <v>24</v>
      </c>
      <c r="Y77" s="144" t="s">
        <v>24</v>
      </c>
      <c r="Z77" s="144" t="s">
        <v>24</v>
      </c>
      <c r="AB77" s="152" t="s">
        <v>431</v>
      </c>
      <c r="AC77" s="152" t="s">
        <v>432</v>
      </c>
      <c r="AD77" s="152" t="s">
        <v>433</v>
      </c>
      <c r="AE77" s="134" t="s">
        <v>287</v>
      </c>
      <c r="AF77" s="149" t="s">
        <v>4</v>
      </c>
      <c r="AG77" s="208">
        <v>121666.55</v>
      </c>
      <c r="AH77" s="208">
        <v>121666.55</v>
      </c>
      <c r="AI77" s="134" t="s">
        <v>6</v>
      </c>
      <c r="AJ77" s="138" t="s">
        <v>109</v>
      </c>
      <c r="AK77" s="134">
        <v>112908224</v>
      </c>
      <c r="AL77" s="149" t="s">
        <v>110</v>
      </c>
      <c r="AM77" s="149" t="s">
        <v>110</v>
      </c>
      <c r="AN77" s="149" t="s">
        <v>111</v>
      </c>
      <c r="AP77" s="138" t="s">
        <v>434</v>
      </c>
      <c r="AQ77" s="198" t="s">
        <v>110</v>
      </c>
      <c r="AR77" s="198" t="s">
        <v>110</v>
      </c>
      <c r="AS77" s="198" t="s">
        <v>110</v>
      </c>
      <c r="AT77" s="198" t="s">
        <v>110</v>
      </c>
      <c r="AU77" s="161">
        <v>45890</v>
      </c>
      <c r="AV77" s="198" t="s">
        <v>110</v>
      </c>
      <c r="AW77" s="198" t="s">
        <v>110</v>
      </c>
      <c r="AX77" s="161">
        <v>45902</v>
      </c>
      <c r="AY77" s="140">
        <v>45902</v>
      </c>
      <c r="AZ77" s="140" t="s">
        <v>33</v>
      </c>
      <c r="BA77" s="141" t="s">
        <v>113</v>
      </c>
      <c r="BB77" s="149" t="s">
        <v>110</v>
      </c>
      <c r="BC77" s="142">
        <f>IF(AY77-KD77=0,"",AY77-O77)</f>
        <v>53</v>
      </c>
      <c r="BD77" s="134" t="str">
        <f>IF(AND(AI77&lt;&gt;"SIM",AI77="UH"),"AA","INDENIZAÇÃO")</f>
        <v>INDENIZAÇÃO</v>
      </c>
      <c r="BE77" s="134" t="str">
        <f>IF(AND(AY77&lt;&gt;"AGUARDANDO",AY77&lt;&gt;"",N77="AUXÍLIO ALUGUEL ATÉ INDENIZAÇÃO"),"SIM","NÃO")</f>
        <v>NÃO</v>
      </c>
      <c r="BF77" s="149" t="s">
        <v>24</v>
      </c>
      <c r="BG77" s="149" t="s">
        <v>24</v>
      </c>
      <c r="BH77" s="149" t="s">
        <v>24</v>
      </c>
      <c r="BI77" s="198" t="s">
        <v>110</v>
      </c>
      <c r="BJ77" s="198" t="s">
        <v>110</v>
      </c>
      <c r="BK77" s="161">
        <v>45923</v>
      </c>
      <c r="BL77" s="198" t="s">
        <v>110</v>
      </c>
      <c r="BM77" s="145" t="s">
        <v>33</v>
      </c>
      <c r="CI77" s="200"/>
    </row>
    <row r="78" spans="1:87" s="149" customFormat="1" ht="30" customHeight="1">
      <c r="A78" s="134">
        <v>64</v>
      </c>
      <c r="B78" s="134" t="s">
        <v>99</v>
      </c>
      <c r="C78" s="134">
        <v>1</v>
      </c>
      <c r="D78" s="134" t="s">
        <v>100</v>
      </c>
      <c r="E78" s="134" t="s">
        <v>100</v>
      </c>
      <c r="F78" s="138" t="s">
        <v>435</v>
      </c>
      <c r="G78" s="149" t="s">
        <v>102</v>
      </c>
      <c r="H78" s="149" t="s">
        <v>103</v>
      </c>
      <c r="I78" s="149" t="s">
        <v>387</v>
      </c>
      <c r="J78" s="152" t="s">
        <v>436</v>
      </c>
      <c r="K78" s="152" t="s">
        <v>437</v>
      </c>
      <c r="L78" s="152" t="s">
        <v>438</v>
      </c>
      <c r="M78" s="134" t="s">
        <v>4</v>
      </c>
      <c r="N78" s="134" t="s">
        <v>14</v>
      </c>
      <c r="O78" s="194">
        <v>45628</v>
      </c>
      <c r="P78" s="197" t="s">
        <v>17</v>
      </c>
      <c r="Q78" s="264" t="s">
        <v>283</v>
      </c>
      <c r="R78" s="197"/>
      <c r="S78" s="197"/>
      <c r="T78" s="197"/>
      <c r="U78" s="197"/>
      <c r="V78" s="197"/>
      <c r="W78" s="197"/>
      <c r="X78" s="197"/>
      <c r="Y78" s="197"/>
      <c r="Z78" s="197"/>
      <c r="AB78" s="152" t="s">
        <v>439</v>
      </c>
      <c r="AC78" s="152" t="s">
        <v>440</v>
      </c>
      <c r="AD78" s="152" t="s">
        <v>441</v>
      </c>
      <c r="AE78" s="134" t="s">
        <v>287</v>
      </c>
      <c r="AF78" s="149" t="s">
        <v>4</v>
      </c>
      <c r="AG78" s="208">
        <v>38624.080000000002</v>
      </c>
      <c r="AH78" s="208">
        <v>38624.080000000002</v>
      </c>
      <c r="AI78" s="134" t="s">
        <v>6</v>
      </c>
      <c r="AJ78" s="138" t="s">
        <v>109</v>
      </c>
      <c r="AL78" s="134" t="s">
        <v>110</v>
      </c>
      <c r="AM78" s="149" t="s">
        <v>110</v>
      </c>
      <c r="AN78" s="134" t="s">
        <v>111</v>
      </c>
      <c r="AP78" s="152" t="s">
        <v>442</v>
      </c>
      <c r="AQ78" s="198" t="s">
        <v>110</v>
      </c>
      <c r="AR78" s="198" t="s">
        <v>110</v>
      </c>
      <c r="AS78" s="149" t="s">
        <v>110</v>
      </c>
      <c r="AT78" s="149" t="s">
        <v>110</v>
      </c>
      <c r="AU78" s="161">
        <v>45755</v>
      </c>
      <c r="AV78" s="149" t="s">
        <v>110</v>
      </c>
      <c r="AW78" s="149" t="s">
        <v>110</v>
      </c>
      <c r="AX78" s="139">
        <v>45762</v>
      </c>
      <c r="AY78" s="140">
        <v>45762</v>
      </c>
      <c r="AZ78" s="141" t="s">
        <v>33</v>
      </c>
      <c r="BA78" s="141" t="s">
        <v>1</v>
      </c>
      <c r="BB78" s="149" t="s">
        <v>110</v>
      </c>
      <c r="BC78" s="142">
        <f>IF(AY78-KD78=0,"",AY78-O78)</f>
        <v>134</v>
      </c>
      <c r="BD78" s="134" t="str">
        <f>IF(AND(AI78&lt;&gt;"SIM",AI78="UH"),"AA","INDENIZAÇÃO")</f>
        <v>INDENIZAÇÃO</v>
      </c>
      <c r="BE78" s="134" t="str">
        <f>IF(AND(AY78&lt;&gt;"AGUARDANDO",AY78&lt;&gt;"",N78="AUXÍLIO ALUGUEL ATÉ INDENIZAÇÃO"),"SIM","NÃO")</f>
        <v>NÃO</v>
      </c>
      <c r="BF78" s="149" t="s">
        <v>24</v>
      </c>
      <c r="BG78" s="149" t="s">
        <v>24</v>
      </c>
      <c r="BH78" s="149" t="s">
        <v>24</v>
      </c>
      <c r="BI78" s="198" t="s">
        <v>110</v>
      </c>
      <c r="BJ78" s="198" t="s">
        <v>110</v>
      </c>
      <c r="BK78" s="161">
        <v>45783</v>
      </c>
      <c r="BL78" s="198" t="s">
        <v>110</v>
      </c>
      <c r="BM78" s="145" t="s">
        <v>33</v>
      </c>
      <c r="CI78" s="200"/>
    </row>
    <row r="79" spans="1:87" s="149" customFormat="1" ht="30" customHeight="1">
      <c r="A79" s="134">
        <v>65</v>
      </c>
      <c r="B79" s="245" t="s">
        <v>99</v>
      </c>
      <c r="C79" s="245">
        <v>1</v>
      </c>
      <c r="D79" s="245" t="s">
        <v>100</v>
      </c>
      <c r="E79" s="245" t="s">
        <v>100</v>
      </c>
      <c r="F79" s="246" t="s">
        <v>443</v>
      </c>
      <c r="G79" s="149" t="s">
        <v>102</v>
      </c>
      <c r="H79" s="149" t="s">
        <v>103</v>
      </c>
      <c r="I79" s="149" t="s">
        <v>387</v>
      </c>
      <c r="J79" s="152" t="s">
        <v>444</v>
      </c>
      <c r="K79" s="152">
        <v>2704203</v>
      </c>
      <c r="L79" s="152" t="s">
        <v>445</v>
      </c>
      <c r="M79" s="245" t="s">
        <v>4</v>
      </c>
      <c r="N79" s="245" t="s">
        <v>14</v>
      </c>
      <c r="O79" s="256">
        <v>45505</v>
      </c>
      <c r="P79" s="249" t="s">
        <v>17</v>
      </c>
      <c r="Q79" s="246" t="s">
        <v>283</v>
      </c>
      <c r="R79" s="249"/>
      <c r="S79" s="249"/>
      <c r="T79" s="249"/>
      <c r="U79" s="249"/>
      <c r="V79" s="249"/>
      <c r="W79" s="249"/>
      <c r="X79" s="249"/>
      <c r="Y79" s="249"/>
      <c r="Z79" s="249"/>
      <c r="AA79" s="250"/>
      <c r="AB79" s="152" t="s">
        <v>446</v>
      </c>
      <c r="AC79" s="152" t="s">
        <v>447</v>
      </c>
      <c r="AD79" s="152" t="s">
        <v>448</v>
      </c>
      <c r="AE79" s="134" t="s">
        <v>287</v>
      </c>
      <c r="AF79" s="250" t="s">
        <v>4</v>
      </c>
      <c r="AG79" s="208">
        <v>35504.92</v>
      </c>
      <c r="AH79" s="208">
        <v>35504.92</v>
      </c>
      <c r="AI79" s="245" t="s">
        <v>6</v>
      </c>
      <c r="AJ79" s="246" t="s">
        <v>109</v>
      </c>
      <c r="AK79" s="250"/>
      <c r="AL79" s="250" t="s">
        <v>110</v>
      </c>
      <c r="AM79" s="250" t="s">
        <v>110</v>
      </c>
      <c r="AN79" s="250" t="s">
        <v>111</v>
      </c>
      <c r="AO79" s="250"/>
      <c r="AP79" s="253" t="s">
        <v>449</v>
      </c>
      <c r="AQ79" s="250" t="s">
        <v>110</v>
      </c>
      <c r="AR79" s="250" t="s">
        <v>110</v>
      </c>
      <c r="AS79" s="250" t="s">
        <v>110</v>
      </c>
      <c r="AT79" s="250" t="s">
        <v>110</v>
      </c>
      <c r="AU79" s="256">
        <v>45614</v>
      </c>
      <c r="AV79" s="250" t="s">
        <v>110</v>
      </c>
      <c r="AW79" s="250" t="s">
        <v>110</v>
      </c>
      <c r="AX79" s="256">
        <v>45621</v>
      </c>
      <c r="AY79" s="249">
        <v>45621</v>
      </c>
      <c r="AZ79" s="245" t="s">
        <v>360</v>
      </c>
      <c r="BA79" s="245" t="s">
        <v>1</v>
      </c>
      <c r="BB79" s="250" t="s">
        <v>110</v>
      </c>
      <c r="BC79" s="142">
        <f>IF(AY79-KD79=0,"",AY79-O79)</f>
        <v>116</v>
      </c>
      <c r="BD79" s="134" t="str">
        <f>IF(AND(AI79&lt;&gt;"SIM",AI79="UH"),"AA","INDENIZAÇÃO")</f>
        <v>INDENIZAÇÃO</v>
      </c>
      <c r="BE79" s="134" t="str">
        <f>IF(AND(AY79&lt;&gt;"AGUARDANDO",AY79&lt;&gt;"",N79="AUXÍLIO ALUGUEL ATÉ INDENIZAÇÃO"),"SIM","NÃO")</f>
        <v>NÃO</v>
      </c>
      <c r="BF79" s="245" t="s">
        <v>24</v>
      </c>
      <c r="BG79" s="245" t="s">
        <v>24</v>
      </c>
      <c r="BH79" s="245" t="s">
        <v>24</v>
      </c>
      <c r="BI79" s="250" t="s">
        <v>110</v>
      </c>
      <c r="BJ79" s="250" t="s">
        <v>110</v>
      </c>
      <c r="BK79" s="256">
        <v>45677</v>
      </c>
      <c r="BL79" s="250" t="s">
        <v>110</v>
      </c>
      <c r="BM79" s="249" t="s">
        <v>33</v>
      </c>
      <c r="CI79" s="200"/>
    </row>
    <row r="80" spans="1:87" s="149" customFormat="1" ht="30" customHeight="1">
      <c r="A80" s="134">
        <v>66</v>
      </c>
      <c r="B80" s="245" t="s">
        <v>99</v>
      </c>
      <c r="C80" s="245">
        <v>1</v>
      </c>
      <c r="D80" s="245" t="s">
        <v>100</v>
      </c>
      <c r="E80" s="245" t="s">
        <v>100</v>
      </c>
      <c r="F80" s="246" t="s">
        <v>450</v>
      </c>
      <c r="G80" s="149" t="s">
        <v>102</v>
      </c>
      <c r="H80" s="149" t="s">
        <v>103</v>
      </c>
      <c r="I80" s="149" t="s">
        <v>387</v>
      </c>
      <c r="J80" s="152" t="s">
        <v>451</v>
      </c>
      <c r="K80" s="152" t="s">
        <v>452</v>
      </c>
      <c r="L80" s="152" t="s">
        <v>453</v>
      </c>
      <c r="M80" s="245" t="s">
        <v>4</v>
      </c>
      <c r="N80" s="245" t="s">
        <v>14</v>
      </c>
      <c r="O80" s="256">
        <v>45505</v>
      </c>
      <c r="P80" s="249" t="s">
        <v>17</v>
      </c>
      <c r="Q80" s="246" t="s">
        <v>283</v>
      </c>
      <c r="R80" s="249"/>
      <c r="S80" s="249"/>
      <c r="T80" s="249"/>
      <c r="U80" s="249"/>
      <c r="V80" s="249"/>
      <c r="W80" s="249"/>
      <c r="X80" s="249"/>
      <c r="Y80" s="249"/>
      <c r="Z80" s="249"/>
      <c r="AA80" s="250"/>
      <c r="AB80" s="152" t="s">
        <v>454</v>
      </c>
      <c r="AC80" s="152" t="s">
        <v>455</v>
      </c>
      <c r="AD80" s="152" t="s">
        <v>456</v>
      </c>
      <c r="AE80" s="134" t="s">
        <v>287</v>
      </c>
      <c r="AF80" s="250" t="s">
        <v>4</v>
      </c>
      <c r="AG80" s="208">
        <v>101735.43</v>
      </c>
      <c r="AH80" s="208">
        <f>AG80</f>
        <v>101735.43</v>
      </c>
      <c r="AI80" s="245" t="s">
        <v>6</v>
      </c>
      <c r="AJ80" s="311" t="s">
        <v>109</v>
      </c>
      <c r="AK80" s="250"/>
      <c r="AL80" s="250" t="s">
        <v>110</v>
      </c>
      <c r="AM80" s="250" t="s">
        <v>110</v>
      </c>
      <c r="AN80" s="250" t="s">
        <v>111</v>
      </c>
      <c r="AO80" s="250"/>
      <c r="AP80" s="253" t="s">
        <v>457</v>
      </c>
      <c r="AQ80" s="250" t="s">
        <v>110</v>
      </c>
      <c r="AR80" s="250" t="s">
        <v>110</v>
      </c>
      <c r="AS80" s="250" t="s">
        <v>110</v>
      </c>
      <c r="AT80" s="250" t="s">
        <v>110</v>
      </c>
      <c r="AU80" s="256">
        <v>45573</v>
      </c>
      <c r="AV80" s="250" t="s">
        <v>110</v>
      </c>
      <c r="AW80" s="250" t="s">
        <v>110</v>
      </c>
      <c r="AX80" s="256">
        <v>45581</v>
      </c>
      <c r="AY80" s="249">
        <v>45581</v>
      </c>
      <c r="AZ80" s="245" t="s">
        <v>360</v>
      </c>
      <c r="BA80" s="245" t="s">
        <v>1</v>
      </c>
      <c r="BB80" s="250" t="s">
        <v>110</v>
      </c>
      <c r="BC80" s="142">
        <f>IF(AY80-KD80=0,"",AY80-O80)</f>
        <v>76</v>
      </c>
      <c r="BD80" s="134" t="str">
        <f>IF(AND(AI80&lt;&gt;"SIM",AI80="UH"),"AA","INDENIZAÇÃO")</f>
        <v>INDENIZAÇÃO</v>
      </c>
      <c r="BE80" s="134" t="str">
        <f>IF(AND(AY80&lt;&gt;"AGUARDANDO",AY80&lt;&gt;"",N80="AUXÍLIO ALUGUEL ATÉ INDENIZAÇÃO"),"SIM","NÃO")</f>
        <v>NÃO</v>
      </c>
      <c r="BF80" s="245" t="s">
        <v>24</v>
      </c>
      <c r="BG80" s="245" t="s">
        <v>24</v>
      </c>
      <c r="BH80" s="245" t="s">
        <v>24</v>
      </c>
      <c r="BI80" s="250" t="s">
        <v>110</v>
      </c>
      <c r="BJ80" s="250" t="s">
        <v>110</v>
      </c>
      <c r="BK80" s="256">
        <v>45621</v>
      </c>
      <c r="BL80" s="250" t="s">
        <v>110</v>
      </c>
      <c r="BM80" s="250" t="s">
        <v>33</v>
      </c>
      <c r="CI80" s="200"/>
    </row>
    <row r="81" spans="1:87" s="149" customFormat="1" ht="30" customHeight="1">
      <c r="A81" s="134">
        <v>67</v>
      </c>
      <c r="B81" s="134" t="s">
        <v>99</v>
      </c>
      <c r="C81" s="134">
        <v>1</v>
      </c>
      <c r="D81" s="134" t="s">
        <v>100</v>
      </c>
      <c r="E81" s="134" t="s">
        <v>100</v>
      </c>
      <c r="F81" s="138" t="s">
        <v>458</v>
      </c>
      <c r="G81" s="149" t="s">
        <v>344</v>
      </c>
      <c r="H81" s="149" t="s">
        <v>103</v>
      </c>
      <c r="I81" s="149" t="s">
        <v>287</v>
      </c>
      <c r="J81" s="152" t="s">
        <v>459</v>
      </c>
      <c r="K81" s="152" t="s">
        <v>460</v>
      </c>
      <c r="L81" s="152" t="s">
        <v>461</v>
      </c>
      <c r="M81" s="134" t="s">
        <v>4</v>
      </c>
      <c r="N81" s="134" t="s">
        <v>5</v>
      </c>
      <c r="O81" s="194">
        <v>45600</v>
      </c>
      <c r="P81" s="144" t="s">
        <v>24</v>
      </c>
      <c r="Q81" s="144" t="s">
        <v>24</v>
      </c>
      <c r="R81" s="144" t="s">
        <v>24</v>
      </c>
      <c r="S81" s="144" t="s">
        <v>24</v>
      </c>
      <c r="T81" s="144" t="s">
        <v>24</v>
      </c>
      <c r="U81" s="144" t="s">
        <v>24</v>
      </c>
      <c r="V81" s="144" t="s">
        <v>24</v>
      </c>
      <c r="W81" s="144" t="s">
        <v>24</v>
      </c>
      <c r="X81" s="144" t="s">
        <v>24</v>
      </c>
      <c r="Y81" s="144" t="s">
        <v>24</v>
      </c>
      <c r="Z81" s="144" t="s">
        <v>24</v>
      </c>
      <c r="AB81" s="152" t="s">
        <v>459</v>
      </c>
      <c r="AC81" s="152" t="s">
        <v>460</v>
      </c>
      <c r="AD81" s="152" t="s">
        <v>461</v>
      </c>
      <c r="AE81" s="134" t="s">
        <v>287</v>
      </c>
      <c r="AF81" s="149" t="s">
        <v>4</v>
      </c>
      <c r="AG81" s="208">
        <v>18935.96</v>
      </c>
      <c r="AH81" s="208">
        <v>48935.96</v>
      </c>
      <c r="AI81" s="230" t="s">
        <v>6</v>
      </c>
      <c r="AJ81" s="138" t="s">
        <v>109</v>
      </c>
      <c r="AK81" s="200"/>
      <c r="AL81" s="149" t="s">
        <v>110</v>
      </c>
      <c r="AM81" s="149" t="s">
        <v>110</v>
      </c>
      <c r="AN81" s="134" t="s">
        <v>111</v>
      </c>
      <c r="AP81" s="152" t="s">
        <v>462</v>
      </c>
      <c r="AQ81" s="198" t="s">
        <v>110</v>
      </c>
      <c r="AR81" s="198" t="s">
        <v>110</v>
      </c>
      <c r="AS81" s="198" t="s">
        <v>110</v>
      </c>
      <c r="AT81" s="149" t="s">
        <v>110</v>
      </c>
      <c r="AU81" s="161">
        <v>45755</v>
      </c>
      <c r="AV81" s="149" t="s">
        <v>110</v>
      </c>
      <c r="AW81" s="149" t="s">
        <v>110</v>
      </c>
      <c r="AX81" s="139">
        <v>45762</v>
      </c>
      <c r="AY81" s="140">
        <v>45762</v>
      </c>
      <c r="AZ81" s="141" t="s">
        <v>33</v>
      </c>
      <c r="BA81" s="141" t="s">
        <v>1</v>
      </c>
      <c r="BB81" s="149" t="s">
        <v>110</v>
      </c>
      <c r="BC81" s="142">
        <f>IF(AY81-KD81=0,"",AY81-O81)</f>
        <v>162</v>
      </c>
      <c r="BD81" s="134" t="str">
        <f>IF(AND(AI81&lt;&gt;"SIM",AI81="UH"),"AA","INDENIZAÇÃO")</f>
        <v>INDENIZAÇÃO</v>
      </c>
      <c r="BE81" s="134" t="str">
        <f>IF(AND(AY81&lt;&gt;"AGUARDANDO",AY81&lt;&gt;"",N81="AUXÍLIO ALUGUEL ATÉ INDENIZAÇÃO"),"SIM","NÃO")</f>
        <v>NÃO</v>
      </c>
      <c r="BF81" s="149" t="s">
        <v>24</v>
      </c>
      <c r="BG81" s="149" t="s">
        <v>24</v>
      </c>
      <c r="BH81" s="149" t="s">
        <v>24</v>
      </c>
      <c r="BI81" s="198" t="s">
        <v>110</v>
      </c>
      <c r="BJ81" s="198" t="s">
        <v>110</v>
      </c>
      <c r="BK81" s="161">
        <v>45783</v>
      </c>
      <c r="BL81" s="198" t="s">
        <v>110</v>
      </c>
      <c r="BM81" s="145" t="s">
        <v>33</v>
      </c>
      <c r="CI81" s="200"/>
    </row>
    <row r="82" spans="1:87" s="149" customFormat="1" ht="30" customHeight="1">
      <c r="A82" s="134">
        <v>68</v>
      </c>
      <c r="B82" s="134" t="s">
        <v>99</v>
      </c>
      <c r="C82" s="134">
        <v>1</v>
      </c>
      <c r="D82" s="134" t="s">
        <v>100</v>
      </c>
      <c r="E82" s="134" t="s">
        <v>100</v>
      </c>
      <c r="F82" s="138" t="s">
        <v>463</v>
      </c>
      <c r="G82" s="149" t="s">
        <v>102</v>
      </c>
      <c r="H82" s="149" t="s">
        <v>103</v>
      </c>
      <c r="I82" s="149" t="s">
        <v>108</v>
      </c>
      <c r="J82" s="152" t="s">
        <v>464</v>
      </c>
      <c r="K82" s="152" t="s">
        <v>465</v>
      </c>
      <c r="L82" s="152" t="s">
        <v>466</v>
      </c>
      <c r="M82" s="134" t="s">
        <v>4</v>
      </c>
      <c r="N82" s="134" t="s">
        <v>467</v>
      </c>
      <c r="O82" s="194">
        <v>45852</v>
      </c>
      <c r="P82" s="144" t="s">
        <v>24</v>
      </c>
      <c r="Q82" s="144" t="s">
        <v>24</v>
      </c>
      <c r="R82" s="144" t="s">
        <v>24</v>
      </c>
      <c r="S82" s="144" t="s">
        <v>24</v>
      </c>
      <c r="T82" s="144" t="s">
        <v>24</v>
      </c>
      <c r="U82" s="144" t="s">
        <v>24</v>
      </c>
      <c r="V82" s="144" t="s">
        <v>24</v>
      </c>
      <c r="W82" s="144" t="s">
        <v>24</v>
      </c>
      <c r="X82" s="144" t="s">
        <v>24</v>
      </c>
      <c r="Y82" s="144" t="s">
        <v>24</v>
      </c>
      <c r="Z82" s="144" t="s">
        <v>24</v>
      </c>
      <c r="AA82" s="149" t="s">
        <v>468</v>
      </c>
      <c r="AB82" s="152" t="s">
        <v>464</v>
      </c>
      <c r="AC82" s="152" t="s">
        <v>465</v>
      </c>
      <c r="AD82" s="152" t="s">
        <v>466</v>
      </c>
      <c r="AE82" s="149" t="s">
        <v>108</v>
      </c>
      <c r="AF82" s="149" t="s">
        <v>4</v>
      </c>
      <c r="AG82" s="208" t="s">
        <v>24</v>
      </c>
      <c r="AH82" s="208" t="s">
        <v>24</v>
      </c>
      <c r="AI82" s="234" t="s">
        <v>468</v>
      </c>
      <c r="AJ82" s="134" t="s">
        <v>24</v>
      </c>
      <c r="AK82" s="211" t="s">
        <v>24</v>
      </c>
      <c r="AL82" s="134" t="s">
        <v>24</v>
      </c>
      <c r="AM82" s="134" t="s">
        <v>24</v>
      </c>
      <c r="AN82" s="134" t="s">
        <v>24</v>
      </c>
      <c r="AO82" s="149" t="s">
        <v>468</v>
      </c>
      <c r="AP82" s="134" t="s">
        <v>24</v>
      </c>
      <c r="AQ82" s="134" t="s">
        <v>24</v>
      </c>
      <c r="AR82" s="134" t="s">
        <v>24</v>
      </c>
      <c r="AS82" s="134" t="s">
        <v>24</v>
      </c>
      <c r="AT82" s="134" t="s">
        <v>24</v>
      </c>
      <c r="AU82" s="134" t="s">
        <v>24</v>
      </c>
      <c r="AV82" s="134" t="s">
        <v>24</v>
      </c>
      <c r="AW82" s="134" t="s">
        <v>24</v>
      </c>
      <c r="AX82" s="134" t="s">
        <v>24</v>
      </c>
      <c r="AY82" s="134" t="s">
        <v>24</v>
      </c>
      <c r="AZ82" s="141" t="s">
        <v>33</v>
      </c>
      <c r="BA82" s="141" t="s">
        <v>113</v>
      </c>
      <c r="BB82" s="149" t="s">
        <v>110</v>
      </c>
      <c r="BC82" s="142" t="e">
        <f>IF(AY82-KD82=0,"",AY82-O82)</f>
        <v>#VALUE!</v>
      </c>
      <c r="BD82" s="134" t="str">
        <f>IF(AND(AI82&lt;&gt;"SIM",AI82="UH"),"AA","INDENIZAÇÃO")</f>
        <v>INDENIZAÇÃO</v>
      </c>
      <c r="BE82" s="134" t="str">
        <f>IF(AND(AY82&lt;&gt;"AGUARDANDO",AY82&lt;&gt;"",N82="AUXÍLIO ALUGUEL ATÉ INDENIZAÇÃO"),"SIM","NÃO")</f>
        <v>NÃO</v>
      </c>
      <c r="BF82" s="142" t="s">
        <v>24</v>
      </c>
      <c r="BG82" s="142" t="s">
        <v>24</v>
      </c>
      <c r="BH82" s="142" t="s">
        <v>24</v>
      </c>
      <c r="BI82" s="142" t="s">
        <v>24</v>
      </c>
      <c r="BJ82" s="142" t="s">
        <v>24</v>
      </c>
      <c r="BK82" s="142" t="s">
        <v>24</v>
      </c>
      <c r="BL82" s="142" t="s">
        <v>24</v>
      </c>
      <c r="BM82" s="145" t="s">
        <v>110</v>
      </c>
      <c r="CI82" s="200"/>
    </row>
    <row r="83" spans="1:87" s="149" customFormat="1" ht="30" customHeight="1">
      <c r="A83" s="134">
        <v>69</v>
      </c>
      <c r="B83" s="134" t="s">
        <v>99</v>
      </c>
      <c r="C83" s="134">
        <v>1</v>
      </c>
      <c r="D83" s="134" t="s">
        <v>100</v>
      </c>
      <c r="E83" s="134" t="s">
        <v>100</v>
      </c>
      <c r="F83" s="138" t="s">
        <v>469</v>
      </c>
      <c r="G83" s="149" t="s">
        <v>102</v>
      </c>
      <c r="H83" s="149" t="s">
        <v>103</v>
      </c>
      <c r="I83" s="149" t="s">
        <v>387</v>
      </c>
      <c r="J83" s="152" t="s">
        <v>470</v>
      </c>
      <c r="K83" s="152" t="s">
        <v>471</v>
      </c>
      <c r="L83" s="152" t="s">
        <v>472</v>
      </c>
      <c r="M83" s="134" t="s">
        <v>4</v>
      </c>
      <c r="N83" s="134" t="s">
        <v>14</v>
      </c>
      <c r="O83" s="194">
        <v>45852</v>
      </c>
      <c r="P83" s="197" t="s">
        <v>17</v>
      </c>
      <c r="Q83" s="264" t="s">
        <v>283</v>
      </c>
      <c r="R83" s="197"/>
      <c r="S83" s="197"/>
      <c r="T83" s="197"/>
      <c r="U83" s="197"/>
      <c r="V83" s="197"/>
      <c r="W83" s="197"/>
      <c r="X83" s="197"/>
      <c r="Y83" s="197"/>
      <c r="Z83" s="197"/>
      <c r="AB83" s="152" t="s">
        <v>464</v>
      </c>
      <c r="AC83" s="152" t="s">
        <v>465</v>
      </c>
      <c r="AD83" s="152" t="s">
        <v>466</v>
      </c>
      <c r="AE83" s="134" t="s">
        <v>287</v>
      </c>
      <c r="AF83" s="149" t="s">
        <v>4</v>
      </c>
      <c r="AG83" s="208">
        <v>13868.87</v>
      </c>
      <c r="AH83" s="208">
        <v>13868.87</v>
      </c>
      <c r="AI83" s="230" t="s">
        <v>6</v>
      </c>
      <c r="AJ83" s="138" t="s">
        <v>109</v>
      </c>
      <c r="AK83" s="211">
        <v>93752897</v>
      </c>
      <c r="AL83" s="149" t="s">
        <v>110</v>
      </c>
      <c r="AM83" s="149" t="s">
        <v>110</v>
      </c>
      <c r="AN83" s="149" t="s">
        <v>111</v>
      </c>
      <c r="AP83" s="152" t="s">
        <v>473</v>
      </c>
      <c r="AQ83" s="198" t="s">
        <v>110</v>
      </c>
      <c r="AR83" s="198" t="s">
        <v>110</v>
      </c>
      <c r="AS83" s="198" t="s">
        <v>110</v>
      </c>
      <c r="AT83" s="198" t="s">
        <v>110</v>
      </c>
      <c r="AU83" s="161">
        <v>45890</v>
      </c>
      <c r="AV83" s="198" t="s">
        <v>110</v>
      </c>
      <c r="AW83" s="198" t="s">
        <v>110</v>
      </c>
      <c r="AX83" s="161">
        <v>45902</v>
      </c>
      <c r="AY83" s="140">
        <v>45902</v>
      </c>
      <c r="AZ83" s="140" t="s">
        <v>33</v>
      </c>
      <c r="BA83" s="141" t="s">
        <v>113</v>
      </c>
      <c r="BB83" s="149" t="s">
        <v>110</v>
      </c>
      <c r="BC83" s="142">
        <f>IF(AY83-KD83=0,"",AY83-O83)</f>
        <v>50</v>
      </c>
      <c r="BD83" s="134" t="str">
        <f>IF(AND(AI83&lt;&gt;"SIM",AI83="UH"),"AA","INDENIZAÇÃO")</f>
        <v>INDENIZAÇÃO</v>
      </c>
      <c r="BE83" s="134" t="str">
        <f>IF(AND(AY83&lt;&gt;"AGUARDANDO",AY83&lt;&gt;"",N83="AUXÍLIO ALUGUEL ATÉ INDENIZAÇÃO"),"SIM","NÃO")</f>
        <v>NÃO</v>
      </c>
      <c r="BF83" s="149" t="s">
        <v>24</v>
      </c>
      <c r="BG83" s="149" t="s">
        <v>24</v>
      </c>
      <c r="BH83" s="149" t="s">
        <v>24</v>
      </c>
      <c r="BI83" s="198" t="s">
        <v>110</v>
      </c>
      <c r="BJ83" s="198" t="s">
        <v>110</v>
      </c>
      <c r="BK83" s="161">
        <v>45923</v>
      </c>
      <c r="BL83" s="198" t="s">
        <v>110</v>
      </c>
      <c r="BM83" s="145" t="s">
        <v>33</v>
      </c>
      <c r="CI83" s="200"/>
    </row>
    <row r="84" spans="1:87" s="149" customFormat="1" ht="30" customHeight="1">
      <c r="A84" s="134">
        <v>70</v>
      </c>
      <c r="B84" s="134" t="s">
        <v>99</v>
      </c>
      <c r="C84" s="134">
        <v>1</v>
      </c>
      <c r="D84" s="134" t="s">
        <v>100</v>
      </c>
      <c r="E84" s="134" t="s">
        <v>100</v>
      </c>
      <c r="F84" s="138" t="s">
        <v>474</v>
      </c>
      <c r="G84" s="149" t="s">
        <v>102</v>
      </c>
      <c r="H84" s="149" t="s">
        <v>103</v>
      </c>
      <c r="I84" s="149" t="s">
        <v>387</v>
      </c>
      <c r="J84" s="152" t="s">
        <v>475</v>
      </c>
      <c r="K84" s="152" t="s">
        <v>476</v>
      </c>
      <c r="L84" s="152" t="s">
        <v>477</v>
      </c>
      <c r="M84" s="134" t="s">
        <v>4</v>
      </c>
      <c r="N84" s="134" t="s">
        <v>14</v>
      </c>
      <c r="O84" s="194"/>
      <c r="P84" s="144"/>
      <c r="Q84" s="263"/>
      <c r="R84" s="144"/>
      <c r="S84" s="144"/>
      <c r="T84" s="144"/>
      <c r="U84" s="144"/>
      <c r="V84" s="144"/>
      <c r="W84" s="144"/>
      <c r="X84" s="144"/>
      <c r="Y84" s="144"/>
      <c r="Z84" s="144"/>
      <c r="AB84" s="152" t="s">
        <v>478</v>
      </c>
      <c r="AC84" s="152" t="s">
        <v>479</v>
      </c>
      <c r="AD84" s="152" t="s">
        <v>480</v>
      </c>
      <c r="AE84" s="134" t="s">
        <v>287</v>
      </c>
      <c r="AG84" s="208"/>
      <c r="AH84" s="208"/>
      <c r="AI84" s="230"/>
      <c r="AJ84" s="134"/>
      <c r="AK84" s="211"/>
      <c r="AP84" s="152"/>
      <c r="BC84" s="142" t="str">
        <f>IF(AY84-KD84=0,"",AY84-O84)</f>
        <v/>
      </c>
      <c r="BD84" s="134" t="str">
        <f>IF(AND(AI84&lt;&gt;"SIM",AI84="UH"),"AA","INDENIZAÇÃO")</f>
        <v>INDENIZAÇÃO</v>
      </c>
      <c r="BE84" s="134" t="str">
        <f>IF(AND(AY84&lt;&gt;"AGUARDANDO",AY84&lt;&gt;"",N84="AUXÍLIO ALUGUEL ATÉ INDENIZAÇÃO"),"SIM","NÃO")</f>
        <v>NÃO</v>
      </c>
      <c r="BF84" s="134"/>
      <c r="BG84" s="194"/>
      <c r="BH84" s="194"/>
      <c r="CI84" s="200"/>
    </row>
    <row r="85" spans="1:87" s="149" customFormat="1" ht="30" customHeight="1">
      <c r="A85" s="134">
        <v>71</v>
      </c>
      <c r="B85" s="134" t="s">
        <v>99</v>
      </c>
      <c r="C85" s="134">
        <v>1</v>
      </c>
      <c r="D85" s="134" t="s">
        <v>100</v>
      </c>
      <c r="E85" s="134" t="s">
        <v>100</v>
      </c>
      <c r="F85" s="138" t="s">
        <v>481</v>
      </c>
      <c r="G85" s="149" t="s">
        <v>102</v>
      </c>
      <c r="H85" s="149" t="s">
        <v>103</v>
      </c>
      <c r="I85" s="149" t="s">
        <v>387</v>
      </c>
      <c r="J85" s="152" t="s">
        <v>482</v>
      </c>
      <c r="K85" s="152" t="s">
        <v>483</v>
      </c>
      <c r="L85" s="152" t="s">
        <v>484</v>
      </c>
      <c r="M85" s="134" t="s">
        <v>4</v>
      </c>
      <c r="N85" s="134"/>
      <c r="O85" s="194"/>
      <c r="P85" s="144"/>
      <c r="Q85" s="263"/>
      <c r="R85" s="144"/>
      <c r="S85" s="144"/>
      <c r="T85" s="144"/>
      <c r="U85" s="144"/>
      <c r="V85" s="144"/>
      <c r="W85" s="144"/>
      <c r="X85" s="144"/>
      <c r="Y85" s="144"/>
      <c r="Z85" s="144"/>
      <c r="AB85" s="152" t="s">
        <v>485</v>
      </c>
      <c r="AC85" s="152" t="s">
        <v>486</v>
      </c>
      <c r="AD85" s="152" t="s">
        <v>487</v>
      </c>
      <c r="AE85" s="134" t="s">
        <v>287</v>
      </c>
      <c r="AG85" s="208"/>
      <c r="AH85" s="208"/>
      <c r="AI85" s="230"/>
      <c r="AJ85" s="134"/>
      <c r="AK85" s="211"/>
      <c r="AP85" s="152"/>
      <c r="BC85" s="142" t="str">
        <f>IF(AY85-KD85=0,"",AY85-O85)</f>
        <v/>
      </c>
      <c r="BD85" s="134" t="str">
        <f>IF(AND(AI85&lt;&gt;"SIM",AI85="UH"),"AA","INDENIZAÇÃO")</f>
        <v>INDENIZAÇÃO</v>
      </c>
      <c r="BE85" s="134" t="str">
        <f>IF(AND(AY85&lt;&gt;"AGUARDANDO",AY85&lt;&gt;"",N85="AUXÍLIO ALUGUEL ATÉ INDENIZAÇÃO"),"SIM","NÃO")</f>
        <v>NÃO</v>
      </c>
      <c r="BF85" s="134"/>
      <c r="BG85" s="194"/>
      <c r="BH85" s="194"/>
      <c r="CI85" s="200"/>
    </row>
    <row r="86" spans="1:87" s="149" customFormat="1" ht="30" customHeight="1">
      <c r="A86" s="134">
        <v>72</v>
      </c>
      <c r="B86" s="134" t="s">
        <v>99</v>
      </c>
      <c r="C86" s="134">
        <v>1</v>
      </c>
      <c r="D86" s="134" t="s">
        <v>100</v>
      </c>
      <c r="E86" s="134" t="s">
        <v>100</v>
      </c>
      <c r="F86" s="138" t="s">
        <v>488</v>
      </c>
      <c r="G86" s="149" t="s">
        <v>102</v>
      </c>
      <c r="H86" s="149" t="s">
        <v>103</v>
      </c>
      <c r="I86" s="149" t="s">
        <v>387</v>
      </c>
      <c r="J86" s="152" t="s">
        <v>489</v>
      </c>
      <c r="K86" s="152" t="s">
        <v>490</v>
      </c>
      <c r="L86" s="152" t="s">
        <v>491</v>
      </c>
      <c r="M86" s="134" t="s">
        <v>4</v>
      </c>
      <c r="N86" s="134"/>
      <c r="O86" s="194"/>
      <c r="P86" s="144"/>
      <c r="Q86" s="263"/>
      <c r="R86" s="144"/>
      <c r="S86" s="144"/>
      <c r="T86" s="144"/>
      <c r="U86" s="144"/>
      <c r="V86" s="144"/>
      <c r="W86" s="144"/>
      <c r="X86" s="144"/>
      <c r="Y86" s="144"/>
      <c r="Z86" s="144"/>
      <c r="AB86" s="152" t="s">
        <v>492</v>
      </c>
      <c r="AC86" s="152" t="s">
        <v>493</v>
      </c>
      <c r="AD86" s="152" t="s">
        <v>494</v>
      </c>
      <c r="AE86" s="134" t="s">
        <v>287</v>
      </c>
      <c r="AG86" s="208"/>
      <c r="AH86" s="208"/>
      <c r="AI86" s="230"/>
      <c r="AJ86" s="134"/>
      <c r="AK86" s="211"/>
      <c r="AP86" s="152"/>
      <c r="BC86" s="142" t="str">
        <f>IF(AY86-KD86=0,"",AY86-O86)</f>
        <v/>
      </c>
      <c r="BD86" s="134" t="str">
        <f>IF(AND(AI86&lt;&gt;"SIM",AI86="UH"),"AA","INDENIZAÇÃO")</f>
        <v>INDENIZAÇÃO</v>
      </c>
      <c r="BE86" s="134" t="str">
        <f>IF(AND(AY86&lt;&gt;"AGUARDANDO",AY86&lt;&gt;"",N86="AUXÍLIO ALUGUEL ATÉ INDENIZAÇÃO"),"SIM","NÃO")</f>
        <v>NÃO</v>
      </c>
      <c r="BF86" s="134"/>
      <c r="BG86" s="194"/>
      <c r="BH86" s="194"/>
      <c r="CI86" s="200"/>
    </row>
    <row r="87" spans="1:87" s="149" customFormat="1" ht="30" customHeight="1">
      <c r="A87" s="134">
        <v>73</v>
      </c>
      <c r="B87" s="134" t="s">
        <v>99</v>
      </c>
      <c r="C87" s="134">
        <v>1</v>
      </c>
      <c r="D87" s="134" t="s">
        <v>100</v>
      </c>
      <c r="E87" s="134" t="s">
        <v>100</v>
      </c>
      <c r="F87" s="138" t="s">
        <v>495</v>
      </c>
      <c r="G87" s="149" t="s">
        <v>102</v>
      </c>
      <c r="H87" s="149" t="s">
        <v>103</v>
      </c>
      <c r="I87" s="149" t="s">
        <v>108</v>
      </c>
      <c r="J87" s="152" t="s">
        <v>496</v>
      </c>
      <c r="K87" s="152" t="s">
        <v>497</v>
      </c>
      <c r="L87" s="152" t="s">
        <v>498</v>
      </c>
      <c r="M87" s="134" t="s">
        <v>4</v>
      </c>
      <c r="N87" s="134"/>
      <c r="O87" s="194"/>
      <c r="P87" s="144"/>
      <c r="Q87" s="263"/>
      <c r="R87" s="144"/>
      <c r="S87" s="144"/>
      <c r="T87" s="144"/>
      <c r="U87" s="144"/>
      <c r="V87" s="144"/>
      <c r="W87" s="144"/>
      <c r="X87" s="144"/>
      <c r="Y87" s="144"/>
      <c r="Z87" s="144"/>
      <c r="AB87" s="152" t="s">
        <v>496</v>
      </c>
      <c r="AC87" s="152" t="s">
        <v>497</v>
      </c>
      <c r="AD87" s="152" t="s">
        <v>498</v>
      </c>
      <c r="AE87" s="149" t="s">
        <v>108</v>
      </c>
      <c r="AG87" s="208"/>
      <c r="AH87" s="208"/>
      <c r="AI87" s="230"/>
      <c r="AJ87" s="134"/>
      <c r="AK87" s="211"/>
      <c r="AP87" s="152"/>
      <c r="BC87" s="142" t="str">
        <f>IF(AY87-KD87=0,"",AY87-O87)</f>
        <v/>
      </c>
      <c r="BD87" s="134" t="str">
        <f>IF(AND(AI87&lt;&gt;"SIM",AI87="UH"),"AA","INDENIZAÇÃO")</f>
        <v>INDENIZAÇÃO</v>
      </c>
      <c r="BE87" s="134" t="str">
        <f>IF(AND(AY87&lt;&gt;"AGUARDANDO",AY87&lt;&gt;"",N87="AUXÍLIO ALUGUEL ATÉ INDENIZAÇÃO"),"SIM","NÃO")</f>
        <v>NÃO</v>
      </c>
      <c r="BF87" s="134"/>
      <c r="BG87" s="194"/>
      <c r="BH87" s="194"/>
      <c r="CI87" s="200"/>
    </row>
    <row r="88" spans="1:87" s="149" customFormat="1" ht="30" customHeight="1">
      <c r="A88" s="134">
        <v>74</v>
      </c>
      <c r="B88" s="134" t="s">
        <v>99</v>
      </c>
      <c r="C88" s="134">
        <v>1</v>
      </c>
      <c r="D88" s="134" t="s">
        <v>100</v>
      </c>
      <c r="E88" s="134" t="s">
        <v>100</v>
      </c>
      <c r="F88" s="138" t="s">
        <v>499</v>
      </c>
      <c r="G88" s="149" t="s">
        <v>344</v>
      </c>
      <c r="H88" s="149" t="s">
        <v>103</v>
      </c>
      <c r="I88" s="149" t="s">
        <v>287</v>
      </c>
      <c r="J88" s="152" t="s">
        <v>500</v>
      </c>
      <c r="K88" s="152" t="s">
        <v>501</v>
      </c>
      <c r="L88" s="152" t="s">
        <v>502</v>
      </c>
      <c r="M88" s="134" t="s">
        <v>4</v>
      </c>
      <c r="N88" s="134"/>
      <c r="O88" s="194"/>
      <c r="P88" s="144"/>
      <c r="Q88" s="263"/>
      <c r="R88" s="144"/>
      <c r="S88" s="144"/>
      <c r="T88" s="144"/>
      <c r="U88" s="144"/>
      <c r="V88" s="144"/>
      <c r="W88" s="144"/>
      <c r="X88" s="144"/>
      <c r="Y88" s="144"/>
      <c r="Z88" s="144"/>
      <c r="AB88" s="152" t="s">
        <v>500</v>
      </c>
      <c r="AC88" s="152" t="s">
        <v>501</v>
      </c>
      <c r="AD88" s="152" t="s">
        <v>502</v>
      </c>
      <c r="AE88" s="134" t="s">
        <v>287</v>
      </c>
      <c r="AG88" s="208"/>
      <c r="AH88" s="208"/>
      <c r="AI88" s="230"/>
      <c r="AJ88" s="134"/>
      <c r="AK88" s="211"/>
      <c r="AP88" s="152"/>
      <c r="BC88" s="142" t="str">
        <f>IF(AY88-KD88=0,"",AY88-O88)</f>
        <v/>
      </c>
      <c r="BD88" s="134" t="str">
        <f>IF(AND(AI88&lt;&gt;"SIM",AI88="UH"),"AA","INDENIZAÇÃO")</f>
        <v>INDENIZAÇÃO</v>
      </c>
      <c r="BE88" s="134" t="str">
        <f>IF(AND(AY88&lt;&gt;"AGUARDANDO",AY88&lt;&gt;"",N88="AUXÍLIO ALUGUEL ATÉ INDENIZAÇÃO"),"SIM","NÃO")</f>
        <v>NÃO</v>
      </c>
      <c r="BF88" s="134"/>
      <c r="BG88" s="194"/>
      <c r="BH88" s="194"/>
      <c r="CI88" s="200"/>
    </row>
    <row r="89" spans="1:87" s="149" customFormat="1" ht="30" customHeight="1">
      <c r="A89" s="134">
        <v>75</v>
      </c>
      <c r="B89" s="134" t="s">
        <v>99</v>
      </c>
      <c r="C89" s="134">
        <v>1</v>
      </c>
      <c r="D89" s="134" t="s">
        <v>100</v>
      </c>
      <c r="E89" s="134" t="s">
        <v>100</v>
      </c>
      <c r="F89" s="138" t="s">
        <v>503</v>
      </c>
      <c r="G89" s="149" t="s">
        <v>344</v>
      </c>
      <c r="H89" s="149" t="s">
        <v>103</v>
      </c>
      <c r="I89" s="149" t="s">
        <v>287</v>
      </c>
      <c r="J89" s="152" t="s">
        <v>492</v>
      </c>
      <c r="K89" s="152" t="s">
        <v>493</v>
      </c>
      <c r="L89" s="152" t="s">
        <v>494</v>
      </c>
      <c r="M89" s="134" t="s">
        <v>4</v>
      </c>
      <c r="N89" s="134"/>
      <c r="O89" s="194"/>
      <c r="P89" s="144"/>
      <c r="Q89" s="263"/>
      <c r="R89" s="144"/>
      <c r="S89" s="144"/>
      <c r="T89" s="144"/>
      <c r="U89" s="144"/>
      <c r="V89" s="144"/>
      <c r="W89" s="144"/>
      <c r="X89" s="144"/>
      <c r="Y89" s="144"/>
      <c r="Z89" s="144"/>
      <c r="AB89" s="152" t="s">
        <v>492</v>
      </c>
      <c r="AC89" s="152" t="s">
        <v>493</v>
      </c>
      <c r="AD89" s="152" t="s">
        <v>494</v>
      </c>
      <c r="AE89" s="134" t="s">
        <v>287</v>
      </c>
      <c r="AG89" s="208"/>
      <c r="AH89" s="208"/>
      <c r="AI89" s="230"/>
      <c r="AJ89" s="134"/>
      <c r="AK89" s="211"/>
      <c r="AP89" s="152"/>
      <c r="BC89" s="142" t="str">
        <f>IF(AY89-KD89=0,"",AY89-O89)</f>
        <v/>
      </c>
      <c r="BD89" s="134" t="str">
        <f>IF(AND(AI89&lt;&gt;"SIM",AI89="UH"),"AA","INDENIZAÇÃO")</f>
        <v>INDENIZAÇÃO</v>
      </c>
      <c r="BE89" s="134" t="str">
        <f>IF(AND(AY89&lt;&gt;"AGUARDANDO",AY89&lt;&gt;"",N89="AUXÍLIO ALUGUEL ATÉ INDENIZAÇÃO"),"SIM","NÃO")</f>
        <v>NÃO</v>
      </c>
      <c r="BF89" s="134"/>
      <c r="BG89" s="194"/>
      <c r="BH89" s="194"/>
      <c r="CI89" s="200"/>
    </row>
    <row r="90" spans="1:87" s="149" customFormat="1" ht="30" customHeight="1">
      <c r="A90" s="134">
        <v>76</v>
      </c>
      <c r="B90" s="134" t="s">
        <v>99</v>
      </c>
      <c r="C90" s="134">
        <v>1</v>
      </c>
      <c r="D90" s="134" t="s">
        <v>100</v>
      </c>
      <c r="E90" s="134" t="s">
        <v>100</v>
      </c>
      <c r="F90" s="138" t="s">
        <v>504</v>
      </c>
      <c r="G90" s="149" t="s">
        <v>344</v>
      </c>
      <c r="H90" s="149" t="s">
        <v>103</v>
      </c>
      <c r="I90" s="149" t="s">
        <v>287</v>
      </c>
      <c r="J90" s="152" t="s">
        <v>492</v>
      </c>
      <c r="K90" s="152" t="s">
        <v>493</v>
      </c>
      <c r="L90" s="152" t="s">
        <v>494</v>
      </c>
      <c r="M90" s="134" t="s">
        <v>4</v>
      </c>
      <c r="N90" s="134"/>
      <c r="O90" s="194"/>
      <c r="P90" s="144"/>
      <c r="Q90" s="263"/>
      <c r="R90" s="144"/>
      <c r="S90" s="144"/>
      <c r="T90" s="144"/>
      <c r="U90" s="144"/>
      <c r="V90" s="144"/>
      <c r="W90" s="144"/>
      <c r="X90" s="144"/>
      <c r="Y90" s="144"/>
      <c r="Z90" s="144"/>
      <c r="AB90" s="152" t="s">
        <v>492</v>
      </c>
      <c r="AC90" s="152" t="s">
        <v>493</v>
      </c>
      <c r="AD90" s="152" t="s">
        <v>494</v>
      </c>
      <c r="AE90" s="134" t="s">
        <v>287</v>
      </c>
      <c r="AG90" s="208"/>
      <c r="AH90" s="208"/>
      <c r="AI90" s="230"/>
      <c r="AJ90" s="134"/>
      <c r="AK90" s="211"/>
      <c r="AP90" s="152"/>
      <c r="BC90" s="142" t="str">
        <f>IF(AY90-KD90=0,"",AY90-O90)</f>
        <v/>
      </c>
      <c r="BD90" s="134" t="str">
        <f>IF(AND(AI90&lt;&gt;"SIM",AI90="UH"),"AA","INDENIZAÇÃO")</f>
        <v>INDENIZAÇÃO</v>
      </c>
      <c r="BE90" s="134" t="str">
        <f>IF(AND(AY90&lt;&gt;"AGUARDANDO",AY90&lt;&gt;"",N90="AUXÍLIO ALUGUEL ATÉ INDENIZAÇÃO"),"SIM","NÃO")</f>
        <v>NÃO</v>
      </c>
      <c r="BF90" s="134"/>
      <c r="BG90" s="194"/>
      <c r="BH90" s="194"/>
      <c r="CI90" s="200"/>
    </row>
    <row r="91" spans="1:87" s="149" customFormat="1" ht="30" customHeight="1">
      <c r="A91" s="134">
        <v>77</v>
      </c>
      <c r="B91" s="134" t="s">
        <v>99</v>
      </c>
      <c r="C91" s="134">
        <v>1</v>
      </c>
      <c r="D91" s="134" t="s">
        <v>100</v>
      </c>
      <c r="E91" s="134" t="s">
        <v>100</v>
      </c>
      <c r="F91" s="138" t="s">
        <v>505</v>
      </c>
      <c r="G91" s="149" t="s">
        <v>344</v>
      </c>
      <c r="H91" s="149" t="s">
        <v>103</v>
      </c>
      <c r="I91" s="149" t="s">
        <v>287</v>
      </c>
      <c r="J91" s="152" t="s">
        <v>506</v>
      </c>
      <c r="K91" s="152" t="s">
        <v>507</v>
      </c>
      <c r="L91" s="152" t="s">
        <v>508</v>
      </c>
      <c r="M91" s="134" t="s">
        <v>4</v>
      </c>
      <c r="N91" s="134"/>
      <c r="O91" s="194"/>
      <c r="P91" s="144"/>
      <c r="Q91" s="263"/>
      <c r="R91" s="144"/>
      <c r="S91" s="144"/>
      <c r="T91" s="144"/>
      <c r="U91" s="144"/>
      <c r="V91" s="144"/>
      <c r="W91" s="144"/>
      <c r="X91" s="144"/>
      <c r="Y91" s="144"/>
      <c r="Z91" s="144"/>
      <c r="AB91" s="152" t="s">
        <v>506</v>
      </c>
      <c r="AC91" s="152" t="s">
        <v>507</v>
      </c>
      <c r="AD91" s="152" t="s">
        <v>508</v>
      </c>
      <c r="AE91" s="134" t="s">
        <v>287</v>
      </c>
      <c r="AG91" s="208"/>
      <c r="AH91" s="208"/>
      <c r="AI91" s="134"/>
      <c r="AJ91" s="300"/>
      <c r="AK91" s="134"/>
      <c r="AP91" s="152"/>
      <c r="BC91" s="142" t="str">
        <f>IF(AY91-KD91=0,"",AY91-O91)</f>
        <v/>
      </c>
      <c r="BD91" s="134" t="str">
        <f>IF(AND(AI91&lt;&gt;"SIM",AI91="UH"),"AA","INDENIZAÇÃO")</f>
        <v>INDENIZAÇÃO</v>
      </c>
      <c r="BE91" s="134" t="str">
        <f>IF(AND(AY91&lt;&gt;"AGUARDANDO",AY91&lt;&gt;"",N91="AUXÍLIO ALUGUEL ATÉ INDENIZAÇÃO"),"SIM","NÃO")</f>
        <v>NÃO</v>
      </c>
      <c r="BF91" s="134"/>
      <c r="BG91" s="194"/>
      <c r="BH91" s="194"/>
      <c r="CI91" s="200"/>
    </row>
    <row r="92" spans="1:87" s="149" customFormat="1" ht="30" customHeight="1">
      <c r="A92" s="134">
        <v>78</v>
      </c>
      <c r="B92" s="134" t="s">
        <v>99</v>
      </c>
      <c r="C92" s="134">
        <v>1</v>
      </c>
      <c r="D92" s="134" t="s">
        <v>100</v>
      </c>
      <c r="E92" s="134" t="s">
        <v>100</v>
      </c>
      <c r="F92" s="138" t="s">
        <v>509</v>
      </c>
      <c r="G92" s="149" t="s">
        <v>102</v>
      </c>
      <c r="H92" s="149" t="s">
        <v>103</v>
      </c>
      <c r="I92" s="149" t="s">
        <v>108</v>
      </c>
      <c r="J92" s="152" t="s">
        <v>510</v>
      </c>
      <c r="K92" s="152" t="s">
        <v>511</v>
      </c>
      <c r="L92" s="152" t="s">
        <v>512</v>
      </c>
      <c r="M92" s="134" t="s">
        <v>4</v>
      </c>
      <c r="N92" s="134" t="s">
        <v>5</v>
      </c>
      <c r="O92" s="194">
        <v>45414</v>
      </c>
      <c r="P92" s="144" t="s">
        <v>24</v>
      </c>
      <c r="Q92" s="144" t="s">
        <v>24</v>
      </c>
      <c r="R92" s="144" t="s">
        <v>24</v>
      </c>
      <c r="S92" s="144" t="s">
        <v>24</v>
      </c>
      <c r="T92" s="144" t="s">
        <v>24</v>
      </c>
      <c r="U92" s="144" t="s">
        <v>24</v>
      </c>
      <c r="V92" s="144" t="s">
        <v>24</v>
      </c>
      <c r="W92" s="144" t="s">
        <v>24</v>
      </c>
      <c r="X92" s="144" t="s">
        <v>24</v>
      </c>
      <c r="Y92" s="144" t="s">
        <v>24</v>
      </c>
      <c r="Z92" s="144" t="s">
        <v>24</v>
      </c>
      <c r="AB92" s="152" t="s">
        <v>510</v>
      </c>
      <c r="AC92" s="152" t="s">
        <v>511</v>
      </c>
      <c r="AD92" s="152" t="s">
        <v>512</v>
      </c>
      <c r="AE92" s="149" t="s">
        <v>108</v>
      </c>
      <c r="AF92" s="149" t="s">
        <v>4</v>
      </c>
      <c r="AG92" s="208">
        <v>43878.93</v>
      </c>
      <c r="AH92" s="208">
        <v>60000</v>
      </c>
      <c r="AI92" s="230" t="s">
        <v>6</v>
      </c>
      <c r="AJ92" s="138" t="s">
        <v>109</v>
      </c>
      <c r="AL92" s="149" t="s">
        <v>110</v>
      </c>
      <c r="AM92" s="149" t="s">
        <v>110</v>
      </c>
      <c r="AN92" s="149" t="s">
        <v>111</v>
      </c>
      <c r="AP92" s="199" t="s">
        <v>513</v>
      </c>
      <c r="AQ92" s="198" t="s">
        <v>110</v>
      </c>
      <c r="AR92" s="198" t="s">
        <v>110</v>
      </c>
      <c r="AS92" s="198" t="s">
        <v>110</v>
      </c>
      <c r="AT92" s="198" t="s">
        <v>110</v>
      </c>
      <c r="AU92" s="194">
        <v>45498</v>
      </c>
      <c r="AV92" s="198" t="s">
        <v>110</v>
      </c>
      <c r="AW92" s="198" t="s">
        <v>110</v>
      </c>
      <c r="AX92" s="194">
        <v>45506</v>
      </c>
      <c r="AY92" s="197">
        <v>45506</v>
      </c>
      <c r="AZ92" s="145" t="s">
        <v>33</v>
      </c>
      <c r="BA92" s="145" t="s">
        <v>113</v>
      </c>
      <c r="BB92" s="149" t="s">
        <v>110</v>
      </c>
      <c r="BC92" s="142">
        <f>IF(AY92-KD92=0,"",AY92-O92)</f>
        <v>92</v>
      </c>
      <c r="BD92" s="134" t="str">
        <f>IF(AND(AI92&lt;&gt;"SIM",AI92="UH"),"AA","INDENIZAÇÃO")</f>
        <v>INDENIZAÇÃO</v>
      </c>
      <c r="BE92" s="134" t="str">
        <f>IF(AND(AY92&lt;&gt;"AGUARDANDO",AY92&lt;&gt;"",N92="AUXÍLIO ALUGUEL ATÉ INDENIZAÇÃO"),"SIM","NÃO")</f>
        <v>NÃO</v>
      </c>
      <c r="BF92" s="134" t="s">
        <v>24</v>
      </c>
      <c r="BG92" s="134" t="s">
        <v>24</v>
      </c>
      <c r="BH92" s="134" t="s">
        <v>24</v>
      </c>
      <c r="BI92" s="198" t="s">
        <v>110</v>
      </c>
      <c r="BJ92" s="198" t="s">
        <v>110</v>
      </c>
      <c r="BK92" s="194">
        <v>45559</v>
      </c>
      <c r="BL92" s="198" t="s">
        <v>110</v>
      </c>
      <c r="BM92" s="145" t="s">
        <v>33</v>
      </c>
      <c r="CI92" s="200"/>
    </row>
    <row r="93" spans="1:87" s="149" customFormat="1" ht="30" customHeight="1">
      <c r="A93" s="134">
        <v>79</v>
      </c>
      <c r="B93" s="134" t="s">
        <v>99</v>
      </c>
      <c r="C93" s="134">
        <v>1</v>
      </c>
      <c r="D93" s="134" t="s">
        <v>100</v>
      </c>
      <c r="E93" s="134" t="s">
        <v>100</v>
      </c>
      <c r="F93" s="138" t="s">
        <v>514</v>
      </c>
      <c r="G93" s="149" t="s">
        <v>102</v>
      </c>
      <c r="H93" s="149" t="s">
        <v>103</v>
      </c>
      <c r="I93" s="149" t="s">
        <v>108</v>
      </c>
      <c r="J93" s="152" t="s">
        <v>515</v>
      </c>
      <c r="K93" s="152" t="s">
        <v>516</v>
      </c>
      <c r="L93" s="152" t="s">
        <v>517</v>
      </c>
      <c r="M93" s="134" t="s">
        <v>4</v>
      </c>
      <c r="N93" s="134" t="s">
        <v>5</v>
      </c>
      <c r="O93" s="194">
        <v>45376</v>
      </c>
      <c r="P93" s="144" t="s">
        <v>24</v>
      </c>
      <c r="Q93" s="144" t="s">
        <v>24</v>
      </c>
      <c r="R93" s="144" t="s">
        <v>24</v>
      </c>
      <c r="S93" s="144" t="s">
        <v>24</v>
      </c>
      <c r="T93" s="144" t="s">
        <v>24</v>
      </c>
      <c r="U93" s="144" t="s">
        <v>24</v>
      </c>
      <c r="V93" s="144" t="s">
        <v>24</v>
      </c>
      <c r="W93" s="144" t="s">
        <v>24</v>
      </c>
      <c r="X93" s="144" t="s">
        <v>24</v>
      </c>
      <c r="Y93" s="144" t="s">
        <v>24</v>
      </c>
      <c r="Z93" s="144" t="s">
        <v>24</v>
      </c>
      <c r="AB93" s="152" t="s">
        <v>515</v>
      </c>
      <c r="AC93" s="152" t="s">
        <v>516</v>
      </c>
      <c r="AD93" s="152" t="s">
        <v>517</v>
      </c>
      <c r="AE93" s="149" t="s">
        <v>108</v>
      </c>
      <c r="AF93" s="149" t="s">
        <v>4</v>
      </c>
      <c r="AG93" s="208">
        <v>181445.15</v>
      </c>
      <c r="AH93" s="208">
        <v>181445.15</v>
      </c>
      <c r="AI93" s="214" t="s">
        <v>6</v>
      </c>
      <c r="AJ93" s="160" t="s">
        <v>109</v>
      </c>
      <c r="AK93" s="214"/>
      <c r="AL93" s="149" t="s">
        <v>110</v>
      </c>
      <c r="AM93" s="149" t="s">
        <v>110</v>
      </c>
      <c r="AN93" s="149" t="s">
        <v>111</v>
      </c>
      <c r="AP93" s="199" t="s">
        <v>518</v>
      </c>
      <c r="AQ93" s="149" t="s">
        <v>110</v>
      </c>
      <c r="AR93" s="149" t="s">
        <v>110</v>
      </c>
      <c r="AS93" s="198" t="s">
        <v>110</v>
      </c>
      <c r="AT93" s="198" t="s">
        <v>110</v>
      </c>
      <c r="AU93" s="194">
        <v>45587</v>
      </c>
      <c r="AV93" s="198" t="s">
        <v>110</v>
      </c>
      <c r="AW93" s="198" t="s">
        <v>110</v>
      </c>
      <c r="AX93" s="194">
        <v>45600</v>
      </c>
      <c r="AY93" s="197">
        <v>45600</v>
      </c>
      <c r="AZ93" s="197" t="s">
        <v>33</v>
      </c>
      <c r="BA93" s="145" t="s">
        <v>113</v>
      </c>
      <c r="BB93" s="149" t="s">
        <v>110</v>
      </c>
      <c r="BC93" s="142">
        <f>IF(AY93-KD93=0,"",AY93-O93)</f>
        <v>224</v>
      </c>
      <c r="BD93" s="134" t="str">
        <f>IF(AND(AI93&lt;&gt;"SIM",AI93="UH"),"AA","INDENIZAÇÃO")</f>
        <v>INDENIZAÇÃO</v>
      </c>
      <c r="BE93" s="134" t="str">
        <f>IF(AND(AY93&lt;&gt;"AGUARDANDO",AY93&lt;&gt;"",N93="AUXÍLIO ALUGUEL ATÉ INDENIZAÇÃO"),"SIM","NÃO")</f>
        <v>NÃO</v>
      </c>
      <c r="BF93" s="134" t="s">
        <v>24</v>
      </c>
      <c r="BG93" s="134" t="s">
        <v>24</v>
      </c>
      <c r="BH93" s="134" t="s">
        <v>24</v>
      </c>
      <c r="BI93" s="198" t="s">
        <v>110</v>
      </c>
      <c r="BJ93" s="198" t="s">
        <v>110</v>
      </c>
      <c r="BK93" s="194">
        <v>45621</v>
      </c>
      <c r="BL93" s="198" t="s">
        <v>110</v>
      </c>
      <c r="BM93" s="145" t="s">
        <v>33</v>
      </c>
      <c r="CI93" s="200"/>
    </row>
    <row r="94" spans="1:87" s="149" customFormat="1" ht="30" customHeight="1">
      <c r="A94" s="134">
        <v>80</v>
      </c>
      <c r="B94" s="134" t="s">
        <v>99</v>
      </c>
      <c r="C94" s="134">
        <v>1</v>
      </c>
      <c r="D94" s="134" t="s">
        <v>100</v>
      </c>
      <c r="E94" s="134" t="s">
        <v>100</v>
      </c>
      <c r="F94" s="138" t="s">
        <v>519</v>
      </c>
      <c r="G94" s="149" t="s">
        <v>102</v>
      </c>
      <c r="H94" s="149" t="s">
        <v>103</v>
      </c>
      <c r="I94" s="149" t="s">
        <v>108</v>
      </c>
      <c r="J94" s="152" t="s">
        <v>520</v>
      </c>
      <c r="K94" s="152" t="s">
        <v>521</v>
      </c>
      <c r="L94" s="152" t="s">
        <v>522</v>
      </c>
      <c r="M94" s="134" t="s">
        <v>4</v>
      </c>
      <c r="N94" s="134" t="s">
        <v>5</v>
      </c>
      <c r="O94" s="194">
        <v>45376</v>
      </c>
      <c r="P94" s="144" t="s">
        <v>24</v>
      </c>
      <c r="Q94" s="144" t="s">
        <v>24</v>
      </c>
      <c r="R94" s="144" t="s">
        <v>24</v>
      </c>
      <c r="S94" s="144" t="s">
        <v>24</v>
      </c>
      <c r="T94" s="144" t="s">
        <v>24</v>
      </c>
      <c r="U94" s="144" t="s">
        <v>24</v>
      </c>
      <c r="V94" s="144" t="s">
        <v>24</v>
      </c>
      <c r="W94" s="144" t="s">
        <v>24</v>
      </c>
      <c r="X94" s="144" t="s">
        <v>24</v>
      </c>
      <c r="Y94" s="144" t="s">
        <v>24</v>
      </c>
      <c r="Z94" s="144" t="s">
        <v>24</v>
      </c>
      <c r="AB94" s="152" t="s">
        <v>520</v>
      </c>
      <c r="AC94" s="152" t="s">
        <v>521</v>
      </c>
      <c r="AD94" s="152" t="s">
        <v>522</v>
      </c>
      <c r="AE94" s="149" t="s">
        <v>108</v>
      </c>
      <c r="AF94" s="149" t="s">
        <v>4</v>
      </c>
      <c r="AG94" s="208">
        <v>72462.67</v>
      </c>
      <c r="AH94" s="208">
        <v>72462.67</v>
      </c>
      <c r="AI94" s="214" t="s">
        <v>6</v>
      </c>
      <c r="AJ94" s="138" t="s">
        <v>109</v>
      </c>
      <c r="AK94" s="214"/>
      <c r="AL94" s="149" t="s">
        <v>110</v>
      </c>
      <c r="AM94" s="149" t="s">
        <v>110</v>
      </c>
      <c r="AN94" s="149" t="s">
        <v>111</v>
      </c>
      <c r="AP94" s="199" t="s">
        <v>523</v>
      </c>
      <c r="AQ94" s="198" t="s">
        <v>110</v>
      </c>
      <c r="AR94" s="198" t="s">
        <v>110</v>
      </c>
      <c r="AS94" s="198" t="s">
        <v>110</v>
      </c>
      <c r="AT94" s="198" t="s">
        <v>110</v>
      </c>
      <c r="AU94" s="194">
        <v>45498</v>
      </c>
      <c r="AV94" s="198" t="s">
        <v>110</v>
      </c>
      <c r="AW94" s="198" t="s">
        <v>110</v>
      </c>
      <c r="AX94" s="194">
        <v>45506</v>
      </c>
      <c r="AY94" s="197">
        <v>45506</v>
      </c>
      <c r="AZ94" s="145" t="s">
        <v>33</v>
      </c>
      <c r="BA94" s="145" t="s">
        <v>113</v>
      </c>
      <c r="BB94" s="149" t="s">
        <v>110</v>
      </c>
      <c r="BC94" s="142">
        <f>IF(AY94-KD94=0,"",AY94-O94)</f>
        <v>130</v>
      </c>
      <c r="BD94" s="134" t="str">
        <f>IF(AND(AI94&lt;&gt;"SIM",AI94="UH"),"AA","INDENIZAÇÃO")</f>
        <v>INDENIZAÇÃO</v>
      </c>
      <c r="BE94" s="134" t="str">
        <f>IF(AND(AY94&lt;&gt;"AGUARDANDO",AY94&lt;&gt;"",N94="AUXÍLIO ALUGUEL ATÉ INDENIZAÇÃO"),"SIM","NÃO")</f>
        <v>NÃO</v>
      </c>
      <c r="BF94" s="134" t="s">
        <v>24</v>
      </c>
      <c r="BG94" s="134" t="s">
        <v>24</v>
      </c>
      <c r="BH94" s="134" t="s">
        <v>24</v>
      </c>
      <c r="BI94" s="198" t="s">
        <v>110</v>
      </c>
      <c r="BJ94" s="198" t="s">
        <v>110</v>
      </c>
      <c r="BK94" s="194">
        <v>45559</v>
      </c>
      <c r="BL94" s="198" t="s">
        <v>110</v>
      </c>
      <c r="BM94" s="145" t="s">
        <v>33</v>
      </c>
      <c r="CI94" s="200"/>
    </row>
    <row r="95" spans="1:87" s="149" customFormat="1" ht="30" customHeight="1">
      <c r="A95" s="134">
        <v>81</v>
      </c>
      <c r="B95" s="134" t="s">
        <v>99</v>
      </c>
      <c r="C95" s="134">
        <v>1</v>
      </c>
      <c r="D95" s="134" t="s">
        <v>100</v>
      </c>
      <c r="E95" s="134" t="s">
        <v>100</v>
      </c>
      <c r="F95" s="138" t="s">
        <v>524</v>
      </c>
      <c r="G95" s="149" t="s">
        <v>102</v>
      </c>
      <c r="H95" s="149" t="s">
        <v>103</v>
      </c>
      <c r="I95" s="149" t="s">
        <v>108</v>
      </c>
      <c r="J95" s="152" t="s">
        <v>525</v>
      </c>
      <c r="K95" s="152" t="s">
        <v>526</v>
      </c>
      <c r="L95" s="152" t="s">
        <v>527</v>
      </c>
      <c r="M95" s="134" t="s">
        <v>4</v>
      </c>
      <c r="N95" s="134" t="s">
        <v>5</v>
      </c>
      <c r="O95" s="194">
        <v>45539</v>
      </c>
      <c r="P95" s="144" t="s">
        <v>24</v>
      </c>
      <c r="Q95" s="144" t="s">
        <v>24</v>
      </c>
      <c r="R95" s="144" t="s">
        <v>24</v>
      </c>
      <c r="S95" s="144" t="s">
        <v>24</v>
      </c>
      <c r="T95" s="144" t="s">
        <v>24</v>
      </c>
      <c r="U95" s="144" t="s">
        <v>24</v>
      </c>
      <c r="V95" s="144" t="s">
        <v>24</v>
      </c>
      <c r="W95" s="144" t="s">
        <v>24</v>
      </c>
      <c r="X95" s="144" t="s">
        <v>24</v>
      </c>
      <c r="Y95" s="144" t="s">
        <v>24</v>
      </c>
      <c r="Z95" s="144" t="s">
        <v>24</v>
      </c>
      <c r="AB95" s="152" t="s">
        <v>525</v>
      </c>
      <c r="AC95" s="152" t="s">
        <v>526</v>
      </c>
      <c r="AD95" s="152" t="s">
        <v>527</v>
      </c>
      <c r="AE95" s="149" t="s">
        <v>108</v>
      </c>
      <c r="AF95" s="149" t="s">
        <v>4</v>
      </c>
      <c r="AG95" s="208">
        <v>61204.36</v>
      </c>
      <c r="AH95" s="208">
        <v>61204.36</v>
      </c>
      <c r="AI95" s="230" t="s">
        <v>6</v>
      </c>
      <c r="AJ95" s="138" t="s">
        <v>109</v>
      </c>
      <c r="AK95" s="235"/>
      <c r="AL95" s="149" t="s">
        <v>110</v>
      </c>
      <c r="AM95" s="149" t="s">
        <v>110</v>
      </c>
      <c r="AN95" s="149" t="s">
        <v>111</v>
      </c>
      <c r="AP95" s="199" t="s">
        <v>528</v>
      </c>
      <c r="AQ95" s="149" t="s">
        <v>110</v>
      </c>
      <c r="AR95" s="149" t="s">
        <v>110</v>
      </c>
      <c r="AS95" s="198" t="s">
        <v>110</v>
      </c>
      <c r="AT95" s="198" t="s">
        <v>110</v>
      </c>
      <c r="AU95" s="194">
        <v>45582</v>
      </c>
      <c r="AV95" s="198" t="s">
        <v>110</v>
      </c>
      <c r="AW95" s="198" t="s">
        <v>110</v>
      </c>
      <c r="AX95" s="194">
        <v>45588</v>
      </c>
      <c r="AY95" s="197">
        <v>45588</v>
      </c>
      <c r="AZ95" s="145" t="s">
        <v>33</v>
      </c>
      <c r="BA95" s="145" t="s">
        <v>113</v>
      </c>
      <c r="BB95" s="149" t="s">
        <v>110</v>
      </c>
      <c r="BC95" s="142">
        <f>IF(AY95-KD95=0,"",AY95-O95)</f>
        <v>49</v>
      </c>
      <c r="BD95" s="134" t="str">
        <f>IF(AND(AI95&lt;&gt;"SIM",AI95="UH"),"AA","INDENIZAÇÃO")</f>
        <v>INDENIZAÇÃO</v>
      </c>
      <c r="BE95" s="134" t="str">
        <f>IF(AND(AY95&lt;&gt;"AGUARDANDO",AY95&lt;&gt;"",N95="AUXÍLIO ALUGUEL ATÉ INDENIZAÇÃO"),"SIM","NÃO")</f>
        <v>NÃO</v>
      </c>
      <c r="BF95" s="134" t="s">
        <v>24</v>
      </c>
      <c r="BG95" s="134" t="s">
        <v>24</v>
      </c>
      <c r="BH95" s="134" t="s">
        <v>24</v>
      </c>
      <c r="BI95" s="198" t="s">
        <v>110</v>
      </c>
      <c r="BJ95" s="198" t="s">
        <v>110</v>
      </c>
      <c r="BK95" s="194">
        <v>45621</v>
      </c>
      <c r="BL95" s="198" t="s">
        <v>110</v>
      </c>
      <c r="BM95" s="145" t="s">
        <v>33</v>
      </c>
      <c r="CI95" s="200"/>
    </row>
    <row r="96" spans="1:87" s="149" customFormat="1" ht="30" customHeight="1">
      <c r="A96" s="134">
        <v>82</v>
      </c>
      <c r="B96" s="134" t="s">
        <v>99</v>
      </c>
      <c r="C96" s="134">
        <v>1</v>
      </c>
      <c r="D96" s="134" t="s">
        <v>100</v>
      </c>
      <c r="E96" s="134" t="s">
        <v>100</v>
      </c>
      <c r="F96" s="138" t="s">
        <v>529</v>
      </c>
      <c r="G96" s="149" t="s">
        <v>102</v>
      </c>
      <c r="H96" s="149" t="s">
        <v>103</v>
      </c>
      <c r="I96" s="149" t="s">
        <v>108</v>
      </c>
      <c r="J96" s="152" t="s">
        <v>530</v>
      </c>
      <c r="K96" s="152" t="s">
        <v>531</v>
      </c>
      <c r="L96" s="152" t="s">
        <v>532</v>
      </c>
      <c r="M96" s="134" t="s">
        <v>4</v>
      </c>
      <c r="N96" s="134" t="s">
        <v>5</v>
      </c>
      <c r="O96" s="194">
        <v>45702</v>
      </c>
      <c r="P96" s="144" t="s">
        <v>24</v>
      </c>
      <c r="Q96" s="144" t="s">
        <v>24</v>
      </c>
      <c r="R96" s="144" t="s">
        <v>24</v>
      </c>
      <c r="S96" s="144" t="s">
        <v>24</v>
      </c>
      <c r="T96" s="144" t="s">
        <v>24</v>
      </c>
      <c r="U96" s="144" t="s">
        <v>24</v>
      </c>
      <c r="V96" s="144" t="s">
        <v>24</v>
      </c>
      <c r="W96" s="144" t="s">
        <v>24</v>
      </c>
      <c r="X96" s="144" t="s">
        <v>24</v>
      </c>
      <c r="Y96" s="144" t="s">
        <v>24</v>
      </c>
      <c r="Z96" s="144" t="s">
        <v>24</v>
      </c>
      <c r="AB96" s="152" t="s">
        <v>530</v>
      </c>
      <c r="AC96" s="152" t="s">
        <v>531</v>
      </c>
      <c r="AD96" s="152" t="s">
        <v>532</v>
      </c>
      <c r="AE96" s="149" t="s">
        <v>108</v>
      </c>
      <c r="AF96" s="149" t="s">
        <v>4</v>
      </c>
      <c r="AG96" s="208">
        <v>25313.15</v>
      </c>
      <c r="AH96" s="208">
        <v>55313.15</v>
      </c>
      <c r="AI96" s="134" t="s">
        <v>6</v>
      </c>
      <c r="AJ96" s="312" t="s">
        <v>109</v>
      </c>
      <c r="AK96" s="214">
        <v>115730063</v>
      </c>
      <c r="AL96" s="149" t="s">
        <v>110</v>
      </c>
      <c r="AM96" s="149" t="s">
        <v>110</v>
      </c>
      <c r="AN96" s="149" t="s">
        <v>111</v>
      </c>
      <c r="AP96" s="152" t="s">
        <v>533</v>
      </c>
      <c r="AQ96" s="149" t="s">
        <v>110</v>
      </c>
      <c r="AR96" s="149" t="s">
        <v>110</v>
      </c>
      <c r="AS96" s="149" t="s">
        <v>110</v>
      </c>
      <c r="AT96" s="149" t="s">
        <v>110</v>
      </c>
      <c r="AU96" s="194">
        <v>45775</v>
      </c>
      <c r="AV96" s="149" t="s">
        <v>110</v>
      </c>
      <c r="AW96" s="149" t="s">
        <v>110</v>
      </c>
      <c r="AX96" s="194">
        <v>45782</v>
      </c>
      <c r="AY96" s="197">
        <v>45782</v>
      </c>
      <c r="AZ96" s="140" t="s">
        <v>33</v>
      </c>
      <c r="BA96" s="145" t="s">
        <v>113</v>
      </c>
      <c r="BB96" s="149" t="s">
        <v>110</v>
      </c>
      <c r="BC96" s="142">
        <f>IF(AY96-KD96=0,"",AY96-O96)</f>
        <v>80</v>
      </c>
      <c r="BD96" s="134" t="str">
        <f>IF(AND(AI96&lt;&gt;"SIM",AI96="UH"),"AA","INDENIZAÇÃO")</f>
        <v>INDENIZAÇÃO</v>
      </c>
      <c r="BE96" s="134" t="str">
        <f>IF(AND(AY96&lt;&gt;"AGUARDANDO",AY96&lt;&gt;"",N96="AUXÍLIO ALUGUEL ATÉ INDENIZAÇÃO"),"SIM","NÃO")</f>
        <v>NÃO</v>
      </c>
      <c r="BF96" s="134" t="s">
        <v>24</v>
      </c>
      <c r="BG96" s="134" t="s">
        <v>24</v>
      </c>
      <c r="BH96" s="134" t="s">
        <v>24</v>
      </c>
      <c r="BI96" s="198" t="s">
        <v>110</v>
      </c>
      <c r="BJ96" s="198" t="s">
        <v>110</v>
      </c>
      <c r="BK96" s="194">
        <v>45859</v>
      </c>
      <c r="BL96" s="149" t="s">
        <v>110</v>
      </c>
      <c r="BM96" s="141" t="s">
        <v>33</v>
      </c>
      <c r="CI96" s="200"/>
    </row>
    <row r="97" spans="1:87" s="149" customFormat="1" ht="30" customHeight="1">
      <c r="A97" s="134">
        <v>83</v>
      </c>
      <c r="B97" s="134" t="s">
        <v>99</v>
      </c>
      <c r="C97" s="134">
        <v>1</v>
      </c>
      <c r="D97" s="134" t="s">
        <v>100</v>
      </c>
      <c r="E97" s="134" t="s">
        <v>100</v>
      </c>
      <c r="F97" s="138" t="s">
        <v>534</v>
      </c>
      <c r="G97" s="149" t="s">
        <v>102</v>
      </c>
      <c r="H97" s="149" t="s">
        <v>103</v>
      </c>
      <c r="I97" s="149" t="s">
        <v>108</v>
      </c>
      <c r="J97" s="152" t="s">
        <v>535</v>
      </c>
      <c r="K97" s="152" t="s">
        <v>536</v>
      </c>
      <c r="L97" s="152" t="s">
        <v>537</v>
      </c>
      <c r="M97" s="134" t="s">
        <v>4</v>
      </c>
      <c r="N97" s="134" t="s">
        <v>5</v>
      </c>
      <c r="O97" s="194">
        <v>45376</v>
      </c>
      <c r="P97" s="144" t="s">
        <v>24</v>
      </c>
      <c r="Q97" s="144" t="s">
        <v>24</v>
      </c>
      <c r="R97" s="144" t="s">
        <v>24</v>
      </c>
      <c r="S97" s="144" t="s">
        <v>24</v>
      </c>
      <c r="T97" s="144" t="s">
        <v>24</v>
      </c>
      <c r="U97" s="144" t="s">
        <v>24</v>
      </c>
      <c r="V97" s="144" t="s">
        <v>24</v>
      </c>
      <c r="W97" s="144" t="s">
        <v>24</v>
      </c>
      <c r="X97" s="144" t="s">
        <v>24</v>
      </c>
      <c r="Y97" s="144" t="s">
        <v>24</v>
      </c>
      <c r="Z97" s="144" t="s">
        <v>24</v>
      </c>
      <c r="AB97" s="152" t="s">
        <v>535</v>
      </c>
      <c r="AC97" s="152" t="s">
        <v>536</v>
      </c>
      <c r="AD97" s="152" t="s">
        <v>537</v>
      </c>
      <c r="AE97" s="149" t="s">
        <v>108</v>
      </c>
      <c r="AF97" s="149" t="s">
        <v>4</v>
      </c>
      <c r="AG97" s="208">
        <v>18447.400000000001</v>
      </c>
      <c r="AH97" s="208">
        <v>48447.4</v>
      </c>
      <c r="AI97" s="232" t="s">
        <v>6</v>
      </c>
      <c r="AJ97" s="138" t="s">
        <v>109</v>
      </c>
      <c r="AK97" s="235"/>
      <c r="AL97" s="149" t="s">
        <v>110</v>
      </c>
      <c r="AM97" s="149" t="s">
        <v>110</v>
      </c>
      <c r="AN97" s="149" t="s">
        <v>111</v>
      </c>
      <c r="AP97" s="199" t="s">
        <v>538</v>
      </c>
      <c r="AQ97" s="198" t="s">
        <v>110</v>
      </c>
      <c r="AR97" s="198" t="s">
        <v>110</v>
      </c>
      <c r="AS97" s="198" t="s">
        <v>110</v>
      </c>
      <c r="AT97" s="198" t="s">
        <v>110</v>
      </c>
      <c r="AU97" s="194">
        <v>45498</v>
      </c>
      <c r="AV97" s="198" t="s">
        <v>110</v>
      </c>
      <c r="AW97" s="198" t="s">
        <v>110</v>
      </c>
      <c r="AX97" s="194">
        <v>45517</v>
      </c>
      <c r="AY97" s="197">
        <v>45517</v>
      </c>
      <c r="AZ97" s="145" t="s">
        <v>33</v>
      </c>
      <c r="BA97" s="145" t="s">
        <v>113</v>
      </c>
      <c r="BB97" s="149" t="s">
        <v>110</v>
      </c>
      <c r="BC97" s="142">
        <f>IF(AY97-KD97=0,"",AY97-O97)</f>
        <v>141</v>
      </c>
      <c r="BD97" s="134" t="str">
        <f>IF(AND(AI97&lt;&gt;"SIM",AI97="UH"),"AA","INDENIZAÇÃO")</f>
        <v>INDENIZAÇÃO</v>
      </c>
      <c r="BE97" s="134" t="str">
        <f>IF(AND(AY97&lt;&gt;"AGUARDANDO",AY97&lt;&gt;"",N97="AUXÍLIO ALUGUEL ATÉ INDENIZAÇÃO"),"SIM","NÃO")</f>
        <v>NÃO</v>
      </c>
      <c r="BF97" s="134" t="s">
        <v>24</v>
      </c>
      <c r="BG97" s="134" t="s">
        <v>24</v>
      </c>
      <c r="BH97" s="134" t="s">
        <v>24</v>
      </c>
      <c r="BI97" s="198" t="s">
        <v>110</v>
      </c>
      <c r="BJ97" s="198" t="s">
        <v>110</v>
      </c>
      <c r="BK97" s="194">
        <v>45559</v>
      </c>
      <c r="BL97" s="198" t="s">
        <v>110</v>
      </c>
      <c r="BM97" s="145" t="s">
        <v>33</v>
      </c>
      <c r="CI97" s="200"/>
    </row>
    <row r="98" spans="1:87" s="149" customFormat="1" ht="30" customHeight="1">
      <c r="A98" s="134">
        <v>84</v>
      </c>
      <c r="B98" s="134" t="s">
        <v>99</v>
      </c>
      <c r="C98" s="134">
        <v>1</v>
      </c>
      <c r="D98" s="134" t="s">
        <v>100</v>
      </c>
      <c r="E98" s="134" t="s">
        <v>100</v>
      </c>
      <c r="F98" s="146" t="s">
        <v>539</v>
      </c>
      <c r="G98" s="149" t="s">
        <v>102</v>
      </c>
      <c r="H98" s="149" t="s">
        <v>103</v>
      </c>
      <c r="I98" s="149" t="s">
        <v>108</v>
      </c>
      <c r="J98" s="152" t="s">
        <v>540</v>
      </c>
      <c r="K98" s="152" t="s">
        <v>541</v>
      </c>
      <c r="L98" s="152" t="s">
        <v>542</v>
      </c>
      <c r="M98" s="134" t="s">
        <v>4</v>
      </c>
      <c r="N98" s="134" t="s">
        <v>5</v>
      </c>
      <c r="O98" s="194">
        <v>45414</v>
      </c>
      <c r="P98" s="144" t="s">
        <v>24</v>
      </c>
      <c r="Q98" s="144" t="s">
        <v>24</v>
      </c>
      <c r="R98" s="144" t="s">
        <v>24</v>
      </c>
      <c r="S98" s="144" t="s">
        <v>24</v>
      </c>
      <c r="T98" s="144" t="s">
        <v>24</v>
      </c>
      <c r="U98" s="144" t="s">
        <v>24</v>
      </c>
      <c r="V98" s="144" t="s">
        <v>24</v>
      </c>
      <c r="W98" s="144" t="s">
        <v>24</v>
      </c>
      <c r="X98" s="144" t="s">
        <v>24</v>
      </c>
      <c r="Y98" s="144" t="s">
        <v>24</v>
      </c>
      <c r="Z98" s="144" t="s">
        <v>24</v>
      </c>
      <c r="AB98" s="152" t="s">
        <v>540</v>
      </c>
      <c r="AC98" s="152" t="s">
        <v>541</v>
      </c>
      <c r="AD98" s="152" t="s">
        <v>542</v>
      </c>
      <c r="AE98" s="149" t="s">
        <v>108</v>
      </c>
      <c r="AF98" s="149" t="s">
        <v>4</v>
      </c>
      <c r="AG98" s="208">
        <v>1608.57</v>
      </c>
      <c r="AH98" s="208">
        <f>AG98+30000</f>
        <v>31608.57</v>
      </c>
      <c r="AI98" s="230" t="s">
        <v>6</v>
      </c>
      <c r="AJ98" s="138" t="s">
        <v>109</v>
      </c>
      <c r="AK98" s="200"/>
      <c r="AL98" s="149" t="s">
        <v>110</v>
      </c>
      <c r="AM98" s="149" t="s">
        <v>110</v>
      </c>
      <c r="AN98" s="149" t="s">
        <v>111</v>
      </c>
      <c r="AP98" s="199" t="s">
        <v>543</v>
      </c>
      <c r="AQ98" s="198" t="s">
        <v>110</v>
      </c>
      <c r="AR98" s="198" t="s">
        <v>110</v>
      </c>
      <c r="AS98" s="198" t="s">
        <v>110</v>
      </c>
      <c r="AT98" s="198" t="s">
        <v>110</v>
      </c>
      <c r="AU98" s="194">
        <v>45498</v>
      </c>
      <c r="AV98" s="198" t="s">
        <v>110</v>
      </c>
      <c r="AW98" s="198" t="s">
        <v>110</v>
      </c>
      <c r="AX98" s="194">
        <v>45506</v>
      </c>
      <c r="AY98" s="197">
        <v>45506</v>
      </c>
      <c r="AZ98" s="145" t="s">
        <v>33</v>
      </c>
      <c r="BA98" s="145" t="s">
        <v>113</v>
      </c>
      <c r="BB98" s="149" t="s">
        <v>110</v>
      </c>
      <c r="BC98" s="142">
        <f>IF(AY98-KD98=0,"",AY98-O98)</f>
        <v>92</v>
      </c>
      <c r="BD98" s="134" t="str">
        <f>IF(AND(AI98&lt;&gt;"SIM",AI98="UH"),"AA","INDENIZAÇÃO")</f>
        <v>INDENIZAÇÃO</v>
      </c>
      <c r="BE98" s="134" t="str">
        <f>IF(AND(AY98&lt;&gt;"AGUARDANDO",AY98&lt;&gt;"",N98="AUXÍLIO ALUGUEL ATÉ INDENIZAÇÃO"),"SIM","NÃO")</f>
        <v>NÃO</v>
      </c>
      <c r="BF98" s="134" t="s">
        <v>24</v>
      </c>
      <c r="BG98" s="134" t="s">
        <v>24</v>
      </c>
      <c r="BH98" s="134" t="s">
        <v>24</v>
      </c>
      <c r="BI98" s="198" t="s">
        <v>110</v>
      </c>
      <c r="BJ98" s="198" t="s">
        <v>110</v>
      </c>
      <c r="BK98" s="194">
        <v>45559</v>
      </c>
      <c r="BL98" s="198" t="s">
        <v>110</v>
      </c>
      <c r="BM98" s="145" t="s">
        <v>33</v>
      </c>
      <c r="CI98" s="200"/>
    </row>
    <row r="99" spans="1:87" s="149" customFormat="1" ht="30" customHeight="1">
      <c r="A99" s="134">
        <v>85</v>
      </c>
      <c r="B99" s="134" t="s">
        <v>99</v>
      </c>
      <c r="C99" s="134">
        <v>1</v>
      </c>
      <c r="D99" s="134" t="s">
        <v>100</v>
      </c>
      <c r="E99" s="134" t="s">
        <v>100</v>
      </c>
      <c r="F99" s="138" t="s">
        <v>544</v>
      </c>
      <c r="G99" s="149" t="s">
        <v>102</v>
      </c>
      <c r="H99" s="149" t="s">
        <v>103</v>
      </c>
      <c r="I99" s="149" t="s">
        <v>108</v>
      </c>
      <c r="J99" s="152" t="s">
        <v>545</v>
      </c>
      <c r="K99" s="152" t="s">
        <v>546</v>
      </c>
      <c r="L99" s="152" t="s">
        <v>547</v>
      </c>
      <c r="M99" s="134" t="s">
        <v>4</v>
      </c>
      <c r="N99" s="134" t="s">
        <v>5</v>
      </c>
      <c r="O99" s="194">
        <v>45414</v>
      </c>
      <c r="P99" s="144" t="s">
        <v>24</v>
      </c>
      <c r="Q99" s="144" t="s">
        <v>24</v>
      </c>
      <c r="R99" s="144" t="s">
        <v>24</v>
      </c>
      <c r="S99" s="144" t="s">
        <v>24</v>
      </c>
      <c r="T99" s="144" t="s">
        <v>24</v>
      </c>
      <c r="U99" s="144" t="s">
        <v>24</v>
      </c>
      <c r="V99" s="144" t="s">
        <v>24</v>
      </c>
      <c r="W99" s="144" t="s">
        <v>24</v>
      </c>
      <c r="X99" s="144" t="s">
        <v>24</v>
      </c>
      <c r="Y99" s="144" t="s">
        <v>24</v>
      </c>
      <c r="Z99" s="144" t="s">
        <v>24</v>
      </c>
      <c r="AB99" s="152" t="s">
        <v>545</v>
      </c>
      <c r="AC99" s="152" t="s">
        <v>546</v>
      </c>
      <c r="AD99" s="152" t="s">
        <v>547</v>
      </c>
      <c r="AE99" s="149" t="s">
        <v>108</v>
      </c>
      <c r="AF99" s="149" t="s">
        <v>4</v>
      </c>
      <c r="AG99" s="208">
        <v>24090.05</v>
      </c>
      <c r="AH99" s="208">
        <f>AG99+30000</f>
        <v>54090.05</v>
      </c>
      <c r="AI99" s="230" t="s">
        <v>6</v>
      </c>
      <c r="AJ99" s="138" t="s">
        <v>109</v>
      </c>
      <c r="AK99" s="200"/>
      <c r="AL99" s="149" t="s">
        <v>110</v>
      </c>
      <c r="AM99" s="149" t="s">
        <v>110</v>
      </c>
      <c r="AN99" s="149" t="s">
        <v>111</v>
      </c>
      <c r="AP99" s="199" t="s">
        <v>548</v>
      </c>
      <c r="AQ99" s="198" t="s">
        <v>110</v>
      </c>
      <c r="AR99" s="198" t="s">
        <v>110</v>
      </c>
      <c r="AS99" s="198" t="s">
        <v>110</v>
      </c>
      <c r="AT99" s="198" t="s">
        <v>110</v>
      </c>
      <c r="AU99" s="194">
        <v>45495</v>
      </c>
      <c r="AV99" s="198" t="s">
        <v>110</v>
      </c>
      <c r="AW99" s="198" t="s">
        <v>110</v>
      </c>
      <c r="AX99" s="194">
        <v>45499</v>
      </c>
      <c r="AY99" s="197">
        <v>45499</v>
      </c>
      <c r="AZ99" s="145" t="s">
        <v>33</v>
      </c>
      <c r="BA99" s="145" t="s">
        <v>113</v>
      </c>
      <c r="BB99" s="149" t="s">
        <v>110</v>
      </c>
      <c r="BC99" s="142">
        <f>IF(AY99-KD99=0,"",AY99-O99)</f>
        <v>85</v>
      </c>
      <c r="BD99" s="134" t="str">
        <f>IF(AND(AI99&lt;&gt;"SIM",AI99="UH"),"AA","INDENIZAÇÃO")</f>
        <v>INDENIZAÇÃO</v>
      </c>
      <c r="BE99" s="134" t="str">
        <f>IF(AND(AY99&lt;&gt;"AGUARDANDO",AY99&lt;&gt;"",N99="AUXÍLIO ALUGUEL ATÉ INDENIZAÇÃO"),"SIM","NÃO")</f>
        <v>NÃO</v>
      </c>
      <c r="BF99" s="134" t="s">
        <v>24</v>
      </c>
      <c r="BG99" s="134" t="s">
        <v>24</v>
      </c>
      <c r="BH99" s="134" t="s">
        <v>24</v>
      </c>
      <c r="BI99" s="198" t="s">
        <v>110</v>
      </c>
      <c r="BJ99" s="198" t="s">
        <v>110</v>
      </c>
      <c r="BK99" s="194">
        <v>45559</v>
      </c>
      <c r="BL99" s="198" t="s">
        <v>110</v>
      </c>
      <c r="BM99" s="145" t="s">
        <v>33</v>
      </c>
      <c r="CI99" s="200"/>
    </row>
    <row r="100" spans="1:87" s="149" customFormat="1" ht="30" customHeight="1">
      <c r="A100" s="134">
        <v>86</v>
      </c>
      <c r="B100" s="134" t="s">
        <v>99</v>
      </c>
      <c r="C100" s="134">
        <v>1</v>
      </c>
      <c r="D100" s="134" t="s">
        <v>100</v>
      </c>
      <c r="E100" s="134" t="s">
        <v>100</v>
      </c>
      <c r="F100" s="138" t="s">
        <v>549</v>
      </c>
      <c r="G100" s="149" t="s">
        <v>102</v>
      </c>
      <c r="H100" s="149" t="s">
        <v>103</v>
      </c>
      <c r="I100" s="149" t="s">
        <v>108</v>
      </c>
      <c r="J100" s="152" t="s">
        <v>550</v>
      </c>
      <c r="K100" s="152" t="s">
        <v>551</v>
      </c>
      <c r="L100" s="152" t="s">
        <v>552</v>
      </c>
      <c r="M100" s="134" t="s">
        <v>4</v>
      </c>
      <c r="N100" s="134" t="s">
        <v>5</v>
      </c>
      <c r="O100" s="194">
        <v>45594</v>
      </c>
      <c r="P100" s="144" t="s">
        <v>24</v>
      </c>
      <c r="Q100" s="144" t="s">
        <v>24</v>
      </c>
      <c r="R100" s="144" t="s">
        <v>24</v>
      </c>
      <c r="S100" s="144" t="s">
        <v>24</v>
      </c>
      <c r="T100" s="144" t="s">
        <v>24</v>
      </c>
      <c r="U100" s="144" t="s">
        <v>24</v>
      </c>
      <c r="V100" s="144" t="s">
        <v>24</v>
      </c>
      <c r="W100" s="144" t="s">
        <v>24</v>
      </c>
      <c r="X100" s="144" t="s">
        <v>24</v>
      </c>
      <c r="Y100" s="144" t="s">
        <v>24</v>
      </c>
      <c r="Z100" s="144" t="s">
        <v>24</v>
      </c>
      <c r="AB100" s="152" t="s">
        <v>550</v>
      </c>
      <c r="AC100" s="152" t="s">
        <v>551</v>
      </c>
      <c r="AD100" s="152" t="s">
        <v>552</v>
      </c>
      <c r="AE100" s="149" t="s">
        <v>108</v>
      </c>
      <c r="AF100" s="149" t="s">
        <v>4</v>
      </c>
      <c r="AG100" s="208">
        <v>12030.65</v>
      </c>
      <c r="AH100" s="208">
        <v>42030.65</v>
      </c>
      <c r="AI100" s="230" t="s">
        <v>6</v>
      </c>
      <c r="AJ100" s="138" t="s">
        <v>109</v>
      </c>
      <c r="AK100" s="200"/>
      <c r="AL100" s="149" t="s">
        <v>110</v>
      </c>
      <c r="AM100" s="149" t="s">
        <v>110</v>
      </c>
      <c r="AN100" s="134" t="s">
        <v>111</v>
      </c>
      <c r="AP100" s="152" t="s">
        <v>553</v>
      </c>
      <c r="AQ100" s="198" t="s">
        <v>110</v>
      </c>
      <c r="AR100" s="198" t="s">
        <v>110</v>
      </c>
      <c r="AS100" s="198" t="s">
        <v>110</v>
      </c>
      <c r="AT100" s="149" t="s">
        <v>110</v>
      </c>
      <c r="AU100" s="161">
        <v>45755</v>
      </c>
      <c r="AV100" s="149" t="s">
        <v>110</v>
      </c>
      <c r="AW100" s="149" t="s">
        <v>110</v>
      </c>
      <c r="AX100" s="139">
        <v>45762</v>
      </c>
      <c r="AY100" s="140">
        <v>45762</v>
      </c>
      <c r="AZ100" s="141" t="s">
        <v>33</v>
      </c>
      <c r="BA100" s="141" t="s">
        <v>1</v>
      </c>
      <c r="BB100" s="149" t="s">
        <v>110</v>
      </c>
      <c r="BC100" s="142">
        <f>IF(AY100-KD100=0,"",AY100-O100)</f>
        <v>168</v>
      </c>
      <c r="BD100" s="134" t="str">
        <f>IF(AND(AI100&lt;&gt;"SIM",AI100="UH"),"AA","INDENIZAÇÃO")</f>
        <v>INDENIZAÇÃO</v>
      </c>
      <c r="BE100" s="134" t="str">
        <f>IF(AND(AY100&lt;&gt;"AGUARDANDO",AY100&lt;&gt;"",N100="AUXÍLIO ALUGUEL ATÉ INDENIZAÇÃO"),"SIM","NÃO")</f>
        <v>NÃO</v>
      </c>
      <c r="BF100" s="149" t="s">
        <v>24</v>
      </c>
      <c r="BG100" s="149" t="s">
        <v>24</v>
      </c>
      <c r="BH100" s="149" t="s">
        <v>24</v>
      </c>
      <c r="BI100" s="198" t="s">
        <v>110</v>
      </c>
      <c r="BJ100" s="198" t="s">
        <v>110</v>
      </c>
      <c r="BK100" s="161">
        <v>45783</v>
      </c>
      <c r="BL100" s="198" t="s">
        <v>110</v>
      </c>
      <c r="BM100" s="145" t="s">
        <v>33</v>
      </c>
      <c r="CI100" s="200"/>
    </row>
    <row r="101" spans="1:87" s="149" customFormat="1" ht="30" customHeight="1">
      <c r="A101" s="134">
        <v>87</v>
      </c>
      <c r="B101" s="134" t="s">
        <v>99</v>
      </c>
      <c r="C101" s="134">
        <v>1</v>
      </c>
      <c r="D101" s="134" t="s">
        <v>100</v>
      </c>
      <c r="E101" s="134" t="s">
        <v>100</v>
      </c>
      <c r="F101" s="138" t="s">
        <v>554</v>
      </c>
      <c r="G101" s="149" t="s">
        <v>102</v>
      </c>
      <c r="H101" s="149" t="s">
        <v>103</v>
      </c>
      <c r="I101" s="149" t="s">
        <v>108</v>
      </c>
      <c r="J101" s="152" t="s">
        <v>555</v>
      </c>
      <c r="K101" s="152" t="s">
        <v>556</v>
      </c>
      <c r="L101" s="152" t="s">
        <v>557</v>
      </c>
      <c r="M101" s="134" t="s">
        <v>4</v>
      </c>
      <c r="N101" s="134" t="s">
        <v>5</v>
      </c>
      <c r="O101" s="194">
        <v>45546</v>
      </c>
      <c r="P101" s="144" t="s">
        <v>24</v>
      </c>
      <c r="Q101" s="144" t="s">
        <v>24</v>
      </c>
      <c r="R101" s="144" t="s">
        <v>24</v>
      </c>
      <c r="S101" s="144" t="s">
        <v>24</v>
      </c>
      <c r="T101" s="144" t="s">
        <v>24</v>
      </c>
      <c r="U101" s="144" t="s">
        <v>24</v>
      </c>
      <c r="V101" s="144" t="s">
        <v>24</v>
      </c>
      <c r="W101" s="144" t="s">
        <v>24</v>
      </c>
      <c r="X101" s="144" t="s">
        <v>24</v>
      </c>
      <c r="Y101" s="144" t="s">
        <v>24</v>
      </c>
      <c r="Z101" s="144" t="s">
        <v>24</v>
      </c>
      <c r="AB101" s="152" t="s">
        <v>555</v>
      </c>
      <c r="AC101" s="152" t="s">
        <v>556</v>
      </c>
      <c r="AD101" s="152" t="s">
        <v>557</v>
      </c>
      <c r="AE101" s="149" t="s">
        <v>108</v>
      </c>
      <c r="AF101" s="149" t="s">
        <v>4</v>
      </c>
      <c r="AG101" s="208">
        <v>11849.08</v>
      </c>
      <c r="AH101" s="208">
        <f>AG101+30000</f>
        <v>41849.08</v>
      </c>
      <c r="AI101" s="230" t="s">
        <v>6</v>
      </c>
      <c r="AJ101" s="138" t="s">
        <v>109</v>
      </c>
      <c r="AK101" s="200"/>
      <c r="AL101" s="149" t="s">
        <v>110</v>
      </c>
      <c r="AM101" s="149" t="s">
        <v>110</v>
      </c>
      <c r="AN101" s="149" t="s">
        <v>111</v>
      </c>
      <c r="AP101" s="199" t="s">
        <v>558</v>
      </c>
      <c r="AQ101" s="198" t="s">
        <v>110</v>
      </c>
      <c r="AR101" s="198" t="s">
        <v>110</v>
      </c>
      <c r="AS101" s="198" t="s">
        <v>110</v>
      </c>
      <c r="AT101" s="198" t="s">
        <v>110</v>
      </c>
      <c r="AU101" s="194">
        <v>45601</v>
      </c>
      <c r="AV101" s="198" t="s">
        <v>110</v>
      </c>
      <c r="AW101" s="198" t="s">
        <v>110</v>
      </c>
      <c r="AX101" s="194">
        <v>45617</v>
      </c>
      <c r="AY101" s="197">
        <v>45617</v>
      </c>
      <c r="AZ101" s="197" t="s">
        <v>33</v>
      </c>
      <c r="BA101" s="145" t="s">
        <v>113</v>
      </c>
      <c r="BB101" s="149" t="s">
        <v>110</v>
      </c>
      <c r="BC101" s="142">
        <f>IF(AY101-KD101=0,"",AY101-O101)</f>
        <v>71</v>
      </c>
      <c r="BD101" s="134" t="str">
        <f>IF(AND(AI101&lt;&gt;"SIM",AI101="UH"),"AA","INDENIZAÇÃO")</f>
        <v>INDENIZAÇÃO</v>
      </c>
      <c r="BE101" s="134" t="str">
        <f>IF(AND(AY101&lt;&gt;"AGUARDANDO",AY101&lt;&gt;"",N101="AUXÍLIO ALUGUEL ATÉ INDENIZAÇÃO"),"SIM","NÃO")</f>
        <v>NÃO</v>
      </c>
      <c r="BF101" s="134" t="s">
        <v>24</v>
      </c>
      <c r="BG101" s="134" t="s">
        <v>24</v>
      </c>
      <c r="BH101" s="134" t="s">
        <v>24</v>
      </c>
      <c r="BI101" s="198" t="s">
        <v>110</v>
      </c>
      <c r="BJ101" s="198" t="s">
        <v>110</v>
      </c>
      <c r="BK101" s="194">
        <v>45677</v>
      </c>
      <c r="BL101" s="198" t="s">
        <v>110</v>
      </c>
      <c r="BM101" s="197" t="s">
        <v>33</v>
      </c>
      <c r="CI101" s="200"/>
    </row>
    <row r="102" spans="1:87" s="149" customFormat="1" ht="30" customHeight="1">
      <c r="A102" s="134">
        <v>88</v>
      </c>
      <c r="B102" s="134" t="s">
        <v>99</v>
      </c>
      <c r="C102" s="134">
        <v>1</v>
      </c>
      <c r="D102" s="134" t="s">
        <v>100</v>
      </c>
      <c r="E102" s="134" t="s">
        <v>100</v>
      </c>
      <c r="F102" s="138" t="s">
        <v>559</v>
      </c>
      <c r="G102" s="149" t="s">
        <v>102</v>
      </c>
      <c r="H102" s="149" t="s">
        <v>103</v>
      </c>
      <c r="I102" s="149" t="s">
        <v>108</v>
      </c>
      <c r="J102" s="152" t="s">
        <v>560</v>
      </c>
      <c r="K102" s="152" t="s">
        <v>561</v>
      </c>
      <c r="L102" s="152" t="s">
        <v>562</v>
      </c>
      <c r="M102" s="134" t="s">
        <v>4</v>
      </c>
      <c r="N102" s="134" t="s">
        <v>371</v>
      </c>
      <c r="O102" s="194"/>
      <c r="P102" s="144"/>
      <c r="Q102" s="263"/>
      <c r="R102" s="144"/>
      <c r="S102" s="144"/>
      <c r="T102" s="144"/>
      <c r="U102" s="144"/>
      <c r="V102" s="144"/>
      <c r="W102" s="144"/>
      <c r="X102" s="144"/>
      <c r="Y102" s="144"/>
      <c r="Z102" s="144"/>
      <c r="AB102" s="152" t="s">
        <v>560</v>
      </c>
      <c r="AC102" s="152" t="s">
        <v>561</v>
      </c>
      <c r="AD102" s="152" t="s">
        <v>562</v>
      </c>
      <c r="AE102" s="149" t="s">
        <v>108</v>
      </c>
      <c r="AG102" s="208" t="s">
        <v>371</v>
      </c>
      <c r="AH102" s="208" t="s">
        <v>371</v>
      </c>
      <c r="AI102" s="230" t="s">
        <v>371</v>
      </c>
      <c r="AJ102" s="134" t="s">
        <v>371</v>
      </c>
      <c r="AK102" s="211"/>
      <c r="AP102" s="152"/>
      <c r="BC102" s="142" t="str">
        <f>IF(AY102-KD102=0,"",AY102-O102)</f>
        <v/>
      </c>
      <c r="BD102" s="134" t="str">
        <f>IF(AND(AI102&lt;&gt;"SIM",AI102="UH"),"AA","INDENIZAÇÃO")</f>
        <v>INDENIZAÇÃO</v>
      </c>
      <c r="BE102" s="134" t="str">
        <f>IF(AND(AY102&lt;&gt;"AGUARDANDO",AY102&lt;&gt;"",N102="AUXÍLIO ALUGUEL ATÉ INDENIZAÇÃO"),"SIM","NÃO")</f>
        <v>NÃO</v>
      </c>
      <c r="BF102" s="134"/>
      <c r="BG102" s="194"/>
      <c r="BH102" s="194"/>
      <c r="CI102" s="200"/>
    </row>
    <row r="103" spans="1:87" s="149" customFormat="1" ht="30" customHeight="1">
      <c r="A103" s="134">
        <v>89</v>
      </c>
      <c r="B103" s="134" t="s">
        <v>99</v>
      </c>
      <c r="C103" s="134">
        <v>1</v>
      </c>
      <c r="D103" s="134" t="s">
        <v>100</v>
      </c>
      <c r="E103" s="134" t="s">
        <v>100</v>
      </c>
      <c r="F103" s="138" t="s">
        <v>563</v>
      </c>
      <c r="G103" s="149" t="s">
        <v>10</v>
      </c>
      <c r="H103" s="149" t="s">
        <v>103</v>
      </c>
      <c r="I103" s="149" t="s">
        <v>287</v>
      </c>
      <c r="J103" s="152" t="s">
        <v>564</v>
      </c>
      <c r="K103" s="152" t="s">
        <v>565</v>
      </c>
      <c r="L103" s="152" t="s">
        <v>566</v>
      </c>
      <c r="M103" s="134" t="s">
        <v>4</v>
      </c>
      <c r="N103" s="134" t="s">
        <v>5</v>
      </c>
      <c r="O103" s="194">
        <v>45628</v>
      </c>
      <c r="P103" s="144" t="s">
        <v>24</v>
      </c>
      <c r="Q103" s="144" t="s">
        <v>24</v>
      </c>
      <c r="R103" s="144" t="s">
        <v>24</v>
      </c>
      <c r="S103" s="144" t="s">
        <v>24</v>
      </c>
      <c r="T103" s="144" t="s">
        <v>24</v>
      </c>
      <c r="U103" s="144" t="s">
        <v>24</v>
      </c>
      <c r="V103" s="144" t="s">
        <v>24</v>
      </c>
      <c r="W103" s="144" t="s">
        <v>24</v>
      </c>
      <c r="X103" s="144" t="s">
        <v>24</v>
      </c>
      <c r="Y103" s="144" t="s">
        <v>24</v>
      </c>
      <c r="Z103" s="144" t="s">
        <v>24</v>
      </c>
      <c r="AB103" s="152" t="s">
        <v>564</v>
      </c>
      <c r="AC103" s="152" t="s">
        <v>565</v>
      </c>
      <c r="AD103" s="152" t="s">
        <v>566</v>
      </c>
      <c r="AE103" s="134" t="s">
        <v>287</v>
      </c>
      <c r="AF103" s="149" t="s">
        <v>4</v>
      </c>
      <c r="AG103" s="208">
        <v>7257.13</v>
      </c>
      <c r="AH103" s="208">
        <f>AG103+30000</f>
        <v>37257.129999999997</v>
      </c>
      <c r="AI103" s="230" t="s">
        <v>6</v>
      </c>
      <c r="AJ103" s="138" t="s">
        <v>109</v>
      </c>
      <c r="AK103" s="211" t="s">
        <v>110</v>
      </c>
      <c r="AL103" s="149" t="s">
        <v>110</v>
      </c>
      <c r="AM103" s="149" t="s">
        <v>110</v>
      </c>
      <c r="AN103" s="149" t="s">
        <v>111</v>
      </c>
      <c r="AP103" s="152" t="s">
        <v>567</v>
      </c>
      <c r="AQ103" s="198" t="s">
        <v>110</v>
      </c>
      <c r="AR103" s="198" t="s">
        <v>110</v>
      </c>
      <c r="AS103" s="149" t="s">
        <v>110</v>
      </c>
      <c r="AT103" s="149" t="s">
        <v>110</v>
      </c>
      <c r="AU103" s="161">
        <v>45755</v>
      </c>
      <c r="AV103" s="198" t="s">
        <v>110</v>
      </c>
      <c r="AW103" s="198" t="s">
        <v>110</v>
      </c>
      <c r="AX103" s="161">
        <v>45800</v>
      </c>
      <c r="AY103" s="140">
        <v>45800</v>
      </c>
      <c r="AZ103" s="145" t="s">
        <v>33</v>
      </c>
      <c r="BA103" s="141" t="s">
        <v>113</v>
      </c>
      <c r="BB103" s="149" t="s">
        <v>110</v>
      </c>
      <c r="BC103" s="142">
        <f>IF(AY103-KD103=0,"",AY103-O103)</f>
        <v>172</v>
      </c>
      <c r="BD103" s="134" t="str">
        <f>IF(AND(AI103&lt;&gt;"SIM",AI103="UH"),"AA","INDENIZAÇÃO")</f>
        <v>INDENIZAÇÃO</v>
      </c>
      <c r="BE103" s="134" t="str">
        <f>IF(AND(AY103&lt;&gt;"AGUARDANDO",AY103&lt;&gt;"",N103="AUXÍLIO ALUGUEL ATÉ INDENIZAÇÃO"),"SIM","NÃO")</f>
        <v>NÃO</v>
      </c>
      <c r="BF103" s="134" t="s">
        <v>24</v>
      </c>
      <c r="BG103" s="134" t="s">
        <v>24</v>
      </c>
      <c r="BH103" s="134" t="s">
        <v>24</v>
      </c>
      <c r="BI103" s="198" t="s">
        <v>110</v>
      </c>
      <c r="BJ103" s="198" t="s">
        <v>110</v>
      </c>
      <c r="BK103" s="194">
        <v>45859</v>
      </c>
      <c r="BL103" s="149" t="s">
        <v>110</v>
      </c>
      <c r="BM103" s="141" t="s">
        <v>33</v>
      </c>
      <c r="CI103" s="200"/>
    </row>
    <row r="104" spans="1:87" s="149" customFormat="1" ht="30" customHeight="1">
      <c r="A104" s="134">
        <v>90</v>
      </c>
      <c r="B104" s="134" t="s">
        <v>99</v>
      </c>
      <c r="C104" s="134">
        <v>1</v>
      </c>
      <c r="D104" s="134" t="s">
        <v>100</v>
      </c>
      <c r="E104" s="134" t="s">
        <v>100</v>
      </c>
      <c r="F104" s="138" t="s">
        <v>568</v>
      </c>
      <c r="G104" s="149" t="s">
        <v>102</v>
      </c>
      <c r="H104" s="149" t="s">
        <v>103</v>
      </c>
      <c r="I104" s="149" t="s">
        <v>108</v>
      </c>
      <c r="J104" s="152" t="s">
        <v>569</v>
      </c>
      <c r="K104" s="152" t="s">
        <v>570</v>
      </c>
      <c r="L104" s="152" t="s">
        <v>571</v>
      </c>
      <c r="M104" s="134" t="s">
        <v>4</v>
      </c>
      <c r="N104" s="134" t="s">
        <v>371</v>
      </c>
      <c r="O104" s="194"/>
      <c r="P104" s="144"/>
      <c r="Q104" s="263"/>
      <c r="R104" s="144"/>
      <c r="S104" s="144"/>
      <c r="T104" s="144"/>
      <c r="U104" s="144"/>
      <c r="V104" s="144"/>
      <c r="W104" s="144"/>
      <c r="X104" s="144"/>
      <c r="Y104" s="144"/>
      <c r="Z104" s="144"/>
      <c r="AB104" s="152" t="s">
        <v>569</v>
      </c>
      <c r="AC104" s="152" t="s">
        <v>570</v>
      </c>
      <c r="AD104" s="152" t="s">
        <v>571</v>
      </c>
      <c r="AE104" s="149" t="s">
        <v>108</v>
      </c>
      <c r="AG104" s="208" t="s">
        <v>371</v>
      </c>
      <c r="AH104" s="208" t="s">
        <v>371</v>
      </c>
      <c r="AI104" s="230" t="s">
        <v>371</v>
      </c>
      <c r="AJ104" s="134" t="s">
        <v>371</v>
      </c>
      <c r="AK104" s="211"/>
      <c r="AP104" s="152"/>
      <c r="BC104" s="142" t="str">
        <f>IF(AY104-KD104=0,"",AY104-O104)</f>
        <v/>
      </c>
      <c r="BD104" s="134" t="str">
        <f>IF(AND(AI104&lt;&gt;"SIM",AI104="UH"),"AA","INDENIZAÇÃO")</f>
        <v>INDENIZAÇÃO</v>
      </c>
      <c r="BE104" s="134" t="str">
        <f>IF(AND(AY104&lt;&gt;"AGUARDANDO",AY104&lt;&gt;"",N104="AUXÍLIO ALUGUEL ATÉ INDENIZAÇÃO"),"SIM","NÃO")</f>
        <v>NÃO</v>
      </c>
      <c r="BF104" s="134"/>
      <c r="BG104" s="194"/>
      <c r="BH104" s="194"/>
      <c r="CI104" s="200"/>
    </row>
    <row r="105" spans="1:87" s="149" customFormat="1" ht="30" customHeight="1">
      <c r="A105" s="134">
        <v>91</v>
      </c>
      <c r="B105" s="134" t="s">
        <v>99</v>
      </c>
      <c r="C105" s="134">
        <v>1</v>
      </c>
      <c r="D105" s="134" t="s">
        <v>100</v>
      </c>
      <c r="E105" s="134" t="s">
        <v>100</v>
      </c>
      <c r="F105" s="138" t="s">
        <v>572</v>
      </c>
      <c r="G105" s="149" t="s">
        <v>102</v>
      </c>
      <c r="H105" s="149" t="s">
        <v>103</v>
      </c>
      <c r="I105" s="149" t="s">
        <v>108</v>
      </c>
      <c r="J105" s="152" t="s">
        <v>573</v>
      </c>
      <c r="K105" s="152" t="s">
        <v>574</v>
      </c>
      <c r="L105" s="152" t="s">
        <v>575</v>
      </c>
      <c r="M105" s="134" t="s">
        <v>4</v>
      </c>
      <c r="N105" s="134" t="s">
        <v>5</v>
      </c>
      <c r="O105" s="194">
        <v>45770</v>
      </c>
      <c r="P105" s="144" t="s">
        <v>24</v>
      </c>
      <c r="Q105" s="144" t="s">
        <v>24</v>
      </c>
      <c r="R105" s="144" t="s">
        <v>24</v>
      </c>
      <c r="S105" s="144" t="s">
        <v>24</v>
      </c>
      <c r="T105" s="144" t="s">
        <v>24</v>
      </c>
      <c r="U105" s="144" t="s">
        <v>24</v>
      </c>
      <c r="V105" s="144" t="s">
        <v>24</v>
      </c>
      <c r="W105" s="144" t="s">
        <v>24</v>
      </c>
      <c r="X105" s="144" t="s">
        <v>24</v>
      </c>
      <c r="Y105" s="144" t="s">
        <v>24</v>
      </c>
      <c r="Z105" s="144" t="s">
        <v>24</v>
      </c>
      <c r="AB105" s="152" t="s">
        <v>573</v>
      </c>
      <c r="AC105" s="152" t="s">
        <v>574</v>
      </c>
      <c r="AD105" s="152" t="s">
        <v>575</v>
      </c>
      <c r="AE105" s="149" t="s">
        <v>108</v>
      </c>
      <c r="AF105" s="149" t="s">
        <v>4</v>
      </c>
      <c r="AG105" s="208">
        <v>26663.97</v>
      </c>
      <c r="AH105" s="208">
        <v>56663.97</v>
      </c>
      <c r="AI105" s="230" t="s">
        <v>6</v>
      </c>
      <c r="AJ105" s="138" t="s">
        <v>109</v>
      </c>
      <c r="AK105" s="211">
        <v>110303739</v>
      </c>
      <c r="AL105" s="149" t="s">
        <v>110</v>
      </c>
      <c r="AM105" s="149" t="s">
        <v>110</v>
      </c>
      <c r="AN105" s="149" t="s">
        <v>111</v>
      </c>
      <c r="AP105" s="152" t="s">
        <v>576</v>
      </c>
      <c r="AQ105" s="198" t="s">
        <v>110</v>
      </c>
      <c r="AR105" s="198" t="s">
        <v>110</v>
      </c>
      <c r="AS105" s="198" t="s">
        <v>110</v>
      </c>
      <c r="AT105" s="198" t="s">
        <v>110</v>
      </c>
      <c r="AU105" s="194">
        <v>45834</v>
      </c>
      <c r="AV105" s="198" t="s">
        <v>110</v>
      </c>
      <c r="AW105" s="198" t="s">
        <v>110</v>
      </c>
      <c r="AX105" s="194">
        <v>45842</v>
      </c>
      <c r="AY105" s="140">
        <v>45842</v>
      </c>
      <c r="AZ105" s="145" t="s">
        <v>33</v>
      </c>
      <c r="BA105" s="145" t="s">
        <v>113</v>
      </c>
      <c r="BB105" s="149" t="s">
        <v>110</v>
      </c>
      <c r="BC105" s="142">
        <f>IF(AY105-KD105=0,"",AY105-O105)</f>
        <v>72</v>
      </c>
      <c r="BD105" s="134" t="str">
        <f>IF(AND(AI105&lt;&gt;"SIM",AI105="UH"),"AA","INDENIZAÇÃO")</f>
        <v>INDENIZAÇÃO</v>
      </c>
      <c r="BE105" s="134" t="str">
        <f>IF(AND(AY105&lt;&gt;"AGUARDANDO",AY105&lt;&gt;"",N105="AUXÍLIO ALUGUEL ATÉ INDENIZAÇÃO"),"SIM","NÃO")</f>
        <v>NÃO</v>
      </c>
      <c r="BF105" s="134" t="s">
        <v>24</v>
      </c>
      <c r="BG105" s="134" t="s">
        <v>24</v>
      </c>
      <c r="BH105" s="134" t="s">
        <v>24</v>
      </c>
      <c r="BI105" s="198" t="s">
        <v>110</v>
      </c>
      <c r="BJ105" s="198" t="s">
        <v>110</v>
      </c>
      <c r="BK105" s="194">
        <v>45859</v>
      </c>
      <c r="BL105" s="149" t="s">
        <v>110</v>
      </c>
      <c r="BM105" s="141" t="s">
        <v>33</v>
      </c>
      <c r="CI105" s="200"/>
    </row>
    <row r="106" spans="1:87" s="149" customFormat="1" ht="30" customHeight="1">
      <c r="A106" s="134">
        <v>92</v>
      </c>
      <c r="B106" s="134" t="s">
        <v>99</v>
      </c>
      <c r="C106" s="134">
        <v>1</v>
      </c>
      <c r="D106" s="134" t="s">
        <v>100</v>
      </c>
      <c r="E106" s="134" t="s">
        <v>100</v>
      </c>
      <c r="F106" s="138" t="s">
        <v>577</v>
      </c>
      <c r="G106" s="149" t="s">
        <v>102</v>
      </c>
      <c r="H106" s="149" t="s">
        <v>103</v>
      </c>
      <c r="I106" s="149" t="s">
        <v>108</v>
      </c>
      <c r="J106" s="152" t="s">
        <v>578</v>
      </c>
      <c r="K106" s="152" t="s">
        <v>579</v>
      </c>
      <c r="L106" s="152" t="s">
        <v>580</v>
      </c>
      <c r="M106" s="134" t="s">
        <v>4</v>
      </c>
      <c r="N106" s="134" t="s">
        <v>5</v>
      </c>
      <c r="O106" s="194">
        <v>45414</v>
      </c>
      <c r="P106" s="144" t="s">
        <v>24</v>
      </c>
      <c r="Q106" s="144" t="s">
        <v>24</v>
      </c>
      <c r="R106" s="144" t="s">
        <v>24</v>
      </c>
      <c r="S106" s="144" t="s">
        <v>24</v>
      </c>
      <c r="T106" s="144" t="s">
        <v>24</v>
      </c>
      <c r="U106" s="144" t="s">
        <v>24</v>
      </c>
      <c r="V106" s="144" t="s">
        <v>24</v>
      </c>
      <c r="W106" s="144" t="s">
        <v>24</v>
      </c>
      <c r="X106" s="144" t="s">
        <v>24</v>
      </c>
      <c r="Y106" s="144" t="s">
        <v>24</v>
      </c>
      <c r="Z106" s="144" t="s">
        <v>24</v>
      </c>
      <c r="AB106" s="152" t="s">
        <v>578</v>
      </c>
      <c r="AC106" s="152" t="s">
        <v>579</v>
      </c>
      <c r="AD106" s="152" t="s">
        <v>580</v>
      </c>
      <c r="AE106" s="149" t="s">
        <v>108</v>
      </c>
      <c r="AF106" s="149" t="s">
        <v>4</v>
      </c>
      <c r="AG106" s="208">
        <v>10457.17</v>
      </c>
      <c r="AH106" s="208">
        <f>AG106+30000</f>
        <v>40457.17</v>
      </c>
      <c r="AI106" s="230" t="s">
        <v>6</v>
      </c>
      <c r="AJ106" s="138" t="s">
        <v>109</v>
      </c>
      <c r="AK106" s="200"/>
      <c r="AL106" s="149" t="s">
        <v>110</v>
      </c>
      <c r="AM106" s="149" t="s">
        <v>110</v>
      </c>
      <c r="AN106" s="149" t="s">
        <v>111</v>
      </c>
      <c r="AP106" s="199" t="s">
        <v>581</v>
      </c>
      <c r="AQ106" s="198" t="s">
        <v>110</v>
      </c>
      <c r="AR106" s="198" t="s">
        <v>110</v>
      </c>
      <c r="AS106" s="198" t="s">
        <v>110</v>
      </c>
      <c r="AT106" s="198" t="s">
        <v>110</v>
      </c>
      <c r="AU106" s="194">
        <v>45495</v>
      </c>
      <c r="AV106" s="198" t="s">
        <v>110</v>
      </c>
      <c r="AW106" s="198" t="s">
        <v>110</v>
      </c>
      <c r="AX106" s="194">
        <v>45499</v>
      </c>
      <c r="AY106" s="197">
        <v>45499</v>
      </c>
      <c r="AZ106" s="145" t="s">
        <v>33</v>
      </c>
      <c r="BA106" s="145" t="s">
        <v>113</v>
      </c>
      <c r="BB106" s="149" t="s">
        <v>110</v>
      </c>
      <c r="BC106" s="142">
        <f>IF(AY106-KD106=0,"",AY106-O106)</f>
        <v>85</v>
      </c>
      <c r="BD106" s="134" t="str">
        <f>IF(AND(AI106&lt;&gt;"SIM",AI106="UH"),"AA","INDENIZAÇÃO")</f>
        <v>INDENIZAÇÃO</v>
      </c>
      <c r="BE106" s="134" t="str">
        <f>IF(AND(AY106&lt;&gt;"AGUARDANDO",AY106&lt;&gt;"",N106="AUXÍLIO ALUGUEL ATÉ INDENIZAÇÃO"),"SIM","NÃO")</f>
        <v>NÃO</v>
      </c>
      <c r="BF106" s="134" t="s">
        <v>24</v>
      </c>
      <c r="BG106" s="134" t="s">
        <v>24</v>
      </c>
      <c r="BH106" s="134" t="s">
        <v>24</v>
      </c>
      <c r="BI106" s="198" t="s">
        <v>110</v>
      </c>
      <c r="BJ106" s="198" t="s">
        <v>110</v>
      </c>
      <c r="BK106" s="194">
        <v>45559</v>
      </c>
      <c r="BL106" s="198" t="s">
        <v>110</v>
      </c>
      <c r="BM106" s="145" t="s">
        <v>33</v>
      </c>
      <c r="CI106" s="200"/>
    </row>
    <row r="107" spans="1:87" s="149" customFormat="1" ht="30" customHeight="1">
      <c r="A107" s="134">
        <v>93</v>
      </c>
      <c r="B107" s="134" t="s">
        <v>99</v>
      </c>
      <c r="C107" s="134">
        <v>1</v>
      </c>
      <c r="D107" s="134" t="s">
        <v>100</v>
      </c>
      <c r="E107" s="134" t="s">
        <v>100</v>
      </c>
      <c r="F107" s="138" t="s">
        <v>582</v>
      </c>
      <c r="G107" s="149" t="s">
        <v>102</v>
      </c>
      <c r="H107" s="149" t="s">
        <v>103</v>
      </c>
      <c r="I107" s="149" t="s">
        <v>108</v>
      </c>
      <c r="J107" s="152" t="s">
        <v>583</v>
      </c>
      <c r="K107" s="152" t="s">
        <v>584</v>
      </c>
      <c r="L107" s="152" t="s">
        <v>585</v>
      </c>
      <c r="M107" s="134" t="s">
        <v>4</v>
      </c>
      <c r="N107" s="134" t="s">
        <v>371</v>
      </c>
      <c r="O107" s="194"/>
      <c r="P107" s="144"/>
      <c r="Q107" s="263"/>
      <c r="R107" s="144"/>
      <c r="S107" s="144"/>
      <c r="T107" s="144"/>
      <c r="U107" s="144"/>
      <c r="V107" s="144"/>
      <c r="W107" s="144"/>
      <c r="X107" s="144"/>
      <c r="Y107" s="144"/>
      <c r="Z107" s="144"/>
      <c r="AB107" s="152" t="s">
        <v>583</v>
      </c>
      <c r="AC107" s="152" t="s">
        <v>584</v>
      </c>
      <c r="AD107" s="152" t="s">
        <v>585</v>
      </c>
      <c r="AE107" s="149" t="s">
        <v>108</v>
      </c>
      <c r="AG107" s="208" t="s">
        <v>371</v>
      </c>
      <c r="AH107" s="208" t="s">
        <v>371</v>
      </c>
      <c r="AI107" s="230" t="s">
        <v>371</v>
      </c>
      <c r="AJ107" s="134" t="s">
        <v>371</v>
      </c>
      <c r="AK107" s="211"/>
      <c r="AP107" s="152"/>
      <c r="BC107" s="142" t="str">
        <f>IF(AY107-KD107=0,"",AY107-O107)</f>
        <v/>
      </c>
      <c r="BD107" s="134" t="str">
        <f>IF(AND(AI107&lt;&gt;"SIM",AI107="UH"),"AA","INDENIZAÇÃO")</f>
        <v>INDENIZAÇÃO</v>
      </c>
      <c r="BE107" s="134" t="str">
        <f>IF(AND(AY107&lt;&gt;"AGUARDANDO",AY107&lt;&gt;"",N107="AUXÍLIO ALUGUEL ATÉ INDENIZAÇÃO"),"SIM","NÃO")</f>
        <v>NÃO</v>
      </c>
      <c r="BF107" s="134"/>
      <c r="BG107" s="194"/>
      <c r="BH107" s="194"/>
      <c r="CI107" s="200"/>
    </row>
    <row r="108" spans="1:87" s="149" customFormat="1" ht="30" customHeight="1">
      <c r="A108" s="134">
        <v>94</v>
      </c>
      <c r="B108" s="134" t="s">
        <v>99</v>
      </c>
      <c r="C108" s="134">
        <v>1</v>
      </c>
      <c r="D108" s="134" t="s">
        <v>100</v>
      </c>
      <c r="E108" s="134" t="s">
        <v>100</v>
      </c>
      <c r="F108" s="138" t="s">
        <v>586</v>
      </c>
      <c r="G108" s="149" t="s">
        <v>344</v>
      </c>
      <c r="H108" s="149" t="s">
        <v>103</v>
      </c>
      <c r="I108" s="149" t="s">
        <v>587</v>
      </c>
      <c r="J108" s="152" t="s">
        <v>588</v>
      </c>
      <c r="K108" s="152" t="s">
        <v>589</v>
      </c>
      <c r="L108" s="152" t="s">
        <v>590</v>
      </c>
      <c r="M108" s="134" t="s">
        <v>4</v>
      </c>
      <c r="N108" s="134" t="s">
        <v>5</v>
      </c>
      <c r="O108" s="194">
        <v>45905</v>
      </c>
      <c r="P108" s="144" t="s">
        <v>24</v>
      </c>
      <c r="Q108" s="144" t="s">
        <v>24</v>
      </c>
      <c r="R108" s="144" t="s">
        <v>24</v>
      </c>
      <c r="S108" s="144" t="s">
        <v>24</v>
      </c>
      <c r="T108" s="144" t="s">
        <v>24</v>
      </c>
      <c r="U108" s="144" t="s">
        <v>24</v>
      </c>
      <c r="V108" s="144" t="s">
        <v>24</v>
      </c>
      <c r="W108" s="144" t="s">
        <v>24</v>
      </c>
      <c r="X108" s="144" t="s">
        <v>24</v>
      </c>
      <c r="Y108" s="144" t="s">
        <v>24</v>
      </c>
      <c r="Z108" s="144" t="s">
        <v>24</v>
      </c>
      <c r="AB108" s="152" t="s">
        <v>588</v>
      </c>
      <c r="AC108" s="152" t="s">
        <v>589</v>
      </c>
      <c r="AD108" s="152" t="s">
        <v>590</v>
      </c>
      <c r="AE108" s="134" t="s">
        <v>287</v>
      </c>
      <c r="AF108" s="149" t="s">
        <v>4</v>
      </c>
      <c r="AG108" s="208">
        <v>2432.4899999999998</v>
      </c>
      <c r="AH108" s="208">
        <v>32432.49</v>
      </c>
      <c r="AI108" s="230" t="s">
        <v>6</v>
      </c>
      <c r="AJ108" s="138" t="s">
        <v>109</v>
      </c>
      <c r="AK108" s="211">
        <v>129684571</v>
      </c>
      <c r="AL108" s="134" t="s">
        <v>110</v>
      </c>
      <c r="AM108" s="134" t="s">
        <v>110</v>
      </c>
      <c r="AN108" s="273" t="s">
        <v>111</v>
      </c>
      <c r="AP108" s="199" t="s">
        <v>591</v>
      </c>
      <c r="AQ108" s="198" t="s">
        <v>110</v>
      </c>
      <c r="AR108" s="198" t="s">
        <v>110</v>
      </c>
      <c r="AS108" s="198" t="s">
        <v>110</v>
      </c>
      <c r="AT108" s="198" t="s">
        <v>110</v>
      </c>
      <c r="AU108" s="274">
        <v>45937</v>
      </c>
      <c r="AV108" s="198" t="s">
        <v>110</v>
      </c>
      <c r="AW108" s="198" t="s">
        <v>110</v>
      </c>
      <c r="AX108" s="274">
        <v>45947</v>
      </c>
      <c r="AY108" s="140">
        <v>45947</v>
      </c>
      <c r="AZ108" s="140" t="s">
        <v>33</v>
      </c>
      <c r="BA108" s="145" t="s">
        <v>113</v>
      </c>
      <c r="BB108" s="198" t="s">
        <v>110</v>
      </c>
      <c r="BC108" s="142">
        <f>IF(AY108-KD108=0,"",AY108-O108)</f>
        <v>42</v>
      </c>
      <c r="BD108" s="134" t="str">
        <f>IF(AND(AI108&lt;&gt;"SIM",AI108="UH"),"AA","INDENIZAÇÃO")</f>
        <v>INDENIZAÇÃO</v>
      </c>
      <c r="BE108" s="134" t="str">
        <f>IF(AND(AY108&lt;&gt;"AGUARDANDO",AY108&lt;&gt;"",N108="AUXÍLIO ALUGUEL ATÉ INDENIZAÇÃO"),"SIM","NÃO")</f>
        <v>NÃO</v>
      </c>
      <c r="BF108" s="198" t="s">
        <v>24</v>
      </c>
      <c r="BG108" s="198" t="s">
        <v>24</v>
      </c>
      <c r="BH108" s="198" t="s">
        <v>24</v>
      </c>
      <c r="BI108" s="145" t="s">
        <v>189</v>
      </c>
      <c r="BJ108" s="145"/>
      <c r="BK108" s="279"/>
      <c r="BL108" s="145"/>
      <c r="BM108" s="145"/>
      <c r="CI108" s="200"/>
    </row>
    <row r="109" spans="1:87" s="149" customFormat="1" ht="30" customHeight="1">
      <c r="A109" s="134">
        <v>95</v>
      </c>
      <c r="B109" s="134" t="s">
        <v>99</v>
      </c>
      <c r="C109" s="134">
        <v>1</v>
      </c>
      <c r="D109" s="134" t="s">
        <v>100</v>
      </c>
      <c r="E109" s="134" t="s">
        <v>100</v>
      </c>
      <c r="F109" s="138" t="s">
        <v>592</v>
      </c>
      <c r="G109" s="149" t="s">
        <v>102</v>
      </c>
      <c r="H109" s="149" t="s">
        <v>103</v>
      </c>
      <c r="I109" s="149" t="s">
        <v>108</v>
      </c>
      <c r="J109" s="152" t="s">
        <v>593</v>
      </c>
      <c r="K109" s="152" t="s">
        <v>594</v>
      </c>
      <c r="L109" s="152" t="s">
        <v>595</v>
      </c>
      <c r="M109" s="134" t="s">
        <v>4</v>
      </c>
      <c r="N109" s="134" t="s">
        <v>5</v>
      </c>
      <c r="O109" s="194">
        <v>45376</v>
      </c>
      <c r="P109" s="144" t="s">
        <v>24</v>
      </c>
      <c r="Q109" s="144" t="s">
        <v>24</v>
      </c>
      <c r="R109" s="144" t="s">
        <v>24</v>
      </c>
      <c r="S109" s="144" t="s">
        <v>24</v>
      </c>
      <c r="T109" s="144" t="s">
        <v>24</v>
      </c>
      <c r="U109" s="144" t="s">
        <v>24</v>
      </c>
      <c r="V109" s="144" t="s">
        <v>24</v>
      </c>
      <c r="W109" s="144" t="s">
        <v>24</v>
      </c>
      <c r="X109" s="144" t="s">
        <v>24</v>
      </c>
      <c r="Y109" s="144" t="s">
        <v>24</v>
      </c>
      <c r="Z109" s="144" t="s">
        <v>24</v>
      </c>
      <c r="AB109" s="152" t="s">
        <v>593</v>
      </c>
      <c r="AC109" s="152" t="s">
        <v>594</v>
      </c>
      <c r="AD109" s="152" t="s">
        <v>595</v>
      </c>
      <c r="AE109" s="149" t="s">
        <v>108</v>
      </c>
      <c r="AF109" s="149" t="s">
        <v>4</v>
      </c>
      <c r="AG109" s="208">
        <v>19091.46</v>
      </c>
      <c r="AH109" s="208">
        <v>49091.46</v>
      </c>
      <c r="AI109" s="214" t="s">
        <v>6</v>
      </c>
      <c r="AJ109" s="138" t="s">
        <v>109</v>
      </c>
      <c r="AK109" s="214"/>
      <c r="AL109" s="149" t="s">
        <v>110</v>
      </c>
      <c r="AM109" s="149" t="s">
        <v>110</v>
      </c>
      <c r="AN109" s="149" t="s">
        <v>111</v>
      </c>
      <c r="AP109" s="199" t="s">
        <v>596</v>
      </c>
      <c r="AQ109" s="198" t="s">
        <v>110</v>
      </c>
      <c r="AR109" s="198" t="s">
        <v>110</v>
      </c>
      <c r="AS109" s="198" t="s">
        <v>110</v>
      </c>
      <c r="AT109" s="198" t="s">
        <v>110</v>
      </c>
      <c r="AU109" s="194">
        <v>45498</v>
      </c>
      <c r="AV109" s="198" t="s">
        <v>110</v>
      </c>
      <c r="AW109" s="198" t="s">
        <v>110</v>
      </c>
      <c r="AX109" s="194">
        <v>45506</v>
      </c>
      <c r="AY109" s="197">
        <v>45506</v>
      </c>
      <c r="AZ109" s="145" t="s">
        <v>33</v>
      </c>
      <c r="BA109" s="145" t="s">
        <v>113</v>
      </c>
      <c r="BB109" s="149" t="s">
        <v>110</v>
      </c>
      <c r="BC109" s="142">
        <f>IF(AY109-KD109=0,"",AY109-O109)</f>
        <v>130</v>
      </c>
      <c r="BD109" s="134" t="str">
        <f>IF(AND(AI109&lt;&gt;"SIM",AI109="UH"),"AA","INDENIZAÇÃO")</f>
        <v>INDENIZAÇÃO</v>
      </c>
      <c r="BE109" s="134" t="str">
        <f>IF(AND(AY109&lt;&gt;"AGUARDANDO",AY109&lt;&gt;"",N109="AUXÍLIO ALUGUEL ATÉ INDENIZAÇÃO"),"SIM","NÃO")</f>
        <v>NÃO</v>
      </c>
      <c r="BF109" s="134" t="s">
        <v>24</v>
      </c>
      <c r="BG109" s="134" t="s">
        <v>24</v>
      </c>
      <c r="BH109" s="134" t="s">
        <v>24</v>
      </c>
      <c r="BI109" s="198" t="s">
        <v>110</v>
      </c>
      <c r="BJ109" s="198" t="s">
        <v>110</v>
      </c>
      <c r="BK109" s="194">
        <v>45559</v>
      </c>
      <c r="BL109" s="198" t="s">
        <v>110</v>
      </c>
      <c r="BM109" s="145" t="s">
        <v>33</v>
      </c>
      <c r="CI109" s="200"/>
    </row>
    <row r="110" spans="1:87" s="149" customFormat="1" ht="30" customHeight="1">
      <c r="A110" s="134">
        <v>96</v>
      </c>
      <c r="B110" s="134" t="s">
        <v>99</v>
      </c>
      <c r="C110" s="134">
        <v>1</v>
      </c>
      <c r="D110" s="134" t="s">
        <v>100</v>
      </c>
      <c r="E110" s="134" t="s">
        <v>100</v>
      </c>
      <c r="F110" s="138" t="s">
        <v>597</v>
      </c>
      <c r="G110" s="149" t="s">
        <v>10</v>
      </c>
      <c r="H110" s="149" t="s">
        <v>103</v>
      </c>
      <c r="I110" s="149" t="s">
        <v>287</v>
      </c>
      <c r="J110" s="152" t="s">
        <v>598</v>
      </c>
      <c r="K110" s="152" t="s">
        <v>599</v>
      </c>
      <c r="L110" s="152" t="s">
        <v>600</v>
      </c>
      <c r="M110" s="134" t="s">
        <v>4</v>
      </c>
      <c r="N110" s="134" t="s">
        <v>5</v>
      </c>
      <c r="O110" s="194">
        <v>45546</v>
      </c>
      <c r="P110" s="144" t="s">
        <v>24</v>
      </c>
      <c r="Q110" s="144" t="s">
        <v>24</v>
      </c>
      <c r="R110" s="144" t="s">
        <v>24</v>
      </c>
      <c r="S110" s="144" t="s">
        <v>24</v>
      </c>
      <c r="T110" s="144" t="s">
        <v>24</v>
      </c>
      <c r="U110" s="144" t="s">
        <v>24</v>
      </c>
      <c r="V110" s="144" t="s">
        <v>24</v>
      </c>
      <c r="W110" s="144" t="s">
        <v>24</v>
      </c>
      <c r="X110" s="144" t="s">
        <v>24</v>
      </c>
      <c r="Y110" s="144" t="s">
        <v>24</v>
      </c>
      <c r="Z110" s="144" t="s">
        <v>24</v>
      </c>
      <c r="AB110" s="152" t="s">
        <v>598</v>
      </c>
      <c r="AC110" s="152" t="s">
        <v>599</v>
      </c>
      <c r="AD110" s="152" t="s">
        <v>600</v>
      </c>
      <c r="AE110" s="134" t="s">
        <v>287</v>
      </c>
      <c r="AF110" s="149" t="s">
        <v>4</v>
      </c>
      <c r="AG110" s="208">
        <v>3530.5</v>
      </c>
      <c r="AH110" s="208">
        <f>AG110+30000</f>
        <v>33530.5</v>
      </c>
      <c r="AI110" s="134" t="s">
        <v>6</v>
      </c>
      <c r="AJ110" s="138" t="s">
        <v>109</v>
      </c>
      <c r="AL110" s="149" t="s">
        <v>110</v>
      </c>
      <c r="AM110" s="149" t="s">
        <v>110</v>
      </c>
      <c r="AN110" s="149" t="s">
        <v>111</v>
      </c>
      <c r="AP110" s="199" t="s">
        <v>601</v>
      </c>
      <c r="AQ110" s="198" t="s">
        <v>110</v>
      </c>
      <c r="AR110" s="198" t="s">
        <v>110</v>
      </c>
      <c r="AS110" s="198" t="s">
        <v>110</v>
      </c>
      <c r="AT110" s="198" t="s">
        <v>110</v>
      </c>
      <c r="AU110" s="194">
        <v>45601</v>
      </c>
      <c r="AV110" s="198" t="s">
        <v>110</v>
      </c>
      <c r="AW110" s="198" t="s">
        <v>110</v>
      </c>
      <c r="AX110" s="194">
        <v>45617</v>
      </c>
      <c r="AY110" s="197">
        <v>45617</v>
      </c>
      <c r="AZ110" s="145" t="s">
        <v>33</v>
      </c>
      <c r="BA110" s="145" t="s">
        <v>113</v>
      </c>
      <c r="BB110" s="149" t="s">
        <v>110</v>
      </c>
      <c r="BC110" s="142">
        <f>IF(AY110-KD110=0,"",AY110-O110)</f>
        <v>71</v>
      </c>
      <c r="BD110" s="134" t="str">
        <f>IF(AND(AI110&lt;&gt;"SIM",AI110="UH"),"AA","INDENIZAÇÃO")</f>
        <v>INDENIZAÇÃO</v>
      </c>
      <c r="BE110" s="134" t="str">
        <f>IF(AND(AY110&lt;&gt;"AGUARDANDO",AY110&lt;&gt;"",N110="AUXÍLIO ALUGUEL ATÉ INDENIZAÇÃO"),"SIM","NÃO")</f>
        <v>NÃO</v>
      </c>
      <c r="BF110" s="134" t="s">
        <v>24</v>
      </c>
      <c r="BG110" s="134" t="s">
        <v>24</v>
      </c>
      <c r="BH110" s="134" t="s">
        <v>24</v>
      </c>
      <c r="BI110" s="198" t="s">
        <v>110</v>
      </c>
      <c r="BJ110" s="198" t="s">
        <v>110</v>
      </c>
      <c r="BK110" s="194">
        <v>45677</v>
      </c>
      <c r="BL110" s="198" t="s">
        <v>110</v>
      </c>
      <c r="BM110" s="197" t="s">
        <v>33</v>
      </c>
      <c r="CI110" s="200"/>
    </row>
    <row r="111" spans="1:87" s="149" customFormat="1" ht="30" customHeight="1">
      <c r="A111" s="134">
        <v>97</v>
      </c>
      <c r="B111" s="134" t="s">
        <v>99</v>
      </c>
      <c r="C111" s="134">
        <v>1</v>
      </c>
      <c r="D111" s="134" t="s">
        <v>100</v>
      </c>
      <c r="E111" s="134" t="s">
        <v>100</v>
      </c>
      <c r="F111" s="138" t="s">
        <v>602</v>
      </c>
      <c r="G111" s="149" t="s">
        <v>102</v>
      </c>
      <c r="H111" s="149" t="s">
        <v>103</v>
      </c>
      <c r="I111" s="149" t="s">
        <v>108</v>
      </c>
      <c r="J111" s="152" t="s">
        <v>603</v>
      </c>
      <c r="K111" s="152" t="s">
        <v>604</v>
      </c>
      <c r="L111" s="152" t="s">
        <v>605</v>
      </c>
      <c r="M111" s="134" t="s">
        <v>4</v>
      </c>
      <c r="N111" s="134" t="s">
        <v>5</v>
      </c>
      <c r="O111" s="194">
        <v>45525</v>
      </c>
      <c r="P111" s="144" t="s">
        <v>24</v>
      </c>
      <c r="Q111" s="144" t="s">
        <v>24</v>
      </c>
      <c r="R111" s="144" t="s">
        <v>24</v>
      </c>
      <c r="S111" s="144" t="s">
        <v>24</v>
      </c>
      <c r="T111" s="144" t="s">
        <v>24</v>
      </c>
      <c r="U111" s="144" t="s">
        <v>24</v>
      </c>
      <c r="V111" s="144" t="s">
        <v>24</v>
      </c>
      <c r="W111" s="144" t="s">
        <v>24</v>
      </c>
      <c r="X111" s="144" t="s">
        <v>24</v>
      </c>
      <c r="Y111" s="144" t="s">
        <v>24</v>
      </c>
      <c r="Z111" s="144" t="s">
        <v>24</v>
      </c>
      <c r="AB111" s="152" t="s">
        <v>603</v>
      </c>
      <c r="AC111" s="152" t="s">
        <v>604</v>
      </c>
      <c r="AD111" s="152" t="s">
        <v>605</v>
      </c>
      <c r="AE111" s="149" t="s">
        <v>108</v>
      </c>
      <c r="AF111" s="149" t="s">
        <v>4</v>
      </c>
      <c r="AG111" s="208">
        <v>43209.08</v>
      </c>
      <c r="AH111" s="208">
        <v>60000</v>
      </c>
      <c r="AI111" s="230" t="s">
        <v>6</v>
      </c>
      <c r="AJ111" s="138" t="s">
        <v>109</v>
      </c>
      <c r="AK111" s="235"/>
      <c r="AL111" s="149" t="s">
        <v>110</v>
      </c>
      <c r="AM111" s="149" t="s">
        <v>110</v>
      </c>
      <c r="AN111" s="149" t="s">
        <v>111</v>
      </c>
      <c r="AP111" s="199" t="s">
        <v>606</v>
      </c>
      <c r="AQ111" s="198" t="s">
        <v>110</v>
      </c>
      <c r="AR111" s="198" t="s">
        <v>110</v>
      </c>
      <c r="AS111" s="198" t="s">
        <v>110</v>
      </c>
      <c r="AT111" s="198" t="s">
        <v>110</v>
      </c>
      <c r="AU111" s="194">
        <v>45573</v>
      </c>
      <c r="AV111" s="198" t="s">
        <v>110</v>
      </c>
      <c r="AW111" s="198" t="s">
        <v>110</v>
      </c>
      <c r="AX111" s="194">
        <v>45581</v>
      </c>
      <c r="AY111" s="197">
        <v>45581</v>
      </c>
      <c r="AZ111" s="145" t="s">
        <v>33</v>
      </c>
      <c r="BA111" s="145" t="s">
        <v>113</v>
      </c>
      <c r="BB111" s="149" t="s">
        <v>110</v>
      </c>
      <c r="BC111" s="142">
        <f>IF(AY111-KD111=0,"",AY111-O111)</f>
        <v>56</v>
      </c>
      <c r="BD111" s="134" t="str">
        <f>IF(AND(AI111&lt;&gt;"SIM",AI111="UH"),"AA","INDENIZAÇÃO")</f>
        <v>INDENIZAÇÃO</v>
      </c>
      <c r="BE111" s="134" t="str">
        <f>IF(AND(AY111&lt;&gt;"AGUARDANDO",AY111&lt;&gt;"",N111="AUXÍLIO ALUGUEL ATÉ INDENIZAÇÃO"),"SIM","NÃO")</f>
        <v>NÃO</v>
      </c>
      <c r="BF111" s="134" t="s">
        <v>24</v>
      </c>
      <c r="BG111" s="134" t="s">
        <v>24</v>
      </c>
      <c r="BH111" s="134" t="s">
        <v>24</v>
      </c>
      <c r="BI111" s="198" t="s">
        <v>110</v>
      </c>
      <c r="BJ111" s="198" t="s">
        <v>110</v>
      </c>
      <c r="BK111" s="194">
        <v>45621</v>
      </c>
      <c r="BL111" s="198" t="s">
        <v>110</v>
      </c>
      <c r="BM111" s="145" t="s">
        <v>33</v>
      </c>
      <c r="CI111" s="200"/>
    </row>
    <row r="112" spans="1:87" s="149" customFormat="1" ht="30" customHeight="1">
      <c r="A112" s="134">
        <v>98</v>
      </c>
      <c r="B112" s="134" t="s">
        <v>99</v>
      </c>
      <c r="C112" s="134">
        <v>1</v>
      </c>
      <c r="D112" s="134" t="s">
        <v>100</v>
      </c>
      <c r="E112" s="134" t="s">
        <v>100</v>
      </c>
      <c r="F112" s="146" t="s">
        <v>607</v>
      </c>
      <c r="G112" s="149" t="s">
        <v>102</v>
      </c>
      <c r="H112" s="149" t="s">
        <v>103</v>
      </c>
      <c r="I112" s="149" t="s">
        <v>279</v>
      </c>
      <c r="J112" s="152" t="s">
        <v>608</v>
      </c>
      <c r="K112" s="152" t="s">
        <v>609</v>
      </c>
      <c r="L112" s="152" t="s">
        <v>610</v>
      </c>
      <c r="M112" s="134" t="s">
        <v>4</v>
      </c>
      <c r="N112" s="134" t="s">
        <v>14</v>
      </c>
      <c r="O112" s="194">
        <v>45525</v>
      </c>
      <c r="P112" s="197" t="s">
        <v>17</v>
      </c>
      <c r="Q112" s="264" t="s">
        <v>283</v>
      </c>
      <c r="R112" s="197"/>
      <c r="S112" s="197"/>
      <c r="T112" s="197"/>
      <c r="U112" s="197"/>
      <c r="V112" s="197"/>
      <c r="W112" s="197"/>
      <c r="X112" s="197"/>
      <c r="Y112" s="197"/>
      <c r="Z112" s="197"/>
      <c r="AB112" s="152" t="s">
        <v>611</v>
      </c>
      <c r="AC112" s="152" t="s">
        <v>612</v>
      </c>
      <c r="AD112" s="152" t="s">
        <v>613</v>
      </c>
      <c r="AE112" s="134" t="s">
        <v>287</v>
      </c>
      <c r="AF112" s="149" t="s">
        <v>4</v>
      </c>
      <c r="AG112" s="208">
        <v>42907.94</v>
      </c>
      <c r="AH112" s="208">
        <f>AG112</f>
        <v>42907.94</v>
      </c>
      <c r="AI112" s="230" t="s">
        <v>6</v>
      </c>
      <c r="AJ112" s="138" t="s">
        <v>109</v>
      </c>
      <c r="AK112" s="235"/>
      <c r="AL112" s="149" t="s">
        <v>110</v>
      </c>
      <c r="AM112" s="149" t="s">
        <v>110</v>
      </c>
      <c r="AN112" s="149" t="s">
        <v>111</v>
      </c>
      <c r="AP112" s="199" t="s">
        <v>614</v>
      </c>
      <c r="AQ112" s="198" t="s">
        <v>110</v>
      </c>
      <c r="AR112" s="198" t="s">
        <v>110</v>
      </c>
      <c r="AS112" s="198" t="s">
        <v>110</v>
      </c>
      <c r="AT112" s="198" t="s">
        <v>110</v>
      </c>
      <c r="AU112" s="194">
        <v>45573</v>
      </c>
      <c r="AV112" s="198" t="s">
        <v>110</v>
      </c>
      <c r="AW112" s="198" t="s">
        <v>110</v>
      </c>
      <c r="AX112" s="194">
        <v>45581</v>
      </c>
      <c r="AY112" s="197">
        <v>45581</v>
      </c>
      <c r="AZ112" s="145" t="s">
        <v>33</v>
      </c>
      <c r="BA112" s="145" t="s">
        <v>113</v>
      </c>
      <c r="BB112" s="149" t="s">
        <v>110</v>
      </c>
      <c r="BC112" s="142">
        <f>IF(AY112-KD112=0,"",AY112-O112)</f>
        <v>56</v>
      </c>
      <c r="BD112" s="134" t="str">
        <f>IF(AND(AI112&lt;&gt;"SIM",AI112="UH"),"AA","INDENIZAÇÃO")</f>
        <v>INDENIZAÇÃO</v>
      </c>
      <c r="BE112" s="134" t="str">
        <f>IF(AND(AY112&lt;&gt;"AGUARDANDO",AY112&lt;&gt;"",N112="AUXÍLIO ALUGUEL ATÉ INDENIZAÇÃO"),"SIM","NÃO")</f>
        <v>NÃO</v>
      </c>
      <c r="BF112" s="134" t="s">
        <v>24</v>
      </c>
      <c r="BG112" s="134" t="s">
        <v>24</v>
      </c>
      <c r="BH112" s="134" t="s">
        <v>24</v>
      </c>
      <c r="BI112" s="198" t="s">
        <v>110</v>
      </c>
      <c r="BJ112" s="198" t="s">
        <v>110</v>
      </c>
      <c r="BK112" s="194">
        <v>45621</v>
      </c>
      <c r="BL112" s="198" t="s">
        <v>110</v>
      </c>
      <c r="BM112" s="145" t="s">
        <v>33</v>
      </c>
      <c r="CI112" s="200"/>
    </row>
    <row r="113" spans="1:87" s="149" customFormat="1" ht="30" customHeight="1">
      <c r="A113" s="134">
        <v>99</v>
      </c>
      <c r="B113" s="134" t="s">
        <v>99</v>
      </c>
      <c r="C113" s="134">
        <v>1</v>
      </c>
      <c r="D113" s="134" t="s">
        <v>100</v>
      </c>
      <c r="E113" s="134" t="s">
        <v>100</v>
      </c>
      <c r="F113" s="138" t="s">
        <v>615</v>
      </c>
      <c r="G113" s="149" t="s">
        <v>102</v>
      </c>
      <c r="H113" s="149" t="s">
        <v>103</v>
      </c>
      <c r="I113" s="149" t="s">
        <v>279</v>
      </c>
      <c r="J113" s="152" t="s">
        <v>616</v>
      </c>
      <c r="K113" s="152" t="s">
        <v>617</v>
      </c>
      <c r="L113" s="152" t="s">
        <v>618</v>
      </c>
      <c r="M113" s="134" t="s">
        <v>4</v>
      </c>
      <c r="N113" s="134" t="s">
        <v>14</v>
      </c>
      <c r="O113" s="194">
        <v>45525</v>
      </c>
      <c r="P113" s="197" t="s">
        <v>17</v>
      </c>
      <c r="Q113" s="264" t="s">
        <v>283</v>
      </c>
      <c r="R113" s="197"/>
      <c r="S113" s="197"/>
      <c r="T113" s="197"/>
      <c r="U113" s="197"/>
      <c r="V113" s="197"/>
      <c r="W113" s="197"/>
      <c r="X113" s="197"/>
      <c r="Y113" s="197"/>
      <c r="Z113" s="197"/>
      <c r="AB113" s="152" t="s">
        <v>619</v>
      </c>
      <c r="AC113" s="152" t="s">
        <v>620</v>
      </c>
      <c r="AD113" s="152" t="s">
        <v>621</v>
      </c>
      <c r="AE113" s="134" t="s">
        <v>287</v>
      </c>
      <c r="AF113" s="149" t="s">
        <v>4</v>
      </c>
      <c r="AG113" s="208">
        <v>30898.33</v>
      </c>
      <c r="AH113" s="208">
        <f>AG113</f>
        <v>30898.33</v>
      </c>
      <c r="AI113" s="230" t="s">
        <v>6</v>
      </c>
      <c r="AJ113" s="138" t="s">
        <v>109</v>
      </c>
      <c r="AK113" s="235"/>
      <c r="AL113" s="149" t="s">
        <v>110</v>
      </c>
      <c r="AM113" s="149" t="s">
        <v>110</v>
      </c>
      <c r="AN113" s="149" t="s">
        <v>111</v>
      </c>
      <c r="AP113" s="199" t="s">
        <v>622</v>
      </c>
      <c r="AQ113" s="198" t="s">
        <v>110</v>
      </c>
      <c r="AR113" s="198" t="s">
        <v>110</v>
      </c>
      <c r="AS113" s="198" t="s">
        <v>110</v>
      </c>
      <c r="AT113" s="198" t="s">
        <v>110</v>
      </c>
      <c r="AU113" s="194">
        <v>45614</v>
      </c>
      <c r="AV113" s="198" t="s">
        <v>110</v>
      </c>
      <c r="AW113" s="198" t="s">
        <v>110</v>
      </c>
      <c r="AX113" s="194">
        <v>45621</v>
      </c>
      <c r="AY113" s="197">
        <v>45621</v>
      </c>
      <c r="AZ113" s="197" t="s">
        <v>33</v>
      </c>
      <c r="BA113" s="145" t="s">
        <v>113</v>
      </c>
      <c r="BB113" s="149" t="s">
        <v>110</v>
      </c>
      <c r="BC113" s="142">
        <f>IF(AY113-KD113=0,"",AY113-O113)</f>
        <v>96</v>
      </c>
      <c r="BD113" s="134" t="str">
        <f>IF(AND(AI113&lt;&gt;"SIM",AI113="UH"),"AA","INDENIZAÇÃO")</f>
        <v>INDENIZAÇÃO</v>
      </c>
      <c r="BE113" s="134" t="str">
        <f>IF(AND(AY113&lt;&gt;"AGUARDANDO",AY113&lt;&gt;"",N113="AUXÍLIO ALUGUEL ATÉ INDENIZAÇÃO"),"SIM","NÃO")</f>
        <v>NÃO</v>
      </c>
      <c r="BF113" s="134" t="s">
        <v>24</v>
      </c>
      <c r="BG113" s="134" t="s">
        <v>24</v>
      </c>
      <c r="BH113" s="134" t="s">
        <v>24</v>
      </c>
      <c r="BI113" s="198" t="s">
        <v>110</v>
      </c>
      <c r="BJ113" s="198" t="s">
        <v>110</v>
      </c>
      <c r="BK113" s="194">
        <v>45677</v>
      </c>
      <c r="BL113" s="198" t="s">
        <v>110</v>
      </c>
      <c r="BM113" s="197" t="s">
        <v>33</v>
      </c>
      <c r="CI113" s="200"/>
    </row>
    <row r="114" spans="1:87" s="149" customFormat="1" ht="30" customHeight="1">
      <c r="A114" s="134">
        <v>100</v>
      </c>
      <c r="B114" s="245" t="s">
        <v>99</v>
      </c>
      <c r="C114" s="245">
        <v>1</v>
      </c>
      <c r="D114" s="245" t="s">
        <v>100</v>
      </c>
      <c r="E114" s="245" t="s">
        <v>100</v>
      </c>
      <c r="F114" s="246" t="s">
        <v>623</v>
      </c>
      <c r="G114" s="149" t="s">
        <v>102</v>
      </c>
      <c r="H114" s="149" t="s">
        <v>103</v>
      </c>
      <c r="I114" s="149" t="s">
        <v>387</v>
      </c>
      <c r="J114" s="152" t="s">
        <v>624</v>
      </c>
      <c r="K114" s="152" t="s">
        <v>625</v>
      </c>
      <c r="L114" s="152" t="s">
        <v>626</v>
      </c>
      <c r="M114" s="245" t="s">
        <v>4</v>
      </c>
      <c r="N114" s="245" t="s">
        <v>14</v>
      </c>
      <c r="O114" s="256">
        <v>45525</v>
      </c>
      <c r="P114" s="249" t="s">
        <v>17</v>
      </c>
      <c r="Q114" s="246" t="s">
        <v>283</v>
      </c>
      <c r="R114" s="249"/>
      <c r="S114" s="249"/>
      <c r="T114" s="249"/>
      <c r="U114" s="249"/>
      <c r="V114" s="249"/>
      <c r="W114" s="249"/>
      <c r="X114" s="249"/>
      <c r="Y114" s="249"/>
      <c r="Z114" s="249"/>
      <c r="AA114" s="250"/>
      <c r="AB114" s="152" t="s">
        <v>627</v>
      </c>
      <c r="AC114" s="152" t="s">
        <v>628</v>
      </c>
      <c r="AD114" s="152" t="s">
        <v>629</v>
      </c>
      <c r="AE114" s="134" t="s">
        <v>287</v>
      </c>
      <c r="AF114" s="250" t="s">
        <v>4</v>
      </c>
      <c r="AG114" s="208">
        <v>31241.32</v>
      </c>
      <c r="AH114" s="208">
        <f>AG114</f>
        <v>31241.32</v>
      </c>
      <c r="AI114" s="251" t="s">
        <v>6</v>
      </c>
      <c r="AJ114" s="246" t="s">
        <v>109</v>
      </c>
      <c r="AK114" s="257"/>
      <c r="AL114" s="250" t="s">
        <v>110</v>
      </c>
      <c r="AM114" s="250" t="s">
        <v>110</v>
      </c>
      <c r="AN114" s="250" t="s">
        <v>111</v>
      </c>
      <c r="AO114" s="250"/>
      <c r="AP114" s="253" t="s">
        <v>630</v>
      </c>
      <c r="AQ114" s="250" t="s">
        <v>110</v>
      </c>
      <c r="AR114" s="250" t="s">
        <v>110</v>
      </c>
      <c r="AS114" s="250" t="s">
        <v>110</v>
      </c>
      <c r="AT114" s="250" t="s">
        <v>110</v>
      </c>
      <c r="AU114" s="256">
        <v>45573</v>
      </c>
      <c r="AV114" s="250" t="s">
        <v>110</v>
      </c>
      <c r="AW114" s="250" t="s">
        <v>110</v>
      </c>
      <c r="AX114" s="256">
        <v>45581</v>
      </c>
      <c r="AY114" s="249">
        <v>45581</v>
      </c>
      <c r="AZ114" s="245" t="s">
        <v>360</v>
      </c>
      <c r="BA114" s="245" t="s">
        <v>1</v>
      </c>
      <c r="BB114" s="250" t="s">
        <v>110</v>
      </c>
      <c r="BC114" s="142">
        <f>IF(AY114-KD114=0,"",AY114-O114)</f>
        <v>56</v>
      </c>
      <c r="BD114" s="134" t="str">
        <f>IF(AND(AI114&lt;&gt;"SIM",AI114="UH"),"AA","INDENIZAÇÃO")</f>
        <v>INDENIZAÇÃO</v>
      </c>
      <c r="BE114" s="134" t="str">
        <f>IF(AND(AY114&lt;&gt;"AGUARDANDO",AY114&lt;&gt;"",N114="AUXÍLIO ALUGUEL ATÉ INDENIZAÇÃO"),"SIM","NÃO")</f>
        <v>NÃO</v>
      </c>
      <c r="BF114" s="245" t="s">
        <v>24</v>
      </c>
      <c r="BG114" s="245" t="s">
        <v>24</v>
      </c>
      <c r="BH114" s="245" t="s">
        <v>24</v>
      </c>
      <c r="BI114" s="250" t="s">
        <v>110</v>
      </c>
      <c r="BJ114" s="250" t="s">
        <v>110</v>
      </c>
      <c r="BK114" s="256">
        <v>45621</v>
      </c>
      <c r="BL114" s="250" t="s">
        <v>110</v>
      </c>
      <c r="BM114" s="250" t="s">
        <v>33</v>
      </c>
      <c r="CI114" s="200"/>
    </row>
    <row r="115" spans="1:87" s="149" customFormat="1" ht="30" customHeight="1">
      <c r="A115" s="134">
        <v>101</v>
      </c>
      <c r="B115" s="245" t="s">
        <v>99</v>
      </c>
      <c r="C115" s="245">
        <v>1</v>
      </c>
      <c r="D115" s="245" t="s">
        <v>100</v>
      </c>
      <c r="E115" s="245" t="s">
        <v>100</v>
      </c>
      <c r="F115" s="246" t="s">
        <v>631</v>
      </c>
      <c r="G115" s="149" t="s">
        <v>102</v>
      </c>
      <c r="H115" s="149" t="s">
        <v>103</v>
      </c>
      <c r="I115" s="149" t="s">
        <v>108</v>
      </c>
      <c r="J115" s="152" t="s">
        <v>632</v>
      </c>
      <c r="K115" s="152" t="s">
        <v>633</v>
      </c>
      <c r="L115" s="152" t="s">
        <v>634</v>
      </c>
      <c r="M115" s="245" t="s">
        <v>4</v>
      </c>
      <c r="N115" s="245" t="s">
        <v>5</v>
      </c>
      <c r="O115" s="256">
        <v>45628</v>
      </c>
      <c r="P115" s="249" t="s">
        <v>24</v>
      </c>
      <c r="Q115" s="249" t="s">
        <v>24</v>
      </c>
      <c r="R115" s="249" t="s">
        <v>24</v>
      </c>
      <c r="S115" s="249" t="s">
        <v>24</v>
      </c>
      <c r="T115" s="249" t="s">
        <v>24</v>
      </c>
      <c r="U115" s="249" t="s">
        <v>24</v>
      </c>
      <c r="V115" s="249" t="s">
        <v>24</v>
      </c>
      <c r="W115" s="249" t="s">
        <v>24</v>
      </c>
      <c r="X115" s="249" t="s">
        <v>24</v>
      </c>
      <c r="Y115" s="249" t="s">
        <v>24</v>
      </c>
      <c r="Z115" s="249" t="s">
        <v>24</v>
      </c>
      <c r="AA115" s="250"/>
      <c r="AB115" s="152" t="s">
        <v>632</v>
      </c>
      <c r="AC115" s="152" t="s">
        <v>633</v>
      </c>
      <c r="AD115" s="152" t="s">
        <v>634</v>
      </c>
      <c r="AE115" s="149" t="s">
        <v>108</v>
      </c>
      <c r="AF115" s="250" t="s">
        <v>4</v>
      </c>
      <c r="AG115" s="208">
        <v>47156.27</v>
      </c>
      <c r="AH115" s="208">
        <v>60000</v>
      </c>
      <c r="AI115" s="251" t="s">
        <v>6</v>
      </c>
      <c r="AJ115" s="246" t="s">
        <v>109</v>
      </c>
      <c r="AK115" s="257"/>
      <c r="AL115" s="245" t="s">
        <v>110</v>
      </c>
      <c r="AM115" s="250" t="s">
        <v>110</v>
      </c>
      <c r="AN115" s="245" t="s">
        <v>111</v>
      </c>
      <c r="AO115" s="250"/>
      <c r="AP115" s="253" t="s">
        <v>635</v>
      </c>
      <c r="AQ115" s="250" t="s">
        <v>110</v>
      </c>
      <c r="AR115" s="250" t="s">
        <v>110</v>
      </c>
      <c r="AS115" s="250" t="s">
        <v>110</v>
      </c>
      <c r="AT115" s="250" t="s">
        <v>110</v>
      </c>
      <c r="AU115" s="258">
        <v>45754</v>
      </c>
      <c r="AV115" s="250" t="s">
        <v>110</v>
      </c>
      <c r="AW115" s="250" t="s">
        <v>110</v>
      </c>
      <c r="AX115" s="258">
        <v>45757</v>
      </c>
      <c r="AY115" s="254">
        <v>45757</v>
      </c>
      <c r="AZ115" s="245" t="s">
        <v>360</v>
      </c>
      <c r="BA115" s="245" t="s">
        <v>1</v>
      </c>
      <c r="BB115" s="250" t="s">
        <v>110</v>
      </c>
      <c r="BC115" s="142">
        <f>IF(AY115-KD115=0,"",AY115-O115)</f>
        <v>129</v>
      </c>
      <c r="BD115" s="134" t="str">
        <f>IF(AND(AI115&lt;&gt;"SIM",AI115="UH"),"AA","INDENIZAÇÃO")</f>
        <v>INDENIZAÇÃO</v>
      </c>
      <c r="BE115" s="134" t="str">
        <f>IF(AND(AY115&lt;&gt;"AGUARDANDO",AY115&lt;&gt;"",N115="AUXÍLIO ALUGUEL ATÉ INDENIZAÇÃO"),"SIM","NÃO")</f>
        <v>NÃO</v>
      </c>
      <c r="BF115" s="250" t="s">
        <v>24</v>
      </c>
      <c r="BG115" s="250" t="s">
        <v>24</v>
      </c>
      <c r="BH115" s="250" t="s">
        <v>24</v>
      </c>
      <c r="BI115" s="250" t="s">
        <v>110</v>
      </c>
      <c r="BJ115" s="250" t="s">
        <v>110</v>
      </c>
      <c r="BK115" s="248">
        <v>45783</v>
      </c>
      <c r="BL115" s="250" t="s">
        <v>110</v>
      </c>
      <c r="BM115" s="250" t="s">
        <v>33</v>
      </c>
      <c r="CI115" s="200"/>
    </row>
    <row r="116" spans="1:87" s="149" customFormat="1" ht="30" customHeight="1">
      <c r="A116" s="134">
        <v>102</v>
      </c>
      <c r="B116" s="134" t="s">
        <v>99</v>
      </c>
      <c r="C116" s="134">
        <v>1</v>
      </c>
      <c r="D116" s="134" t="s">
        <v>100</v>
      </c>
      <c r="E116" s="134" t="s">
        <v>100</v>
      </c>
      <c r="F116" s="138" t="s">
        <v>636</v>
      </c>
      <c r="G116" s="149" t="s">
        <v>102</v>
      </c>
      <c r="H116" s="149" t="s">
        <v>103</v>
      </c>
      <c r="I116" s="149" t="s">
        <v>108</v>
      </c>
      <c r="J116" s="152" t="s">
        <v>637</v>
      </c>
      <c r="K116" s="152" t="s">
        <v>638</v>
      </c>
      <c r="L116" s="152" t="s">
        <v>639</v>
      </c>
      <c r="M116" s="134" t="s">
        <v>4</v>
      </c>
      <c r="N116" s="134" t="s">
        <v>5</v>
      </c>
      <c r="O116" s="194">
        <v>45628</v>
      </c>
      <c r="P116" s="144" t="s">
        <v>24</v>
      </c>
      <c r="Q116" s="144" t="s">
        <v>24</v>
      </c>
      <c r="R116" s="144" t="s">
        <v>24</v>
      </c>
      <c r="S116" s="144" t="s">
        <v>24</v>
      </c>
      <c r="T116" s="144" t="s">
        <v>24</v>
      </c>
      <c r="U116" s="144" t="s">
        <v>24</v>
      </c>
      <c r="V116" s="144" t="s">
        <v>24</v>
      </c>
      <c r="W116" s="144" t="s">
        <v>24</v>
      </c>
      <c r="X116" s="144" t="s">
        <v>24</v>
      </c>
      <c r="Y116" s="144" t="s">
        <v>24</v>
      </c>
      <c r="Z116" s="144" t="s">
        <v>24</v>
      </c>
      <c r="AB116" s="152" t="s">
        <v>637</v>
      </c>
      <c r="AC116" s="152" t="s">
        <v>638</v>
      </c>
      <c r="AD116" s="152" t="s">
        <v>639</v>
      </c>
      <c r="AE116" s="149" t="s">
        <v>108</v>
      </c>
      <c r="AF116" s="149" t="s">
        <v>4</v>
      </c>
      <c r="AG116" s="208">
        <v>27196.59</v>
      </c>
      <c r="AH116" s="208">
        <v>57196.59</v>
      </c>
      <c r="AI116" s="134" t="s">
        <v>6</v>
      </c>
      <c r="AJ116" s="160" t="s">
        <v>109</v>
      </c>
      <c r="AK116" s="214"/>
      <c r="AL116" s="134" t="s">
        <v>110</v>
      </c>
      <c r="AM116" s="149" t="s">
        <v>110</v>
      </c>
      <c r="AN116" s="134" t="s">
        <v>111</v>
      </c>
      <c r="AP116" s="152" t="s">
        <v>640</v>
      </c>
      <c r="AQ116" s="198" t="s">
        <v>110</v>
      </c>
      <c r="AR116" s="198" t="s">
        <v>110</v>
      </c>
      <c r="AS116" s="198" t="s">
        <v>110</v>
      </c>
      <c r="AT116" s="198" t="s">
        <v>110</v>
      </c>
      <c r="AU116" s="177">
        <v>45754</v>
      </c>
      <c r="AV116" s="198" t="s">
        <v>110</v>
      </c>
      <c r="AW116" s="198" t="s">
        <v>110</v>
      </c>
      <c r="AX116" s="177">
        <v>45757</v>
      </c>
      <c r="AY116" s="140">
        <v>45757</v>
      </c>
      <c r="AZ116" s="141" t="s">
        <v>33</v>
      </c>
      <c r="BA116" s="141" t="s">
        <v>1</v>
      </c>
      <c r="BB116" s="149" t="s">
        <v>110</v>
      </c>
      <c r="BC116" s="142">
        <f>IF(AY116-KD116=0,"",AY116-O116)</f>
        <v>129</v>
      </c>
      <c r="BD116" s="134" t="str">
        <f>IF(AND(AI116&lt;&gt;"SIM",AI116="UH"),"AA","INDENIZAÇÃO")</f>
        <v>INDENIZAÇÃO</v>
      </c>
      <c r="BE116" s="134" t="str">
        <f>IF(AND(AY116&lt;&gt;"AGUARDANDO",AY116&lt;&gt;"",N116="AUXÍLIO ALUGUEL ATÉ INDENIZAÇÃO"),"SIM","NÃO")</f>
        <v>NÃO</v>
      </c>
      <c r="BF116" s="149" t="s">
        <v>24</v>
      </c>
      <c r="BG116" s="149" t="s">
        <v>24</v>
      </c>
      <c r="BH116" s="149" t="s">
        <v>24</v>
      </c>
      <c r="BI116" s="198" t="s">
        <v>110</v>
      </c>
      <c r="BJ116" s="198" t="s">
        <v>110</v>
      </c>
      <c r="BK116" s="161">
        <v>45783</v>
      </c>
      <c r="BL116" s="198" t="s">
        <v>110</v>
      </c>
      <c r="BM116" s="145" t="s">
        <v>33</v>
      </c>
      <c r="CI116" s="200"/>
    </row>
    <row r="117" spans="1:87" s="149" customFormat="1" ht="30" customHeight="1">
      <c r="A117" s="134">
        <v>103</v>
      </c>
      <c r="B117" s="134" t="s">
        <v>99</v>
      </c>
      <c r="C117" s="134">
        <v>1</v>
      </c>
      <c r="D117" s="134" t="s">
        <v>100</v>
      </c>
      <c r="E117" s="134" t="s">
        <v>100</v>
      </c>
      <c r="F117" s="138" t="s">
        <v>641</v>
      </c>
      <c r="G117" s="149" t="s">
        <v>102</v>
      </c>
      <c r="H117" s="149" t="s">
        <v>103</v>
      </c>
      <c r="I117" s="149" t="s">
        <v>108</v>
      </c>
      <c r="J117" s="152" t="s">
        <v>642</v>
      </c>
      <c r="K117" s="152" t="s">
        <v>643</v>
      </c>
      <c r="L117" s="152" t="s">
        <v>644</v>
      </c>
      <c r="M117" s="134" t="s">
        <v>4</v>
      </c>
      <c r="N117" s="134" t="s">
        <v>5</v>
      </c>
      <c r="O117" s="194">
        <v>45376</v>
      </c>
      <c r="P117" s="144" t="s">
        <v>24</v>
      </c>
      <c r="Q117" s="144" t="s">
        <v>24</v>
      </c>
      <c r="R117" s="144" t="s">
        <v>24</v>
      </c>
      <c r="S117" s="144" t="s">
        <v>24</v>
      </c>
      <c r="T117" s="144" t="s">
        <v>24</v>
      </c>
      <c r="U117" s="144" t="s">
        <v>24</v>
      </c>
      <c r="V117" s="144" t="s">
        <v>24</v>
      </c>
      <c r="W117" s="144" t="s">
        <v>24</v>
      </c>
      <c r="X117" s="144" t="s">
        <v>24</v>
      </c>
      <c r="Y117" s="144" t="s">
        <v>24</v>
      </c>
      <c r="Z117" s="144" t="s">
        <v>24</v>
      </c>
      <c r="AB117" s="152" t="s">
        <v>642</v>
      </c>
      <c r="AC117" s="152" t="s">
        <v>643</v>
      </c>
      <c r="AD117" s="152" t="s">
        <v>644</v>
      </c>
      <c r="AE117" s="149" t="s">
        <v>108</v>
      </c>
      <c r="AF117" s="149" t="s">
        <v>4</v>
      </c>
      <c r="AG117" s="208">
        <v>96637.21</v>
      </c>
      <c r="AH117" s="208">
        <v>96637.21</v>
      </c>
      <c r="AI117" s="214" t="s">
        <v>6</v>
      </c>
      <c r="AJ117" s="138" t="s">
        <v>109</v>
      </c>
      <c r="AK117" s="214"/>
      <c r="AL117" s="149" t="s">
        <v>110</v>
      </c>
      <c r="AM117" s="149" t="s">
        <v>110</v>
      </c>
      <c r="AN117" s="149" t="s">
        <v>111</v>
      </c>
      <c r="AP117" s="199" t="s">
        <v>645</v>
      </c>
      <c r="AQ117" s="198" t="s">
        <v>110</v>
      </c>
      <c r="AR117" s="198" t="s">
        <v>110</v>
      </c>
      <c r="AS117" s="198" t="s">
        <v>110</v>
      </c>
      <c r="AT117" s="198" t="s">
        <v>110</v>
      </c>
      <c r="AU117" s="194">
        <v>45498</v>
      </c>
      <c r="AV117" s="198" t="s">
        <v>110</v>
      </c>
      <c r="AW117" s="198" t="s">
        <v>110</v>
      </c>
      <c r="AX117" s="194">
        <v>45516</v>
      </c>
      <c r="AY117" s="197">
        <v>45516</v>
      </c>
      <c r="AZ117" s="145" t="s">
        <v>33</v>
      </c>
      <c r="BA117" s="145" t="s">
        <v>113</v>
      </c>
      <c r="BB117" s="149" t="s">
        <v>110</v>
      </c>
      <c r="BC117" s="142">
        <f>IF(AY117-KD117=0,"",AY117-O117)</f>
        <v>140</v>
      </c>
      <c r="BD117" s="134" t="str">
        <f>IF(AND(AI117&lt;&gt;"SIM",AI117="UH"),"AA","INDENIZAÇÃO")</f>
        <v>INDENIZAÇÃO</v>
      </c>
      <c r="BE117" s="134" t="str">
        <f>IF(AND(AY117&lt;&gt;"AGUARDANDO",AY117&lt;&gt;"",N117="AUXÍLIO ALUGUEL ATÉ INDENIZAÇÃO"),"SIM","NÃO")</f>
        <v>NÃO</v>
      </c>
      <c r="BF117" s="134" t="s">
        <v>24</v>
      </c>
      <c r="BG117" s="134" t="s">
        <v>24</v>
      </c>
      <c r="BH117" s="134" t="s">
        <v>24</v>
      </c>
      <c r="BI117" s="198" t="s">
        <v>110</v>
      </c>
      <c r="BJ117" s="198" t="s">
        <v>110</v>
      </c>
      <c r="BK117" s="194">
        <v>45559</v>
      </c>
      <c r="BL117" s="198" t="s">
        <v>110</v>
      </c>
      <c r="BM117" s="145" t="s">
        <v>33</v>
      </c>
      <c r="CI117" s="200"/>
    </row>
    <row r="118" spans="1:87" s="149" customFormat="1" ht="30" customHeight="1">
      <c r="A118" s="134">
        <v>104</v>
      </c>
      <c r="B118" s="134" t="s">
        <v>99</v>
      </c>
      <c r="C118" s="134">
        <v>1</v>
      </c>
      <c r="D118" s="134" t="s">
        <v>100</v>
      </c>
      <c r="E118" s="134" t="s">
        <v>100</v>
      </c>
      <c r="F118" s="138" t="s">
        <v>646</v>
      </c>
      <c r="G118" s="149" t="s">
        <v>102</v>
      </c>
      <c r="H118" s="149" t="s">
        <v>103</v>
      </c>
      <c r="I118" s="149" t="s">
        <v>108</v>
      </c>
      <c r="J118" s="152" t="s">
        <v>647</v>
      </c>
      <c r="K118" s="152" t="s">
        <v>648</v>
      </c>
      <c r="L118" s="152" t="s">
        <v>649</v>
      </c>
      <c r="M118" s="134" t="s">
        <v>4</v>
      </c>
      <c r="N118" s="134" t="s">
        <v>5</v>
      </c>
      <c r="O118" s="194">
        <v>45831</v>
      </c>
      <c r="P118" s="144" t="s">
        <v>24</v>
      </c>
      <c r="Q118" s="144" t="s">
        <v>24</v>
      </c>
      <c r="R118" s="144" t="s">
        <v>24</v>
      </c>
      <c r="S118" s="144" t="s">
        <v>24</v>
      </c>
      <c r="T118" s="144" t="s">
        <v>24</v>
      </c>
      <c r="U118" s="144" t="s">
        <v>24</v>
      </c>
      <c r="V118" s="144" t="s">
        <v>24</v>
      </c>
      <c r="W118" s="144" t="s">
        <v>24</v>
      </c>
      <c r="X118" s="144" t="s">
        <v>24</v>
      </c>
      <c r="Y118" s="144" t="s">
        <v>24</v>
      </c>
      <c r="Z118" s="144" t="s">
        <v>24</v>
      </c>
      <c r="AB118" s="152" t="s">
        <v>647</v>
      </c>
      <c r="AC118" s="152" t="s">
        <v>648</v>
      </c>
      <c r="AD118" s="152" t="s">
        <v>649</v>
      </c>
      <c r="AE118" s="149" t="s">
        <v>108</v>
      </c>
      <c r="AF118" s="149" t="s">
        <v>4</v>
      </c>
      <c r="AG118" s="208">
        <v>13227.54</v>
      </c>
      <c r="AH118" s="208">
        <v>43227.54</v>
      </c>
      <c r="AI118" s="134" t="s">
        <v>6</v>
      </c>
      <c r="AJ118" s="138" t="s">
        <v>109</v>
      </c>
      <c r="AK118" s="214">
        <v>99915548</v>
      </c>
      <c r="AL118" s="149" t="s">
        <v>110</v>
      </c>
      <c r="AM118" s="149" t="s">
        <v>110</v>
      </c>
      <c r="AN118" s="149" t="s">
        <v>111</v>
      </c>
      <c r="AO118" s="149" t="s">
        <v>650</v>
      </c>
      <c r="AP118" s="199" t="s">
        <v>651</v>
      </c>
      <c r="AQ118" s="149" t="s">
        <v>110</v>
      </c>
      <c r="AR118" s="149" t="s">
        <v>110</v>
      </c>
      <c r="AS118" s="149" t="s">
        <v>110</v>
      </c>
      <c r="AT118" s="149" t="s">
        <v>110</v>
      </c>
      <c r="AU118" s="144">
        <v>46090</v>
      </c>
      <c r="AV118" s="134" t="s">
        <v>110</v>
      </c>
      <c r="AW118" s="149" t="s">
        <v>110</v>
      </c>
      <c r="AX118" s="274">
        <v>46097</v>
      </c>
      <c r="AY118" s="197">
        <v>46097</v>
      </c>
      <c r="AZ118" s="145" t="s">
        <v>33</v>
      </c>
      <c r="BA118" s="145" t="s">
        <v>113</v>
      </c>
      <c r="BB118" s="198" t="s">
        <v>110</v>
      </c>
      <c r="BC118" s="142">
        <f>IF(AY118-KD118=0,"",AY118-O118)</f>
        <v>266</v>
      </c>
      <c r="BD118" s="134" t="str">
        <f>IF(AND(AI118&lt;&gt;"SIM",AI118="UH"),"AA","INDENIZAÇÃO")</f>
        <v>INDENIZAÇÃO</v>
      </c>
      <c r="BE118" s="134" t="str">
        <f>IF(AND(AY118&lt;&gt;"AGUARDANDO",AY118&lt;&gt;"",N118="AUXÍLIO ALUGUEL ATÉ INDENIZAÇÃO"),"SIM","NÃO")</f>
        <v>NÃO</v>
      </c>
      <c r="BF118" s="198" t="s">
        <v>24</v>
      </c>
      <c r="BG118" s="198" t="s">
        <v>24</v>
      </c>
      <c r="BH118" s="198" t="s">
        <v>24</v>
      </c>
      <c r="BI118" s="145" t="s">
        <v>189</v>
      </c>
      <c r="BJ118" s="145"/>
      <c r="BK118" s="279"/>
      <c r="BL118" s="145"/>
      <c r="BM118" s="145"/>
      <c r="CI118" s="200"/>
    </row>
    <row r="119" spans="1:87" s="149" customFormat="1" ht="30" customHeight="1">
      <c r="A119" s="134">
        <v>105</v>
      </c>
      <c r="B119" s="245" t="s">
        <v>99</v>
      </c>
      <c r="C119" s="245">
        <v>1</v>
      </c>
      <c r="D119" s="245" t="s">
        <v>100</v>
      </c>
      <c r="E119" s="245" t="s">
        <v>100</v>
      </c>
      <c r="F119" s="246" t="s">
        <v>652</v>
      </c>
      <c r="G119" s="149" t="s">
        <v>102</v>
      </c>
      <c r="H119" s="149" t="s">
        <v>103</v>
      </c>
      <c r="I119" s="149" t="s">
        <v>108</v>
      </c>
      <c r="J119" s="152" t="s">
        <v>653</v>
      </c>
      <c r="K119" s="152" t="s">
        <v>654</v>
      </c>
      <c r="L119" s="152" t="s">
        <v>655</v>
      </c>
      <c r="M119" s="245" t="s">
        <v>4</v>
      </c>
      <c r="N119" s="245" t="s">
        <v>5</v>
      </c>
      <c r="O119" s="256">
        <v>45546</v>
      </c>
      <c r="P119" s="249" t="s">
        <v>24</v>
      </c>
      <c r="Q119" s="249" t="s">
        <v>24</v>
      </c>
      <c r="R119" s="249" t="s">
        <v>24</v>
      </c>
      <c r="S119" s="249" t="s">
        <v>24</v>
      </c>
      <c r="T119" s="249" t="s">
        <v>24</v>
      </c>
      <c r="U119" s="249" t="s">
        <v>24</v>
      </c>
      <c r="V119" s="249" t="s">
        <v>24</v>
      </c>
      <c r="W119" s="249" t="s">
        <v>24</v>
      </c>
      <c r="X119" s="249" t="s">
        <v>24</v>
      </c>
      <c r="Y119" s="249" t="s">
        <v>24</v>
      </c>
      <c r="Z119" s="249" t="s">
        <v>24</v>
      </c>
      <c r="AA119" s="250"/>
      <c r="AB119" s="152" t="s">
        <v>653</v>
      </c>
      <c r="AC119" s="152" t="s">
        <v>654</v>
      </c>
      <c r="AD119" s="152" t="s">
        <v>655</v>
      </c>
      <c r="AE119" s="149" t="s">
        <v>108</v>
      </c>
      <c r="AF119" s="250" t="s">
        <v>4</v>
      </c>
      <c r="AG119" s="208">
        <v>10059.530000000001</v>
      </c>
      <c r="AH119" s="208">
        <f>AG119+30000</f>
        <v>40059.53</v>
      </c>
      <c r="AI119" s="245" t="s">
        <v>6</v>
      </c>
      <c r="AJ119" s="246" t="s">
        <v>109</v>
      </c>
      <c r="AK119" s="250"/>
      <c r="AL119" s="250" t="s">
        <v>110</v>
      </c>
      <c r="AM119" s="250" t="s">
        <v>110</v>
      </c>
      <c r="AN119" s="250" t="s">
        <v>111</v>
      </c>
      <c r="AO119" s="250"/>
      <c r="AP119" s="253" t="s">
        <v>656</v>
      </c>
      <c r="AQ119" s="250" t="s">
        <v>110</v>
      </c>
      <c r="AR119" s="250" t="s">
        <v>110</v>
      </c>
      <c r="AS119" s="250" t="s">
        <v>110</v>
      </c>
      <c r="AT119" s="250" t="s">
        <v>110</v>
      </c>
      <c r="AU119" s="256">
        <v>45587</v>
      </c>
      <c r="AV119" s="250" t="s">
        <v>110</v>
      </c>
      <c r="AW119" s="250" t="s">
        <v>110</v>
      </c>
      <c r="AX119" s="256">
        <v>45600</v>
      </c>
      <c r="AY119" s="197">
        <v>45600</v>
      </c>
      <c r="AZ119" s="245" t="s">
        <v>360</v>
      </c>
      <c r="BA119" s="245" t="s">
        <v>1</v>
      </c>
      <c r="BB119" s="250" t="s">
        <v>110</v>
      </c>
      <c r="BC119" s="142">
        <f>IF(AY119-KD119=0,"",AY119-O119)</f>
        <v>54</v>
      </c>
      <c r="BD119" s="134" t="str">
        <f>IF(AND(AI119&lt;&gt;"SIM",AI119="UH"),"AA","INDENIZAÇÃO")</f>
        <v>INDENIZAÇÃO</v>
      </c>
      <c r="BE119" s="134" t="str">
        <f>IF(AND(AY119&lt;&gt;"AGUARDANDO",AY119&lt;&gt;"",N119="AUXÍLIO ALUGUEL ATÉ INDENIZAÇÃO"),"SIM","NÃO")</f>
        <v>NÃO</v>
      </c>
      <c r="BF119" s="245" t="s">
        <v>24</v>
      </c>
      <c r="BG119" s="245" t="s">
        <v>24</v>
      </c>
      <c r="BH119" s="245" t="s">
        <v>24</v>
      </c>
      <c r="BI119" s="250" t="s">
        <v>110</v>
      </c>
      <c r="BJ119" s="250" t="s">
        <v>110</v>
      </c>
      <c r="BK119" s="256">
        <v>45621</v>
      </c>
      <c r="BL119" s="250" t="s">
        <v>110</v>
      </c>
      <c r="BM119" s="250" t="s">
        <v>33</v>
      </c>
      <c r="CI119" s="200"/>
    </row>
    <row r="120" spans="1:87" s="149" customFormat="1" ht="30" customHeight="1">
      <c r="A120" s="134">
        <v>106</v>
      </c>
      <c r="B120" s="134" t="s">
        <v>99</v>
      </c>
      <c r="C120" s="134">
        <v>1</v>
      </c>
      <c r="D120" s="134" t="s">
        <v>100</v>
      </c>
      <c r="E120" s="134" t="s">
        <v>100</v>
      </c>
      <c r="F120" s="138" t="s">
        <v>657</v>
      </c>
      <c r="G120" s="149" t="s">
        <v>102</v>
      </c>
      <c r="H120" s="149" t="s">
        <v>103</v>
      </c>
      <c r="I120" s="149" t="s">
        <v>108</v>
      </c>
      <c r="J120" s="152" t="s">
        <v>658</v>
      </c>
      <c r="K120" s="152" t="s">
        <v>659</v>
      </c>
      <c r="L120" s="152" t="s">
        <v>660</v>
      </c>
      <c r="M120" s="134" t="s">
        <v>4</v>
      </c>
      <c r="N120" s="134" t="s">
        <v>5</v>
      </c>
      <c r="O120" s="194">
        <v>45838</v>
      </c>
      <c r="P120" s="144" t="s">
        <v>24</v>
      </c>
      <c r="Q120" s="144" t="s">
        <v>24</v>
      </c>
      <c r="R120" s="144" t="s">
        <v>24</v>
      </c>
      <c r="S120" s="144" t="s">
        <v>24</v>
      </c>
      <c r="T120" s="144" t="s">
        <v>24</v>
      </c>
      <c r="U120" s="144" t="s">
        <v>24</v>
      </c>
      <c r="V120" s="144" t="s">
        <v>24</v>
      </c>
      <c r="W120" s="144" t="s">
        <v>24</v>
      </c>
      <c r="X120" s="144" t="s">
        <v>24</v>
      </c>
      <c r="Y120" s="144" t="s">
        <v>24</v>
      </c>
      <c r="Z120" s="144" t="s">
        <v>24</v>
      </c>
      <c r="AB120" s="152" t="s">
        <v>658</v>
      </c>
      <c r="AC120" s="152" t="s">
        <v>659</v>
      </c>
      <c r="AD120" s="152" t="s">
        <v>660</v>
      </c>
      <c r="AE120" s="149" t="s">
        <v>108</v>
      </c>
      <c r="AF120" s="149" t="s">
        <v>4</v>
      </c>
      <c r="AG120" s="208">
        <v>57759.59</v>
      </c>
      <c r="AH120" s="208">
        <v>60000</v>
      </c>
      <c r="AI120" s="134" t="s">
        <v>6</v>
      </c>
      <c r="AJ120" s="138" t="s">
        <v>109</v>
      </c>
      <c r="AK120" s="134">
        <v>94123209</v>
      </c>
      <c r="AL120" s="149" t="s">
        <v>110</v>
      </c>
      <c r="AM120" s="149" t="s">
        <v>110</v>
      </c>
      <c r="AN120" s="149" t="s">
        <v>111</v>
      </c>
      <c r="AP120" s="138" t="s">
        <v>661</v>
      </c>
      <c r="AQ120" s="198" t="s">
        <v>110</v>
      </c>
      <c r="AR120" s="198" t="s">
        <v>110</v>
      </c>
      <c r="AS120" s="198" t="s">
        <v>110</v>
      </c>
      <c r="AT120" s="198" t="s">
        <v>110</v>
      </c>
      <c r="AU120" s="161">
        <v>45890</v>
      </c>
      <c r="AV120" s="198" t="s">
        <v>110</v>
      </c>
      <c r="AW120" s="198" t="s">
        <v>110</v>
      </c>
      <c r="AX120" s="161">
        <v>45960</v>
      </c>
      <c r="AY120" s="249">
        <v>45960</v>
      </c>
      <c r="AZ120" s="145" t="s">
        <v>33</v>
      </c>
      <c r="BA120" s="141" t="s">
        <v>113</v>
      </c>
      <c r="BB120" s="149" t="s">
        <v>110</v>
      </c>
      <c r="BC120" s="142">
        <f>IF(AY120-KD120=0,"",AY120-O120)</f>
        <v>122</v>
      </c>
      <c r="BD120" s="134" t="str">
        <f>IF(AND(AI120&lt;&gt;"SIM",AI120="UH"),"AA","INDENIZAÇÃO")</f>
        <v>INDENIZAÇÃO</v>
      </c>
      <c r="BE120" s="134" t="str">
        <f>IF(AND(AY120&lt;&gt;"AGUARDANDO",AY120&lt;&gt;"",N120="AUXÍLIO ALUGUEL ATÉ INDENIZAÇÃO"),"SIM","NÃO")</f>
        <v>NÃO</v>
      </c>
      <c r="BF120" s="134" t="s">
        <v>24</v>
      </c>
      <c r="BG120" s="134" t="s">
        <v>24</v>
      </c>
      <c r="BH120" s="134" t="s">
        <v>24</v>
      </c>
      <c r="BI120" s="145" t="s">
        <v>189</v>
      </c>
      <c r="BJ120" s="145"/>
      <c r="BK120" s="145"/>
      <c r="BL120" s="145"/>
      <c r="BM120" s="145"/>
      <c r="CI120" s="200"/>
    </row>
    <row r="121" spans="1:87" s="149" customFormat="1" ht="30" customHeight="1">
      <c r="A121" s="134">
        <v>107</v>
      </c>
      <c r="B121" s="134" t="s">
        <v>99</v>
      </c>
      <c r="C121" s="134">
        <v>1</v>
      </c>
      <c r="D121" s="134" t="s">
        <v>100</v>
      </c>
      <c r="E121" s="134" t="s">
        <v>100</v>
      </c>
      <c r="F121" s="138" t="s">
        <v>662</v>
      </c>
      <c r="G121" s="149" t="s">
        <v>102</v>
      </c>
      <c r="H121" s="149" t="s">
        <v>103</v>
      </c>
      <c r="I121" s="149" t="s">
        <v>108</v>
      </c>
      <c r="J121" s="152" t="s">
        <v>663</v>
      </c>
      <c r="K121" s="152" t="s">
        <v>664</v>
      </c>
      <c r="L121" s="152" t="s">
        <v>665</v>
      </c>
      <c r="M121" s="134" t="s">
        <v>4</v>
      </c>
      <c r="N121" s="134" t="s">
        <v>5</v>
      </c>
      <c r="O121" s="194">
        <v>45894</v>
      </c>
      <c r="P121" s="144" t="s">
        <v>24</v>
      </c>
      <c r="Q121" s="144" t="s">
        <v>24</v>
      </c>
      <c r="R121" s="144" t="s">
        <v>24</v>
      </c>
      <c r="S121" s="144" t="s">
        <v>24</v>
      </c>
      <c r="T121" s="144" t="s">
        <v>24</v>
      </c>
      <c r="U121" s="144" t="s">
        <v>24</v>
      </c>
      <c r="V121" s="144" t="s">
        <v>24</v>
      </c>
      <c r="W121" s="144" t="s">
        <v>24</v>
      </c>
      <c r="X121" s="144" t="s">
        <v>24</v>
      </c>
      <c r="Y121" s="144" t="s">
        <v>24</v>
      </c>
      <c r="Z121" s="144" t="s">
        <v>24</v>
      </c>
      <c r="AB121" s="152" t="s">
        <v>663</v>
      </c>
      <c r="AC121" s="152" t="s">
        <v>664</v>
      </c>
      <c r="AD121" s="152" t="s">
        <v>665</v>
      </c>
      <c r="AE121" s="149" t="s">
        <v>108</v>
      </c>
      <c r="AF121" s="149" t="s">
        <v>4</v>
      </c>
      <c r="AG121" s="208">
        <v>33848.58</v>
      </c>
      <c r="AH121" s="208">
        <v>60000</v>
      </c>
      <c r="AI121" s="134" t="s">
        <v>6</v>
      </c>
      <c r="AJ121" s="313" t="s">
        <v>109</v>
      </c>
      <c r="AK121" s="134">
        <v>94124738</v>
      </c>
      <c r="AL121" s="134" t="s">
        <v>110</v>
      </c>
      <c r="AM121" s="134" t="s">
        <v>110</v>
      </c>
      <c r="AN121" s="273" t="s">
        <v>111</v>
      </c>
      <c r="AP121" s="199" t="s">
        <v>666</v>
      </c>
      <c r="AQ121" s="134" t="s">
        <v>110</v>
      </c>
      <c r="AR121" s="134" t="s">
        <v>110</v>
      </c>
      <c r="AS121" s="198" t="s">
        <v>110</v>
      </c>
      <c r="AT121" s="198" t="s">
        <v>110</v>
      </c>
      <c r="AU121" s="194">
        <v>45960</v>
      </c>
      <c r="AV121" s="198" t="s">
        <v>110</v>
      </c>
      <c r="AW121" s="198" t="s">
        <v>110</v>
      </c>
      <c r="AX121" s="194">
        <v>45968</v>
      </c>
      <c r="AY121" s="140">
        <v>45968</v>
      </c>
      <c r="AZ121" s="145" t="s">
        <v>33</v>
      </c>
      <c r="BA121" s="145" t="s">
        <v>113</v>
      </c>
      <c r="BB121" s="149" t="s">
        <v>110</v>
      </c>
      <c r="BC121" s="142">
        <f>IF(AY121-KD121=0,"",AY121-O121)</f>
        <v>74</v>
      </c>
      <c r="BD121" s="134" t="str">
        <f>IF(AND(AI121&lt;&gt;"SIM",AI121="UH"),"AA","INDENIZAÇÃO")</f>
        <v>INDENIZAÇÃO</v>
      </c>
      <c r="BE121" s="134" t="str">
        <f>IF(AND(AY121&lt;&gt;"AGUARDANDO",AY121&lt;&gt;"",N121="AUXÍLIO ALUGUEL ATÉ INDENIZAÇÃO"),"SIM","NÃO")</f>
        <v>NÃO</v>
      </c>
      <c r="BF121" s="149" t="s">
        <v>24</v>
      </c>
      <c r="BG121" s="149" t="s">
        <v>24</v>
      </c>
      <c r="BH121" s="149" t="s">
        <v>24</v>
      </c>
      <c r="BI121" s="145" t="s">
        <v>189</v>
      </c>
      <c r="BJ121" s="145"/>
      <c r="BK121" s="145"/>
      <c r="BL121" s="145"/>
      <c r="BM121" s="145"/>
      <c r="CI121" s="200"/>
    </row>
    <row r="122" spans="1:87" s="149" customFormat="1" ht="30" customHeight="1">
      <c r="A122" s="134">
        <v>108</v>
      </c>
      <c r="B122" s="245" t="s">
        <v>99</v>
      </c>
      <c r="C122" s="245">
        <v>1</v>
      </c>
      <c r="D122" s="245" t="s">
        <v>100</v>
      </c>
      <c r="E122" s="245" t="s">
        <v>100</v>
      </c>
      <c r="F122" s="246" t="s">
        <v>667</v>
      </c>
      <c r="G122" s="149" t="s">
        <v>26</v>
      </c>
      <c r="H122" s="149" t="s">
        <v>103</v>
      </c>
      <c r="I122" s="149" t="s">
        <v>287</v>
      </c>
      <c r="J122" s="152" t="s">
        <v>668</v>
      </c>
      <c r="K122" s="152" t="s">
        <v>669</v>
      </c>
      <c r="L122" s="152" t="s">
        <v>670</v>
      </c>
      <c r="M122" s="245" t="s">
        <v>4</v>
      </c>
      <c r="N122" s="245" t="s">
        <v>5</v>
      </c>
      <c r="O122" s="256">
        <v>45558</v>
      </c>
      <c r="P122" s="249" t="s">
        <v>24</v>
      </c>
      <c r="Q122" s="249" t="s">
        <v>24</v>
      </c>
      <c r="R122" s="249" t="s">
        <v>24</v>
      </c>
      <c r="S122" s="249" t="s">
        <v>24</v>
      </c>
      <c r="T122" s="249" t="s">
        <v>24</v>
      </c>
      <c r="U122" s="249" t="s">
        <v>24</v>
      </c>
      <c r="V122" s="249" t="s">
        <v>24</v>
      </c>
      <c r="W122" s="249" t="s">
        <v>24</v>
      </c>
      <c r="X122" s="249" t="s">
        <v>24</v>
      </c>
      <c r="Y122" s="249" t="s">
        <v>24</v>
      </c>
      <c r="Z122" s="249" t="s">
        <v>24</v>
      </c>
      <c r="AA122" s="250"/>
      <c r="AB122" s="152" t="s">
        <v>668</v>
      </c>
      <c r="AC122" s="152" t="s">
        <v>669</v>
      </c>
      <c r="AD122" s="152" t="s">
        <v>670</v>
      </c>
      <c r="AE122" s="134" t="s">
        <v>287</v>
      </c>
      <c r="AF122" s="250" t="s">
        <v>4</v>
      </c>
      <c r="AG122" s="208">
        <v>1707.23</v>
      </c>
      <c r="AH122" s="208">
        <f>AG122+30000</f>
        <v>31707.23</v>
      </c>
      <c r="AI122" s="251" t="s">
        <v>6</v>
      </c>
      <c r="AJ122" s="246" t="s">
        <v>109</v>
      </c>
      <c r="AK122" s="252"/>
      <c r="AL122" s="250" t="s">
        <v>110</v>
      </c>
      <c r="AM122" s="250" t="s">
        <v>110</v>
      </c>
      <c r="AN122" s="250" t="s">
        <v>111</v>
      </c>
      <c r="AO122" s="250"/>
      <c r="AP122" s="253" t="s">
        <v>671</v>
      </c>
      <c r="AQ122" s="250" t="s">
        <v>110</v>
      </c>
      <c r="AR122" s="250" t="s">
        <v>110</v>
      </c>
      <c r="AS122" s="250" t="s">
        <v>110</v>
      </c>
      <c r="AT122" s="250" t="s">
        <v>110</v>
      </c>
      <c r="AU122" s="256">
        <v>45614</v>
      </c>
      <c r="AV122" s="250" t="s">
        <v>110</v>
      </c>
      <c r="AW122" s="250" t="s">
        <v>110</v>
      </c>
      <c r="AX122" s="256">
        <v>45621</v>
      </c>
      <c r="AY122" s="249">
        <v>45621</v>
      </c>
      <c r="AZ122" s="245" t="s">
        <v>360</v>
      </c>
      <c r="BA122" s="245" t="s">
        <v>1</v>
      </c>
      <c r="BB122" s="250" t="s">
        <v>110</v>
      </c>
      <c r="BC122" s="142">
        <f>IF(AY122-KD122=0,"",AY122-O122)</f>
        <v>63</v>
      </c>
      <c r="BD122" s="134" t="str">
        <f>IF(AND(AI122&lt;&gt;"SIM",AI122="UH"),"AA","INDENIZAÇÃO")</f>
        <v>INDENIZAÇÃO</v>
      </c>
      <c r="BE122" s="134" t="str">
        <f>IF(AND(AY122&lt;&gt;"AGUARDANDO",AY122&lt;&gt;"",N122="AUXÍLIO ALUGUEL ATÉ INDENIZAÇÃO"),"SIM","NÃO")</f>
        <v>NÃO</v>
      </c>
      <c r="BF122" s="245" t="s">
        <v>24</v>
      </c>
      <c r="BG122" s="245" t="s">
        <v>24</v>
      </c>
      <c r="BH122" s="245" t="s">
        <v>24</v>
      </c>
      <c r="BI122" s="250" t="s">
        <v>110</v>
      </c>
      <c r="BJ122" s="250" t="s">
        <v>110</v>
      </c>
      <c r="BK122" s="256">
        <v>45677</v>
      </c>
      <c r="BL122" s="250" t="s">
        <v>110</v>
      </c>
      <c r="BM122" s="249" t="s">
        <v>33</v>
      </c>
      <c r="CI122" s="200"/>
    </row>
    <row r="123" spans="1:87" s="149" customFormat="1" ht="30" customHeight="1">
      <c r="A123" s="134">
        <v>109</v>
      </c>
      <c r="B123" s="245" t="s">
        <v>99</v>
      </c>
      <c r="C123" s="245">
        <v>1</v>
      </c>
      <c r="D123" s="245" t="s">
        <v>100</v>
      </c>
      <c r="E123" s="245" t="s">
        <v>100</v>
      </c>
      <c r="F123" s="246" t="s">
        <v>672</v>
      </c>
      <c r="G123" s="149" t="s">
        <v>26</v>
      </c>
      <c r="H123" s="149" t="s">
        <v>103</v>
      </c>
      <c r="I123" s="149" t="s">
        <v>287</v>
      </c>
      <c r="J123" s="152" t="s">
        <v>673</v>
      </c>
      <c r="K123" s="152" t="s">
        <v>674</v>
      </c>
      <c r="L123" s="152" t="s">
        <v>675</v>
      </c>
      <c r="M123" s="245" t="s">
        <v>4</v>
      </c>
      <c r="N123" s="245" t="s">
        <v>5</v>
      </c>
      <c r="O123" s="256">
        <v>45600</v>
      </c>
      <c r="P123" s="249" t="s">
        <v>24</v>
      </c>
      <c r="Q123" s="249" t="s">
        <v>24</v>
      </c>
      <c r="R123" s="249" t="s">
        <v>24</v>
      </c>
      <c r="S123" s="249" t="s">
        <v>24</v>
      </c>
      <c r="T123" s="249" t="s">
        <v>24</v>
      </c>
      <c r="U123" s="249" t="s">
        <v>24</v>
      </c>
      <c r="V123" s="249" t="s">
        <v>24</v>
      </c>
      <c r="W123" s="249" t="s">
        <v>24</v>
      </c>
      <c r="X123" s="249" t="s">
        <v>24</v>
      </c>
      <c r="Y123" s="249" t="s">
        <v>24</v>
      </c>
      <c r="Z123" s="249" t="s">
        <v>24</v>
      </c>
      <c r="AA123" s="250"/>
      <c r="AB123" s="152" t="s">
        <v>673</v>
      </c>
      <c r="AC123" s="152" t="s">
        <v>674</v>
      </c>
      <c r="AD123" s="152" t="s">
        <v>675</v>
      </c>
      <c r="AE123" s="134" t="s">
        <v>287</v>
      </c>
      <c r="AF123" s="250" t="s">
        <v>4</v>
      </c>
      <c r="AG123" s="208">
        <v>1751.53</v>
      </c>
      <c r="AH123" s="208">
        <v>31751.53</v>
      </c>
      <c r="AI123" s="251" t="s">
        <v>6</v>
      </c>
      <c r="AJ123" s="246" t="s">
        <v>109</v>
      </c>
      <c r="AK123" s="252"/>
      <c r="AL123" s="250" t="s">
        <v>110</v>
      </c>
      <c r="AM123" s="250" t="s">
        <v>110</v>
      </c>
      <c r="AN123" s="245" t="s">
        <v>111</v>
      </c>
      <c r="AO123" s="250"/>
      <c r="AP123" s="253" t="s">
        <v>676</v>
      </c>
      <c r="AQ123" s="250" t="s">
        <v>110</v>
      </c>
      <c r="AR123" s="250" t="s">
        <v>110</v>
      </c>
      <c r="AS123" s="250" t="s">
        <v>110</v>
      </c>
      <c r="AT123" s="250" t="s">
        <v>110</v>
      </c>
      <c r="AU123" s="248">
        <v>45755</v>
      </c>
      <c r="AV123" s="250" t="s">
        <v>110</v>
      </c>
      <c r="AW123" s="250" t="s">
        <v>110</v>
      </c>
      <c r="AX123" s="254">
        <v>45762</v>
      </c>
      <c r="AY123" s="254">
        <v>45762</v>
      </c>
      <c r="AZ123" s="245" t="s">
        <v>360</v>
      </c>
      <c r="BA123" s="245" t="s">
        <v>1</v>
      </c>
      <c r="BB123" s="250" t="s">
        <v>110</v>
      </c>
      <c r="BC123" s="142">
        <f>IF(AY123-KD123=0,"",AY123-O123)</f>
        <v>162</v>
      </c>
      <c r="BD123" s="134" t="str">
        <f>IF(AND(AI123&lt;&gt;"SIM",AI123="UH"),"AA","INDENIZAÇÃO")</f>
        <v>INDENIZAÇÃO</v>
      </c>
      <c r="BE123" s="134" t="str">
        <f>IF(AND(AY123&lt;&gt;"AGUARDANDO",AY123&lt;&gt;"",N123="AUXÍLIO ALUGUEL ATÉ INDENIZAÇÃO"),"SIM","NÃO")</f>
        <v>NÃO</v>
      </c>
      <c r="BF123" s="250" t="s">
        <v>24</v>
      </c>
      <c r="BG123" s="250" t="s">
        <v>24</v>
      </c>
      <c r="BH123" s="250" t="s">
        <v>24</v>
      </c>
      <c r="BI123" s="250" t="s">
        <v>110</v>
      </c>
      <c r="BJ123" s="250" t="s">
        <v>110</v>
      </c>
      <c r="BK123" s="248">
        <v>45783</v>
      </c>
      <c r="BL123" s="250" t="s">
        <v>110</v>
      </c>
      <c r="BM123" s="250" t="s">
        <v>33</v>
      </c>
      <c r="CI123" s="200"/>
    </row>
    <row r="124" spans="1:87" s="149" customFormat="1" ht="30" customHeight="1">
      <c r="A124" s="134">
        <v>110</v>
      </c>
      <c r="B124" s="245" t="s">
        <v>99</v>
      </c>
      <c r="C124" s="245">
        <v>1</v>
      </c>
      <c r="D124" s="245" t="s">
        <v>100</v>
      </c>
      <c r="E124" s="245" t="s">
        <v>100</v>
      </c>
      <c r="F124" s="246" t="s">
        <v>677</v>
      </c>
      <c r="G124" s="149" t="s">
        <v>102</v>
      </c>
      <c r="H124" s="149" t="s">
        <v>103</v>
      </c>
      <c r="I124" s="149" t="s">
        <v>108</v>
      </c>
      <c r="J124" s="152" t="s">
        <v>678</v>
      </c>
      <c r="K124" s="152" t="s">
        <v>679</v>
      </c>
      <c r="L124" s="152" t="s">
        <v>680</v>
      </c>
      <c r="M124" s="245" t="s">
        <v>4</v>
      </c>
      <c r="N124" s="245" t="s">
        <v>5</v>
      </c>
      <c r="O124" s="256">
        <v>45376</v>
      </c>
      <c r="P124" s="249" t="s">
        <v>24</v>
      </c>
      <c r="Q124" s="249" t="s">
        <v>24</v>
      </c>
      <c r="R124" s="249" t="s">
        <v>24</v>
      </c>
      <c r="S124" s="249" t="s">
        <v>24</v>
      </c>
      <c r="T124" s="249" t="s">
        <v>24</v>
      </c>
      <c r="U124" s="249" t="s">
        <v>24</v>
      </c>
      <c r="V124" s="249" t="s">
        <v>24</v>
      </c>
      <c r="W124" s="249" t="s">
        <v>24</v>
      </c>
      <c r="X124" s="249" t="s">
        <v>24</v>
      </c>
      <c r="Y124" s="249" t="s">
        <v>24</v>
      </c>
      <c r="Z124" s="249" t="s">
        <v>24</v>
      </c>
      <c r="AA124" s="250"/>
      <c r="AB124" s="152" t="s">
        <v>678</v>
      </c>
      <c r="AC124" s="152" t="s">
        <v>679</v>
      </c>
      <c r="AD124" s="152" t="s">
        <v>680</v>
      </c>
      <c r="AE124" s="149" t="s">
        <v>108</v>
      </c>
      <c r="AF124" s="250" t="s">
        <v>4</v>
      </c>
      <c r="AG124" s="208">
        <v>13822.41</v>
      </c>
      <c r="AH124" s="208">
        <v>43822.41</v>
      </c>
      <c r="AI124" s="251" t="s">
        <v>6</v>
      </c>
      <c r="AJ124" s="246" t="s">
        <v>109</v>
      </c>
      <c r="AK124" s="257"/>
      <c r="AL124" s="250" t="s">
        <v>110</v>
      </c>
      <c r="AM124" s="250" t="s">
        <v>110</v>
      </c>
      <c r="AN124" s="250" t="s">
        <v>111</v>
      </c>
      <c r="AO124" s="250"/>
      <c r="AP124" s="253" t="s">
        <v>681</v>
      </c>
      <c r="AQ124" s="250" t="s">
        <v>110</v>
      </c>
      <c r="AR124" s="250" t="s">
        <v>110</v>
      </c>
      <c r="AS124" s="250" t="s">
        <v>110</v>
      </c>
      <c r="AT124" s="250" t="s">
        <v>110</v>
      </c>
      <c r="AU124" s="256">
        <v>45498</v>
      </c>
      <c r="AV124" s="250" t="s">
        <v>110</v>
      </c>
      <c r="AW124" s="250" t="s">
        <v>110</v>
      </c>
      <c r="AX124" s="256">
        <v>45506</v>
      </c>
      <c r="AY124" s="249">
        <v>45506</v>
      </c>
      <c r="AZ124" s="245" t="s">
        <v>360</v>
      </c>
      <c r="BA124" s="245" t="s">
        <v>1</v>
      </c>
      <c r="BB124" s="250" t="s">
        <v>110</v>
      </c>
      <c r="BC124" s="142">
        <f>IF(AY124-KD124=0,"",AY124-O124)</f>
        <v>130</v>
      </c>
      <c r="BD124" s="134" t="str">
        <f>IF(AND(AI124&lt;&gt;"SIM",AI124="UH"),"AA","INDENIZAÇÃO")</f>
        <v>INDENIZAÇÃO</v>
      </c>
      <c r="BE124" s="134" t="str">
        <f>IF(AND(AY124&lt;&gt;"AGUARDANDO",AY124&lt;&gt;"",N124="AUXÍLIO ALUGUEL ATÉ INDENIZAÇÃO"),"SIM","NÃO")</f>
        <v>NÃO</v>
      </c>
      <c r="BF124" s="245" t="s">
        <v>24</v>
      </c>
      <c r="BG124" s="245" t="s">
        <v>24</v>
      </c>
      <c r="BH124" s="245" t="s">
        <v>24</v>
      </c>
      <c r="BI124" s="250" t="s">
        <v>110</v>
      </c>
      <c r="BJ124" s="250" t="s">
        <v>110</v>
      </c>
      <c r="BK124" s="256">
        <v>45559</v>
      </c>
      <c r="BL124" s="250" t="s">
        <v>110</v>
      </c>
      <c r="BM124" s="250" t="s">
        <v>33</v>
      </c>
      <c r="CI124" s="200"/>
    </row>
    <row r="125" spans="1:87" s="149" customFormat="1" ht="30" customHeight="1">
      <c r="A125" s="134">
        <v>111</v>
      </c>
      <c r="B125" s="245" t="s">
        <v>99</v>
      </c>
      <c r="C125" s="245">
        <v>1</v>
      </c>
      <c r="D125" s="245" t="s">
        <v>100</v>
      </c>
      <c r="E125" s="245" t="s">
        <v>100</v>
      </c>
      <c r="F125" s="246" t="s">
        <v>682</v>
      </c>
      <c r="G125" s="149" t="s">
        <v>683</v>
      </c>
      <c r="H125" s="149" t="s">
        <v>684</v>
      </c>
      <c r="I125" s="149" t="s">
        <v>287</v>
      </c>
      <c r="J125" s="152" t="s">
        <v>685</v>
      </c>
      <c r="K125" s="152" t="s">
        <v>686</v>
      </c>
      <c r="L125" s="152" t="s">
        <v>687</v>
      </c>
      <c r="M125" s="245" t="s">
        <v>4</v>
      </c>
      <c r="N125" s="245" t="s">
        <v>5</v>
      </c>
      <c r="O125" s="256">
        <v>45546</v>
      </c>
      <c r="P125" s="249" t="s">
        <v>24</v>
      </c>
      <c r="Q125" s="249" t="s">
        <v>24</v>
      </c>
      <c r="R125" s="249" t="s">
        <v>24</v>
      </c>
      <c r="S125" s="249" t="s">
        <v>24</v>
      </c>
      <c r="T125" s="249" t="s">
        <v>24</v>
      </c>
      <c r="U125" s="249" t="s">
        <v>24</v>
      </c>
      <c r="V125" s="249" t="s">
        <v>24</v>
      </c>
      <c r="W125" s="249" t="s">
        <v>24</v>
      </c>
      <c r="X125" s="249" t="s">
        <v>24</v>
      </c>
      <c r="Y125" s="249" t="s">
        <v>24</v>
      </c>
      <c r="Z125" s="249" t="s">
        <v>24</v>
      </c>
      <c r="AA125" s="250"/>
      <c r="AB125" s="152" t="s">
        <v>685</v>
      </c>
      <c r="AC125" s="152" t="s">
        <v>686</v>
      </c>
      <c r="AD125" s="152" t="s">
        <v>687</v>
      </c>
      <c r="AE125" s="134" t="s">
        <v>287</v>
      </c>
      <c r="AF125" s="250" t="s">
        <v>4</v>
      </c>
      <c r="AG125" s="208">
        <v>39230.379999999997</v>
      </c>
      <c r="AH125" s="208">
        <v>60000</v>
      </c>
      <c r="AI125" s="251" t="s">
        <v>6</v>
      </c>
      <c r="AJ125" s="246" t="s">
        <v>109</v>
      </c>
      <c r="AK125" s="252"/>
      <c r="AL125" s="250" t="s">
        <v>110</v>
      </c>
      <c r="AM125" s="250" t="s">
        <v>110</v>
      </c>
      <c r="AN125" s="250" t="s">
        <v>111</v>
      </c>
      <c r="AO125" s="250"/>
      <c r="AP125" s="253" t="s">
        <v>688</v>
      </c>
      <c r="AQ125" s="250" t="s">
        <v>110</v>
      </c>
      <c r="AR125" s="250" t="s">
        <v>110</v>
      </c>
      <c r="AS125" s="250" t="s">
        <v>110</v>
      </c>
      <c r="AT125" s="250" t="s">
        <v>110</v>
      </c>
      <c r="AU125" s="256">
        <v>45614</v>
      </c>
      <c r="AV125" s="250" t="s">
        <v>110</v>
      </c>
      <c r="AW125" s="250" t="s">
        <v>110</v>
      </c>
      <c r="AX125" s="256">
        <v>45621</v>
      </c>
      <c r="AY125" s="249">
        <v>45621</v>
      </c>
      <c r="AZ125" s="245" t="s">
        <v>360</v>
      </c>
      <c r="BA125" s="245" t="s">
        <v>1</v>
      </c>
      <c r="BB125" s="250" t="s">
        <v>110</v>
      </c>
      <c r="BC125" s="142">
        <f>IF(AY125-KD125=0,"",AY125-O125)</f>
        <v>75</v>
      </c>
      <c r="BD125" s="134" t="str">
        <f>IF(AND(AI125&lt;&gt;"SIM",AI125="UH"),"AA","INDENIZAÇÃO")</f>
        <v>INDENIZAÇÃO</v>
      </c>
      <c r="BE125" s="134" t="str">
        <f>IF(AND(AY125&lt;&gt;"AGUARDANDO",AY125&lt;&gt;"",N125="AUXÍLIO ALUGUEL ATÉ INDENIZAÇÃO"),"SIM","NÃO")</f>
        <v>NÃO</v>
      </c>
      <c r="BF125" s="245" t="s">
        <v>24</v>
      </c>
      <c r="BG125" s="245" t="s">
        <v>24</v>
      </c>
      <c r="BH125" s="245" t="s">
        <v>24</v>
      </c>
      <c r="BI125" s="250" t="s">
        <v>110</v>
      </c>
      <c r="BJ125" s="250" t="s">
        <v>110</v>
      </c>
      <c r="BK125" s="256">
        <v>45677</v>
      </c>
      <c r="BL125" s="250" t="s">
        <v>110</v>
      </c>
      <c r="BM125" s="249" t="s">
        <v>33</v>
      </c>
      <c r="CI125" s="200"/>
    </row>
    <row r="126" spans="1:87" s="149" customFormat="1" ht="30" customHeight="1">
      <c r="A126" s="134">
        <v>112</v>
      </c>
      <c r="B126" s="245" t="s">
        <v>99</v>
      </c>
      <c r="C126" s="245">
        <v>1</v>
      </c>
      <c r="D126" s="245" t="s">
        <v>100</v>
      </c>
      <c r="E126" s="245" t="s">
        <v>100</v>
      </c>
      <c r="F126" s="246" t="s">
        <v>689</v>
      </c>
      <c r="G126" s="149" t="s">
        <v>344</v>
      </c>
      <c r="H126" s="149" t="s">
        <v>690</v>
      </c>
      <c r="I126" s="149" t="s">
        <v>287</v>
      </c>
      <c r="J126" s="152" t="s">
        <v>691</v>
      </c>
      <c r="K126" s="152" t="s">
        <v>692</v>
      </c>
      <c r="L126" s="152" t="s">
        <v>693</v>
      </c>
      <c r="M126" s="245" t="s">
        <v>4</v>
      </c>
      <c r="N126" s="245" t="s">
        <v>5</v>
      </c>
      <c r="O126" s="256">
        <v>45614</v>
      </c>
      <c r="P126" s="249" t="s">
        <v>24</v>
      </c>
      <c r="Q126" s="249" t="s">
        <v>24</v>
      </c>
      <c r="R126" s="249" t="s">
        <v>24</v>
      </c>
      <c r="S126" s="249" t="s">
        <v>24</v>
      </c>
      <c r="T126" s="249" t="s">
        <v>24</v>
      </c>
      <c r="U126" s="249" t="s">
        <v>24</v>
      </c>
      <c r="V126" s="249" t="s">
        <v>24</v>
      </c>
      <c r="W126" s="249" t="s">
        <v>24</v>
      </c>
      <c r="X126" s="249" t="s">
        <v>24</v>
      </c>
      <c r="Y126" s="249" t="s">
        <v>24</v>
      </c>
      <c r="Z126" s="249" t="s">
        <v>24</v>
      </c>
      <c r="AA126" s="250"/>
      <c r="AB126" s="152" t="s">
        <v>691</v>
      </c>
      <c r="AC126" s="152" t="s">
        <v>692</v>
      </c>
      <c r="AD126" s="152" t="s">
        <v>693</v>
      </c>
      <c r="AE126" s="134" t="s">
        <v>287</v>
      </c>
      <c r="AF126" s="250" t="s">
        <v>4</v>
      </c>
      <c r="AG126" s="208">
        <v>164294.87</v>
      </c>
      <c r="AH126" s="208">
        <v>164294.87</v>
      </c>
      <c r="AI126" s="251" t="s">
        <v>6</v>
      </c>
      <c r="AJ126" s="246" t="s">
        <v>109</v>
      </c>
      <c r="AK126" s="257"/>
      <c r="AL126" s="245" t="s">
        <v>110</v>
      </c>
      <c r="AM126" s="250" t="s">
        <v>110</v>
      </c>
      <c r="AN126" s="245" t="s">
        <v>111</v>
      </c>
      <c r="AO126" s="250"/>
      <c r="AP126" s="253" t="s">
        <v>694</v>
      </c>
      <c r="AQ126" s="250" t="s">
        <v>110</v>
      </c>
      <c r="AR126" s="250" t="s">
        <v>110</v>
      </c>
      <c r="AS126" s="250" t="s">
        <v>110</v>
      </c>
      <c r="AT126" s="250" t="s">
        <v>110</v>
      </c>
      <c r="AU126" s="248">
        <v>45755</v>
      </c>
      <c r="AV126" s="250" t="s">
        <v>110</v>
      </c>
      <c r="AW126" s="250" t="s">
        <v>110</v>
      </c>
      <c r="AX126" s="254">
        <v>45762</v>
      </c>
      <c r="AY126" s="249">
        <v>45762</v>
      </c>
      <c r="AZ126" s="245" t="s">
        <v>360</v>
      </c>
      <c r="BA126" s="245" t="s">
        <v>1</v>
      </c>
      <c r="BB126" s="250" t="s">
        <v>110</v>
      </c>
      <c r="BC126" s="142">
        <f>IF(AY126-KD126=0,"",AY126-O126)</f>
        <v>148</v>
      </c>
      <c r="BD126" s="134" t="str">
        <f>IF(AND(AI126&lt;&gt;"SIM",AI126="UH"),"AA","INDENIZAÇÃO")</f>
        <v>INDENIZAÇÃO</v>
      </c>
      <c r="BE126" s="134" t="str">
        <f>IF(AND(AY126&lt;&gt;"AGUARDANDO",AY126&lt;&gt;"",N126="AUXÍLIO ALUGUEL ATÉ INDENIZAÇÃO"),"SIM","NÃO")</f>
        <v>NÃO</v>
      </c>
      <c r="BF126" s="250" t="s">
        <v>24</v>
      </c>
      <c r="BG126" s="250" t="s">
        <v>24</v>
      </c>
      <c r="BH126" s="250" t="s">
        <v>24</v>
      </c>
      <c r="BI126" s="250" t="s">
        <v>110</v>
      </c>
      <c r="BJ126" s="250" t="s">
        <v>110</v>
      </c>
      <c r="BK126" s="248">
        <v>45783</v>
      </c>
      <c r="BL126" s="250" t="s">
        <v>110</v>
      </c>
      <c r="BM126" s="250" t="s">
        <v>33</v>
      </c>
      <c r="CI126" s="200"/>
    </row>
    <row r="127" spans="1:87" s="149" customFormat="1" ht="30" customHeight="1">
      <c r="A127" s="134">
        <v>113</v>
      </c>
      <c r="B127" s="134" t="s">
        <v>99</v>
      </c>
      <c r="C127" s="134">
        <v>1</v>
      </c>
      <c r="D127" s="134" t="s">
        <v>100</v>
      </c>
      <c r="E127" s="134" t="s">
        <v>100</v>
      </c>
      <c r="F127" s="138" t="s">
        <v>695</v>
      </c>
      <c r="G127" s="149" t="s">
        <v>102</v>
      </c>
      <c r="H127" s="149" t="s">
        <v>103</v>
      </c>
      <c r="I127" s="149" t="s">
        <v>108</v>
      </c>
      <c r="J127" s="152" t="s">
        <v>696</v>
      </c>
      <c r="K127" s="152" t="s">
        <v>697</v>
      </c>
      <c r="L127" s="152" t="s">
        <v>698</v>
      </c>
      <c r="M127" s="134" t="s">
        <v>4</v>
      </c>
      <c r="N127" s="134" t="s">
        <v>371</v>
      </c>
      <c r="O127" s="194"/>
      <c r="P127" s="144"/>
      <c r="Q127" s="263"/>
      <c r="R127" s="144"/>
      <c r="S127" s="144"/>
      <c r="T127" s="144"/>
      <c r="U127" s="144"/>
      <c r="V127" s="144"/>
      <c r="W127" s="144"/>
      <c r="X127" s="144"/>
      <c r="Y127" s="144"/>
      <c r="Z127" s="144"/>
      <c r="AB127" s="152" t="s">
        <v>696</v>
      </c>
      <c r="AC127" s="152" t="s">
        <v>697</v>
      </c>
      <c r="AD127" s="152" t="s">
        <v>698</v>
      </c>
      <c r="AE127" s="149" t="s">
        <v>108</v>
      </c>
      <c r="AG127" s="208" t="s">
        <v>371</v>
      </c>
      <c r="AH127" s="208" t="s">
        <v>371</v>
      </c>
      <c r="AI127" s="230" t="s">
        <v>371</v>
      </c>
      <c r="AJ127" s="134" t="s">
        <v>371</v>
      </c>
      <c r="AK127" s="211"/>
      <c r="AP127" s="152"/>
      <c r="BC127" s="142" t="str">
        <f>IF(AY127-KD127=0,"",AY127-O127)</f>
        <v/>
      </c>
      <c r="BD127" s="134" t="str">
        <f>IF(AND(AI127&lt;&gt;"SIM",AI127="UH"),"AA","INDENIZAÇÃO")</f>
        <v>INDENIZAÇÃO</v>
      </c>
      <c r="BE127" s="134" t="str">
        <f>IF(AND(AY127&lt;&gt;"AGUARDANDO",AY127&lt;&gt;"",N127="AUXÍLIO ALUGUEL ATÉ INDENIZAÇÃO"),"SIM","NÃO")</f>
        <v>NÃO</v>
      </c>
      <c r="BF127" s="134"/>
      <c r="BG127" s="194"/>
      <c r="BH127" s="194"/>
      <c r="CI127" s="200"/>
    </row>
    <row r="128" spans="1:87" s="149" customFormat="1" ht="30" customHeight="1">
      <c r="A128" s="134">
        <v>114</v>
      </c>
      <c r="B128" s="134" t="s">
        <v>99</v>
      </c>
      <c r="C128" s="134">
        <v>2</v>
      </c>
      <c r="D128" s="134" t="s">
        <v>100</v>
      </c>
      <c r="E128" s="134" t="s">
        <v>100</v>
      </c>
      <c r="F128" s="216" t="s">
        <v>699</v>
      </c>
      <c r="G128" s="149" t="s">
        <v>102</v>
      </c>
      <c r="H128" s="149" t="s">
        <v>103</v>
      </c>
      <c r="I128" s="149" t="s">
        <v>108</v>
      </c>
      <c r="J128" s="152" t="s">
        <v>700</v>
      </c>
      <c r="K128" s="152" t="s">
        <v>701</v>
      </c>
      <c r="L128" s="152" t="s">
        <v>702</v>
      </c>
      <c r="M128" s="134" t="s">
        <v>4</v>
      </c>
      <c r="N128" s="273" t="s">
        <v>5</v>
      </c>
      <c r="O128" s="194">
        <v>46167</v>
      </c>
      <c r="P128" s="139" t="s">
        <v>24</v>
      </c>
      <c r="Q128" s="139" t="s">
        <v>24</v>
      </c>
      <c r="R128" s="139" t="s">
        <v>24</v>
      </c>
      <c r="S128" s="139" t="s">
        <v>24</v>
      </c>
      <c r="T128" s="139" t="s">
        <v>24</v>
      </c>
      <c r="U128" s="139" t="s">
        <v>24</v>
      </c>
      <c r="V128" s="139" t="s">
        <v>24</v>
      </c>
      <c r="W128" s="139" t="s">
        <v>24</v>
      </c>
      <c r="X128" s="139" t="s">
        <v>24</v>
      </c>
      <c r="Y128" s="139" t="s">
        <v>24</v>
      </c>
      <c r="Z128" s="139" t="s">
        <v>24</v>
      </c>
      <c r="AB128" s="152" t="s">
        <v>700</v>
      </c>
      <c r="AC128" s="152" t="s">
        <v>701</v>
      </c>
      <c r="AD128" s="152" t="s">
        <v>702</v>
      </c>
      <c r="AE128" s="149" t="s">
        <v>108</v>
      </c>
      <c r="AG128" s="208">
        <v>34166.85</v>
      </c>
      <c r="AH128" s="208">
        <v>60000</v>
      </c>
      <c r="AI128" s="230" t="s">
        <v>6</v>
      </c>
      <c r="AJ128" s="216" t="s">
        <v>109</v>
      </c>
      <c r="AK128" s="211">
        <v>153151920</v>
      </c>
      <c r="AL128" s="134" t="s">
        <v>110</v>
      </c>
      <c r="AM128" s="134" t="s">
        <v>110</v>
      </c>
      <c r="AN128" s="149" t="s">
        <v>111</v>
      </c>
      <c r="AO128" s="273"/>
      <c r="AP128" s="199" t="s">
        <v>703</v>
      </c>
      <c r="AQ128" s="198" t="s">
        <v>125</v>
      </c>
      <c r="AS128" s="149" t="s">
        <v>126</v>
      </c>
      <c r="BC128" s="142" t="str">
        <f>IF(AY128-KD128=0,"",AY128-O128)</f>
        <v/>
      </c>
      <c r="BD128" s="134" t="str">
        <f>IF(AND(AI128&lt;&gt;"SIM",AI128="UH"),"AA","INDENIZAÇÃO")</f>
        <v>INDENIZAÇÃO</v>
      </c>
      <c r="BE128" s="134" t="str">
        <f>IF(AND(AY128&lt;&gt;"AGUARDANDO",AY128&lt;&gt;"",N128="AUXÍLIO ALUGUEL ATÉ INDENIZAÇÃO"),"SIM","NÃO")</f>
        <v>NÃO</v>
      </c>
      <c r="BF128" s="134"/>
      <c r="BG128" s="194"/>
      <c r="BH128" s="194"/>
      <c r="CI128" s="200"/>
    </row>
    <row r="129" spans="1:87" s="149" customFormat="1" ht="30" customHeight="1">
      <c r="A129" s="134">
        <v>115</v>
      </c>
      <c r="B129" s="134" t="s">
        <v>99</v>
      </c>
      <c r="C129" s="134">
        <v>1</v>
      </c>
      <c r="D129" s="134" t="s">
        <v>100</v>
      </c>
      <c r="E129" s="134" t="s">
        <v>100</v>
      </c>
      <c r="F129" s="138" t="s">
        <v>704</v>
      </c>
      <c r="G129" s="149" t="s">
        <v>102</v>
      </c>
      <c r="H129" s="149" t="s">
        <v>103</v>
      </c>
      <c r="I129" s="149" t="s">
        <v>108</v>
      </c>
      <c r="J129" s="152" t="s">
        <v>705</v>
      </c>
      <c r="K129" s="152" t="s">
        <v>706</v>
      </c>
      <c r="L129" s="152" t="s">
        <v>707</v>
      </c>
      <c r="M129" s="134" t="s">
        <v>4</v>
      </c>
      <c r="N129" s="134" t="s">
        <v>371</v>
      </c>
      <c r="O129" s="194"/>
      <c r="P129" s="144"/>
      <c r="Q129" s="263"/>
      <c r="R129" s="144"/>
      <c r="S129" s="144"/>
      <c r="T129" s="144"/>
      <c r="U129" s="144"/>
      <c r="V129" s="144"/>
      <c r="W129" s="144"/>
      <c r="X129" s="144"/>
      <c r="Y129" s="144"/>
      <c r="Z129" s="144"/>
      <c r="AB129" s="152" t="s">
        <v>705</v>
      </c>
      <c r="AC129" s="152" t="s">
        <v>706</v>
      </c>
      <c r="AD129" s="152" t="s">
        <v>707</v>
      </c>
      <c r="AE129" s="149" t="s">
        <v>108</v>
      </c>
      <c r="AG129" s="208" t="s">
        <v>371</v>
      </c>
      <c r="AH129" s="208" t="s">
        <v>371</v>
      </c>
      <c r="AI129" s="134" t="s">
        <v>371</v>
      </c>
      <c r="AJ129" s="170" t="s">
        <v>371</v>
      </c>
      <c r="AK129" s="134"/>
      <c r="AP129" s="152"/>
      <c r="BC129" s="142" t="str">
        <f>IF(AY129-KD129=0,"",AY129-O129)</f>
        <v/>
      </c>
      <c r="BD129" s="134" t="str">
        <f>IF(AND(AI129&lt;&gt;"SIM",AI129="UH"),"AA","INDENIZAÇÃO")</f>
        <v>INDENIZAÇÃO</v>
      </c>
      <c r="BE129" s="134" t="str">
        <f>IF(AND(AY129&lt;&gt;"AGUARDANDO",AY129&lt;&gt;"",N129="AUXÍLIO ALUGUEL ATÉ INDENIZAÇÃO"),"SIM","NÃO")</f>
        <v>NÃO</v>
      </c>
      <c r="BF129" s="134"/>
      <c r="BG129" s="194"/>
      <c r="BH129" s="194"/>
      <c r="CI129" s="200"/>
    </row>
    <row r="130" spans="1:87" s="149" customFormat="1" ht="30" customHeight="1">
      <c r="A130" s="134">
        <v>116</v>
      </c>
      <c r="B130" s="134" t="s">
        <v>99</v>
      </c>
      <c r="C130" s="134">
        <v>1</v>
      </c>
      <c r="D130" s="134" t="s">
        <v>100</v>
      </c>
      <c r="E130" s="134" t="s">
        <v>100</v>
      </c>
      <c r="F130" s="138" t="s">
        <v>708</v>
      </c>
      <c r="G130" s="149" t="s">
        <v>102</v>
      </c>
      <c r="H130" s="149" t="s">
        <v>103</v>
      </c>
      <c r="I130" s="149" t="s">
        <v>108</v>
      </c>
      <c r="J130" s="152" t="s">
        <v>709</v>
      </c>
      <c r="K130" s="152" t="s">
        <v>710</v>
      </c>
      <c r="L130" s="152" t="s">
        <v>711</v>
      </c>
      <c r="M130" s="134" t="s">
        <v>4</v>
      </c>
      <c r="N130" s="134" t="s">
        <v>371</v>
      </c>
      <c r="O130" s="194"/>
      <c r="P130" s="144"/>
      <c r="Q130" s="263"/>
      <c r="R130" s="144"/>
      <c r="S130" s="144"/>
      <c r="T130" s="144"/>
      <c r="U130" s="144"/>
      <c r="V130" s="144"/>
      <c r="W130" s="144"/>
      <c r="X130" s="144"/>
      <c r="Y130" s="144"/>
      <c r="Z130" s="144"/>
      <c r="AB130" s="152" t="s">
        <v>712</v>
      </c>
      <c r="AC130" s="152" t="s">
        <v>710</v>
      </c>
      <c r="AD130" s="152" t="s">
        <v>711</v>
      </c>
      <c r="AE130" s="149" t="s">
        <v>108</v>
      </c>
      <c r="AG130" s="208" t="s">
        <v>371</v>
      </c>
      <c r="AH130" s="208" t="s">
        <v>371</v>
      </c>
      <c r="AI130" s="134" t="s">
        <v>371</v>
      </c>
      <c r="AJ130" s="237" t="s">
        <v>371</v>
      </c>
      <c r="AK130" s="134"/>
      <c r="AP130" s="152"/>
      <c r="BC130" s="142" t="str">
        <f>IF(AY130-KD130=0,"",AY130-O130)</f>
        <v/>
      </c>
      <c r="BD130" s="134" t="str">
        <f>IF(AND(AI130&lt;&gt;"SIM",AI130="UH"),"AA","INDENIZAÇÃO")</f>
        <v>INDENIZAÇÃO</v>
      </c>
      <c r="BE130" s="134" t="str">
        <f>IF(AND(AY130&lt;&gt;"AGUARDANDO",AY130&lt;&gt;"",N130="AUXÍLIO ALUGUEL ATÉ INDENIZAÇÃO"),"SIM","NÃO")</f>
        <v>NÃO</v>
      </c>
      <c r="BF130" s="134"/>
      <c r="BG130" s="194"/>
      <c r="BH130" s="194"/>
      <c r="CI130" s="200"/>
    </row>
    <row r="131" spans="1:87" s="149" customFormat="1" ht="30" customHeight="1">
      <c r="A131" s="134">
        <v>117</v>
      </c>
      <c r="B131" s="134" t="s">
        <v>99</v>
      </c>
      <c r="C131" s="134">
        <v>1</v>
      </c>
      <c r="D131" s="134" t="s">
        <v>100</v>
      </c>
      <c r="E131" s="134" t="s">
        <v>100</v>
      </c>
      <c r="F131" s="138" t="s">
        <v>713</v>
      </c>
      <c r="G131" s="149" t="s">
        <v>102</v>
      </c>
      <c r="H131" s="149" t="s">
        <v>103</v>
      </c>
      <c r="I131" s="149" t="s">
        <v>108</v>
      </c>
      <c r="J131" s="152" t="s">
        <v>714</v>
      </c>
      <c r="K131" s="152" t="s">
        <v>715</v>
      </c>
      <c r="L131" s="152" t="s">
        <v>716</v>
      </c>
      <c r="M131" s="134" t="s">
        <v>4</v>
      </c>
      <c r="N131" s="134" t="s">
        <v>371</v>
      </c>
      <c r="O131" s="194"/>
      <c r="P131" s="144"/>
      <c r="Q131" s="263"/>
      <c r="R131" s="144"/>
      <c r="S131" s="144"/>
      <c r="T131" s="144"/>
      <c r="U131" s="144"/>
      <c r="V131" s="144"/>
      <c r="W131" s="144"/>
      <c r="X131" s="144"/>
      <c r="Y131" s="144"/>
      <c r="Z131" s="144"/>
      <c r="AB131" s="152" t="s">
        <v>717</v>
      </c>
      <c r="AC131" s="152" t="s">
        <v>715</v>
      </c>
      <c r="AD131" s="152" t="s">
        <v>716</v>
      </c>
      <c r="AE131" s="149" t="s">
        <v>108</v>
      </c>
      <c r="AG131" s="208" t="s">
        <v>371</v>
      </c>
      <c r="AH131" s="208" t="s">
        <v>371</v>
      </c>
      <c r="AI131" s="230" t="s">
        <v>371</v>
      </c>
      <c r="AJ131" s="134" t="s">
        <v>371</v>
      </c>
      <c r="AK131" s="211"/>
      <c r="AP131" s="152"/>
      <c r="BC131" s="142" t="str">
        <f>IF(AY131-KD131=0,"",AY131-O131)</f>
        <v/>
      </c>
      <c r="BD131" s="134" t="str">
        <f>IF(AND(AI131&lt;&gt;"SIM",AI131="UH"),"AA","INDENIZAÇÃO")</f>
        <v>INDENIZAÇÃO</v>
      </c>
      <c r="BE131" s="134" t="str">
        <f>IF(AND(AY131&lt;&gt;"AGUARDANDO",AY131&lt;&gt;"",N131="AUXÍLIO ALUGUEL ATÉ INDENIZAÇÃO"),"SIM","NÃO")</f>
        <v>NÃO</v>
      </c>
      <c r="BF131" s="134"/>
      <c r="BG131" s="194"/>
      <c r="BH131" s="194"/>
      <c r="CI131" s="200"/>
    </row>
    <row r="132" spans="1:87" s="149" customFormat="1" ht="30" customHeight="1">
      <c r="A132" s="134">
        <v>118</v>
      </c>
      <c r="B132" s="134" t="s">
        <v>99</v>
      </c>
      <c r="C132" s="134">
        <v>1</v>
      </c>
      <c r="D132" s="134" t="s">
        <v>100</v>
      </c>
      <c r="E132" s="134" t="s">
        <v>100</v>
      </c>
      <c r="F132" s="138" t="s">
        <v>718</v>
      </c>
      <c r="G132" s="149" t="s">
        <v>102</v>
      </c>
      <c r="H132" s="149" t="s">
        <v>103</v>
      </c>
      <c r="I132" s="149" t="s">
        <v>108</v>
      </c>
      <c r="J132" s="152" t="s">
        <v>719</v>
      </c>
      <c r="K132" s="152" t="s">
        <v>720</v>
      </c>
      <c r="L132" s="152" t="s">
        <v>721</v>
      </c>
      <c r="M132" s="134" t="s">
        <v>4</v>
      </c>
      <c r="N132" s="134"/>
      <c r="O132" s="194"/>
      <c r="P132" s="144"/>
      <c r="Q132" s="263"/>
      <c r="R132" s="144"/>
      <c r="S132" s="144"/>
      <c r="T132" s="144"/>
      <c r="U132" s="144"/>
      <c r="V132" s="144"/>
      <c r="W132" s="144"/>
      <c r="X132" s="144"/>
      <c r="Y132" s="144"/>
      <c r="Z132" s="144"/>
      <c r="AB132" s="152" t="s">
        <v>719</v>
      </c>
      <c r="AC132" s="152" t="s">
        <v>720</v>
      </c>
      <c r="AD132" s="152" t="s">
        <v>721</v>
      </c>
      <c r="AE132" s="149" t="s">
        <v>108</v>
      </c>
      <c r="AG132" s="208"/>
      <c r="AH132" s="208"/>
      <c r="AI132" s="134"/>
      <c r="AJ132" s="170"/>
      <c r="AK132" s="134"/>
      <c r="AP132" s="152"/>
      <c r="BC132" s="142" t="str">
        <f>IF(AY132-KD132=0,"",AY132-O132)</f>
        <v/>
      </c>
      <c r="BD132" s="134" t="str">
        <f>IF(AND(AI132&lt;&gt;"SIM",AI132="UH"),"AA","INDENIZAÇÃO")</f>
        <v>INDENIZAÇÃO</v>
      </c>
      <c r="BE132" s="134" t="str">
        <f>IF(AND(AY132&lt;&gt;"AGUARDANDO",AY132&lt;&gt;"",N132="AUXÍLIO ALUGUEL ATÉ INDENIZAÇÃO"),"SIM","NÃO")</f>
        <v>NÃO</v>
      </c>
      <c r="BF132" s="134"/>
      <c r="BG132" s="194"/>
      <c r="BH132" s="194"/>
      <c r="CI132" s="200"/>
    </row>
    <row r="133" spans="1:87" s="149" customFormat="1" ht="30" customHeight="1">
      <c r="A133" s="134">
        <v>119</v>
      </c>
      <c r="B133" s="134" t="s">
        <v>99</v>
      </c>
      <c r="C133" s="134">
        <v>1</v>
      </c>
      <c r="D133" s="134" t="s">
        <v>100</v>
      </c>
      <c r="E133" s="134" t="s">
        <v>100</v>
      </c>
      <c r="F133" s="138" t="s">
        <v>722</v>
      </c>
      <c r="G133" s="149" t="s">
        <v>102</v>
      </c>
      <c r="H133" s="149" t="s">
        <v>103</v>
      </c>
      <c r="I133" s="149" t="s">
        <v>108</v>
      </c>
      <c r="J133" s="152" t="s">
        <v>723</v>
      </c>
      <c r="K133" s="152" t="s">
        <v>724</v>
      </c>
      <c r="L133" s="152" t="s">
        <v>725</v>
      </c>
      <c r="M133" s="134" t="s">
        <v>4</v>
      </c>
      <c r="N133" s="134"/>
      <c r="O133" s="194"/>
      <c r="P133" s="144"/>
      <c r="Q133" s="263"/>
      <c r="R133" s="144"/>
      <c r="S133" s="144"/>
      <c r="T133" s="144"/>
      <c r="U133" s="144"/>
      <c r="V133" s="144"/>
      <c r="W133" s="144"/>
      <c r="X133" s="144"/>
      <c r="Y133" s="144"/>
      <c r="Z133" s="144"/>
      <c r="AB133" s="152" t="s">
        <v>723</v>
      </c>
      <c r="AC133" s="152" t="s">
        <v>724</v>
      </c>
      <c r="AD133" s="152" t="s">
        <v>725</v>
      </c>
      <c r="AE133" s="149" t="s">
        <v>108</v>
      </c>
      <c r="AG133" s="208"/>
      <c r="AH133" s="208"/>
      <c r="AI133" s="134"/>
      <c r="AJ133" s="134"/>
      <c r="AK133" s="134"/>
      <c r="AP133" s="152"/>
      <c r="BC133" s="142" t="str">
        <f>IF(AY133-KD133=0,"",AY133-O133)</f>
        <v/>
      </c>
      <c r="BD133" s="134" t="str">
        <f>IF(AND(AI133&lt;&gt;"SIM",AI133="UH"),"AA","INDENIZAÇÃO")</f>
        <v>INDENIZAÇÃO</v>
      </c>
      <c r="BE133" s="134" t="str">
        <f>IF(AND(AY133&lt;&gt;"AGUARDANDO",AY133&lt;&gt;"",N133="AUXÍLIO ALUGUEL ATÉ INDENIZAÇÃO"),"SIM","NÃO")</f>
        <v>NÃO</v>
      </c>
      <c r="BF133" s="134"/>
      <c r="BG133" s="194"/>
      <c r="BH133" s="194"/>
      <c r="CI133" s="200"/>
    </row>
    <row r="134" spans="1:87" s="149" customFormat="1" ht="30" customHeight="1">
      <c r="A134" s="134">
        <v>120</v>
      </c>
      <c r="B134" s="134" t="s">
        <v>99</v>
      </c>
      <c r="C134" s="134">
        <v>1</v>
      </c>
      <c r="D134" s="134" t="s">
        <v>100</v>
      </c>
      <c r="E134" s="134" t="s">
        <v>100</v>
      </c>
      <c r="F134" s="138" t="s">
        <v>726</v>
      </c>
      <c r="G134" s="149" t="s">
        <v>102</v>
      </c>
      <c r="H134" s="149" t="s">
        <v>103</v>
      </c>
      <c r="I134" s="149" t="s">
        <v>108</v>
      </c>
      <c r="J134" s="152" t="s">
        <v>727</v>
      </c>
      <c r="K134" s="152" t="s">
        <v>728</v>
      </c>
      <c r="L134" s="152" t="s">
        <v>729</v>
      </c>
      <c r="M134" s="134" t="s">
        <v>4</v>
      </c>
      <c r="N134" s="134" t="s">
        <v>5</v>
      </c>
      <c r="O134" s="194">
        <v>45546</v>
      </c>
      <c r="P134" s="144" t="s">
        <v>24</v>
      </c>
      <c r="Q134" s="144" t="s">
        <v>24</v>
      </c>
      <c r="R134" s="144" t="s">
        <v>24</v>
      </c>
      <c r="S134" s="144" t="s">
        <v>24</v>
      </c>
      <c r="T134" s="144" t="s">
        <v>24</v>
      </c>
      <c r="U134" s="144" t="s">
        <v>24</v>
      </c>
      <c r="V134" s="144" t="s">
        <v>24</v>
      </c>
      <c r="W134" s="144" t="s">
        <v>24</v>
      </c>
      <c r="X134" s="144" t="s">
        <v>24</v>
      </c>
      <c r="Y134" s="144" t="s">
        <v>24</v>
      </c>
      <c r="Z134" s="144" t="s">
        <v>24</v>
      </c>
      <c r="AB134" s="152" t="s">
        <v>727</v>
      </c>
      <c r="AC134" s="152" t="s">
        <v>728</v>
      </c>
      <c r="AD134" s="152" t="s">
        <v>729</v>
      </c>
      <c r="AE134" s="149" t="s">
        <v>108</v>
      </c>
      <c r="AF134" s="149" t="s">
        <v>4</v>
      </c>
      <c r="AG134" s="208">
        <v>19920.97</v>
      </c>
      <c r="AH134" s="208">
        <f>AG134+30000</f>
        <v>49920.97</v>
      </c>
      <c r="AI134" s="134" t="s">
        <v>6</v>
      </c>
      <c r="AJ134" s="138" t="s">
        <v>109</v>
      </c>
      <c r="AK134" s="134"/>
      <c r="AL134" s="149" t="s">
        <v>110</v>
      </c>
      <c r="AM134" s="149" t="s">
        <v>110</v>
      </c>
      <c r="AN134" s="149" t="s">
        <v>111</v>
      </c>
      <c r="AP134" s="199" t="s">
        <v>730</v>
      </c>
      <c r="AQ134" s="198" t="s">
        <v>110</v>
      </c>
      <c r="AR134" s="198" t="s">
        <v>110</v>
      </c>
      <c r="AS134" s="198" t="s">
        <v>110</v>
      </c>
      <c r="AT134" s="198" t="s">
        <v>110</v>
      </c>
      <c r="AU134" s="194">
        <v>45614</v>
      </c>
      <c r="AV134" s="198" t="s">
        <v>110</v>
      </c>
      <c r="AW134" s="198" t="s">
        <v>110</v>
      </c>
      <c r="AX134" s="194">
        <v>45621</v>
      </c>
      <c r="AY134" s="197">
        <v>45621</v>
      </c>
      <c r="AZ134" s="197" t="s">
        <v>33</v>
      </c>
      <c r="BA134" s="145" t="s">
        <v>113</v>
      </c>
      <c r="BB134" s="149" t="s">
        <v>110</v>
      </c>
      <c r="BC134" s="142">
        <f>IF(AY134-KD134=0,"",AY134-O134)</f>
        <v>75</v>
      </c>
      <c r="BD134" s="134" t="str">
        <f>IF(AND(AI134&lt;&gt;"SIM",AI134="UH"),"AA","INDENIZAÇÃO")</f>
        <v>INDENIZAÇÃO</v>
      </c>
      <c r="BE134" s="134" t="str">
        <f>IF(AND(AY134&lt;&gt;"AGUARDANDO",AY134&lt;&gt;"",N134="AUXÍLIO ALUGUEL ATÉ INDENIZAÇÃO"),"SIM","NÃO")</f>
        <v>NÃO</v>
      </c>
      <c r="BF134" s="134" t="s">
        <v>24</v>
      </c>
      <c r="BG134" s="134" t="s">
        <v>24</v>
      </c>
      <c r="BH134" s="134" t="s">
        <v>24</v>
      </c>
      <c r="BI134" s="198" t="s">
        <v>110</v>
      </c>
      <c r="BJ134" s="198" t="s">
        <v>110</v>
      </c>
      <c r="BK134" s="194">
        <v>45677</v>
      </c>
      <c r="BL134" s="198" t="s">
        <v>110</v>
      </c>
      <c r="BM134" s="197" t="s">
        <v>33</v>
      </c>
      <c r="CI134" s="200"/>
    </row>
    <row r="135" spans="1:87" s="149" customFormat="1" ht="30" customHeight="1">
      <c r="A135" s="134">
        <v>121</v>
      </c>
      <c r="B135" s="134" t="s">
        <v>99</v>
      </c>
      <c r="C135" s="134">
        <v>1</v>
      </c>
      <c r="D135" s="134" t="s">
        <v>100</v>
      </c>
      <c r="E135" s="134" t="s">
        <v>100</v>
      </c>
      <c r="F135" s="138" t="s">
        <v>731</v>
      </c>
      <c r="G135" s="149" t="s">
        <v>102</v>
      </c>
      <c r="H135" s="149" t="s">
        <v>103</v>
      </c>
      <c r="I135" s="149" t="s">
        <v>387</v>
      </c>
      <c r="J135" s="152" t="s">
        <v>732</v>
      </c>
      <c r="K135" s="152" t="s">
        <v>733</v>
      </c>
      <c r="L135" s="152" t="s">
        <v>734</v>
      </c>
      <c r="M135" s="134" t="s">
        <v>4</v>
      </c>
      <c r="N135" s="134" t="s">
        <v>14</v>
      </c>
      <c r="O135" s="194">
        <v>45539</v>
      </c>
      <c r="P135" s="197" t="s">
        <v>17</v>
      </c>
      <c r="Q135" s="264" t="s">
        <v>283</v>
      </c>
      <c r="R135" s="197"/>
      <c r="S135" s="197"/>
      <c r="T135" s="197"/>
      <c r="U135" s="197"/>
      <c r="V135" s="197"/>
      <c r="W135" s="197"/>
      <c r="X135" s="197"/>
      <c r="Y135" s="197"/>
      <c r="Z135" s="197"/>
      <c r="AB135" s="152" t="s">
        <v>735</v>
      </c>
      <c r="AC135" s="152" t="s">
        <v>736</v>
      </c>
      <c r="AD135" s="152" t="s">
        <v>737</v>
      </c>
      <c r="AE135" s="134" t="s">
        <v>287</v>
      </c>
      <c r="AF135" s="149" t="s">
        <v>4</v>
      </c>
      <c r="AG135" s="208">
        <v>24030.94</v>
      </c>
      <c r="AH135" s="208">
        <v>24030.94</v>
      </c>
      <c r="AI135" s="134" t="s">
        <v>6</v>
      </c>
      <c r="AJ135" s="138" t="s">
        <v>109</v>
      </c>
      <c r="AK135" s="134"/>
      <c r="AL135" s="149" t="s">
        <v>110</v>
      </c>
      <c r="AM135" s="149" t="s">
        <v>110</v>
      </c>
      <c r="AN135" s="149" t="s">
        <v>111</v>
      </c>
      <c r="AP135" s="199" t="s">
        <v>738</v>
      </c>
      <c r="AQ135" s="198" t="s">
        <v>110</v>
      </c>
      <c r="AR135" s="198" t="s">
        <v>110</v>
      </c>
      <c r="AS135" s="198" t="s">
        <v>110</v>
      </c>
      <c r="AT135" s="198" t="s">
        <v>110</v>
      </c>
      <c r="AU135" s="194">
        <v>45601</v>
      </c>
      <c r="AV135" s="198" t="s">
        <v>110</v>
      </c>
      <c r="AW135" s="198" t="s">
        <v>110</v>
      </c>
      <c r="AX135" s="194">
        <v>45617</v>
      </c>
      <c r="AY135" s="197">
        <v>45617</v>
      </c>
      <c r="AZ135" s="197" t="s">
        <v>33</v>
      </c>
      <c r="BA135" s="145" t="s">
        <v>113</v>
      </c>
      <c r="BB135" s="149" t="s">
        <v>110</v>
      </c>
      <c r="BC135" s="142">
        <f>IF(AY135-KD135=0,"",AY135-O135)</f>
        <v>78</v>
      </c>
      <c r="BD135" s="134" t="str">
        <f>IF(AND(AI135&lt;&gt;"SIM",AI135="UH"),"AA","INDENIZAÇÃO")</f>
        <v>INDENIZAÇÃO</v>
      </c>
      <c r="BE135" s="134" t="str">
        <f>IF(AND(AY135&lt;&gt;"AGUARDANDO",AY135&lt;&gt;"",N135="AUXÍLIO ALUGUEL ATÉ INDENIZAÇÃO"),"SIM","NÃO")</f>
        <v>NÃO</v>
      </c>
      <c r="BF135" s="134" t="s">
        <v>24</v>
      </c>
      <c r="BG135" s="134" t="s">
        <v>24</v>
      </c>
      <c r="BH135" s="134" t="s">
        <v>24</v>
      </c>
      <c r="BI135" s="198" t="s">
        <v>110</v>
      </c>
      <c r="BJ135" s="198" t="s">
        <v>110</v>
      </c>
      <c r="BK135" s="194">
        <v>45677</v>
      </c>
      <c r="BL135" s="198" t="s">
        <v>110</v>
      </c>
      <c r="BM135" s="197" t="s">
        <v>33</v>
      </c>
      <c r="CI135" s="200"/>
    </row>
    <row r="136" spans="1:87" s="149" customFormat="1" ht="30" customHeight="1">
      <c r="A136" s="134">
        <v>122</v>
      </c>
      <c r="B136" s="134" t="s">
        <v>99</v>
      </c>
      <c r="C136" s="134">
        <v>1</v>
      </c>
      <c r="D136" s="134" t="s">
        <v>100</v>
      </c>
      <c r="E136" s="134" t="s">
        <v>100</v>
      </c>
      <c r="F136" s="138" t="s">
        <v>739</v>
      </c>
      <c r="G136" s="149" t="s">
        <v>344</v>
      </c>
      <c r="H136" s="149" t="s">
        <v>103</v>
      </c>
      <c r="I136" s="149" t="s">
        <v>287</v>
      </c>
      <c r="J136" s="152" t="s">
        <v>740</v>
      </c>
      <c r="K136" s="152" t="s">
        <v>741</v>
      </c>
      <c r="L136" s="152" t="s">
        <v>742</v>
      </c>
      <c r="M136" s="134" t="s">
        <v>4</v>
      </c>
      <c r="N136" s="134" t="s">
        <v>5</v>
      </c>
      <c r="O136" s="194">
        <v>45572</v>
      </c>
      <c r="P136" s="144" t="s">
        <v>24</v>
      </c>
      <c r="Q136" s="144" t="s">
        <v>24</v>
      </c>
      <c r="R136" s="144" t="s">
        <v>24</v>
      </c>
      <c r="S136" s="144" t="s">
        <v>24</v>
      </c>
      <c r="T136" s="144" t="s">
        <v>24</v>
      </c>
      <c r="U136" s="144" t="s">
        <v>24</v>
      </c>
      <c r="V136" s="144" t="s">
        <v>24</v>
      </c>
      <c r="W136" s="144" t="s">
        <v>24</v>
      </c>
      <c r="X136" s="144" t="s">
        <v>24</v>
      </c>
      <c r="Y136" s="144" t="s">
        <v>24</v>
      </c>
      <c r="Z136" s="144" t="s">
        <v>24</v>
      </c>
      <c r="AB136" s="152" t="s">
        <v>740</v>
      </c>
      <c r="AC136" s="152" t="s">
        <v>741</v>
      </c>
      <c r="AD136" s="152" t="s">
        <v>742</v>
      </c>
      <c r="AE136" s="134" t="s">
        <v>287</v>
      </c>
      <c r="AF136" s="149" t="s">
        <v>4</v>
      </c>
      <c r="AG136" s="208">
        <v>32422.73</v>
      </c>
      <c r="AH136" s="208">
        <v>60000</v>
      </c>
      <c r="AI136" s="230" t="s">
        <v>6</v>
      </c>
      <c r="AJ136" s="138" t="s">
        <v>109</v>
      </c>
      <c r="AK136" s="211"/>
      <c r="AL136" s="149" t="s">
        <v>110</v>
      </c>
      <c r="AM136" s="149" t="s">
        <v>110</v>
      </c>
      <c r="AN136" s="149" t="s">
        <v>111</v>
      </c>
      <c r="AP136" s="199" t="s">
        <v>743</v>
      </c>
      <c r="AQ136" s="198" t="s">
        <v>110</v>
      </c>
      <c r="AR136" s="198" t="s">
        <v>110</v>
      </c>
      <c r="AS136" s="198" t="s">
        <v>110</v>
      </c>
      <c r="AT136" s="198" t="s">
        <v>110</v>
      </c>
      <c r="AU136" s="194">
        <v>45614</v>
      </c>
      <c r="AV136" s="198" t="s">
        <v>110</v>
      </c>
      <c r="AW136" s="198" t="s">
        <v>110</v>
      </c>
      <c r="AX136" s="194">
        <v>45621</v>
      </c>
      <c r="AY136" s="197">
        <v>45621</v>
      </c>
      <c r="AZ136" s="197" t="s">
        <v>33</v>
      </c>
      <c r="BA136" s="145" t="s">
        <v>113</v>
      </c>
      <c r="BB136" s="149" t="s">
        <v>110</v>
      </c>
      <c r="BC136" s="142">
        <f>IF(AY136-KD136=0,"",AY136-O136)</f>
        <v>49</v>
      </c>
      <c r="BD136" s="134" t="str">
        <f>IF(AND(AI136&lt;&gt;"SIM",AI136="UH"),"AA","INDENIZAÇÃO")</f>
        <v>INDENIZAÇÃO</v>
      </c>
      <c r="BE136" s="134" t="str">
        <f>IF(AND(AY136&lt;&gt;"AGUARDANDO",AY136&lt;&gt;"",N136="AUXÍLIO ALUGUEL ATÉ INDENIZAÇÃO"),"SIM","NÃO")</f>
        <v>NÃO</v>
      </c>
      <c r="BF136" s="134" t="s">
        <v>24</v>
      </c>
      <c r="BG136" s="134" t="s">
        <v>24</v>
      </c>
      <c r="BH136" s="134" t="s">
        <v>24</v>
      </c>
      <c r="BI136" s="198" t="s">
        <v>110</v>
      </c>
      <c r="BJ136" s="198" t="s">
        <v>110</v>
      </c>
      <c r="BK136" s="194">
        <v>45677</v>
      </c>
      <c r="BL136" s="198" t="s">
        <v>110</v>
      </c>
      <c r="BM136" s="197" t="s">
        <v>33</v>
      </c>
      <c r="CI136" s="200"/>
    </row>
    <row r="137" spans="1:87" s="149" customFormat="1" ht="30" customHeight="1">
      <c r="A137" s="134">
        <v>123</v>
      </c>
      <c r="B137" s="245" t="s">
        <v>99</v>
      </c>
      <c r="C137" s="245">
        <v>1</v>
      </c>
      <c r="D137" s="245" t="s">
        <v>100</v>
      </c>
      <c r="E137" s="245" t="s">
        <v>100</v>
      </c>
      <c r="F137" s="246" t="s">
        <v>744</v>
      </c>
      <c r="G137" s="149" t="s">
        <v>102</v>
      </c>
      <c r="H137" s="149" t="s">
        <v>103</v>
      </c>
      <c r="I137" s="149" t="s">
        <v>108</v>
      </c>
      <c r="J137" s="152" t="s">
        <v>745</v>
      </c>
      <c r="K137" s="152" t="s">
        <v>746</v>
      </c>
      <c r="L137" s="152" t="s">
        <v>747</v>
      </c>
      <c r="M137" s="245" t="s">
        <v>4</v>
      </c>
      <c r="N137" s="245" t="s">
        <v>5</v>
      </c>
      <c r="O137" s="256">
        <v>45594</v>
      </c>
      <c r="P137" s="249" t="s">
        <v>24</v>
      </c>
      <c r="Q137" s="249" t="s">
        <v>24</v>
      </c>
      <c r="R137" s="249" t="s">
        <v>24</v>
      </c>
      <c r="S137" s="249" t="s">
        <v>24</v>
      </c>
      <c r="T137" s="249" t="s">
        <v>24</v>
      </c>
      <c r="U137" s="249" t="s">
        <v>24</v>
      </c>
      <c r="V137" s="249" t="s">
        <v>24</v>
      </c>
      <c r="W137" s="249" t="s">
        <v>24</v>
      </c>
      <c r="X137" s="249" t="s">
        <v>24</v>
      </c>
      <c r="Y137" s="249" t="s">
        <v>24</v>
      </c>
      <c r="Z137" s="249" t="s">
        <v>24</v>
      </c>
      <c r="AA137" s="250"/>
      <c r="AB137" s="152" t="s">
        <v>745</v>
      </c>
      <c r="AC137" s="152" t="s">
        <v>746</v>
      </c>
      <c r="AD137" s="152" t="s">
        <v>747</v>
      </c>
      <c r="AE137" s="149" t="s">
        <v>108</v>
      </c>
      <c r="AF137" s="250" t="s">
        <v>4</v>
      </c>
      <c r="AG137" s="208">
        <v>12006.82</v>
      </c>
      <c r="AH137" s="208">
        <v>42006.82</v>
      </c>
      <c r="AI137" s="251" t="s">
        <v>6</v>
      </c>
      <c r="AJ137" s="246" t="s">
        <v>109</v>
      </c>
      <c r="AK137" s="257"/>
      <c r="AL137" s="250" t="s">
        <v>110</v>
      </c>
      <c r="AM137" s="250" t="s">
        <v>110</v>
      </c>
      <c r="AN137" s="245" t="s">
        <v>111</v>
      </c>
      <c r="AO137" s="250"/>
      <c r="AP137" s="253" t="s">
        <v>748</v>
      </c>
      <c r="AQ137" s="250" t="s">
        <v>110</v>
      </c>
      <c r="AR137" s="250" t="s">
        <v>110</v>
      </c>
      <c r="AS137" s="250" t="s">
        <v>110</v>
      </c>
      <c r="AT137" s="250" t="s">
        <v>110</v>
      </c>
      <c r="AU137" s="248">
        <v>45755</v>
      </c>
      <c r="AV137" s="250" t="s">
        <v>110</v>
      </c>
      <c r="AW137" s="250" t="s">
        <v>110</v>
      </c>
      <c r="AX137" s="254">
        <v>45762</v>
      </c>
      <c r="AY137" s="254">
        <v>45762</v>
      </c>
      <c r="AZ137" s="245" t="s">
        <v>360</v>
      </c>
      <c r="BA137" s="245" t="s">
        <v>1</v>
      </c>
      <c r="BB137" s="250" t="s">
        <v>110</v>
      </c>
      <c r="BC137" s="142">
        <f>IF(AY137-KD137=0,"",AY137-O137)</f>
        <v>168</v>
      </c>
      <c r="BD137" s="134" t="str">
        <f>IF(AND(AI137&lt;&gt;"SIM",AI137="UH"),"AA","INDENIZAÇÃO")</f>
        <v>INDENIZAÇÃO</v>
      </c>
      <c r="BE137" s="134" t="str">
        <f>IF(AND(AY137&lt;&gt;"AGUARDANDO",AY137&lt;&gt;"",N137="AUXÍLIO ALUGUEL ATÉ INDENIZAÇÃO"),"SIM","NÃO")</f>
        <v>NÃO</v>
      </c>
      <c r="BF137" s="250" t="s">
        <v>24</v>
      </c>
      <c r="BG137" s="250" t="s">
        <v>24</v>
      </c>
      <c r="BH137" s="250" t="s">
        <v>24</v>
      </c>
      <c r="BI137" s="250" t="s">
        <v>110</v>
      </c>
      <c r="BJ137" s="250" t="s">
        <v>110</v>
      </c>
      <c r="BK137" s="248">
        <v>45783</v>
      </c>
      <c r="BL137" s="250" t="s">
        <v>110</v>
      </c>
      <c r="BM137" s="250" t="s">
        <v>33</v>
      </c>
      <c r="CI137" s="200"/>
    </row>
    <row r="138" spans="1:87" s="149" customFormat="1" ht="30" customHeight="1">
      <c r="A138" s="134">
        <v>124</v>
      </c>
      <c r="B138" s="245" t="s">
        <v>99</v>
      </c>
      <c r="C138" s="245">
        <v>1</v>
      </c>
      <c r="D138" s="245" t="s">
        <v>100</v>
      </c>
      <c r="E138" s="245" t="s">
        <v>100</v>
      </c>
      <c r="F138" s="246" t="s">
        <v>749</v>
      </c>
      <c r="G138" s="149" t="s">
        <v>102</v>
      </c>
      <c r="H138" s="149" t="s">
        <v>103</v>
      </c>
      <c r="I138" s="149" t="s">
        <v>108</v>
      </c>
      <c r="J138" s="152" t="s">
        <v>750</v>
      </c>
      <c r="K138" s="152" t="s">
        <v>751</v>
      </c>
      <c r="L138" s="152" t="s">
        <v>752</v>
      </c>
      <c r="M138" s="245" t="s">
        <v>4</v>
      </c>
      <c r="N138" s="245" t="s">
        <v>5</v>
      </c>
      <c r="O138" s="256">
        <v>45600</v>
      </c>
      <c r="P138" s="249" t="s">
        <v>24</v>
      </c>
      <c r="Q138" s="249" t="s">
        <v>24</v>
      </c>
      <c r="R138" s="249" t="s">
        <v>24</v>
      </c>
      <c r="S138" s="249" t="s">
        <v>24</v>
      </c>
      <c r="T138" s="249" t="s">
        <v>24</v>
      </c>
      <c r="U138" s="249" t="s">
        <v>24</v>
      </c>
      <c r="V138" s="249" t="s">
        <v>24</v>
      </c>
      <c r="W138" s="249" t="s">
        <v>24</v>
      </c>
      <c r="X138" s="249" t="s">
        <v>24</v>
      </c>
      <c r="Y138" s="249" t="s">
        <v>24</v>
      </c>
      <c r="Z138" s="249" t="s">
        <v>24</v>
      </c>
      <c r="AA138" s="250"/>
      <c r="AB138" s="152" t="s">
        <v>750</v>
      </c>
      <c r="AC138" s="152" t="s">
        <v>751</v>
      </c>
      <c r="AD138" s="152" t="s">
        <v>752</v>
      </c>
      <c r="AE138" s="149" t="s">
        <v>108</v>
      </c>
      <c r="AF138" s="250" t="s">
        <v>4</v>
      </c>
      <c r="AG138" s="208">
        <v>11856.84</v>
      </c>
      <c r="AH138" s="208">
        <v>41856.839999999997</v>
      </c>
      <c r="AI138" s="245" t="s">
        <v>6</v>
      </c>
      <c r="AJ138" s="314" t="s">
        <v>109</v>
      </c>
      <c r="AK138" s="245"/>
      <c r="AL138" s="250" t="s">
        <v>110</v>
      </c>
      <c r="AM138" s="250" t="s">
        <v>110</v>
      </c>
      <c r="AN138" s="245" t="s">
        <v>111</v>
      </c>
      <c r="AO138" s="250"/>
      <c r="AP138" s="253" t="s">
        <v>753</v>
      </c>
      <c r="AQ138" s="250" t="s">
        <v>110</v>
      </c>
      <c r="AR138" s="250" t="s">
        <v>110</v>
      </c>
      <c r="AS138" s="250" t="s">
        <v>110</v>
      </c>
      <c r="AT138" s="250" t="s">
        <v>110</v>
      </c>
      <c r="AU138" s="248">
        <v>45755</v>
      </c>
      <c r="AV138" s="250" t="s">
        <v>110</v>
      </c>
      <c r="AW138" s="250" t="s">
        <v>110</v>
      </c>
      <c r="AX138" s="254">
        <v>45762</v>
      </c>
      <c r="AY138" s="254">
        <v>45762</v>
      </c>
      <c r="AZ138" s="245" t="s">
        <v>360</v>
      </c>
      <c r="BA138" s="245" t="s">
        <v>1</v>
      </c>
      <c r="BB138" s="250" t="s">
        <v>110</v>
      </c>
      <c r="BC138" s="142">
        <f>IF(AY138-KD138=0,"",AY138-O138)</f>
        <v>162</v>
      </c>
      <c r="BD138" s="134" t="str">
        <f>IF(AND(AI138&lt;&gt;"SIM",AI138="UH"),"AA","INDENIZAÇÃO")</f>
        <v>INDENIZAÇÃO</v>
      </c>
      <c r="BE138" s="134" t="str">
        <f>IF(AND(AY138&lt;&gt;"AGUARDANDO",AY138&lt;&gt;"",N138="AUXÍLIO ALUGUEL ATÉ INDENIZAÇÃO"),"SIM","NÃO")</f>
        <v>NÃO</v>
      </c>
      <c r="BF138" s="250" t="s">
        <v>24</v>
      </c>
      <c r="BG138" s="250" t="s">
        <v>24</v>
      </c>
      <c r="BH138" s="250" t="s">
        <v>24</v>
      </c>
      <c r="BI138" s="250" t="s">
        <v>110</v>
      </c>
      <c r="BJ138" s="250" t="s">
        <v>110</v>
      </c>
      <c r="BK138" s="248">
        <v>45783</v>
      </c>
      <c r="BL138" s="250" t="s">
        <v>110</v>
      </c>
      <c r="BM138" s="250" t="s">
        <v>33</v>
      </c>
      <c r="CI138" s="200"/>
    </row>
    <row r="139" spans="1:87" s="149" customFormat="1" ht="30" customHeight="1">
      <c r="A139" s="134">
        <v>125</v>
      </c>
      <c r="B139" s="134" t="s">
        <v>99</v>
      </c>
      <c r="C139" s="134">
        <v>1</v>
      </c>
      <c r="D139" s="134" t="s">
        <v>100</v>
      </c>
      <c r="E139" s="134" t="s">
        <v>100</v>
      </c>
      <c r="F139" s="138" t="s">
        <v>754</v>
      </c>
      <c r="G139" s="149" t="s">
        <v>102</v>
      </c>
      <c r="H139" s="149" t="s">
        <v>103</v>
      </c>
      <c r="I139" s="149" t="s">
        <v>287</v>
      </c>
      <c r="J139" s="152" t="s">
        <v>750</v>
      </c>
      <c r="K139" s="152" t="s">
        <v>751</v>
      </c>
      <c r="L139" s="152" t="s">
        <v>752</v>
      </c>
      <c r="M139" s="134" t="s">
        <v>4</v>
      </c>
      <c r="N139" s="134"/>
      <c r="O139" s="194"/>
      <c r="P139" s="144"/>
      <c r="Q139" s="263"/>
      <c r="R139" s="144"/>
      <c r="S139" s="144"/>
      <c r="T139" s="144"/>
      <c r="U139" s="144"/>
      <c r="V139" s="144"/>
      <c r="W139" s="144"/>
      <c r="X139" s="144"/>
      <c r="Y139" s="144"/>
      <c r="Z139" s="144"/>
      <c r="AB139" s="152" t="s">
        <v>750</v>
      </c>
      <c r="AC139" s="152" t="s">
        <v>751</v>
      </c>
      <c r="AD139" s="152" t="s">
        <v>752</v>
      </c>
      <c r="AE139" s="134" t="s">
        <v>287</v>
      </c>
      <c r="AF139" s="149" t="s">
        <v>4</v>
      </c>
      <c r="AG139" s="208">
        <v>0</v>
      </c>
      <c r="AH139" s="208">
        <v>0</v>
      </c>
      <c r="AI139" s="230" t="s">
        <v>24</v>
      </c>
      <c r="AJ139" s="138" t="s">
        <v>109</v>
      </c>
      <c r="AK139" s="211"/>
      <c r="AL139" s="134" t="s">
        <v>24</v>
      </c>
      <c r="AM139" s="134" t="s">
        <v>24</v>
      </c>
      <c r="AN139" s="134" t="s">
        <v>24</v>
      </c>
      <c r="AO139" s="149" t="s">
        <v>755</v>
      </c>
      <c r="AP139" s="152" t="s">
        <v>24</v>
      </c>
      <c r="AQ139" s="134" t="s">
        <v>24</v>
      </c>
      <c r="AR139" s="134" t="s">
        <v>24</v>
      </c>
      <c r="AS139" s="134" t="s">
        <v>24</v>
      </c>
      <c r="AT139" s="134" t="s">
        <v>24</v>
      </c>
      <c r="AU139" s="134" t="s">
        <v>24</v>
      </c>
      <c r="AV139" s="134" t="s">
        <v>24</v>
      </c>
      <c r="AW139" s="134" t="s">
        <v>24</v>
      </c>
      <c r="AX139" s="134" t="s">
        <v>24</v>
      </c>
      <c r="AY139" s="134" t="s">
        <v>24</v>
      </c>
      <c r="AZ139" s="145" t="s">
        <v>33</v>
      </c>
      <c r="BA139" s="145" t="s">
        <v>113</v>
      </c>
      <c r="BB139" s="149" t="s">
        <v>110</v>
      </c>
      <c r="BC139" s="142" t="e">
        <f>IF(AY139-KD139=0,"",AY139-O139)</f>
        <v>#VALUE!</v>
      </c>
      <c r="BD139" s="134" t="str">
        <f>IF(AND(AI139&lt;&gt;"SIM",AI139="UH"),"AA","INDENIZAÇÃO")</f>
        <v>INDENIZAÇÃO</v>
      </c>
      <c r="BE139" s="134" t="str">
        <f>IF(AND(AY139&lt;&gt;"AGUARDANDO",AY139&lt;&gt;"",N139="AUXÍLIO ALUGUEL ATÉ INDENIZAÇÃO"),"SIM","NÃO")</f>
        <v>NÃO</v>
      </c>
      <c r="BF139" s="149" t="s">
        <v>24</v>
      </c>
      <c r="BG139" s="149" t="s">
        <v>24</v>
      </c>
      <c r="BH139" s="149" t="s">
        <v>24</v>
      </c>
      <c r="BI139" s="149" t="s">
        <v>24</v>
      </c>
      <c r="BJ139" s="149" t="s">
        <v>24</v>
      </c>
      <c r="BK139" s="149" t="s">
        <v>24</v>
      </c>
      <c r="BL139" s="149" t="s">
        <v>24</v>
      </c>
      <c r="BM139" s="149" t="s">
        <v>110</v>
      </c>
      <c r="CI139" s="200"/>
    </row>
    <row r="140" spans="1:87" s="149" customFormat="1" ht="30" customHeight="1">
      <c r="A140" s="134">
        <v>126</v>
      </c>
      <c r="B140" s="134" t="s">
        <v>99</v>
      </c>
      <c r="C140" s="134">
        <v>1</v>
      </c>
      <c r="D140" s="134" t="s">
        <v>100</v>
      </c>
      <c r="E140" s="134" t="s">
        <v>100</v>
      </c>
      <c r="F140" s="138" t="s">
        <v>756</v>
      </c>
      <c r="G140" s="149" t="s">
        <v>102</v>
      </c>
      <c r="H140" s="149" t="s">
        <v>103</v>
      </c>
      <c r="I140" s="149" t="s">
        <v>387</v>
      </c>
      <c r="J140" s="152" t="s">
        <v>757</v>
      </c>
      <c r="K140" s="152" t="s">
        <v>758</v>
      </c>
      <c r="L140" s="152" t="s">
        <v>759</v>
      </c>
      <c r="M140" s="134" t="s">
        <v>4</v>
      </c>
      <c r="N140" s="134"/>
      <c r="O140" s="194"/>
      <c r="P140" s="144"/>
      <c r="Q140" s="263"/>
      <c r="R140" s="144"/>
      <c r="S140" s="144"/>
      <c r="T140" s="144"/>
      <c r="U140" s="144"/>
      <c r="V140" s="144"/>
      <c r="W140" s="144"/>
      <c r="X140" s="144"/>
      <c r="Y140" s="144"/>
      <c r="Z140" s="144"/>
      <c r="AB140" s="152" t="s">
        <v>760</v>
      </c>
      <c r="AC140" s="152" t="s">
        <v>758</v>
      </c>
      <c r="AD140" s="152" t="s">
        <v>761</v>
      </c>
      <c r="AE140" s="134" t="s">
        <v>287</v>
      </c>
      <c r="AG140" s="208"/>
      <c r="AH140" s="208"/>
      <c r="AI140" s="230"/>
      <c r="AJ140" s="134"/>
      <c r="AK140" s="211"/>
      <c r="AP140" s="152"/>
      <c r="BC140" s="142" t="str">
        <f>IF(AY140-KD140=0,"",AY140-O140)</f>
        <v/>
      </c>
      <c r="BD140" s="134" t="str">
        <f>IF(AND(AI140&lt;&gt;"SIM",AI140="UH"),"AA","INDENIZAÇÃO")</f>
        <v>INDENIZAÇÃO</v>
      </c>
      <c r="BE140" s="134" t="str">
        <f>IF(AND(AY140&lt;&gt;"AGUARDANDO",AY140&lt;&gt;"",N140="AUXÍLIO ALUGUEL ATÉ INDENIZAÇÃO"),"SIM","NÃO")</f>
        <v>NÃO</v>
      </c>
      <c r="BF140" s="134"/>
      <c r="BG140" s="194"/>
      <c r="BH140" s="194"/>
      <c r="CI140" s="200"/>
    </row>
    <row r="141" spans="1:87" s="149" customFormat="1" ht="30" customHeight="1">
      <c r="A141" s="134">
        <v>127</v>
      </c>
      <c r="B141" s="134" t="s">
        <v>99</v>
      </c>
      <c r="C141" s="134">
        <v>1</v>
      </c>
      <c r="D141" s="134" t="s">
        <v>100</v>
      </c>
      <c r="E141" s="134" t="s">
        <v>100</v>
      </c>
      <c r="F141" s="138" t="s">
        <v>762</v>
      </c>
      <c r="G141" s="149" t="s">
        <v>102</v>
      </c>
      <c r="H141" s="149" t="s">
        <v>103</v>
      </c>
      <c r="I141" s="149" t="s">
        <v>387</v>
      </c>
      <c r="J141" s="152" t="s">
        <v>763</v>
      </c>
      <c r="K141" s="152" t="s">
        <v>764</v>
      </c>
      <c r="L141" s="152" t="s">
        <v>765</v>
      </c>
      <c r="M141" s="134" t="s">
        <v>4</v>
      </c>
      <c r="N141" s="134"/>
      <c r="O141" s="194"/>
      <c r="P141" s="144"/>
      <c r="Q141" s="263"/>
      <c r="R141" s="144"/>
      <c r="S141" s="144"/>
      <c r="T141" s="144"/>
      <c r="U141" s="144"/>
      <c r="V141" s="144"/>
      <c r="W141" s="144"/>
      <c r="X141" s="144"/>
      <c r="Y141" s="144"/>
      <c r="Z141" s="144"/>
      <c r="AB141" s="152" t="s">
        <v>766</v>
      </c>
      <c r="AC141" s="152" t="s">
        <v>764</v>
      </c>
      <c r="AD141" s="152" t="s">
        <v>767</v>
      </c>
      <c r="AE141" s="134" t="s">
        <v>287</v>
      </c>
      <c r="AG141" s="208"/>
      <c r="AH141" s="208"/>
      <c r="AI141" s="230"/>
      <c r="AJ141" s="134"/>
      <c r="AK141" s="211"/>
      <c r="AP141" s="152"/>
      <c r="BC141" s="142" t="str">
        <f>IF(AY141-KD141=0,"",AY141-O141)</f>
        <v/>
      </c>
      <c r="BD141" s="134" t="str">
        <f>IF(AND(AI141&lt;&gt;"SIM",AI141="UH"),"AA","INDENIZAÇÃO")</f>
        <v>INDENIZAÇÃO</v>
      </c>
      <c r="BE141" s="134" t="str">
        <f>IF(AND(AY141&lt;&gt;"AGUARDANDO",AY141&lt;&gt;"",N141="AUXÍLIO ALUGUEL ATÉ INDENIZAÇÃO"),"SIM","NÃO")</f>
        <v>NÃO</v>
      </c>
      <c r="BF141" s="134"/>
      <c r="BG141" s="194"/>
      <c r="BH141" s="194"/>
      <c r="CI141" s="200"/>
    </row>
    <row r="142" spans="1:87" s="149" customFormat="1" ht="30" customHeight="1">
      <c r="A142" s="134">
        <v>128</v>
      </c>
      <c r="B142" s="245" t="s">
        <v>99</v>
      </c>
      <c r="C142" s="245">
        <v>1</v>
      </c>
      <c r="D142" s="245" t="s">
        <v>100</v>
      </c>
      <c r="E142" s="245" t="s">
        <v>100</v>
      </c>
      <c r="F142" s="246" t="s">
        <v>768</v>
      </c>
      <c r="G142" s="149" t="s">
        <v>102</v>
      </c>
      <c r="H142" s="149" t="s">
        <v>103</v>
      </c>
      <c r="I142" s="149" t="s">
        <v>108</v>
      </c>
      <c r="J142" s="152" t="s">
        <v>769</v>
      </c>
      <c r="K142" s="152" t="s">
        <v>770</v>
      </c>
      <c r="L142" s="152" t="s">
        <v>771</v>
      </c>
      <c r="M142" s="245" t="s">
        <v>4</v>
      </c>
      <c r="N142" s="245" t="s">
        <v>5</v>
      </c>
      <c r="O142" s="256">
        <v>45546</v>
      </c>
      <c r="P142" s="249" t="s">
        <v>24</v>
      </c>
      <c r="Q142" s="249" t="s">
        <v>24</v>
      </c>
      <c r="R142" s="249" t="s">
        <v>24</v>
      </c>
      <c r="S142" s="249" t="s">
        <v>24</v>
      </c>
      <c r="T142" s="249" t="s">
        <v>24</v>
      </c>
      <c r="U142" s="249" t="s">
        <v>24</v>
      </c>
      <c r="V142" s="249" t="s">
        <v>24</v>
      </c>
      <c r="W142" s="249" t="s">
        <v>24</v>
      </c>
      <c r="X142" s="249" t="s">
        <v>24</v>
      </c>
      <c r="Y142" s="249" t="s">
        <v>24</v>
      </c>
      <c r="Z142" s="249" t="s">
        <v>24</v>
      </c>
      <c r="AA142" s="250"/>
      <c r="AB142" s="152" t="s">
        <v>769</v>
      </c>
      <c r="AC142" s="152" t="s">
        <v>770</v>
      </c>
      <c r="AD142" s="152" t="s">
        <v>771</v>
      </c>
      <c r="AE142" s="149" t="s">
        <v>108</v>
      </c>
      <c r="AF142" s="250" t="s">
        <v>4</v>
      </c>
      <c r="AG142" s="208">
        <v>13390.66</v>
      </c>
      <c r="AH142" s="208">
        <f>AG142+30000</f>
        <v>43390.66</v>
      </c>
      <c r="AI142" s="251" t="s">
        <v>6</v>
      </c>
      <c r="AJ142" s="246" t="s">
        <v>109</v>
      </c>
      <c r="AK142" s="257"/>
      <c r="AL142" s="250" t="s">
        <v>110</v>
      </c>
      <c r="AM142" s="250" t="s">
        <v>110</v>
      </c>
      <c r="AN142" s="250" t="s">
        <v>111</v>
      </c>
      <c r="AO142" s="250"/>
      <c r="AP142" s="253" t="s">
        <v>772</v>
      </c>
      <c r="AQ142" s="250" t="s">
        <v>110</v>
      </c>
      <c r="AR142" s="250" t="s">
        <v>110</v>
      </c>
      <c r="AS142" s="250" t="s">
        <v>110</v>
      </c>
      <c r="AT142" s="250" t="s">
        <v>110</v>
      </c>
      <c r="AU142" s="256">
        <v>45587</v>
      </c>
      <c r="AV142" s="250" t="s">
        <v>110</v>
      </c>
      <c r="AW142" s="250" t="s">
        <v>110</v>
      </c>
      <c r="AX142" s="256">
        <v>45600</v>
      </c>
      <c r="AY142" s="249">
        <v>45600</v>
      </c>
      <c r="AZ142" s="245" t="s">
        <v>360</v>
      </c>
      <c r="BA142" s="245" t="s">
        <v>1</v>
      </c>
      <c r="BB142" s="250" t="s">
        <v>110</v>
      </c>
      <c r="BC142" s="142">
        <f>IF(AY142-KD142=0,"",AY142-O142)</f>
        <v>54</v>
      </c>
      <c r="BD142" s="134" t="str">
        <f>IF(AND(AI142&lt;&gt;"SIM",AI142="UH"),"AA","INDENIZAÇÃO")</f>
        <v>INDENIZAÇÃO</v>
      </c>
      <c r="BE142" s="134" t="str">
        <f>IF(AND(AY142&lt;&gt;"AGUARDANDO",AY142&lt;&gt;"",N142="AUXÍLIO ALUGUEL ATÉ INDENIZAÇÃO"),"SIM","NÃO")</f>
        <v>NÃO</v>
      </c>
      <c r="BF142" s="245" t="s">
        <v>24</v>
      </c>
      <c r="BG142" s="245" t="s">
        <v>24</v>
      </c>
      <c r="BH142" s="245" t="s">
        <v>24</v>
      </c>
      <c r="BI142" s="250" t="s">
        <v>110</v>
      </c>
      <c r="BJ142" s="250" t="s">
        <v>110</v>
      </c>
      <c r="BK142" s="256">
        <v>45621</v>
      </c>
      <c r="BL142" s="250" t="s">
        <v>110</v>
      </c>
      <c r="BM142" s="250" t="s">
        <v>33</v>
      </c>
      <c r="CI142" s="200"/>
    </row>
    <row r="143" spans="1:87" s="149" customFormat="1" ht="30" customHeight="1">
      <c r="A143" s="134">
        <v>129</v>
      </c>
      <c r="B143" s="134" t="s">
        <v>99</v>
      </c>
      <c r="C143" s="134">
        <v>1</v>
      </c>
      <c r="D143" s="134" t="s">
        <v>100</v>
      </c>
      <c r="E143" s="134" t="s">
        <v>100</v>
      </c>
      <c r="F143" s="216" t="s">
        <v>773</v>
      </c>
      <c r="G143" s="149" t="s">
        <v>102</v>
      </c>
      <c r="H143" s="149" t="s">
        <v>103</v>
      </c>
      <c r="I143" s="149" t="s">
        <v>108</v>
      </c>
      <c r="J143" s="152" t="s">
        <v>766</v>
      </c>
      <c r="K143" s="152" t="s">
        <v>764</v>
      </c>
      <c r="L143" s="152" t="s">
        <v>767</v>
      </c>
      <c r="M143" s="134" t="s">
        <v>4</v>
      </c>
      <c r="N143" s="134" t="s">
        <v>5</v>
      </c>
      <c r="O143" s="194">
        <v>46191</v>
      </c>
      <c r="P143" s="249" t="s">
        <v>24</v>
      </c>
      <c r="Q143" s="249" t="s">
        <v>24</v>
      </c>
      <c r="R143" s="249" t="s">
        <v>24</v>
      </c>
      <c r="S143" s="249" t="s">
        <v>24</v>
      </c>
      <c r="T143" s="249" t="s">
        <v>24</v>
      </c>
      <c r="U143" s="249" t="s">
        <v>24</v>
      </c>
      <c r="V143" s="249" t="s">
        <v>24</v>
      </c>
      <c r="W143" s="249" t="s">
        <v>24</v>
      </c>
      <c r="X143" s="249" t="s">
        <v>24</v>
      </c>
      <c r="Y143" s="249" t="s">
        <v>24</v>
      </c>
      <c r="Z143" s="249" t="s">
        <v>24</v>
      </c>
      <c r="AB143" s="152" t="s">
        <v>766</v>
      </c>
      <c r="AC143" s="152" t="s">
        <v>764</v>
      </c>
      <c r="AD143" s="152" t="s">
        <v>767</v>
      </c>
      <c r="AE143" s="149" t="s">
        <v>108</v>
      </c>
      <c r="AF143" s="149" t="s">
        <v>4</v>
      </c>
      <c r="AG143" s="208">
        <v>11579.41</v>
      </c>
      <c r="AH143" s="208">
        <v>41579.410000000003</v>
      </c>
      <c r="AI143" s="230" t="s">
        <v>6</v>
      </c>
      <c r="AJ143" s="138" t="s">
        <v>109</v>
      </c>
      <c r="AK143" s="211">
        <v>153152437</v>
      </c>
      <c r="AL143" s="134" t="s">
        <v>110</v>
      </c>
      <c r="AM143" s="134" t="s">
        <v>110</v>
      </c>
      <c r="AN143" s="149" t="s">
        <v>111</v>
      </c>
      <c r="AO143" s="273"/>
      <c r="AP143" s="199" t="s">
        <v>774</v>
      </c>
      <c r="AQ143" s="198" t="s">
        <v>125</v>
      </c>
      <c r="AS143" s="149" t="s">
        <v>126</v>
      </c>
      <c r="BC143" s="142" t="str">
        <f>IF(AY143-KD143=0,"",AY143-O143)</f>
        <v/>
      </c>
      <c r="BD143" s="134" t="str">
        <f>IF(AND(AI143&lt;&gt;"SIM",AI143="UH"),"AA","INDENIZAÇÃO")</f>
        <v>INDENIZAÇÃO</v>
      </c>
      <c r="BE143" s="134" t="str">
        <f>IF(AND(AY143&lt;&gt;"AGUARDANDO",AY143&lt;&gt;"",N143="AUXÍLIO ALUGUEL ATÉ INDENIZAÇÃO"),"SIM","NÃO")</f>
        <v>NÃO</v>
      </c>
      <c r="BF143" s="134"/>
      <c r="BG143" s="194"/>
      <c r="BH143" s="194"/>
      <c r="CI143" s="200"/>
    </row>
    <row r="144" spans="1:87" s="149" customFormat="1" ht="30" customHeight="1">
      <c r="A144" s="134">
        <v>130</v>
      </c>
      <c r="B144" s="134" t="s">
        <v>99</v>
      </c>
      <c r="C144" s="134">
        <v>1</v>
      </c>
      <c r="D144" s="134" t="s">
        <v>100</v>
      </c>
      <c r="E144" s="134" t="s">
        <v>100</v>
      </c>
      <c r="F144" s="138" t="s">
        <v>775</v>
      </c>
      <c r="G144" s="149" t="s">
        <v>102</v>
      </c>
      <c r="H144" s="149" t="s">
        <v>103</v>
      </c>
      <c r="I144" s="149" t="s">
        <v>387</v>
      </c>
      <c r="J144" s="152" t="s">
        <v>776</v>
      </c>
      <c r="K144" s="152" t="s">
        <v>770</v>
      </c>
      <c r="L144" s="152" t="s">
        <v>777</v>
      </c>
      <c r="M144" s="134" t="s">
        <v>4</v>
      </c>
      <c r="N144" s="134" t="s">
        <v>14</v>
      </c>
      <c r="O144" s="194">
        <v>45546</v>
      </c>
      <c r="P144" s="197" t="s">
        <v>17</v>
      </c>
      <c r="Q144" s="264" t="s">
        <v>283</v>
      </c>
      <c r="R144" s="197"/>
      <c r="S144" s="197"/>
      <c r="T144" s="197"/>
      <c r="U144" s="197"/>
      <c r="V144" s="197"/>
      <c r="W144" s="197"/>
      <c r="X144" s="197"/>
      <c r="Y144" s="197"/>
      <c r="Z144" s="197"/>
      <c r="AB144" s="152" t="s">
        <v>769</v>
      </c>
      <c r="AC144" s="152" t="s">
        <v>770</v>
      </c>
      <c r="AD144" s="152" t="s">
        <v>771</v>
      </c>
      <c r="AE144" s="134" t="s">
        <v>287</v>
      </c>
      <c r="AF144" s="134" t="s">
        <v>24</v>
      </c>
      <c r="AG144" s="208" t="s">
        <v>24</v>
      </c>
      <c r="AH144" s="208" t="s">
        <v>24</v>
      </c>
      <c r="AI144" s="230" t="s">
        <v>778</v>
      </c>
      <c r="AJ144" s="134" t="s">
        <v>24</v>
      </c>
      <c r="AK144" s="211"/>
      <c r="AL144" s="134" t="s">
        <v>24</v>
      </c>
      <c r="AM144" s="134" t="s">
        <v>24</v>
      </c>
      <c r="AN144" s="134" t="s">
        <v>24</v>
      </c>
      <c r="AO144" s="134" t="s">
        <v>778</v>
      </c>
      <c r="AP144" s="138" t="s">
        <v>24</v>
      </c>
      <c r="AQ144" s="134" t="s">
        <v>24</v>
      </c>
      <c r="AR144" s="134" t="s">
        <v>24</v>
      </c>
      <c r="AS144" s="134" t="s">
        <v>24</v>
      </c>
      <c r="AT144" s="134" t="s">
        <v>24</v>
      </c>
      <c r="AU144" s="134" t="s">
        <v>24</v>
      </c>
      <c r="AV144" s="134" t="s">
        <v>24</v>
      </c>
      <c r="AW144" s="134" t="s">
        <v>24</v>
      </c>
      <c r="AX144" s="134" t="s">
        <v>24</v>
      </c>
      <c r="AY144" s="134" t="s">
        <v>24</v>
      </c>
      <c r="AZ144" s="145" t="s">
        <v>33</v>
      </c>
      <c r="BA144" s="145" t="s">
        <v>113</v>
      </c>
      <c r="BB144" s="149" t="s">
        <v>110</v>
      </c>
      <c r="BC144" s="142" t="e">
        <f>IF(AY144-KD144=0,"",AY144-O144)</f>
        <v>#VALUE!</v>
      </c>
      <c r="BD144" s="134" t="str">
        <f>IF(AND(AI144&lt;&gt;"SIM",AI144="UH"),"AA","INDENIZAÇÃO")</f>
        <v>INDENIZAÇÃO</v>
      </c>
      <c r="BE144" s="134" t="str">
        <f>IF(AND(AY144&lt;&gt;"AGUARDANDO",AY144&lt;&gt;"",N144="AUXÍLIO ALUGUEL ATÉ INDENIZAÇÃO"),"SIM","NÃO")</f>
        <v>NÃO</v>
      </c>
      <c r="BF144" s="142" t="s">
        <v>24</v>
      </c>
      <c r="BG144" s="142" t="s">
        <v>24</v>
      </c>
      <c r="BH144" s="142" t="s">
        <v>24</v>
      </c>
      <c r="BI144" s="142" t="s">
        <v>24</v>
      </c>
      <c r="BJ144" s="142" t="s">
        <v>24</v>
      </c>
      <c r="BK144" s="142" t="s">
        <v>24</v>
      </c>
      <c r="BL144" s="142" t="s">
        <v>24</v>
      </c>
      <c r="BM144" s="142" t="s">
        <v>24</v>
      </c>
      <c r="CI144" s="200"/>
    </row>
    <row r="145" spans="1:87" s="149" customFormat="1" ht="30" customHeight="1">
      <c r="A145" s="134">
        <v>131</v>
      </c>
      <c r="B145" s="134" t="s">
        <v>99</v>
      </c>
      <c r="C145" s="134">
        <v>1</v>
      </c>
      <c r="D145" s="134" t="s">
        <v>100</v>
      </c>
      <c r="E145" s="134" t="s">
        <v>100</v>
      </c>
      <c r="F145" s="138" t="s">
        <v>779</v>
      </c>
      <c r="G145" s="149" t="s">
        <v>102</v>
      </c>
      <c r="H145" s="149" t="s">
        <v>103</v>
      </c>
      <c r="I145" s="149" t="s">
        <v>108</v>
      </c>
      <c r="J145" s="152" t="s">
        <v>780</v>
      </c>
      <c r="K145" s="152" t="s">
        <v>781</v>
      </c>
      <c r="L145" s="152" t="s">
        <v>782</v>
      </c>
      <c r="M145" s="134" t="s">
        <v>4</v>
      </c>
      <c r="N145" s="134" t="s">
        <v>5</v>
      </c>
      <c r="O145" s="194">
        <v>45905</v>
      </c>
      <c r="P145" s="144" t="s">
        <v>24</v>
      </c>
      <c r="Q145" s="144" t="s">
        <v>24</v>
      </c>
      <c r="R145" s="144" t="s">
        <v>24</v>
      </c>
      <c r="S145" s="144" t="s">
        <v>24</v>
      </c>
      <c r="T145" s="144" t="s">
        <v>24</v>
      </c>
      <c r="U145" s="144" t="s">
        <v>24</v>
      </c>
      <c r="V145" s="144" t="s">
        <v>24</v>
      </c>
      <c r="W145" s="144" t="s">
        <v>24</v>
      </c>
      <c r="X145" s="144" t="s">
        <v>24</v>
      </c>
      <c r="Y145" s="144" t="s">
        <v>24</v>
      </c>
      <c r="Z145" s="144" t="s">
        <v>24</v>
      </c>
      <c r="AB145" s="152" t="s">
        <v>780</v>
      </c>
      <c r="AC145" s="152" t="s">
        <v>781</v>
      </c>
      <c r="AD145" s="152" t="s">
        <v>782</v>
      </c>
      <c r="AE145" s="149" t="s">
        <v>108</v>
      </c>
      <c r="AF145" s="149" t="s">
        <v>4</v>
      </c>
      <c r="AG145" s="208">
        <v>20633.71</v>
      </c>
      <c r="AH145" s="208">
        <v>50633.71</v>
      </c>
      <c r="AI145" s="230" t="s">
        <v>6</v>
      </c>
      <c r="AJ145" s="138" t="s">
        <v>109</v>
      </c>
      <c r="AK145" s="211">
        <v>125886755</v>
      </c>
      <c r="AL145" s="134" t="s">
        <v>110</v>
      </c>
      <c r="AM145" s="134" t="s">
        <v>110</v>
      </c>
      <c r="AN145" s="273" t="s">
        <v>111</v>
      </c>
      <c r="AP145" s="199" t="s">
        <v>783</v>
      </c>
      <c r="AQ145" s="198" t="s">
        <v>110</v>
      </c>
      <c r="AR145" s="198" t="s">
        <v>110</v>
      </c>
      <c r="AS145" s="198" t="s">
        <v>110</v>
      </c>
      <c r="AT145" s="198" t="s">
        <v>110</v>
      </c>
      <c r="AU145" s="274">
        <v>45937</v>
      </c>
      <c r="AV145" s="198" t="s">
        <v>110</v>
      </c>
      <c r="AW145" s="198" t="s">
        <v>110</v>
      </c>
      <c r="AX145" s="274">
        <v>45959</v>
      </c>
      <c r="AY145" s="140">
        <v>45959</v>
      </c>
      <c r="AZ145" s="141" t="s">
        <v>33</v>
      </c>
      <c r="BA145" s="145" t="s">
        <v>113</v>
      </c>
      <c r="BB145" s="149" t="s">
        <v>110</v>
      </c>
      <c r="BC145" s="142">
        <f>IF(AY145-KD145=0,"",AY145-O145)</f>
        <v>54</v>
      </c>
      <c r="BD145" s="134" t="str">
        <f>IF(AND(AI145&lt;&gt;"SIM",AI145="UH"),"AA","INDENIZAÇÃO")</f>
        <v>INDENIZAÇÃO</v>
      </c>
      <c r="BE145" s="134" t="str">
        <f>IF(AND(AY145&lt;&gt;"AGUARDANDO",AY145&lt;&gt;"",N145="AUXÍLIO ALUGUEL ATÉ INDENIZAÇÃO"),"SIM","NÃO")</f>
        <v>NÃO</v>
      </c>
      <c r="BF145" s="134" t="s">
        <v>24</v>
      </c>
      <c r="BG145" s="134" t="s">
        <v>24</v>
      </c>
      <c r="BH145" s="134" t="s">
        <v>24</v>
      </c>
      <c r="BI145" s="145" t="s">
        <v>189</v>
      </c>
      <c r="BJ145" s="145"/>
      <c r="BK145" s="145"/>
      <c r="BL145" s="145"/>
      <c r="BM145" s="145"/>
      <c r="CI145" s="200"/>
    </row>
    <row r="146" spans="1:87" s="149" customFormat="1" ht="30" customHeight="1">
      <c r="A146" s="134">
        <v>132</v>
      </c>
      <c r="B146" s="134" t="s">
        <v>99</v>
      </c>
      <c r="C146" s="134">
        <v>1</v>
      </c>
      <c r="D146" s="134" t="s">
        <v>100</v>
      </c>
      <c r="E146" s="134" t="s">
        <v>100</v>
      </c>
      <c r="F146" s="138" t="s">
        <v>784</v>
      </c>
      <c r="G146" s="149" t="s">
        <v>10</v>
      </c>
      <c r="H146" s="149" t="s">
        <v>103</v>
      </c>
      <c r="I146" s="149" t="s">
        <v>287</v>
      </c>
      <c r="J146" s="152" t="s">
        <v>785</v>
      </c>
      <c r="K146" s="152" t="s">
        <v>786</v>
      </c>
      <c r="L146" s="152" t="s">
        <v>787</v>
      </c>
      <c r="M146" s="134" t="s">
        <v>4</v>
      </c>
      <c r="N146" s="134" t="s">
        <v>5</v>
      </c>
      <c r="O146" s="194">
        <v>45792</v>
      </c>
      <c r="P146" s="144" t="s">
        <v>24</v>
      </c>
      <c r="Q146" s="144" t="s">
        <v>24</v>
      </c>
      <c r="R146" s="144" t="s">
        <v>24</v>
      </c>
      <c r="S146" s="144" t="s">
        <v>24</v>
      </c>
      <c r="T146" s="144" t="s">
        <v>24</v>
      </c>
      <c r="U146" s="144" t="s">
        <v>24</v>
      </c>
      <c r="V146" s="144" t="s">
        <v>24</v>
      </c>
      <c r="W146" s="144" t="s">
        <v>24</v>
      </c>
      <c r="X146" s="144" t="s">
        <v>24</v>
      </c>
      <c r="Y146" s="144" t="s">
        <v>24</v>
      </c>
      <c r="Z146" s="144" t="s">
        <v>24</v>
      </c>
      <c r="AB146" s="152" t="s">
        <v>785</v>
      </c>
      <c r="AC146" s="152" t="s">
        <v>786</v>
      </c>
      <c r="AD146" s="152" t="s">
        <v>787</v>
      </c>
      <c r="AE146" s="134" t="s">
        <v>287</v>
      </c>
      <c r="AF146" s="149" t="s">
        <v>4</v>
      </c>
      <c r="AG146" s="208">
        <v>82317.919999999998</v>
      </c>
      <c r="AH146" s="208">
        <v>82317.919999999998</v>
      </c>
      <c r="AI146" s="134" t="s">
        <v>6</v>
      </c>
      <c r="AJ146" s="138" t="s">
        <v>109</v>
      </c>
      <c r="AK146" s="134">
        <v>94282451</v>
      </c>
      <c r="AL146" s="149" t="s">
        <v>110</v>
      </c>
      <c r="AM146" s="149" t="s">
        <v>110</v>
      </c>
      <c r="AN146" s="149" t="s">
        <v>111</v>
      </c>
      <c r="AP146" s="152" t="s">
        <v>788</v>
      </c>
      <c r="AQ146" s="149" t="s">
        <v>110</v>
      </c>
      <c r="AR146" s="198" t="s">
        <v>110</v>
      </c>
      <c r="AS146" s="198" t="s">
        <v>110</v>
      </c>
      <c r="AT146" s="198" t="s">
        <v>110</v>
      </c>
      <c r="AU146" s="194">
        <v>45834</v>
      </c>
      <c r="AV146" s="198" t="s">
        <v>110</v>
      </c>
      <c r="AW146" s="198" t="s">
        <v>110</v>
      </c>
      <c r="AX146" s="194">
        <v>45840</v>
      </c>
      <c r="AY146" s="140">
        <v>45840</v>
      </c>
      <c r="AZ146" s="145" t="s">
        <v>33</v>
      </c>
      <c r="BA146" s="145" t="s">
        <v>113</v>
      </c>
      <c r="BB146" s="149" t="s">
        <v>110</v>
      </c>
      <c r="BC146" s="142">
        <f>IF(AY146-KD146=0,"",AY146-O146)</f>
        <v>48</v>
      </c>
      <c r="BD146" s="134" t="str">
        <f>IF(AND(AI146&lt;&gt;"SIM",AI146="UH"),"AA","INDENIZAÇÃO")</f>
        <v>INDENIZAÇÃO</v>
      </c>
      <c r="BE146" s="134" t="str">
        <f>IF(AND(AY146&lt;&gt;"AGUARDANDO",AY146&lt;&gt;"",N146="AUXÍLIO ALUGUEL ATÉ INDENIZAÇÃO"),"SIM","NÃO")</f>
        <v>NÃO</v>
      </c>
      <c r="BF146" s="134" t="s">
        <v>24</v>
      </c>
      <c r="BG146" s="134" t="s">
        <v>24</v>
      </c>
      <c r="BH146" s="134" t="s">
        <v>24</v>
      </c>
      <c r="BI146" s="198" t="s">
        <v>110</v>
      </c>
      <c r="BJ146" s="198" t="s">
        <v>110</v>
      </c>
      <c r="BK146" s="194">
        <v>45859</v>
      </c>
      <c r="BL146" s="149" t="s">
        <v>110</v>
      </c>
      <c r="BM146" s="141" t="s">
        <v>33</v>
      </c>
      <c r="CI146" s="200"/>
    </row>
    <row r="147" spans="1:87" s="149" customFormat="1" ht="30" customHeight="1">
      <c r="A147" s="134">
        <v>133</v>
      </c>
      <c r="B147" s="245" t="s">
        <v>99</v>
      </c>
      <c r="C147" s="245">
        <v>1</v>
      </c>
      <c r="D147" s="245" t="s">
        <v>100</v>
      </c>
      <c r="E147" s="245" t="s">
        <v>100</v>
      </c>
      <c r="F147" s="246" t="s">
        <v>789</v>
      </c>
      <c r="G147" s="149" t="s">
        <v>102</v>
      </c>
      <c r="H147" s="149" t="s">
        <v>103</v>
      </c>
      <c r="I147" s="149" t="s">
        <v>108</v>
      </c>
      <c r="J147" s="152" t="s">
        <v>790</v>
      </c>
      <c r="K147" s="152" t="s">
        <v>791</v>
      </c>
      <c r="L147" s="152" t="s">
        <v>792</v>
      </c>
      <c r="M147" s="245" t="s">
        <v>4</v>
      </c>
      <c r="N147" s="245" t="s">
        <v>5</v>
      </c>
      <c r="O147" s="256">
        <v>45594</v>
      </c>
      <c r="P147" s="249" t="s">
        <v>24</v>
      </c>
      <c r="Q147" s="249" t="s">
        <v>24</v>
      </c>
      <c r="R147" s="249" t="s">
        <v>24</v>
      </c>
      <c r="S147" s="249" t="s">
        <v>24</v>
      </c>
      <c r="T147" s="249" t="s">
        <v>24</v>
      </c>
      <c r="U147" s="249" t="s">
        <v>24</v>
      </c>
      <c r="V147" s="249" t="s">
        <v>24</v>
      </c>
      <c r="W147" s="249" t="s">
        <v>24</v>
      </c>
      <c r="X147" s="249" t="s">
        <v>24</v>
      </c>
      <c r="Y147" s="249" t="s">
        <v>24</v>
      </c>
      <c r="Z147" s="249" t="s">
        <v>24</v>
      </c>
      <c r="AA147" s="250"/>
      <c r="AB147" s="152" t="s">
        <v>790</v>
      </c>
      <c r="AC147" s="152" t="s">
        <v>791</v>
      </c>
      <c r="AD147" s="152" t="s">
        <v>792</v>
      </c>
      <c r="AE147" s="149" t="s">
        <v>108</v>
      </c>
      <c r="AF147" s="250" t="s">
        <v>4</v>
      </c>
      <c r="AG147" s="208">
        <v>30459.16</v>
      </c>
      <c r="AH147" s="208">
        <v>60000</v>
      </c>
      <c r="AI147" s="251" t="s">
        <v>6</v>
      </c>
      <c r="AJ147" s="246" t="s">
        <v>109</v>
      </c>
      <c r="AK147" s="252"/>
      <c r="AL147" s="250" t="s">
        <v>110</v>
      </c>
      <c r="AM147" s="250" t="s">
        <v>110</v>
      </c>
      <c r="AN147" s="245" t="s">
        <v>111</v>
      </c>
      <c r="AO147" s="259"/>
      <c r="AP147" s="253" t="s">
        <v>793</v>
      </c>
      <c r="AQ147" s="250" t="s">
        <v>110</v>
      </c>
      <c r="AR147" s="250" t="s">
        <v>110</v>
      </c>
      <c r="AS147" s="250" t="s">
        <v>110</v>
      </c>
      <c r="AT147" s="250" t="s">
        <v>110</v>
      </c>
      <c r="AU147" s="248">
        <v>45755</v>
      </c>
      <c r="AV147" s="250" t="s">
        <v>110</v>
      </c>
      <c r="AW147" s="250" t="s">
        <v>110</v>
      </c>
      <c r="AX147" s="254">
        <v>45762</v>
      </c>
      <c r="AY147" s="254">
        <v>45762</v>
      </c>
      <c r="AZ147" s="245" t="s">
        <v>360</v>
      </c>
      <c r="BA147" s="245" t="s">
        <v>1</v>
      </c>
      <c r="BB147" s="250" t="s">
        <v>110</v>
      </c>
      <c r="BC147" s="142">
        <f>IF(AY147-KD147=0,"",AY147-O147)</f>
        <v>168</v>
      </c>
      <c r="BD147" s="134" t="str">
        <f>IF(AND(AI147&lt;&gt;"SIM",AI147="UH"),"AA","INDENIZAÇÃO")</f>
        <v>INDENIZAÇÃO</v>
      </c>
      <c r="BE147" s="134" t="str">
        <f>IF(AND(AY147&lt;&gt;"AGUARDANDO",AY147&lt;&gt;"",N147="AUXÍLIO ALUGUEL ATÉ INDENIZAÇÃO"),"SIM","NÃO")</f>
        <v>NÃO</v>
      </c>
      <c r="BF147" s="250" t="s">
        <v>24</v>
      </c>
      <c r="BG147" s="250" t="s">
        <v>24</v>
      </c>
      <c r="BH147" s="250" t="s">
        <v>24</v>
      </c>
      <c r="BI147" s="250" t="s">
        <v>110</v>
      </c>
      <c r="BJ147" s="250" t="s">
        <v>110</v>
      </c>
      <c r="BK147" s="248">
        <v>45783</v>
      </c>
      <c r="BL147" s="250" t="s">
        <v>110</v>
      </c>
      <c r="BM147" s="250" t="s">
        <v>33</v>
      </c>
      <c r="CI147" s="200"/>
    </row>
    <row r="148" spans="1:87" s="149" customFormat="1" ht="30" customHeight="1">
      <c r="A148" s="134">
        <v>134</v>
      </c>
      <c r="B148" s="245" t="s">
        <v>99</v>
      </c>
      <c r="C148" s="245">
        <v>1</v>
      </c>
      <c r="D148" s="245" t="s">
        <v>100</v>
      </c>
      <c r="E148" s="245" t="s">
        <v>100</v>
      </c>
      <c r="F148" s="246" t="s">
        <v>794</v>
      </c>
      <c r="G148" s="149" t="s">
        <v>102</v>
      </c>
      <c r="H148" s="149" t="s">
        <v>103</v>
      </c>
      <c r="I148" s="149" t="s">
        <v>108</v>
      </c>
      <c r="J148" s="152" t="s">
        <v>795</v>
      </c>
      <c r="K148" s="152" t="s">
        <v>796</v>
      </c>
      <c r="L148" s="152" t="s">
        <v>797</v>
      </c>
      <c r="M148" s="245" t="s">
        <v>4</v>
      </c>
      <c r="N148" s="245" t="s">
        <v>5</v>
      </c>
      <c r="O148" s="256">
        <v>45414</v>
      </c>
      <c r="P148" s="249" t="s">
        <v>24</v>
      </c>
      <c r="Q148" s="249" t="s">
        <v>24</v>
      </c>
      <c r="R148" s="249" t="s">
        <v>24</v>
      </c>
      <c r="S148" s="249" t="s">
        <v>24</v>
      </c>
      <c r="T148" s="249" t="s">
        <v>24</v>
      </c>
      <c r="U148" s="249" t="s">
        <v>24</v>
      </c>
      <c r="V148" s="249" t="s">
        <v>24</v>
      </c>
      <c r="W148" s="249" t="s">
        <v>24</v>
      </c>
      <c r="X148" s="249" t="s">
        <v>24</v>
      </c>
      <c r="Y148" s="249" t="s">
        <v>24</v>
      </c>
      <c r="Z148" s="249" t="s">
        <v>24</v>
      </c>
      <c r="AA148" s="250"/>
      <c r="AB148" s="152" t="s">
        <v>798</v>
      </c>
      <c r="AC148" s="152" t="s">
        <v>796</v>
      </c>
      <c r="AD148" s="152" t="s">
        <v>797</v>
      </c>
      <c r="AE148" s="149" t="s">
        <v>108</v>
      </c>
      <c r="AF148" s="250" t="s">
        <v>4</v>
      </c>
      <c r="AG148" s="208">
        <v>32350.44</v>
      </c>
      <c r="AH148" s="208">
        <v>60000</v>
      </c>
      <c r="AI148" s="245" t="s">
        <v>6</v>
      </c>
      <c r="AJ148" s="246" t="s">
        <v>109</v>
      </c>
      <c r="AK148" s="250"/>
      <c r="AL148" s="250" t="s">
        <v>110</v>
      </c>
      <c r="AM148" s="250" t="s">
        <v>110</v>
      </c>
      <c r="AN148" s="250" t="s">
        <v>111</v>
      </c>
      <c r="AO148" s="250"/>
      <c r="AP148" s="253" t="s">
        <v>799</v>
      </c>
      <c r="AQ148" s="250" t="s">
        <v>110</v>
      </c>
      <c r="AR148" s="250" t="s">
        <v>110</v>
      </c>
      <c r="AS148" s="250" t="s">
        <v>110</v>
      </c>
      <c r="AT148" s="250" t="s">
        <v>110</v>
      </c>
      <c r="AU148" s="256">
        <v>45498</v>
      </c>
      <c r="AV148" s="250" t="s">
        <v>110</v>
      </c>
      <c r="AW148" s="250" t="s">
        <v>110</v>
      </c>
      <c r="AX148" s="256">
        <v>45506</v>
      </c>
      <c r="AY148" s="249">
        <v>45506</v>
      </c>
      <c r="AZ148" s="245" t="s">
        <v>360</v>
      </c>
      <c r="BA148" s="245" t="s">
        <v>1</v>
      </c>
      <c r="BB148" s="250" t="s">
        <v>110</v>
      </c>
      <c r="BC148" s="142">
        <f>IF(AY148-KD148=0,"",AY148-O148)</f>
        <v>92</v>
      </c>
      <c r="BD148" s="134" t="str">
        <f>IF(AND(AI148&lt;&gt;"SIM",AI148="UH"),"AA","INDENIZAÇÃO")</f>
        <v>INDENIZAÇÃO</v>
      </c>
      <c r="BE148" s="134" t="str">
        <f>IF(AND(AY148&lt;&gt;"AGUARDANDO",AY148&lt;&gt;"",N148="AUXÍLIO ALUGUEL ATÉ INDENIZAÇÃO"),"SIM","NÃO")</f>
        <v>NÃO</v>
      </c>
      <c r="BF148" s="245" t="s">
        <v>24</v>
      </c>
      <c r="BG148" s="245" t="s">
        <v>24</v>
      </c>
      <c r="BH148" s="245" t="s">
        <v>24</v>
      </c>
      <c r="BI148" s="250" t="s">
        <v>110</v>
      </c>
      <c r="BJ148" s="250" t="s">
        <v>110</v>
      </c>
      <c r="BK148" s="256">
        <v>45559</v>
      </c>
      <c r="BL148" s="250" t="s">
        <v>110</v>
      </c>
      <c r="BM148" s="250" t="s">
        <v>33</v>
      </c>
      <c r="CI148" s="200"/>
    </row>
    <row r="149" spans="1:87" s="149" customFormat="1" ht="30" customHeight="1">
      <c r="A149" s="134">
        <v>135</v>
      </c>
      <c r="B149" s="134" t="s">
        <v>99</v>
      </c>
      <c r="C149" s="134">
        <v>1</v>
      </c>
      <c r="D149" s="134" t="s">
        <v>100</v>
      </c>
      <c r="E149" s="134" t="s">
        <v>100</v>
      </c>
      <c r="F149" s="138" t="s">
        <v>800</v>
      </c>
      <c r="G149" s="149" t="s">
        <v>102</v>
      </c>
      <c r="H149" s="149" t="s">
        <v>103</v>
      </c>
      <c r="I149" s="149" t="s">
        <v>108</v>
      </c>
      <c r="J149" s="152" t="s">
        <v>801</v>
      </c>
      <c r="K149" s="152" t="s">
        <v>802</v>
      </c>
      <c r="L149" s="152" t="s">
        <v>803</v>
      </c>
      <c r="M149" s="134" t="s">
        <v>4</v>
      </c>
      <c r="N149" s="134" t="s">
        <v>5</v>
      </c>
      <c r="O149" s="194">
        <v>45959</v>
      </c>
      <c r="P149" s="144" t="s">
        <v>24</v>
      </c>
      <c r="Q149" s="144" t="s">
        <v>24</v>
      </c>
      <c r="R149" s="144" t="s">
        <v>24</v>
      </c>
      <c r="S149" s="144" t="s">
        <v>24</v>
      </c>
      <c r="T149" s="144" t="s">
        <v>24</v>
      </c>
      <c r="U149" s="144" t="s">
        <v>24</v>
      </c>
      <c r="V149" s="144" t="s">
        <v>24</v>
      </c>
      <c r="W149" s="144" t="s">
        <v>24</v>
      </c>
      <c r="X149" s="144" t="s">
        <v>24</v>
      </c>
      <c r="Y149" s="144" t="s">
        <v>24</v>
      </c>
      <c r="Z149" s="144" t="s">
        <v>24</v>
      </c>
      <c r="AB149" s="152" t="s">
        <v>801</v>
      </c>
      <c r="AC149" s="152" t="s">
        <v>802</v>
      </c>
      <c r="AD149" s="152" t="s">
        <v>803</v>
      </c>
      <c r="AE149" s="149" t="s">
        <v>108</v>
      </c>
      <c r="AF149" s="149" t="s">
        <v>4</v>
      </c>
      <c r="AG149" s="208">
        <v>17912.43</v>
      </c>
      <c r="AH149" s="208">
        <v>47912.43</v>
      </c>
      <c r="AI149" s="230" t="s">
        <v>6</v>
      </c>
      <c r="AJ149" s="138" t="s">
        <v>109</v>
      </c>
      <c r="AK149" s="200">
        <v>147255028</v>
      </c>
      <c r="AL149" s="198" t="s">
        <v>110</v>
      </c>
      <c r="AM149" s="198" t="s">
        <v>110</v>
      </c>
      <c r="AN149" s="273" t="s">
        <v>111</v>
      </c>
      <c r="AP149" s="152" t="s">
        <v>804</v>
      </c>
      <c r="AQ149" s="198" t="s">
        <v>110</v>
      </c>
      <c r="AR149" s="198" t="s">
        <v>110</v>
      </c>
      <c r="AS149" s="198" t="s">
        <v>110</v>
      </c>
      <c r="AT149" s="198" t="s">
        <v>110</v>
      </c>
      <c r="AU149" s="194">
        <v>46021</v>
      </c>
      <c r="AV149" s="198" t="s">
        <v>110</v>
      </c>
      <c r="AW149" s="198" t="s">
        <v>110</v>
      </c>
      <c r="AX149" s="194">
        <v>46041</v>
      </c>
      <c r="AY149" s="197">
        <v>46041</v>
      </c>
      <c r="AZ149" s="197" t="s">
        <v>33</v>
      </c>
      <c r="BA149" s="145" t="s">
        <v>113</v>
      </c>
      <c r="BB149" s="149" t="s">
        <v>110</v>
      </c>
      <c r="BC149" s="142">
        <f>IF(AY149-KD149=0,"",AY149-O149)</f>
        <v>82</v>
      </c>
      <c r="BD149" s="134" t="str">
        <f>IF(AND(AI149&lt;&gt;"SIM",AI149="UH"),"AA","INDENIZAÇÃO")</f>
        <v>INDENIZAÇÃO</v>
      </c>
      <c r="BE149" s="134" t="str">
        <f>IF(AND(AY149&lt;&gt;"AGUARDANDO",AY149&lt;&gt;"",N149="AUXÍLIO ALUGUEL ATÉ INDENIZAÇÃO"),"SIM","NÃO")</f>
        <v>NÃO</v>
      </c>
      <c r="BF149" s="149" t="s">
        <v>24</v>
      </c>
      <c r="BG149" s="149" t="s">
        <v>24</v>
      </c>
      <c r="BH149" s="149" t="s">
        <v>24</v>
      </c>
      <c r="BI149" s="145" t="s">
        <v>189</v>
      </c>
      <c r="BJ149" s="145"/>
      <c r="BK149" s="145"/>
      <c r="BL149" s="145"/>
      <c r="BM149" s="145"/>
      <c r="BN149" s="120"/>
      <c r="BO149" s="120"/>
      <c r="BP149" s="120"/>
      <c r="CI149" s="200"/>
    </row>
    <row r="150" spans="1:87" s="149" customFormat="1" ht="30" customHeight="1">
      <c r="A150" s="134">
        <v>136</v>
      </c>
      <c r="B150" s="134" t="s">
        <v>99</v>
      </c>
      <c r="C150" s="134">
        <v>1</v>
      </c>
      <c r="D150" s="134" t="s">
        <v>100</v>
      </c>
      <c r="E150" s="134" t="s">
        <v>100</v>
      </c>
      <c r="F150" s="138" t="s">
        <v>805</v>
      </c>
      <c r="G150" s="149" t="s">
        <v>1</v>
      </c>
      <c r="H150" s="149" t="s">
        <v>20</v>
      </c>
      <c r="I150" s="149" t="s">
        <v>108</v>
      </c>
      <c r="J150" s="152" t="s">
        <v>806</v>
      </c>
      <c r="K150" s="152" t="s">
        <v>807</v>
      </c>
      <c r="L150" s="152" t="s">
        <v>808</v>
      </c>
      <c r="M150" s="134" t="s">
        <v>4</v>
      </c>
      <c r="N150" s="134" t="s">
        <v>5</v>
      </c>
      <c r="O150" s="194">
        <v>45218</v>
      </c>
      <c r="P150" s="144" t="s">
        <v>24</v>
      </c>
      <c r="Q150" s="144" t="s">
        <v>24</v>
      </c>
      <c r="R150" s="144" t="s">
        <v>24</v>
      </c>
      <c r="S150" s="144" t="s">
        <v>24</v>
      </c>
      <c r="T150" s="144" t="s">
        <v>24</v>
      </c>
      <c r="U150" s="144" t="s">
        <v>24</v>
      </c>
      <c r="V150" s="144" t="s">
        <v>24</v>
      </c>
      <c r="W150" s="144" t="s">
        <v>24</v>
      </c>
      <c r="X150" s="144" t="s">
        <v>24</v>
      </c>
      <c r="Y150" s="144" t="s">
        <v>24</v>
      </c>
      <c r="Z150" s="144" t="s">
        <v>24</v>
      </c>
      <c r="AB150" s="152" t="s">
        <v>809</v>
      </c>
      <c r="AC150" s="152" t="s">
        <v>807</v>
      </c>
      <c r="AD150" s="152" t="s">
        <v>808</v>
      </c>
      <c r="AE150" s="149" t="s">
        <v>108</v>
      </c>
      <c r="AF150" s="149" t="s">
        <v>4</v>
      </c>
      <c r="AG150" s="208">
        <f>AH150-30000</f>
        <v>19358.980000000003</v>
      </c>
      <c r="AH150" s="208">
        <v>49358.98</v>
      </c>
      <c r="AI150" s="134" t="s">
        <v>6</v>
      </c>
      <c r="AJ150" s="138" t="s">
        <v>109</v>
      </c>
      <c r="AK150" s="134"/>
      <c r="AL150" s="149" t="s">
        <v>110</v>
      </c>
      <c r="AM150" s="149" t="s">
        <v>110</v>
      </c>
      <c r="AN150" s="149" t="s">
        <v>111</v>
      </c>
      <c r="AP150" s="199" t="s">
        <v>810</v>
      </c>
      <c r="AQ150" s="198" t="s">
        <v>110</v>
      </c>
      <c r="AR150" s="198" t="s">
        <v>110</v>
      </c>
      <c r="AS150" s="198" t="s">
        <v>110</v>
      </c>
      <c r="AT150" s="198" t="s">
        <v>110</v>
      </c>
      <c r="AU150" s="194">
        <v>45498</v>
      </c>
      <c r="AV150" s="198" t="s">
        <v>110</v>
      </c>
      <c r="AW150" s="198" t="s">
        <v>110</v>
      </c>
      <c r="AX150" s="194">
        <v>45506</v>
      </c>
      <c r="AY150" s="197">
        <v>45506</v>
      </c>
      <c r="AZ150" s="145" t="s">
        <v>33</v>
      </c>
      <c r="BA150" s="145" t="s">
        <v>113</v>
      </c>
      <c r="BB150" s="149" t="s">
        <v>110</v>
      </c>
      <c r="BC150" s="142">
        <f>IF(AY150-KD150=0,"",AY150-O150)</f>
        <v>288</v>
      </c>
      <c r="BD150" s="134" t="str">
        <f>IF(AND(AI150&lt;&gt;"SIM",AI150="UH"),"AA","INDENIZAÇÃO")</f>
        <v>INDENIZAÇÃO</v>
      </c>
      <c r="BE150" s="134" t="str">
        <f>IF(AND(AY150&lt;&gt;"AGUARDANDO",AY150&lt;&gt;"",N150="AUXÍLIO ALUGUEL ATÉ INDENIZAÇÃO"),"SIM","NÃO")</f>
        <v>NÃO</v>
      </c>
      <c r="BF150" s="134" t="s">
        <v>24</v>
      </c>
      <c r="BG150" s="134" t="s">
        <v>24</v>
      </c>
      <c r="BH150" s="134" t="s">
        <v>24</v>
      </c>
      <c r="BI150" s="198" t="s">
        <v>110</v>
      </c>
      <c r="BJ150" s="198" t="s">
        <v>110</v>
      </c>
      <c r="BK150" s="194">
        <v>45621</v>
      </c>
      <c r="BL150" s="198" t="s">
        <v>110</v>
      </c>
      <c r="BM150" s="145" t="s">
        <v>33</v>
      </c>
      <c r="CI150" s="200"/>
    </row>
    <row r="151" spans="1:87" s="149" customFormat="1" ht="30" customHeight="1">
      <c r="A151" s="134">
        <v>137</v>
      </c>
      <c r="B151" s="134" t="s">
        <v>99</v>
      </c>
      <c r="C151" s="134">
        <v>1</v>
      </c>
      <c r="D151" s="134" t="s">
        <v>100</v>
      </c>
      <c r="E151" s="134" t="s">
        <v>100</v>
      </c>
      <c r="F151" s="215" t="s">
        <v>811</v>
      </c>
      <c r="G151" s="149" t="s">
        <v>1</v>
      </c>
      <c r="H151" s="149" t="s">
        <v>2</v>
      </c>
      <c r="I151" s="149" t="s">
        <v>108</v>
      </c>
      <c r="J151" s="152" t="s">
        <v>812</v>
      </c>
      <c r="K151" s="152" t="s">
        <v>813</v>
      </c>
      <c r="L151" s="152" t="s">
        <v>814</v>
      </c>
      <c r="M151" s="134" t="s">
        <v>4</v>
      </c>
      <c r="N151" s="134" t="s">
        <v>5</v>
      </c>
      <c r="O151" s="194">
        <v>45505</v>
      </c>
      <c r="P151" s="144" t="s">
        <v>24</v>
      </c>
      <c r="Q151" s="144" t="s">
        <v>24</v>
      </c>
      <c r="R151" s="144" t="s">
        <v>24</v>
      </c>
      <c r="S151" s="144" t="s">
        <v>24</v>
      </c>
      <c r="T151" s="144" t="s">
        <v>24</v>
      </c>
      <c r="U151" s="144" t="s">
        <v>24</v>
      </c>
      <c r="V151" s="144" t="s">
        <v>24</v>
      </c>
      <c r="W151" s="144" t="s">
        <v>24</v>
      </c>
      <c r="X151" s="144" t="s">
        <v>24</v>
      </c>
      <c r="Y151" s="144" t="s">
        <v>24</v>
      </c>
      <c r="Z151" s="144" t="s">
        <v>24</v>
      </c>
      <c r="AB151" s="152" t="s">
        <v>815</v>
      </c>
      <c r="AC151" s="152" t="s">
        <v>813</v>
      </c>
      <c r="AD151" s="152" t="s">
        <v>814</v>
      </c>
      <c r="AE151" s="149" t="s">
        <v>108</v>
      </c>
      <c r="AF151" s="149" t="s">
        <v>4</v>
      </c>
      <c r="AG151" s="208">
        <v>15017.56</v>
      </c>
      <c r="AH151" s="208">
        <f>AG151+30000</f>
        <v>45017.56</v>
      </c>
      <c r="AI151" s="230" t="s">
        <v>6</v>
      </c>
      <c r="AJ151" s="138" t="s">
        <v>109</v>
      </c>
      <c r="AK151" s="200"/>
      <c r="AL151" s="149" t="s">
        <v>110</v>
      </c>
      <c r="AM151" s="149" t="s">
        <v>110</v>
      </c>
      <c r="AN151" s="149" t="s">
        <v>111</v>
      </c>
      <c r="AP151" s="199" t="s">
        <v>816</v>
      </c>
      <c r="AQ151" s="198" t="s">
        <v>110</v>
      </c>
      <c r="AR151" s="198" t="s">
        <v>110</v>
      </c>
      <c r="AS151" s="198" t="s">
        <v>110</v>
      </c>
      <c r="AT151" s="198" t="s">
        <v>110</v>
      </c>
      <c r="AU151" s="194">
        <v>45573</v>
      </c>
      <c r="AV151" s="198" t="s">
        <v>110</v>
      </c>
      <c r="AW151" s="198" t="s">
        <v>110</v>
      </c>
      <c r="AX151" s="194">
        <v>45580</v>
      </c>
      <c r="AY151" s="197">
        <v>45580</v>
      </c>
      <c r="AZ151" s="145" t="s">
        <v>33</v>
      </c>
      <c r="BA151" s="145" t="s">
        <v>113</v>
      </c>
      <c r="BB151" s="149" t="s">
        <v>110</v>
      </c>
      <c r="BC151" s="142">
        <f>IF(AY151-KD151=0,"",AY151-O151)</f>
        <v>75</v>
      </c>
      <c r="BD151" s="134" t="str">
        <f>IF(AND(AI151&lt;&gt;"SIM",AI151="UH"),"AA","INDENIZAÇÃO")</f>
        <v>INDENIZAÇÃO</v>
      </c>
      <c r="BE151" s="134" t="str">
        <f>IF(AND(AY151&lt;&gt;"AGUARDANDO",AY151&lt;&gt;"",N151="AUXÍLIO ALUGUEL ATÉ INDENIZAÇÃO"),"SIM","NÃO")</f>
        <v>NÃO</v>
      </c>
      <c r="BF151" s="134" t="s">
        <v>24</v>
      </c>
      <c r="BG151" s="134" t="s">
        <v>24</v>
      </c>
      <c r="BH151" s="134" t="s">
        <v>24</v>
      </c>
      <c r="BI151" s="198" t="s">
        <v>110</v>
      </c>
      <c r="BJ151" s="198" t="s">
        <v>110</v>
      </c>
      <c r="BK151" s="194">
        <v>45621</v>
      </c>
      <c r="BL151" s="198" t="s">
        <v>110</v>
      </c>
      <c r="BM151" s="145" t="s">
        <v>33</v>
      </c>
      <c r="CI151" s="200"/>
    </row>
    <row r="152" spans="1:87" s="149" customFormat="1" ht="30" customHeight="1">
      <c r="A152" s="134">
        <v>138</v>
      </c>
      <c r="B152" s="134" t="s">
        <v>99</v>
      </c>
      <c r="C152" s="134">
        <v>1</v>
      </c>
      <c r="D152" s="134" t="s">
        <v>100</v>
      </c>
      <c r="E152" s="134" t="s">
        <v>100</v>
      </c>
      <c r="F152" s="215" t="s">
        <v>817</v>
      </c>
      <c r="G152" s="149" t="s">
        <v>1</v>
      </c>
      <c r="H152" s="149" t="s">
        <v>2</v>
      </c>
      <c r="I152" s="149" t="s">
        <v>108</v>
      </c>
      <c r="J152" s="152" t="s">
        <v>818</v>
      </c>
      <c r="K152" s="152" t="s">
        <v>819</v>
      </c>
      <c r="L152" s="152" t="s">
        <v>820</v>
      </c>
      <c r="M152" s="134" t="s">
        <v>4</v>
      </c>
      <c r="N152" s="134" t="s">
        <v>5</v>
      </c>
      <c r="O152" s="194">
        <v>45546</v>
      </c>
      <c r="P152" s="144" t="s">
        <v>24</v>
      </c>
      <c r="Q152" s="144" t="s">
        <v>24</v>
      </c>
      <c r="R152" s="144" t="s">
        <v>24</v>
      </c>
      <c r="S152" s="144" t="s">
        <v>24</v>
      </c>
      <c r="T152" s="144" t="s">
        <v>24</v>
      </c>
      <c r="U152" s="144" t="s">
        <v>24</v>
      </c>
      <c r="V152" s="144" t="s">
        <v>24</v>
      </c>
      <c r="W152" s="144" t="s">
        <v>24</v>
      </c>
      <c r="X152" s="144" t="s">
        <v>24</v>
      </c>
      <c r="Y152" s="144" t="s">
        <v>24</v>
      </c>
      <c r="Z152" s="144" t="s">
        <v>24</v>
      </c>
      <c r="AB152" s="152" t="s">
        <v>818</v>
      </c>
      <c r="AC152" s="152" t="s">
        <v>819</v>
      </c>
      <c r="AD152" s="152" t="s">
        <v>820</v>
      </c>
      <c r="AE152" s="149" t="s">
        <v>108</v>
      </c>
      <c r="AF152" s="149" t="s">
        <v>4</v>
      </c>
      <c r="AG152" s="208">
        <v>30599.35</v>
      </c>
      <c r="AH152" s="208">
        <v>60000</v>
      </c>
      <c r="AI152" s="230" t="s">
        <v>6</v>
      </c>
      <c r="AJ152" s="138" t="s">
        <v>109</v>
      </c>
      <c r="AK152" s="211"/>
      <c r="AL152" s="149" t="s">
        <v>110</v>
      </c>
      <c r="AM152" s="149" t="s">
        <v>110</v>
      </c>
      <c r="AN152" s="149" t="s">
        <v>111</v>
      </c>
      <c r="AP152" s="199" t="s">
        <v>821</v>
      </c>
      <c r="AQ152" s="198" t="s">
        <v>110</v>
      </c>
      <c r="AR152" s="198" t="s">
        <v>110</v>
      </c>
      <c r="AS152" s="198" t="s">
        <v>110</v>
      </c>
      <c r="AT152" s="198" t="s">
        <v>110</v>
      </c>
      <c r="AU152" s="194">
        <v>45601</v>
      </c>
      <c r="AV152" s="198" t="s">
        <v>110</v>
      </c>
      <c r="AW152" s="198" t="s">
        <v>110</v>
      </c>
      <c r="AX152" s="194">
        <v>45615</v>
      </c>
      <c r="AY152" s="197">
        <v>45615</v>
      </c>
      <c r="AZ152" s="197" t="s">
        <v>33</v>
      </c>
      <c r="BA152" s="145" t="s">
        <v>113</v>
      </c>
      <c r="BB152" s="149" t="s">
        <v>110</v>
      </c>
      <c r="BC152" s="142">
        <f>IF(AY152-KD152=0,"",AY152-O152)</f>
        <v>69</v>
      </c>
      <c r="BD152" s="134" t="str">
        <f>IF(AND(AI152&lt;&gt;"SIM",AI152="UH"),"AA","INDENIZAÇÃO")</f>
        <v>INDENIZAÇÃO</v>
      </c>
      <c r="BE152" s="134" t="str">
        <f>IF(AND(AY152&lt;&gt;"AGUARDANDO",AY152&lt;&gt;"",N152="AUXÍLIO ALUGUEL ATÉ INDENIZAÇÃO"),"SIM","NÃO")</f>
        <v>NÃO</v>
      </c>
      <c r="BF152" s="134" t="s">
        <v>24</v>
      </c>
      <c r="BG152" s="134" t="s">
        <v>24</v>
      </c>
      <c r="BH152" s="134" t="s">
        <v>24</v>
      </c>
      <c r="BI152" s="198" t="s">
        <v>110</v>
      </c>
      <c r="BJ152" s="198" t="s">
        <v>110</v>
      </c>
      <c r="BK152" s="194">
        <v>45677</v>
      </c>
      <c r="BL152" s="198" t="s">
        <v>110</v>
      </c>
      <c r="BM152" s="197" t="s">
        <v>33</v>
      </c>
      <c r="CI152" s="200"/>
    </row>
    <row r="153" spans="1:87" s="149" customFormat="1" ht="30" customHeight="1">
      <c r="A153" s="134">
        <v>139</v>
      </c>
      <c r="B153" s="134" t="s">
        <v>99</v>
      </c>
      <c r="C153" s="134">
        <v>1</v>
      </c>
      <c r="D153" s="134" t="s">
        <v>100</v>
      </c>
      <c r="E153" s="134" t="s">
        <v>100</v>
      </c>
      <c r="F153" s="215" t="s">
        <v>822</v>
      </c>
      <c r="G153" s="149" t="s">
        <v>1</v>
      </c>
      <c r="H153" s="149" t="s">
        <v>2</v>
      </c>
      <c r="I153" s="149" t="s">
        <v>108</v>
      </c>
      <c r="J153" s="152" t="s">
        <v>823</v>
      </c>
      <c r="K153" s="152" t="s">
        <v>824</v>
      </c>
      <c r="L153" s="152" t="s">
        <v>825</v>
      </c>
      <c r="M153" s="134" t="s">
        <v>4</v>
      </c>
      <c r="N153" s="134" t="s">
        <v>5</v>
      </c>
      <c r="O153" s="194">
        <v>45414</v>
      </c>
      <c r="P153" s="144" t="s">
        <v>24</v>
      </c>
      <c r="Q153" s="144" t="s">
        <v>24</v>
      </c>
      <c r="R153" s="144" t="s">
        <v>24</v>
      </c>
      <c r="S153" s="144" t="s">
        <v>24</v>
      </c>
      <c r="T153" s="144" t="s">
        <v>24</v>
      </c>
      <c r="U153" s="144" t="s">
        <v>24</v>
      </c>
      <c r="V153" s="144" t="s">
        <v>24</v>
      </c>
      <c r="W153" s="144" t="s">
        <v>24</v>
      </c>
      <c r="X153" s="144" t="s">
        <v>24</v>
      </c>
      <c r="Y153" s="144" t="s">
        <v>24</v>
      </c>
      <c r="Z153" s="144" t="s">
        <v>24</v>
      </c>
      <c r="AB153" s="152" t="s">
        <v>823</v>
      </c>
      <c r="AC153" s="152" t="s">
        <v>824</v>
      </c>
      <c r="AD153" s="152" t="s">
        <v>825</v>
      </c>
      <c r="AE153" s="149" t="s">
        <v>108</v>
      </c>
      <c r="AF153" s="149" t="s">
        <v>4</v>
      </c>
      <c r="AG153" s="208">
        <v>87841.24</v>
      </c>
      <c r="AH153" s="208">
        <v>87841.24</v>
      </c>
      <c r="AI153" s="230" t="s">
        <v>6</v>
      </c>
      <c r="AJ153" s="138" t="s">
        <v>109</v>
      </c>
      <c r="AK153" s="200"/>
      <c r="AL153" s="149" t="s">
        <v>110</v>
      </c>
      <c r="AM153" s="149" t="s">
        <v>110</v>
      </c>
      <c r="AN153" s="149" t="s">
        <v>111</v>
      </c>
      <c r="AP153" s="199" t="s">
        <v>826</v>
      </c>
      <c r="AQ153" s="198" t="s">
        <v>110</v>
      </c>
      <c r="AR153" s="198" t="s">
        <v>110</v>
      </c>
      <c r="AS153" s="198" t="s">
        <v>110</v>
      </c>
      <c r="AT153" s="198" t="s">
        <v>110</v>
      </c>
      <c r="AU153" s="194">
        <v>45495</v>
      </c>
      <c r="AV153" s="198" t="s">
        <v>110</v>
      </c>
      <c r="AW153" s="198" t="s">
        <v>110</v>
      </c>
      <c r="AX153" s="194">
        <v>45499</v>
      </c>
      <c r="AY153" s="197">
        <v>45499</v>
      </c>
      <c r="AZ153" s="145" t="s">
        <v>33</v>
      </c>
      <c r="BA153" s="145" t="s">
        <v>113</v>
      </c>
      <c r="BB153" s="149" t="s">
        <v>110</v>
      </c>
      <c r="BC153" s="142">
        <f>IF(AY153-KD153=0,"",AY153-O153)</f>
        <v>85</v>
      </c>
      <c r="BD153" s="134" t="str">
        <f>IF(AND(AI153&lt;&gt;"SIM",AI153="UH"),"AA","INDENIZAÇÃO")</f>
        <v>INDENIZAÇÃO</v>
      </c>
      <c r="BE153" s="134" t="str">
        <f>IF(AND(AY153&lt;&gt;"AGUARDANDO",AY153&lt;&gt;"",N153="AUXÍLIO ALUGUEL ATÉ INDENIZAÇÃO"),"SIM","NÃO")</f>
        <v>NÃO</v>
      </c>
      <c r="BF153" s="134" t="s">
        <v>24</v>
      </c>
      <c r="BG153" s="134" t="s">
        <v>24</v>
      </c>
      <c r="BH153" s="134" t="s">
        <v>24</v>
      </c>
      <c r="BI153" s="198" t="s">
        <v>110</v>
      </c>
      <c r="BJ153" s="198" t="s">
        <v>110</v>
      </c>
      <c r="BK153" s="194">
        <v>45559</v>
      </c>
      <c r="BL153" s="198" t="s">
        <v>110</v>
      </c>
      <c r="BM153" s="145" t="s">
        <v>33</v>
      </c>
      <c r="CI153" s="200"/>
    </row>
    <row r="154" spans="1:87" s="149" customFormat="1" ht="30" customHeight="1">
      <c r="A154" s="134">
        <v>140</v>
      </c>
      <c r="B154" s="245" t="s">
        <v>99</v>
      </c>
      <c r="C154" s="245">
        <v>1</v>
      </c>
      <c r="D154" s="245" t="s">
        <v>100</v>
      </c>
      <c r="E154" s="245" t="s">
        <v>100</v>
      </c>
      <c r="F154" s="246" t="s">
        <v>827</v>
      </c>
      <c r="G154" s="149" t="s">
        <v>102</v>
      </c>
      <c r="H154" s="149" t="s">
        <v>103</v>
      </c>
      <c r="I154" s="149" t="s">
        <v>387</v>
      </c>
      <c r="J154" s="152" t="s">
        <v>828</v>
      </c>
      <c r="K154" s="152" t="s">
        <v>829</v>
      </c>
      <c r="L154" s="152" t="s">
        <v>830</v>
      </c>
      <c r="M154" s="245" t="s">
        <v>4</v>
      </c>
      <c r="N154" s="245" t="s">
        <v>14</v>
      </c>
      <c r="O154" s="256">
        <v>45594</v>
      </c>
      <c r="P154" s="249" t="s">
        <v>17</v>
      </c>
      <c r="Q154" s="246" t="s">
        <v>283</v>
      </c>
      <c r="R154" s="249"/>
      <c r="S154" s="249"/>
      <c r="T154" s="249"/>
      <c r="U154" s="249"/>
      <c r="V154" s="249"/>
      <c r="W154" s="249"/>
      <c r="X154" s="249"/>
      <c r="Y154" s="249"/>
      <c r="Z154" s="249"/>
      <c r="AA154" s="250"/>
      <c r="AB154" s="152" t="s">
        <v>831</v>
      </c>
      <c r="AC154" s="152" t="s">
        <v>832</v>
      </c>
      <c r="AD154" s="152" t="s">
        <v>833</v>
      </c>
      <c r="AE154" s="134" t="s">
        <v>287</v>
      </c>
      <c r="AF154" s="250" t="s">
        <v>4</v>
      </c>
      <c r="AG154" s="208">
        <v>21486.11</v>
      </c>
      <c r="AH154" s="208">
        <v>21486.11</v>
      </c>
      <c r="AI154" s="251" t="s">
        <v>6</v>
      </c>
      <c r="AJ154" s="246" t="s">
        <v>109</v>
      </c>
      <c r="AK154" s="252"/>
      <c r="AL154" s="250" t="s">
        <v>110</v>
      </c>
      <c r="AM154" s="250" t="s">
        <v>110</v>
      </c>
      <c r="AN154" s="245" t="s">
        <v>111</v>
      </c>
      <c r="AO154" s="260"/>
      <c r="AP154" s="253" t="s">
        <v>834</v>
      </c>
      <c r="AQ154" s="250" t="s">
        <v>110</v>
      </c>
      <c r="AR154" s="250" t="s">
        <v>110</v>
      </c>
      <c r="AS154" s="250" t="s">
        <v>110</v>
      </c>
      <c r="AT154" s="250" t="s">
        <v>110</v>
      </c>
      <c r="AU154" s="248">
        <v>45755</v>
      </c>
      <c r="AV154" s="250" t="s">
        <v>110</v>
      </c>
      <c r="AW154" s="250" t="s">
        <v>110</v>
      </c>
      <c r="AX154" s="248">
        <v>45763</v>
      </c>
      <c r="AY154" s="254">
        <v>45763</v>
      </c>
      <c r="AZ154" s="245" t="s">
        <v>360</v>
      </c>
      <c r="BA154" s="245" t="s">
        <v>1</v>
      </c>
      <c r="BB154" s="250" t="s">
        <v>110</v>
      </c>
      <c r="BC154" s="142">
        <f>IF(AY154-KD154=0,"",AY154-O154)</f>
        <v>169</v>
      </c>
      <c r="BD154" s="134" t="str">
        <f>IF(AND(AI154&lt;&gt;"SIM",AI154="UH"),"AA","INDENIZAÇÃO")</f>
        <v>INDENIZAÇÃO</v>
      </c>
      <c r="BE154" s="134" t="str">
        <f>IF(AND(AY154&lt;&gt;"AGUARDANDO",AY154&lt;&gt;"",N154="AUXÍLIO ALUGUEL ATÉ INDENIZAÇÃO"),"SIM","NÃO")</f>
        <v>NÃO</v>
      </c>
      <c r="BF154" s="250" t="s">
        <v>24</v>
      </c>
      <c r="BG154" s="250" t="s">
        <v>24</v>
      </c>
      <c r="BH154" s="250" t="s">
        <v>24</v>
      </c>
      <c r="BI154" s="250" t="s">
        <v>110</v>
      </c>
      <c r="BJ154" s="250" t="s">
        <v>110</v>
      </c>
      <c r="BK154" s="248">
        <v>45783</v>
      </c>
      <c r="BL154" s="250" t="s">
        <v>110</v>
      </c>
      <c r="BM154" s="250" t="s">
        <v>33</v>
      </c>
      <c r="CI154" s="200"/>
    </row>
    <row r="155" spans="1:87" s="149" customFormat="1" ht="30" customHeight="1">
      <c r="A155" s="134">
        <v>141</v>
      </c>
      <c r="B155" s="245" t="s">
        <v>99</v>
      </c>
      <c r="C155" s="245">
        <v>1</v>
      </c>
      <c r="D155" s="245" t="s">
        <v>100</v>
      </c>
      <c r="E155" s="245" t="s">
        <v>100</v>
      </c>
      <c r="F155" s="246" t="s">
        <v>835</v>
      </c>
      <c r="G155" s="149" t="s">
        <v>102</v>
      </c>
      <c r="H155" s="149" t="s">
        <v>103</v>
      </c>
      <c r="I155" s="149" t="s">
        <v>387</v>
      </c>
      <c r="J155" s="152" t="s">
        <v>836</v>
      </c>
      <c r="K155" s="152" t="s">
        <v>837</v>
      </c>
      <c r="L155" s="152" t="s">
        <v>838</v>
      </c>
      <c r="M155" s="245" t="s">
        <v>4</v>
      </c>
      <c r="N155" s="245" t="s">
        <v>14</v>
      </c>
      <c r="O155" s="256">
        <v>45594</v>
      </c>
      <c r="P155" s="249" t="s">
        <v>17</v>
      </c>
      <c r="Q155" s="246" t="s">
        <v>283</v>
      </c>
      <c r="R155" s="249"/>
      <c r="S155" s="249"/>
      <c r="T155" s="249"/>
      <c r="U155" s="249"/>
      <c r="V155" s="249"/>
      <c r="W155" s="249"/>
      <c r="X155" s="249"/>
      <c r="Y155" s="249"/>
      <c r="Z155" s="249"/>
      <c r="AA155" s="250"/>
      <c r="AB155" s="152" t="s">
        <v>839</v>
      </c>
      <c r="AC155" s="152" t="s">
        <v>840</v>
      </c>
      <c r="AD155" s="152" t="s">
        <v>841</v>
      </c>
      <c r="AE155" s="134" t="s">
        <v>287</v>
      </c>
      <c r="AF155" s="250" t="s">
        <v>4</v>
      </c>
      <c r="AG155" s="208">
        <v>14392.63</v>
      </c>
      <c r="AH155" s="208">
        <v>14392.63</v>
      </c>
      <c r="AI155" s="251" t="s">
        <v>6</v>
      </c>
      <c r="AJ155" s="246" t="s">
        <v>109</v>
      </c>
      <c r="AK155" s="252"/>
      <c r="AL155" s="250" t="s">
        <v>110</v>
      </c>
      <c r="AM155" s="250" t="s">
        <v>110</v>
      </c>
      <c r="AN155" s="245" t="s">
        <v>111</v>
      </c>
      <c r="AO155" s="260"/>
      <c r="AP155" s="253" t="s">
        <v>842</v>
      </c>
      <c r="AQ155" s="250" t="s">
        <v>110</v>
      </c>
      <c r="AR155" s="250" t="s">
        <v>110</v>
      </c>
      <c r="AS155" s="250" t="s">
        <v>110</v>
      </c>
      <c r="AT155" s="250" t="s">
        <v>110</v>
      </c>
      <c r="AU155" s="248">
        <v>45755</v>
      </c>
      <c r="AV155" s="250" t="s">
        <v>110</v>
      </c>
      <c r="AW155" s="250" t="s">
        <v>110</v>
      </c>
      <c r="AX155" s="248">
        <v>45763</v>
      </c>
      <c r="AY155" s="254">
        <v>45763</v>
      </c>
      <c r="AZ155" s="245" t="s">
        <v>360</v>
      </c>
      <c r="BA155" s="245" t="s">
        <v>1</v>
      </c>
      <c r="BB155" s="250" t="s">
        <v>110</v>
      </c>
      <c r="BC155" s="142">
        <f>IF(AY155-KD155=0,"",AY155-O155)</f>
        <v>169</v>
      </c>
      <c r="BD155" s="134" t="str">
        <f>IF(AND(AI155&lt;&gt;"SIM",AI155="UH"),"AA","INDENIZAÇÃO")</f>
        <v>INDENIZAÇÃO</v>
      </c>
      <c r="BE155" s="134" t="str">
        <f>IF(AND(AY155&lt;&gt;"AGUARDANDO",AY155&lt;&gt;"",N155="AUXÍLIO ALUGUEL ATÉ INDENIZAÇÃO"),"SIM","NÃO")</f>
        <v>NÃO</v>
      </c>
      <c r="BF155" s="250" t="s">
        <v>24</v>
      </c>
      <c r="BG155" s="250" t="s">
        <v>24</v>
      </c>
      <c r="BH155" s="250" t="s">
        <v>24</v>
      </c>
      <c r="BI155" s="250" t="s">
        <v>110</v>
      </c>
      <c r="BJ155" s="250" t="s">
        <v>110</v>
      </c>
      <c r="BK155" s="248">
        <v>45783</v>
      </c>
      <c r="BL155" s="250" t="s">
        <v>110</v>
      </c>
      <c r="BM155" s="250" t="s">
        <v>33</v>
      </c>
      <c r="CI155" s="200"/>
    </row>
    <row r="156" spans="1:87" s="149" customFormat="1" ht="30" customHeight="1">
      <c r="A156" s="134">
        <v>142</v>
      </c>
      <c r="B156" s="245" t="s">
        <v>99</v>
      </c>
      <c r="C156" s="245">
        <v>1</v>
      </c>
      <c r="D156" s="245" t="s">
        <v>100</v>
      </c>
      <c r="E156" s="245" t="s">
        <v>100</v>
      </c>
      <c r="F156" s="246" t="s">
        <v>843</v>
      </c>
      <c r="G156" s="149" t="s">
        <v>1</v>
      </c>
      <c r="H156" s="149" t="s">
        <v>2</v>
      </c>
      <c r="I156" s="149" t="s">
        <v>108</v>
      </c>
      <c r="J156" s="152" t="s">
        <v>844</v>
      </c>
      <c r="K156" s="152" t="s">
        <v>845</v>
      </c>
      <c r="L156" s="152" t="s">
        <v>846</v>
      </c>
      <c r="M156" s="245" t="s">
        <v>4</v>
      </c>
      <c r="N156" s="245" t="s">
        <v>5</v>
      </c>
      <c r="O156" s="256">
        <v>45268</v>
      </c>
      <c r="P156" s="249" t="s">
        <v>24</v>
      </c>
      <c r="Q156" s="249" t="s">
        <v>24</v>
      </c>
      <c r="R156" s="249" t="s">
        <v>24</v>
      </c>
      <c r="S156" s="249" t="s">
        <v>24</v>
      </c>
      <c r="T156" s="249" t="s">
        <v>24</v>
      </c>
      <c r="U156" s="249" t="s">
        <v>24</v>
      </c>
      <c r="V156" s="249" t="s">
        <v>24</v>
      </c>
      <c r="W156" s="249" t="s">
        <v>24</v>
      </c>
      <c r="X156" s="249" t="s">
        <v>24</v>
      </c>
      <c r="Y156" s="249" t="s">
        <v>24</v>
      </c>
      <c r="Z156" s="249" t="s">
        <v>24</v>
      </c>
      <c r="AA156" s="250"/>
      <c r="AB156" s="152" t="s">
        <v>844</v>
      </c>
      <c r="AC156" s="152" t="s">
        <v>845</v>
      </c>
      <c r="AD156" s="152" t="s">
        <v>846</v>
      </c>
      <c r="AE156" s="149" t="s">
        <v>108</v>
      </c>
      <c r="AF156" s="250" t="s">
        <v>4</v>
      </c>
      <c r="AG156" s="208">
        <v>70625.73</v>
      </c>
      <c r="AH156" s="208">
        <v>70625.73</v>
      </c>
      <c r="AI156" s="251" t="s">
        <v>6</v>
      </c>
      <c r="AJ156" s="314" t="s">
        <v>109</v>
      </c>
      <c r="AK156" s="252"/>
      <c r="AL156" s="250" t="s">
        <v>110</v>
      </c>
      <c r="AM156" s="250" t="s">
        <v>110</v>
      </c>
      <c r="AN156" s="250" t="s">
        <v>111</v>
      </c>
      <c r="AO156" s="250"/>
      <c r="AP156" s="253" t="s">
        <v>847</v>
      </c>
      <c r="AQ156" s="250" t="s">
        <v>110</v>
      </c>
      <c r="AR156" s="250" t="s">
        <v>110</v>
      </c>
      <c r="AS156" s="250" t="s">
        <v>110</v>
      </c>
      <c r="AT156" s="250" t="s">
        <v>110</v>
      </c>
      <c r="AU156" s="256">
        <v>45498</v>
      </c>
      <c r="AV156" s="250" t="s">
        <v>110</v>
      </c>
      <c r="AW156" s="250" t="s">
        <v>110</v>
      </c>
      <c r="AX156" s="256">
        <v>45506</v>
      </c>
      <c r="AY156" s="249">
        <v>45506</v>
      </c>
      <c r="AZ156" s="245" t="s">
        <v>360</v>
      </c>
      <c r="BA156" s="245" t="s">
        <v>1</v>
      </c>
      <c r="BB156" s="250" t="s">
        <v>110</v>
      </c>
      <c r="BC156" s="142">
        <f>IF(AY156-KD156=0,"",AY156-O156)</f>
        <v>238</v>
      </c>
      <c r="BD156" s="134" t="str">
        <f>IF(AND(AI156&lt;&gt;"SIM",AI156="UH"),"AA","INDENIZAÇÃO")</f>
        <v>INDENIZAÇÃO</v>
      </c>
      <c r="BE156" s="134" t="str">
        <f>IF(AND(AY156&lt;&gt;"AGUARDANDO",AY156&lt;&gt;"",N156="AUXÍLIO ALUGUEL ATÉ INDENIZAÇÃO"),"SIM","NÃO")</f>
        <v>NÃO</v>
      </c>
      <c r="BF156" s="245" t="s">
        <v>24</v>
      </c>
      <c r="BG156" s="245" t="s">
        <v>24</v>
      </c>
      <c r="BH156" s="245" t="s">
        <v>24</v>
      </c>
      <c r="BI156" s="250" t="s">
        <v>110</v>
      </c>
      <c r="BJ156" s="250" t="s">
        <v>110</v>
      </c>
      <c r="BK156" s="256">
        <v>45559</v>
      </c>
      <c r="BL156" s="250" t="s">
        <v>110</v>
      </c>
      <c r="BM156" s="250" t="s">
        <v>33</v>
      </c>
      <c r="CI156" s="200"/>
    </row>
    <row r="157" spans="1:87" s="149" customFormat="1" ht="30" customHeight="1">
      <c r="A157" s="134">
        <v>143</v>
      </c>
      <c r="B157" s="134" t="s">
        <v>99</v>
      </c>
      <c r="C157" s="134">
        <v>1</v>
      </c>
      <c r="D157" s="134" t="s">
        <v>100</v>
      </c>
      <c r="E157" s="134" t="s">
        <v>100</v>
      </c>
      <c r="F157" s="146" t="s">
        <v>848</v>
      </c>
      <c r="G157" s="149" t="s">
        <v>1</v>
      </c>
      <c r="H157" s="149" t="s">
        <v>2</v>
      </c>
      <c r="I157" s="149" t="s">
        <v>108</v>
      </c>
      <c r="J157" s="152" t="s">
        <v>849</v>
      </c>
      <c r="K157" s="152" t="s">
        <v>850</v>
      </c>
      <c r="L157" s="152" t="s">
        <v>851</v>
      </c>
      <c r="M157" s="134" t="s">
        <v>4</v>
      </c>
      <c r="N157" s="134" t="s">
        <v>5</v>
      </c>
      <c r="O157" s="194">
        <v>45756</v>
      </c>
      <c r="P157" s="144" t="s">
        <v>24</v>
      </c>
      <c r="Q157" s="144" t="s">
        <v>24</v>
      </c>
      <c r="R157" s="144" t="s">
        <v>24</v>
      </c>
      <c r="S157" s="144" t="s">
        <v>24</v>
      </c>
      <c r="T157" s="144" t="s">
        <v>24</v>
      </c>
      <c r="U157" s="144" t="s">
        <v>24</v>
      </c>
      <c r="V157" s="144" t="s">
        <v>24</v>
      </c>
      <c r="W157" s="144" t="s">
        <v>24</v>
      </c>
      <c r="X157" s="144" t="s">
        <v>24</v>
      </c>
      <c r="Y157" s="144" t="s">
        <v>24</v>
      </c>
      <c r="Z157" s="144" t="s">
        <v>24</v>
      </c>
      <c r="AB157" s="152" t="s">
        <v>849</v>
      </c>
      <c r="AC157" s="152" t="s">
        <v>850</v>
      </c>
      <c r="AD157" s="152" t="s">
        <v>851</v>
      </c>
      <c r="AE157" s="149" t="s">
        <v>108</v>
      </c>
      <c r="AF157" s="149" t="s">
        <v>4</v>
      </c>
      <c r="AG157" s="208">
        <v>77915.289999999994</v>
      </c>
      <c r="AH157" s="208">
        <v>77915.289999999994</v>
      </c>
      <c r="AI157" s="134" t="s">
        <v>6</v>
      </c>
      <c r="AJ157" s="138" t="s">
        <v>109</v>
      </c>
      <c r="AK157" s="134">
        <v>101356991</v>
      </c>
      <c r="AL157" s="134" t="s">
        <v>110</v>
      </c>
      <c r="AM157" s="134" t="s">
        <v>110</v>
      </c>
      <c r="AN157" s="134" t="s">
        <v>111</v>
      </c>
      <c r="AP157" s="152" t="s">
        <v>852</v>
      </c>
      <c r="AQ157" s="198" t="s">
        <v>110</v>
      </c>
      <c r="AR157" s="198" t="s">
        <v>110</v>
      </c>
      <c r="AS157" s="198" t="s">
        <v>110</v>
      </c>
      <c r="AT157" s="198" t="s">
        <v>110</v>
      </c>
      <c r="AU157" s="194">
        <v>45819</v>
      </c>
      <c r="AV157" s="198" t="s">
        <v>110</v>
      </c>
      <c r="AW157" s="198" t="s">
        <v>110</v>
      </c>
      <c r="AX157" s="194">
        <v>45838</v>
      </c>
      <c r="AY157" s="140">
        <v>45838</v>
      </c>
      <c r="AZ157" s="145" t="s">
        <v>33</v>
      </c>
      <c r="BA157" s="145" t="s">
        <v>113</v>
      </c>
      <c r="BB157" s="149" t="s">
        <v>110</v>
      </c>
      <c r="BC157" s="142">
        <f>IF(AY157-KD157=0,"",AY157-O157)</f>
        <v>82</v>
      </c>
      <c r="BD157" s="134" t="str">
        <f>IF(AND(AI157&lt;&gt;"SIM",AI157="UH"),"AA","INDENIZAÇÃO")</f>
        <v>INDENIZAÇÃO</v>
      </c>
      <c r="BE157" s="134" t="str">
        <f>IF(AND(AY157&lt;&gt;"AGUARDANDO",AY157&lt;&gt;"",N157="AUXÍLIO ALUGUEL ATÉ INDENIZAÇÃO"),"SIM","NÃO")</f>
        <v>NÃO</v>
      </c>
      <c r="BF157" s="134" t="s">
        <v>24</v>
      </c>
      <c r="BG157" s="134" t="s">
        <v>24</v>
      </c>
      <c r="BH157" s="134" t="s">
        <v>24</v>
      </c>
      <c r="BI157" s="198" t="s">
        <v>110</v>
      </c>
      <c r="BJ157" s="198" t="s">
        <v>110</v>
      </c>
      <c r="BK157" s="194">
        <v>45859</v>
      </c>
      <c r="BL157" s="149" t="s">
        <v>110</v>
      </c>
      <c r="BM157" s="141" t="s">
        <v>33</v>
      </c>
      <c r="CI157" s="200"/>
    </row>
    <row r="158" spans="1:87" s="149" customFormat="1" ht="30" customHeight="1">
      <c r="A158" s="134">
        <v>144</v>
      </c>
      <c r="B158" s="245" t="s">
        <v>99</v>
      </c>
      <c r="C158" s="245">
        <v>1</v>
      </c>
      <c r="D158" s="245" t="s">
        <v>100</v>
      </c>
      <c r="E158" s="245" t="s">
        <v>100</v>
      </c>
      <c r="F158" s="246" t="s">
        <v>853</v>
      </c>
      <c r="G158" s="149" t="s">
        <v>1</v>
      </c>
      <c r="H158" s="149" t="s">
        <v>2</v>
      </c>
      <c r="I158" s="149" t="s">
        <v>108</v>
      </c>
      <c r="J158" s="152" t="s">
        <v>854</v>
      </c>
      <c r="K158" s="152" t="s">
        <v>855</v>
      </c>
      <c r="L158" s="152" t="s">
        <v>856</v>
      </c>
      <c r="M158" s="245" t="s">
        <v>4</v>
      </c>
      <c r="N158" s="245" t="s">
        <v>5</v>
      </c>
      <c r="O158" s="256">
        <v>45628</v>
      </c>
      <c r="P158" s="249" t="s">
        <v>24</v>
      </c>
      <c r="Q158" s="249" t="s">
        <v>24</v>
      </c>
      <c r="R158" s="249" t="s">
        <v>24</v>
      </c>
      <c r="S158" s="249" t="s">
        <v>24</v>
      </c>
      <c r="T158" s="249" t="s">
        <v>24</v>
      </c>
      <c r="U158" s="249" t="s">
        <v>24</v>
      </c>
      <c r="V158" s="249" t="s">
        <v>24</v>
      </c>
      <c r="W158" s="249" t="s">
        <v>24</v>
      </c>
      <c r="X158" s="249" t="s">
        <v>24</v>
      </c>
      <c r="Y158" s="249" t="s">
        <v>24</v>
      </c>
      <c r="Z158" s="249" t="s">
        <v>24</v>
      </c>
      <c r="AA158" s="250"/>
      <c r="AB158" s="152" t="s">
        <v>854</v>
      </c>
      <c r="AC158" s="152" t="s">
        <v>855</v>
      </c>
      <c r="AD158" s="152" t="s">
        <v>856</v>
      </c>
      <c r="AE158" s="149" t="s">
        <v>108</v>
      </c>
      <c r="AF158" s="250" t="s">
        <v>4</v>
      </c>
      <c r="AG158" s="208">
        <v>34190.04</v>
      </c>
      <c r="AH158" s="208">
        <v>60000</v>
      </c>
      <c r="AI158" s="251" t="s">
        <v>6</v>
      </c>
      <c r="AJ158" s="246" t="s">
        <v>109</v>
      </c>
      <c r="AK158" s="252"/>
      <c r="AL158" s="245" t="s">
        <v>110</v>
      </c>
      <c r="AM158" s="250" t="s">
        <v>110</v>
      </c>
      <c r="AN158" s="245" t="s">
        <v>111</v>
      </c>
      <c r="AO158" s="250"/>
      <c r="AP158" s="253" t="s">
        <v>857</v>
      </c>
      <c r="AQ158" s="250" t="s">
        <v>110</v>
      </c>
      <c r="AR158" s="250" t="s">
        <v>110</v>
      </c>
      <c r="AS158" s="250" t="s">
        <v>110</v>
      </c>
      <c r="AT158" s="250" t="s">
        <v>110</v>
      </c>
      <c r="AU158" s="248">
        <v>45755</v>
      </c>
      <c r="AV158" s="250" t="s">
        <v>110</v>
      </c>
      <c r="AW158" s="250" t="s">
        <v>110</v>
      </c>
      <c r="AX158" s="248">
        <v>45763</v>
      </c>
      <c r="AY158" s="254">
        <v>45763</v>
      </c>
      <c r="AZ158" s="245" t="s">
        <v>360</v>
      </c>
      <c r="BA158" s="245" t="s">
        <v>1</v>
      </c>
      <c r="BB158" s="250" t="s">
        <v>110</v>
      </c>
      <c r="BC158" s="142">
        <f>IF(AY158-KD158=0,"",AY158-O158)</f>
        <v>135</v>
      </c>
      <c r="BD158" s="134" t="str">
        <f>IF(AND(AI158&lt;&gt;"SIM",AI158="UH"),"AA","INDENIZAÇÃO")</f>
        <v>INDENIZAÇÃO</v>
      </c>
      <c r="BE158" s="134" t="str">
        <f>IF(AND(AY158&lt;&gt;"AGUARDANDO",AY158&lt;&gt;"",N158="AUXÍLIO ALUGUEL ATÉ INDENIZAÇÃO"),"SIM","NÃO")</f>
        <v>NÃO</v>
      </c>
      <c r="BF158" s="250" t="s">
        <v>24</v>
      </c>
      <c r="BG158" s="250" t="s">
        <v>24</v>
      </c>
      <c r="BH158" s="250" t="s">
        <v>24</v>
      </c>
      <c r="BI158" s="250" t="s">
        <v>110</v>
      </c>
      <c r="BJ158" s="250" t="s">
        <v>110</v>
      </c>
      <c r="BK158" s="248">
        <v>45783</v>
      </c>
      <c r="BL158" s="250" t="s">
        <v>110</v>
      </c>
      <c r="BM158" s="250" t="s">
        <v>33</v>
      </c>
      <c r="CI158" s="200"/>
    </row>
    <row r="159" spans="1:87" s="149" customFormat="1" ht="30" customHeight="1">
      <c r="A159" s="134">
        <v>145</v>
      </c>
      <c r="B159" s="134" t="s">
        <v>99</v>
      </c>
      <c r="C159" s="134">
        <v>1</v>
      </c>
      <c r="D159" s="134" t="s">
        <v>100</v>
      </c>
      <c r="E159" s="134" t="s">
        <v>100</v>
      </c>
      <c r="F159" s="138" t="s">
        <v>858</v>
      </c>
      <c r="G159" s="149" t="s">
        <v>1</v>
      </c>
      <c r="H159" s="149" t="s">
        <v>2</v>
      </c>
      <c r="I159" s="149" t="s">
        <v>108</v>
      </c>
      <c r="J159" s="152" t="s">
        <v>859</v>
      </c>
      <c r="K159" s="152" t="s">
        <v>860</v>
      </c>
      <c r="L159" s="152" t="s">
        <v>861</v>
      </c>
      <c r="M159" s="134" t="s">
        <v>4</v>
      </c>
      <c r="N159" s="134" t="s">
        <v>5</v>
      </c>
      <c r="O159" s="194">
        <v>45756</v>
      </c>
      <c r="P159" s="144"/>
      <c r="Q159" s="263"/>
      <c r="R159" s="144"/>
      <c r="S159" s="144"/>
      <c r="T159" s="144"/>
      <c r="U159" s="144"/>
      <c r="V159" s="144"/>
      <c r="W159" s="144"/>
      <c r="X159" s="144"/>
      <c r="Y159" s="144"/>
      <c r="Z159" s="144"/>
      <c r="AB159" s="152" t="s">
        <v>859</v>
      </c>
      <c r="AC159" s="152" t="s">
        <v>860</v>
      </c>
      <c r="AD159" s="152" t="s">
        <v>861</v>
      </c>
      <c r="AE159" s="149" t="s">
        <v>108</v>
      </c>
      <c r="AF159" s="149" t="s">
        <v>4</v>
      </c>
      <c r="AG159" s="208">
        <v>41424.879999999997</v>
      </c>
      <c r="AH159" s="208">
        <v>60000</v>
      </c>
      <c r="AI159" s="134" t="s">
        <v>6</v>
      </c>
      <c r="AJ159" s="160" t="s">
        <v>109</v>
      </c>
      <c r="AK159" s="134">
        <v>111785728</v>
      </c>
      <c r="AL159" s="134" t="s">
        <v>110</v>
      </c>
      <c r="AM159" s="134" t="s">
        <v>110</v>
      </c>
      <c r="AN159" s="134" t="s">
        <v>111</v>
      </c>
      <c r="AP159" s="152" t="s">
        <v>862</v>
      </c>
      <c r="AQ159" s="198" t="s">
        <v>110</v>
      </c>
      <c r="AR159" s="198" t="s">
        <v>110</v>
      </c>
      <c r="AS159" s="198" t="s">
        <v>110</v>
      </c>
      <c r="AT159" s="198" t="s">
        <v>110</v>
      </c>
      <c r="AU159" s="194">
        <v>45806</v>
      </c>
      <c r="AV159" s="198" t="s">
        <v>110</v>
      </c>
      <c r="AW159" s="198" t="s">
        <v>110</v>
      </c>
      <c r="AX159" s="194">
        <v>45812</v>
      </c>
      <c r="AY159" s="197">
        <v>45812</v>
      </c>
      <c r="AZ159" s="145" t="s">
        <v>33</v>
      </c>
      <c r="BA159" s="145" t="s">
        <v>113</v>
      </c>
      <c r="BB159" s="149" t="s">
        <v>110</v>
      </c>
      <c r="BC159" s="142">
        <f>IF(AY159-KD159=0,"",AY159-O159)</f>
        <v>56</v>
      </c>
      <c r="BD159" s="134" t="str">
        <f>IF(AND(AI159&lt;&gt;"SIM",AI159="UH"),"AA","INDENIZAÇÃO")</f>
        <v>INDENIZAÇÃO</v>
      </c>
      <c r="BE159" s="134" t="str">
        <f>IF(AND(AY159&lt;&gt;"AGUARDANDO",AY159&lt;&gt;"",N159="AUXÍLIO ALUGUEL ATÉ INDENIZAÇÃO"),"SIM","NÃO")</f>
        <v>NÃO</v>
      </c>
      <c r="BF159" s="134" t="s">
        <v>24</v>
      </c>
      <c r="BG159" s="134" t="s">
        <v>24</v>
      </c>
      <c r="BH159" s="134" t="s">
        <v>24</v>
      </c>
      <c r="BI159" s="198" t="s">
        <v>110</v>
      </c>
      <c r="BJ159" s="198" t="s">
        <v>110</v>
      </c>
      <c r="BK159" s="194">
        <v>45859</v>
      </c>
      <c r="BL159" s="149" t="s">
        <v>110</v>
      </c>
      <c r="BM159" s="141" t="s">
        <v>33</v>
      </c>
      <c r="CI159" s="200"/>
    </row>
    <row r="160" spans="1:87" s="149" customFormat="1" ht="30" customHeight="1">
      <c r="A160" s="134">
        <v>146</v>
      </c>
      <c r="B160" s="134" t="s">
        <v>99</v>
      </c>
      <c r="C160" s="134">
        <v>1</v>
      </c>
      <c r="D160" s="134" t="s">
        <v>100</v>
      </c>
      <c r="E160" s="134" t="s">
        <v>100</v>
      </c>
      <c r="F160" s="138" t="s">
        <v>863</v>
      </c>
      <c r="G160" s="149" t="s">
        <v>1</v>
      </c>
      <c r="H160" s="149" t="s">
        <v>2</v>
      </c>
      <c r="I160" s="149" t="s">
        <v>108</v>
      </c>
      <c r="J160" s="152" t="s">
        <v>864</v>
      </c>
      <c r="K160" s="152" t="s">
        <v>865</v>
      </c>
      <c r="L160" s="152" t="s">
        <v>866</v>
      </c>
      <c r="M160" s="134" t="s">
        <v>4</v>
      </c>
      <c r="N160" s="134" t="s">
        <v>5</v>
      </c>
      <c r="O160" s="194">
        <v>45594</v>
      </c>
      <c r="P160" s="144" t="s">
        <v>24</v>
      </c>
      <c r="Q160" s="144" t="s">
        <v>24</v>
      </c>
      <c r="R160" s="144" t="s">
        <v>24</v>
      </c>
      <c r="S160" s="144" t="s">
        <v>24</v>
      </c>
      <c r="T160" s="144" t="s">
        <v>24</v>
      </c>
      <c r="U160" s="144" t="s">
        <v>24</v>
      </c>
      <c r="V160" s="144" t="s">
        <v>24</v>
      </c>
      <c r="W160" s="144" t="s">
        <v>24</v>
      </c>
      <c r="X160" s="144" t="s">
        <v>24</v>
      </c>
      <c r="Y160" s="144" t="s">
        <v>24</v>
      </c>
      <c r="Z160" s="144" t="s">
        <v>24</v>
      </c>
      <c r="AB160" s="152" t="s">
        <v>864</v>
      </c>
      <c r="AC160" s="152" t="s">
        <v>865</v>
      </c>
      <c r="AD160" s="152" t="s">
        <v>866</v>
      </c>
      <c r="AE160" s="149" t="s">
        <v>108</v>
      </c>
      <c r="AF160" s="149" t="s">
        <v>4</v>
      </c>
      <c r="AG160" s="208">
        <v>47869.04</v>
      </c>
      <c r="AH160" s="208">
        <v>60000</v>
      </c>
      <c r="AI160" s="134" t="s">
        <v>6</v>
      </c>
      <c r="AJ160" s="138" t="s">
        <v>109</v>
      </c>
      <c r="AL160" s="149" t="s">
        <v>110</v>
      </c>
      <c r="AM160" s="149" t="s">
        <v>110</v>
      </c>
      <c r="AN160" s="134" t="s">
        <v>111</v>
      </c>
      <c r="AP160" s="199" t="s">
        <v>867</v>
      </c>
      <c r="AQ160" s="198" t="s">
        <v>110</v>
      </c>
      <c r="AR160" s="198" t="s">
        <v>110</v>
      </c>
      <c r="AS160" s="149" t="s">
        <v>110</v>
      </c>
      <c r="AT160" s="149" t="s">
        <v>110</v>
      </c>
      <c r="AU160" s="161">
        <v>45757</v>
      </c>
      <c r="AV160" s="149" t="s">
        <v>110</v>
      </c>
      <c r="AW160" s="149" t="s">
        <v>110</v>
      </c>
      <c r="AX160" s="161">
        <v>45762</v>
      </c>
      <c r="AY160" s="140">
        <v>45762</v>
      </c>
      <c r="AZ160" s="141" t="s">
        <v>33</v>
      </c>
      <c r="BA160" s="141" t="s">
        <v>1</v>
      </c>
      <c r="BB160" s="149" t="s">
        <v>110</v>
      </c>
      <c r="BC160" s="142">
        <f>IF(AY160-KD160=0,"",AY160-O160)</f>
        <v>168</v>
      </c>
      <c r="BD160" s="134" t="str">
        <f>IF(AND(AI160&lt;&gt;"SIM",AI160="UH"),"AA","INDENIZAÇÃO")</f>
        <v>INDENIZAÇÃO</v>
      </c>
      <c r="BE160" s="134" t="str">
        <f>IF(AND(AY160&lt;&gt;"AGUARDANDO",AY160&lt;&gt;"",N160="AUXÍLIO ALUGUEL ATÉ INDENIZAÇÃO"),"SIM","NÃO")</f>
        <v>NÃO</v>
      </c>
      <c r="BF160" s="149" t="s">
        <v>24</v>
      </c>
      <c r="BG160" s="149" t="s">
        <v>24</v>
      </c>
      <c r="BH160" s="149" t="s">
        <v>24</v>
      </c>
      <c r="BI160" s="198" t="s">
        <v>110</v>
      </c>
      <c r="BJ160" s="198" t="s">
        <v>110</v>
      </c>
      <c r="BK160" s="161">
        <v>45783</v>
      </c>
      <c r="BL160" s="198" t="s">
        <v>110</v>
      </c>
      <c r="BM160" s="145" t="s">
        <v>33</v>
      </c>
      <c r="CI160" s="200"/>
    </row>
    <row r="161" spans="1:87" s="149" customFormat="1" ht="30" customHeight="1">
      <c r="A161" s="134">
        <v>147</v>
      </c>
      <c r="B161" s="134" t="s">
        <v>99</v>
      </c>
      <c r="C161" s="134">
        <v>1</v>
      </c>
      <c r="D161" s="134" t="s">
        <v>100</v>
      </c>
      <c r="E161" s="134" t="s">
        <v>100</v>
      </c>
      <c r="F161" s="138" t="s">
        <v>868</v>
      </c>
      <c r="G161" s="149" t="s">
        <v>1</v>
      </c>
      <c r="H161" s="149" t="s">
        <v>2</v>
      </c>
      <c r="I161" s="149" t="s">
        <v>108</v>
      </c>
      <c r="J161" s="152" t="s">
        <v>869</v>
      </c>
      <c r="K161" s="152" t="s">
        <v>870</v>
      </c>
      <c r="L161" s="152" t="s">
        <v>871</v>
      </c>
      <c r="M161" s="134" t="s">
        <v>4</v>
      </c>
      <c r="N161" s="134" t="s">
        <v>5</v>
      </c>
      <c r="O161" s="194">
        <v>45756</v>
      </c>
      <c r="P161" s="144" t="s">
        <v>24</v>
      </c>
      <c r="Q161" s="144" t="s">
        <v>24</v>
      </c>
      <c r="R161" s="144" t="s">
        <v>24</v>
      </c>
      <c r="S161" s="144" t="s">
        <v>24</v>
      </c>
      <c r="T161" s="144" t="s">
        <v>24</v>
      </c>
      <c r="U161" s="144" t="s">
        <v>24</v>
      </c>
      <c r="V161" s="144" t="s">
        <v>24</v>
      </c>
      <c r="W161" s="144" t="s">
        <v>24</v>
      </c>
      <c r="X161" s="144" t="s">
        <v>24</v>
      </c>
      <c r="Y161" s="144" t="s">
        <v>24</v>
      </c>
      <c r="Z161" s="144" t="s">
        <v>24</v>
      </c>
      <c r="AB161" s="152" t="s">
        <v>869</v>
      </c>
      <c r="AC161" s="152" t="s">
        <v>870</v>
      </c>
      <c r="AD161" s="152" t="s">
        <v>871</v>
      </c>
      <c r="AE161" s="149" t="s">
        <v>108</v>
      </c>
      <c r="AF161" s="149" t="s">
        <v>4</v>
      </c>
      <c r="AG161" s="208">
        <v>99127.51</v>
      </c>
      <c r="AH161" s="208">
        <v>99127.51</v>
      </c>
      <c r="AI161" s="230" t="s">
        <v>6</v>
      </c>
      <c r="AJ161" s="138" t="s">
        <v>109</v>
      </c>
      <c r="AK161" s="211">
        <v>111785758</v>
      </c>
      <c r="AL161" s="134" t="s">
        <v>110</v>
      </c>
      <c r="AM161" s="134" t="s">
        <v>110</v>
      </c>
      <c r="AN161" s="134" t="s">
        <v>111</v>
      </c>
      <c r="AO161" s="226"/>
      <c r="AP161" s="152" t="s">
        <v>872</v>
      </c>
      <c r="AQ161" s="198" t="s">
        <v>110</v>
      </c>
      <c r="AR161" s="198" t="s">
        <v>110</v>
      </c>
      <c r="AS161" s="198" t="s">
        <v>110</v>
      </c>
      <c r="AT161" s="198" t="s">
        <v>110</v>
      </c>
      <c r="AU161" s="194">
        <v>45806</v>
      </c>
      <c r="AV161" s="198" t="s">
        <v>110</v>
      </c>
      <c r="AW161" s="198" t="s">
        <v>110</v>
      </c>
      <c r="AX161" s="161">
        <v>45812</v>
      </c>
      <c r="AY161" s="197">
        <v>45812</v>
      </c>
      <c r="AZ161" s="145" t="s">
        <v>33</v>
      </c>
      <c r="BA161" s="145" t="s">
        <v>113</v>
      </c>
      <c r="BB161" s="149" t="s">
        <v>110</v>
      </c>
      <c r="BC161" s="142">
        <f>IF(AY161-KD161=0,"",AY161-O161)</f>
        <v>56</v>
      </c>
      <c r="BD161" s="134" t="str">
        <f>IF(AND(AI161&lt;&gt;"SIM",AI161="UH"),"AA","INDENIZAÇÃO")</f>
        <v>INDENIZAÇÃO</v>
      </c>
      <c r="BE161" s="134" t="str">
        <f>IF(AND(AY161&lt;&gt;"AGUARDANDO",AY161&lt;&gt;"",N161="AUXÍLIO ALUGUEL ATÉ INDENIZAÇÃO"),"SIM","NÃO")</f>
        <v>NÃO</v>
      </c>
      <c r="BF161" s="134" t="s">
        <v>24</v>
      </c>
      <c r="BG161" s="134" t="s">
        <v>24</v>
      </c>
      <c r="BH161" s="134" t="s">
        <v>24</v>
      </c>
      <c r="BI161" s="198" t="s">
        <v>110</v>
      </c>
      <c r="BJ161" s="198" t="s">
        <v>110</v>
      </c>
      <c r="BK161" s="194">
        <v>45859</v>
      </c>
      <c r="BL161" s="149" t="s">
        <v>110</v>
      </c>
      <c r="BM161" s="141" t="s">
        <v>33</v>
      </c>
      <c r="CI161" s="200"/>
    </row>
    <row r="162" spans="1:87" s="149" customFormat="1" ht="30" customHeight="1">
      <c r="A162" s="134">
        <v>148</v>
      </c>
      <c r="B162" s="134" t="s">
        <v>99</v>
      </c>
      <c r="C162" s="134">
        <v>1</v>
      </c>
      <c r="D162" s="134" t="s">
        <v>100</v>
      </c>
      <c r="E162" s="134" t="s">
        <v>100</v>
      </c>
      <c r="F162" s="138" t="s">
        <v>873</v>
      </c>
      <c r="G162" s="149" t="s">
        <v>1</v>
      </c>
      <c r="H162" s="149" t="s">
        <v>2</v>
      </c>
      <c r="I162" s="149" t="s">
        <v>108</v>
      </c>
      <c r="J162" s="152" t="s">
        <v>874</v>
      </c>
      <c r="K162" s="152" t="s">
        <v>875</v>
      </c>
      <c r="L162" s="152" t="s">
        <v>876</v>
      </c>
      <c r="M162" s="134" t="s">
        <v>4</v>
      </c>
      <c r="N162" s="134" t="s">
        <v>5</v>
      </c>
      <c r="O162" s="194">
        <v>45414</v>
      </c>
      <c r="P162" s="144" t="s">
        <v>24</v>
      </c>
      <c r="Q162" s="144" t="s">
        <v>24</v>
      </c>
      <c r="R162" s="144" t="s">
        <v>24</v>
      </c>
      <c r="S162" s="144" t="s">
        <v>24</v>
      </c>
      <c r="T162" s="144" t="s">
        <v>24</v>
      </c>
      <c r="U162" s="144" t="s">
        <v>24</v>
      </c>
      <c r="V162" s="144" t="s">
        <v>24</v>
      </c>
      <c r="W162" s="144" t="s">
        <v>24</v>
      </c>
      <c r="X162" s="144" t="s">
        <v>24</v>
      </c>
      <c r="Y162" s="144" t="s">
        <v>24</v>
      </c>
      <c r="Z162" s="144" t="s">
        <v>24</v>
      </c>
      <c r="AB162" s="152" t="s">
        <v>874</v>
      </c>
      <c r="AC162" s="152" t="s">
        <v>875</v>
      </c>
      <c r="AD162" s="152" t="s">
        <v>876</v>
      </c>
      <c r="AE162" s="149" t="s">
        <v>108</v>
      </c>
      <c r="AF162" s="149" t="s">
        <v>4</v>
      </c>
      <c r="AG162" s="208">
        <v>37738.07</v>
      </c>
      <c r="AH162" s="208">
        <v>60000</v>
      </c>
      <c r="AI162" s="230" t="s">
        <v>6</v>
      </c>
      <c r="AJ162" s="138" t="s">
        <v>109</v>
      </c>
      <c r="AK162" s="200"/>
      <c r="AL162" s="149" t="s">
        <v>110</v>
      </c>
      <c r="AM162" s="149" t="s">
        <v>110</v>
      </c>
      <c r="AN162" s="149" t="s">
        <v>111</v>
      </c>
      <c r="AP162" s="199" t="s">
        <v>877</v>
      </c>
      <c r="AQ162" s="198" t="s">
        <v>110</v>
      </c>
      <c r="AR162" s="198" t="s">
        <v>110</v>
      </c>
      <c r="AS162" s="198" t="s">
        <v>110</v>
      </c>
      <c r="AT162" s="198" t="s">
        <v>110</v>
      </c>
      <c r="AU162" s="194">
        <v>45495</v>
      </c>
      <c r="AV162" s="198" t="s">
        <v>110</v>
      </c>
      <c r="AW162" s="198" t="s">
        <v>110</v>
      </c>
      <c r="AX162" s="194">
        <v>45499</v>
      </c>
      <c r="AY162" s="197">
        <v>45499</v>
      </c>
      <c r="AZ162" s="145" t="s">
        <v>33</v>
      </c>
      <c r="BA162" s="145" t="s">
        <v>113</v>
      </c>
      <c r="BB162" s="149" t="s">
        <v>110</v>
      </c>
      <c r="BC162" s="142">
        <f>IF(AY162-KD162=0,"",AY162-O162)</f>
        <v>85</v>
      </c>
      <c r="BD162" s="134" t="str">
        <f>IF(AND(AI162&lt;&gt;"SIM",AI162="UH"),"AA","INDENIZAÇÃO")</f>
        <v>INDENIZAÇÃO</v>
      </c>
      <c r="BE162" s="134" t="str">
        <f>IF(AND(AY162&lt;&gt;"AGUARDANDO",AY162&lt;&gt;"",N162="AUXÍLIO ALUGUEL ATÉ INDENIZAÇÃO"),"SIM","NÃO")</f>
        <v>NÃO</v>
      </c>
      <c r="BF162" s="134" t="s">
        <v>24</v>
      </c>
      <c r="BG162" s="134" t="s">
        <v>24</v>
      </c>
      <c r="BH162" s="134" t="s">
        <v>24</v>
      </c>
      <c r="BI162" s="198" t="s">
        <v>110</v>
      </c>
      <c r="BJ162" s="198" t="s">
        <v>110</v>
      </c>
      <c r="BK162" s="194">
        <v>45559</v>
      </c>
      <c r="BL162" s="198" t="s">
        <v>110</v>
      </c>
      <c r="BM162" s="145" t="s">
        <v>33</v>
      </c>
      <c r="CI162" s="200"/>
    </row>
    <row r="163" spans="1:87" s="149" customFormat="1" ht="30" customHeight="1">
      <c r="A163" s="134">
        <v>149</v>
      </c>
      <c r="B163" s="134" t="s">
        <v>99</v>
      </c>
      <c r="C163" s="134">
        <v>1</v>
      </c>
      <c r="D163" s="134" t="s">
        <v>100</v>
      </c>
      <c r="E163" s="134" t="s">
        <v>100</v>
      </c>
      <c r="F163" s="138" t="s">
        <v>878</v>
      </c>
      <c r="G163" s="149" t="s">
        <v>1</v>
      </c>
      <c r="H163" s="149" t="s">
        <v>2</v>
      </c>
      <c r="I163" s="149" t="s">
        <v>108</v>
      </c>
      <c r="J163" s="152" t="s">
        <v>879</v>
      </c>
      <c r="K163" s="152" t="s">
        <v>880</v>
      </c>
      <c r="L163" s="152" t="s">
        <v>881</v>
      </c>
      <c r="M163" s="134" t="s">
        <v>4</v>
      </c>
      <c r="N163" s="134" t="s">
        <v>5</v>
      </c>
      <c r="O163" s="194">
        <v>45268</v>
      </c>
      <c r="P163" s="144" t="s">
        <v>24</v>
      </c>
      <c r="Q163" s="144" t="s">
        <v>24</v>
      </c>
      <c r="R163" s="144" t="s">
        <v>24</v>
      </c>
      <c r="S163" s="144" t="s">
        <v>24</v>
      </c>
      <c r="T163" s="144" t="s">
        <v>24</v>
      </c>
      <c r="U163" s="144" t="s">
        <v>24</v>
      </c>
      <c r="V163" s="144" t="s">
        <v>24</v>
      </c>
      <c r="W163" s="144" t="s">
        <v>24</v>
      </c>
      <c r="X163" s="144" t="s">
        <v>24</v>
      </c>
      <c r="Y163" s="144" t="s">
        <v>24</v>
      </c>
      <c r="Z163" s="144" t="s">
        <v>24</v>
      </c>
      <c r="AB163" s="152" t="s">
        <v>879</v>
      </c>
      <c r="AC163" s="152" t="s">
        <v>880</v>
      </c>
      <c r="AD163" s="152" t="s">
        <v>881</v>
      </c>
      <c r="AE163" s="149" t="s">
        <v>108</v>
      </c>
      <c r="AF163" s="149" t="s">
        <v>4</v>
      </c>
      <c r="AG163" s="208">
        <v>52289.48</v>
      </c>
      <c r="AH163" s="208">
        <v>60000</v>
      </c>
      <c r="AI163" s="230" t="s">
        <v>6</v>
      </c>
      <c r="AJ163" s="138" t="s">
        <v>109</v>
      </c>
      <c r="AK163" s="200"/>
      <c r="AL163" s="149" t="s">
        <v>110</v>
      </c>
      <c r="AM163" s="149" t="s">
        <v>110</v>
      </c>
      <c r="AN163" s="149" t="s">
        <v>111</v>
      </c>
      <c r="AP163" s="199" t="s">
        <v>882</v>
      </c>
      <c r="AQ163" s="198" t="s">
        <v>110</v>
      </c>
      <c r="AR163" s="198" t="s">
        <v>110</v>
      </c>
      <c r="AS163" s="198" t="s">
        <v>110</v>
      </c>
      <c r="AT163" s="198" t="s">
        <v>110</v>
      </c>
      <c r="AU163" s="194">
        <v>45614</v>
      </c>
      <c r="AV163" s="198" t="s">
        <v>110</v>
      </c>
      <c r="AW163" s="198" t="s">
        <v>110</v>
      </c>
      <c r="AX163" s="194">
        <v>45621</v>
      </c>
      <c r="AY163" s="197">
        <v>45621</v>
      </c>
      <c r="AZ163" s="197" t="s">
        <v>33</v>
      </c>
      <c r="BA163" s="145" t="s">
        <v>113</v>
      </c>
      <c r="BB163" s="149" t="s">
        <v>110</v>
      </c>
      <c r="BC163" s="142">
        <f>IF(AY163-KD163=0,"",AY163-O163)</f>
        <v>353</v>
      </c>
      <c r="BD163" s="134" t="str">
        <f>IF(AND(AI163&lt;&gt;"SIM",AI163="UH"),"AA","INDENIZAÇÃO")</f>
        <v>INDENIZAÇÃO</v>
      </c>
      <c r="BE163" s="134" t="str">
        <f>IF(AND(AY163&lt;&gt;"AGUARDANDO",AY163&lt;&gt;"",N163="AUXÍLIO ALUGUEL ATÉ INDENIZAÇÃO"),"SIM","NÃO")</f>
        <v>NÃO</v>
      </c>
      <c r="BF163" s="134" t="s">
        <v>24</v>
      </c>
      <c r="BG163" s="134" t="s">
        <v>24</v>
      </c>
      <c r="BH163" s="134" t="s">
        <v>24</v>
      </c>
      <c r="BI163" s="198" t="s">
        <v>110</v>
      </c>
      <c r="BJ163" s="198" t="s">
        <v>110</v>
      </c>
      <c r="BK163" s="194">
        <v>45677</v>
      </c>
      <c r="BL163" s="198" t="s">
        <v>110</v>
      </c>
      <c r="BM163" s="197" t="s">
        <v>33</v>
      </c>
      <c r="CI163" s="200"/>
    </row>
    <row r="164" spans="1:87" s="149" customFormat="1" ht="30" customHeight="1">
      <c r="A164" s="134">
        <v>150</v>
      </c>
      <c r="B164" s="134" t="s">
        <v>99</v>
      </c>
      <c r="C164" s="134">
        <v>1</v>
      </c>
      <c r="D164" s="134" t="s">
        <v>100</v>
      </c>
      <c r="E164" s="134" t="s">
        <v>100</v>
      </c>
      <c r="F164" s="138" t="s">
        <v>883</v>
      </c>
      <c r="G164" s="149" t="s">
        <v>1</v>
      </c>
      <c r="H164" s="149" t="s">
        <v>2</v>
      </c>
      <c r="I164" s="149" t="s">
        <v>108</v>
      </c>
      <c r="J164" s="152" t="s">
        <v>884</v>
      </c>
      <c r="K164" s="152" t="s">
        <v>885</v>
      </c>
      <c r="L164" s="152" t="s">
        <v>886</v>
      </c>
      <c r="M164" s="134" t="s">
        <v>4</v>
      </c>
      <c r="N164" s="134" t="s">
        <v>5</v>
      </c>
      <c r="O164" s="194">
        <v>45414</v>
      </c>
      <c r="P164" s="144" t="s">
        <v>24</v>
      </c>
      <c r="Q164" s="144" t="s">
        <v>24</v>
      </c>
      <c r="R164" s="144" t="s">
        <v>24</v>
      </c>
      <c r="S164" s="144" t="s">
        <v>24</v>
      </c>
      <c r="T164" s="144" t="s">
        <v>24</v>
      </c>
      <c r="U164" s="144" t="s">
        <v>24</v>
      </c>
      <c r="V164" s="144" t="s">
        <v>24</v>
      </c>
      <c r="W164" s="144" t="s">
        <v>24</v>
      </c>
      <c r="X164" s="144" t="s">
        <v>24</v>
      </c>
      <c r="Y164" s="144" t="s">
        <v>24</v>
      </c>
      <c r="Z164" s="144" t="s">
        <v>24</v>
      </c>
      <c r="AB164" s="152" t="s">
        <v>884</v>
      </c>
      <c r="AC164" s="152" t="s">
        <v>885</v>
      </c>
      <c r="AD164" s="152" t="s">
        <v>886</v>
      </c>
      <c r="AE164" s="149" t="s">
        <v>108</v>
      </c>
      <c r="AF164" s="149" t="s">
        <v>4</v>
      </c>
      <c r="AG164" s="208">
        <v>59161.77</v>
      </c>
      <c r="AH164" s="208">
        <v>60000</v>
      </c>
      <c r="AI164" s="230" t="s">
        <v>6</v>
      </c>
      <c r="AJ164" s="138" t="s">
        <v>109</v>
      </c>
      <c r="AK164" s="200"/>
      <c r="AL164" s="149" t="s">
        <v>110</v>
      </c>
      <c r="AM164" s="149" t="s">
        <v>110</v>
      </c>
      <c r="AN164" s="149" t="s">
        <v>111</v>
      </c>
      <c r="AP164" s="199" t="s">
        <v>887</v>
      </c>
      <c r="AQ164" s="198" t="s">
        <v>110</v>
      </c>
      <c r="AR164" s="198" t="s">
        <v>110</v>
      </c>
      <c r="AS164" s="198" t="s">
        <v>110</v>
      </c>
      <c r="AT164" s="198" t="s">
        <v>110</v>
      </c>
      <c r="AU164" s="194">
        <v>45498</v>
      </c>
      <c r="AV164" s="198" t="s">
        <v>110</v>
      </c>
      <c r="AW164" s="198" t="s">
        <v>110</v>
      </c>
      <c r="AX164" s="219">
        <v>45526</v>
      </c>
      <c r="AY164" s="197">
        <v>45526</v>
      </c>
      <c r="AZ164" s="145" t="s">
        <v>33</v>
      </c>
      <c r="BA164" s="145" t="s">
        <v>113</v>
      </c>
      <c r="BB164" s="149" t="s">
        <v>110</v>
      </c>
      <c r="BC164" s="142">
        <f>IF(AY164-KD164=0,"",AY164-O164)</f>
        <v>112</v>
      </c>
      <c r="BD164" s="134" t="str">
        <f>IF(AND(AI164&lt;&gt;"SIM",AI164="UH"),"AA","INDENIZAÇÃO")</f>
        <v>INDENIZAÇÃO</v>
      </c>
      <c r="BE164" s="134" t="str">
        <f>IF(AND(AY164&lt;&gt;"AGUARDANDO",AY164&lt;&gt;"",N164="AUXÍLIO ALUGUEL ATÉ INDENIZAÇÃO"),"SIM","NÃO")</f>
        <v>NÃO</v>
      </c>
      <c r="BF164" s="134" t="s">
        <v>24</v>
      </c>
      <c r="BG164" s="134" t="s">
        <v>24</v>
      </c>
      <c r="BH164" s="134" t="s">
        <v>24</v>
      </c>
      <c r="BI164" s="198" t="s">
        <v>110</v>
      </c>
      <c r="BJ164" s="198" t="s">
        <v>110</v>
      </c>
      <c r="BK164" s="194">
        <v>45559</v>
      </c>
      <c r="BL164" s="198" t="s">
        <v>110</v>
      </c>
      <c r="BM164" s="145" t="s">
        <v>33</v>
      </c>
      <c r="CI164" s="200"/>
    </row>
    <row r="165" spans="1:87" s="149" customFormat="1" ht="30" customHeight="1">
      <c r="A165" s="134">
        <v>151</v>
      </c>
      <c r="B165" s="134" t="s">
        <v>99</v>
      </c>
      <c r="C165" s="134">
        <v>1</v>
      </c>
      <c r="D165" s="134" t="s">
        <v>100</v>
      </c>
      <c r="E165" s="134" t="s">
        <v>100</v>
      </c>
      <c r="F165" s="138" t="s">
        <v>888</v>
      </c>
      <c r="G165" s="149" t="s">
        <v>1</v>
      </c>
      <c r="H165" s="149" t="s">
        <v>2</v>
      </c>
      <c r="I165" s="149" t="s">
        <v>108</v>
      </c>
      <c r="J165" s="152" t="s">
        <v>889</v>
      </c>
      <c r="K165" s="152" t="s">
        <v>890</v>
      </c>
      <c r="L165" s="152" t="s">
        <v>891</v>
      </c>
      <c r="M165" s="134" t="s">
        <v>4</v>
      </c>
      <c r="N165" s="134" t="s">
        <v>5</v>
      </c>
      <c r="O165" s="194">
        <v>45505</v>
      </c>
      <c r="P165" s="144" t="s">
        <v>24</v>
      </c>
      <c r="Q165" s="144" t="s">
        <v>24</v>
      </c>
      <c r="R165" s="144" t="s">
        <v>24</v>
      </c>
      <c r="S165" s="144" t="s">
        <v>24</v>
      </c>
      <c r="T165" s="144" t="s">
        <v>24</v>
      </c>
      <c r="U165" s="144" t="s">
        <v>24</v>
      </c>
      <c r="V165" s="144" t="s">
        <v>24</v>
      </c>
      <c r="W165" s="144" t="s">
        <v>24</v>
      </c>
      <c r="X165" s="144" t="s">
        <v>24</v>
      </c>
      <c r="Y165" s="144" t="s">
        <v>24</v>
      </c>
      <c r="Z165" s="144" t="s">
        <v>24</v>
      </c>
      <c r="AB165" s="152" t="s">
        <v>889</v>
      </c>
      <c r="AC165" s="152" t="s">
        <v>890</v>
      </c>
      <c r="AD165" s="152" t="s">
        <v>891</v>
      </c>
      <c r="AE165" s="149" t="s">
        <v>108</v>
      </c>
      <c r="AF165" s="149" t="s">
        <v>4</v>
      </c>
      <c r="AG165" s="208">
        <v>23857.85</v>
      </c>
      <c r="AH165" s="208">
        <f>AG165+30000</f>
        <v>53857.85</v>
      </c>
      <c r="AI165" s="230" t="s">
        <v>6</v>
      </c>
      <c r="AJ165" s="138" t="s">
        <v>109</v>
      </c>
      <c r="AK165" s="200"/>
      <c r="AL165" s="149" t="s">
        <v>110</v>
      </c>
      <c r="AM165" s="149" t="s">
        <v>110</v>
      </c>
      <c r="AN165" s="149" t="s">
        <v>111</v>
      </c>
      <c r="AP165" s="199" t="s">
        <v>892</v>
      </c>
      <c r="AQ165" s="198" t="s">
        <v>110</v>
      </c>
      <c r="AR165" s="198" t="s">
        <v>110</v>
      </c>
      <c r="AS165" s="198" t="s">
        <v>110</v>
      </c>
      <c r="AT165" s="198" t="s">
        <v>110</v>
      </c>
      <c r="AU165" s="194">
        <v>45573</v>
      </c>
      <c r="AV165" s="198" t="s">
        <v>110</v>
      </c>
      <c r="AW165" s="198" t="s">
        <v>110</v>
      </c>
      <c r="AX165" s="194">
        <v>45580</v>
      </c>
      <c r="AY165" s="197">
        <v>45580</v>
      </c>
      <c r="AZ165" s="145" t="s">
        <v>33</v>
      </c>
      <c r="BA165" s="145" t="s">
        <v>113</v>
      </c>
      <c r="BB165" s="149" t="s">
        <v>110</v>
      </c>
      <c r="BC165" s="142">
        <f>IF(AY165-KD165=0,"",AY165-O165)</f>
        <v>75</v>
      </c>
      <c r="BD165" s="134" t="str">
        <f>IF(AND(AI165&lt;&gt;"SIM",AI165="UH"),"AA","INDENIZAÇÃO")</f>
        <v>INDENIZAÇÃO</v>
      </c>
      <c r="BE165" s="134" t="str">
        <f>IF(AND(AY165&lt;&gt;"AGUARDANDO",AY165&lt;&gt;"",N165="AUXÍLIO ALUGUEL ATÉ INDENIZAÇÃO"),"SIM","NÃO")</f>
        <v>NÃO</v>
      </c>
      <c r="BF165" s="134" t="s">
        <v>24</v>
      </c>
      <c r="BG165" s="134" t="s">
        <v>24</v>
      </c>
      <c r="BH165" s="134" t="s">
        <v>24</v>
      </c>
      <c r="BI165" s="198" t="s">
        <v>110</v>
      </c>
      <c r="BJ165" s="198" t="s">
        <v>110</v>
      </c>
      <c r="BK165" s="194">
        <v>45621</v>
      </c>
      <c r="BL165" s="198" t="s">
        <v>110</v>
      </c>
      <c r="BM165" s="145" t="s">
        <v>33</v>
      </c>
      <c r="CI165" s="200"/>
    </row>
    <row r="166" spans="1:87" s="149" customFormat="1" ht="30" customHeight="1">
      <c r="A166" s="134">
        <v>152</v>
      </c>
      <c r="B166" s="134" t="s">
        <v>99</v>
      </c>
      <c r="C166" s="134">
        <v>1</v>
      </c>
      <c r="D166" s="134" t="s">
        <v>100</v>
      </c>
      <c r="E166" s="134" t="s">
        <v>100</v>
      </c>
      <c r="F166" s="138" t="s">
        <v>893</v>
      </c>
      <c r="G166" s="149" t="s">
        <v>1</v>
      </c>
      <c r="H166" s="149" t="s">
        <v>2</v>
      </c>
      <c r="I166" s="149" t="s">
        <v>108</v>
      </c>
      <c r="J166" s="152" t="s">
        <v>894</v>
      </c>
      <c r="K166" s="152" t="s">
        <v>895</v>
      </c>
      <c r="L166" s="152" t="s">
        <v>896</v>
      </c>
      <c r="M166" s="134" t="s">
        <v>4</v>
      </c>
      <c r="N166" s="134" t="s">
        <v>5</v>
      </c>
      <c r="O166" s="194">
        <v>45546</v>
      </c>
      <c r="P166" s="144" t="s">
        <v>24</v>
      </c>
      <c r="Q166" s="144" t="s">
        <v>24</v>
      </c>
      <c r="R166" s="144" t="s">
        <v>24</v>
      </c>
      <c r="S166" s="144" t="s">
        <v>24</v>
      </c>
      <c r="T166" s="144" t="s">
        <v>24</v>
      </c>
      <c r="U166" s="144" t="s">
        <v>24</v>
      </c>
      <c r="V166" s="144" t="s">
        <v>24</v>
      </c>
      <c r="W166" s="144" t="s">
        <v>24</v>
      </c>
      <c r="X166" s="144" t="s">
        <v>24</v>
      </c>
      <c r="Y166" s="144" t="s">
        <v>24</v>
      </c>
      <c r="Z166" s="144" t="s">
        <v>24</v>
      </c>
      <c r="AB166" s="152" t="s">
        <v>894</v>
      </c>
      <c r="AC166" s="152" t="s">
        <v>895</v>
      </c>
      <c r="AD166" s="152" t="s">
        <v>896</v>
      </c>
      <c r="AE166" s="149" t="s">
        <v>108</v>
      </c>
      <c r="AF166" s="149" t="s">
        <v>4</v>
      </c>
      <c r="AG166" s="208">
        <v>72541.78</v>
      </c>
      <c r="AH166" s="208">
        <v>72541.78</v>
      </c>
      <c r="AI166" s="230" t="s">
        <v>6</v>
      </c>
      <c r="AJ166" s="138" t="s">
        <v>109</v>
      </c>
      <c r="AK166" s="211"/>
      <c r="AL166" s="149" t="s">
        <v>110</v>
      </c>
      <c r="AM166" s="149" t="s">
        <v>110</v>
      </c>
      <c r="AN166" s="149" t="s">
        <v>111</v>
      </c>
      <c r="AP166" s="199" t="s">
        <v>897</v>
      </c>
      <c r="AQ166" s="198" t="s">
        <v>110</v>
      </c>
      <c r="AR166" s="198" t="s">
        <v>110</v>
      </c>
      <c r="AS166" s="198" t="s">
        <v>110</v>
      </c>
      <c r="AT166" s="198" t="s">
        <v>110</v>
      </c>
      <c r="AU166" s="194">
        <v>45587</v>
      </c>
      <c r="AV166" s="198" t="s">
        <v>110</v>
      </c>
      <c r="AW166" s="198" t="s">
        <v>110</v>
      </c>
      <c r="AX166" s="194">
        <v>45600</v>
      </c>
      <c r="AY166" s="197">
        <v>45600</v>
      </c>
      <c r="AZ166" s="197" t="s">
        <v>33</v>
      </c>
      <c r="BA166" s="145" t="s">
        <v>113</v>
      </c>
      <c r="BB166" s="149" t="s">
        <v>110</v>
      </c>
      <c r="BC166" s="142">
        <f>IF(AY166-KD166=0,"",AY166-O166)</f>
        <v>54</v>
      </c>
      <c r="BD166" s="134" t="str">
        <f>IF(AND(AI166&lt;&gt;"SIM",AI166="UH"),"AA","INDENIZAÇÃO")</f>
        <v>INDENIZAÇÃO</v>
      </c>
      <c r="BE166" s="134" t="str">
        <f>IF(AND(AY166&lt;&gt;"AGUARDANDO",AY166&lt;&gt;"",N166="AUXÍLIO ALUGUEL ATÉ INDENIZAÇÃO"),"SIM","NÃO")</f>
        <v>NÃO</v>
      </c>
      <c r="BF166" s="134" t="s">
        <v>24</v>
      </c>
      <c r="BG166" s="134" t="s">
        <v>24</v>
      </c>
      <c r="BH166" s="134" t="s">
        <v>24</v>
      </c>
      <c r="BI166" s="198" t="s">
        <v>110</v>
      </c>
      <c r="BJ166" s="198" t="s">
        <v>110</v>
      </c>
      <c r="BK166" s="194">
        <v>45621</v>
      </c>
      <c r="BL166" s="198" t="s">
        <v>110</v>
      </c>
      <c r="BM166" s="145" t="s">
        <v>33</v>
      </c>
      <c r="CI166" s="200"/>
    </row>
    <row r="167" spans="1:87" s="149" customFormat="1" ht="30" customHeight="1">
      <c r="A167" s="134">
        <v>153</v>
      </c>
      <c r="B167" s="134" t="s">
        <v>99</v>
      </c>
      <c r="C167" s="134">
        <v>1</v>
      </c>
      <c r="D167" s="134" t="s">
        <v>100</v>
      </c>
      <c r="E167" s="134" t="s">
        <v>100</v>
      </c>
      <c r="F167" s="138" t="s">
        <v>898</v>
      </c>
      <c r="G167" s="149" t="s">
        <v>1</v>
      </c>
      <c r="H167" s="149" t="s">
        <v>2</v>
      </c>
      <c r="I167" s="149" t="s">
        <v>108</v>
      </c>
      <c r="J167" s="152" t="s">
        <v>899</v>
      </c>
      <c r="K167" s="152" t="s">
        <v>900</v>
      </c>
      <c r="L167" s="152" t="s">
        <v>901</v>
      </c>
      <c r="M167" s="134" t="s">
        <v>4</v>
      </c>
      <c r="N167" s="134" t="s">
        <v>14</v>
      </c>
      <c r="O167" s="194"/>
      <c r="P167" s="144"/>
      <c r="Q167" s="263"/>
      <c r="R167" s="144"/>
      <c r="S167" s="144"/>
      <c r="T167" s="144"/>
      <c r="U167" s="144"/>
      <c r="V167" s="144"/>
      <c r="W167" s="144"/>
      <c r="X167" s="144"/>
      <c r="Y167" s="144"/>
      <c r="Z167" s="144"/>
      <c r="AB167" s="152" t="s">
        <v>899</v>
      </c>
      <c r="AC167" s="152" t="s">
        <v>900</v>
      </c>
      <c r="AD167" s="152" t="s">
        <v>901</v>
      </c>
      <c r="AE167" s="149" t="s">
        <v>108</v>
      </c>
      <c r="AF167" s="149" t="s">
        <v>4</v>
      </c>
      <c r="AG167" s="208"/>
      <c r="AH167" s="208"/>
      <c r="AI167" s="230"/>
      <c r="AJ167" s="138"/>
      <c r="AK167" s="211"/>
      <c r="AP167" s="199"/>
      <c r="AQ167" s="198"/>
      <c r="AR167" s="198"/>
      <c r="AS167" s="198"/>
      <c r="AT167" s="198"/>
      <c r="AU167" s="194"/>
      <c r="AV167" s="198"/>
      <c r="AW167" s="198"/>
      <c r="AX167" s="194"/>
      <c r="AY167" s="197"/>
      <c r="AZ167" s="197"/>
      <c r="BA167" s="145"/>
      <c r="BC167" s="142" t="str">
        <f>IF(AY167-KD167=0,"",AY167-O167)</f>
        <v/>
      </c>
      <c r="BD167" s="134" t="str">
        <f>IF(AND(AI167&lt;&gt;"SIM",AI167="UH"),"AA","INDENIZAÇÃO")</f>
        <v>INDENIZAÇÃO</v>
      </c>
      <c r="BE167" s="134" t="str">
        <f>IF(AND(AY167&lt;&gt;"AGUARDANDO",AY167&lt;&gt;"",N167="AUXÍLIO ALUGUEL ATÉ INDENIZAÇÃO"),"SIM","NÃO")</f>
        <v>NÃO</v>
      </c>
      <c r="BF167" s="134"/>
      <c r="BG167" s="134"/>
      <c r="BH167" s="134"/>
      <c r="BI167" s="198"/>
      <c r="BJ167" s="198"/>
      <c r="BK167" s="194"/>
      <c r="BL167" s="198"/>
      <c r="BM167" s="145"/>
      <c r="CI167" s="200"/>
    </row>
    <row r="168" spans="1:87" s="149" customFormat="1" ht="30" customHeight="1">
      <c r="A168" s="134">
        <v>154</v>
      </c>
      <c r="B168" s="134" t="s">
        <v>99</v>
      </c>
      <c r="C168" s="134">
        <v>1</v>
      </c>
      <c r="D168" s="134" t="s">
        <v>100</v>
      </c>
      <c r="E168" s="134" t="s">
        <v>100</v>
      </c>
      <c r="F168" s="138" t="s">
        <v>902</v>
      </c>
      <c r="G168" s="149" t="s">
        <v>1</v>
      </c>
      <c r="H168" s="149" t="s">
        <v>2</v>
      </c>
      <c r="I168" s="149" t="s">
        <v>108</v>
      </c>
      <c r="J168" s="152" t="s">
        <v>903</v>
      </c>
      <c r="K168" s="152" t="s">
        <v>904</v>
      </c>
      <c r="L168" s="152" t="s">
        <v>905</v>
      </c>
      <c r="M168" s="134" t="s">
        <v>4</v>
      </c>
      <c r="N168" s="134" t="s">
        <v>5</v>
      </c>
      <c r="O168" s="194">
        <v>45770</v>
      </c>
      <c r="P168" s="144" t="s">
        <v>24</v>
      </c>
      <c r="Q168" s="144" t="s">
        <v>24</v>
      </c>
      <c r="R168" s="144" t="s">
        <v>24</v>
      </c>
      <c r="S168" s="144" t="s">
        <v>24</v>
      </c>
      <c r="T168" s="144" t="s">
        <v>24</v>
      </c>
      <c r="U168" s="144" t="s">
        <v>24</v>
      </c>
      <c r="V168" s="144" t="s">
        <v>24</v>
      </c>
      <c r="W168" s="144" t="s">
        <v>24</v>
      </c>
      <c r="X168" s="144" t="s">
        <v>24</v>
      </c>
      <c r="Y168" s="144" t="s">
        <v>24</v>
      </c>
      <c r="Z168" s="144" t="s">
        <v>24</v>
      </c>
      <c r="AB168" s="152" t="s">
        <v>903</v>
      </c>
      <c r="AC168" s="152" t="s">
        <v>904</v>
      </c>
      <c r="AD168" s="152" t="s">
        <v>905</v>
      </c>
      <c r="AE168" s="149" t="s">
        <v>108</v>
      </c>
      <c r="AF168" s="149" t="s">
        <v>4</v>
      </c>
      <c r="AG168" s="208">
        <v>28671.33</v>
      </c>
      <c r="AH168" s="208">
        <v>58671.33</v>
      </c>
      <c r="AI168" s="134" t="s">
        <v>6</v>
      </c>
      <c r="AJ168" s="160" t="s">
        <v>109</v>
      </c>
      <c r="AK168" s="134">
        <v>110895070</v>
      </c>
      <c r="AL168" s="149" t="s">
        <v>110</v>
      </c>
      <c r="AM168" s="149" t="s">
        <v>110</v>
      </c>
      <c r="AN168" s="149" t="s">
        <v>111</v>
      </c>
      <c r="AP168" s="152" t="s">
        <v>906</v>
      </c>
      <c r="AQ168" s="198" t="s">
        <v>110</v>
      </c>
      <c r="AR168" s="198" t="s">
        <v>110</v>
      </c>
      <c r="AS168" s="198" t="s">
        <v>110</v>
      </c>
      <c r="AT168" s="198" t="s">
        <v>110</v>
      </c>
      <c r="AU168" s="194">
        <v>45834</v>
      </c>
      <c r="AV168" s="198" t="s">
        <v>110</v>
      </c>
      <c r="AW168" s="198" t="s">
        <v>110</v>
      </c>
      <c r="AX168" s="194">
        <v>45840</v>
      </c>
      <c r="AY168" s="140">
        <v>45840</v>
      </c>
      <c r="AZ168" s="145" t="s">
        <v>33</v>
      </c>
      <c r="BA168" s="145" t="s">
        <v>113</v>
      </c>
      <c r="BB168" s="149" t="s">
        <v>110</v>
      </c>
      <c r="BC168" s="142">
        <f>IF(AY168-KD168=0,"",AY168-O168)</f>
        <v>70</v>
      </c>
      <c r="BD168" s="134" t="str">
        <f>IF(AND(AI168&lt;&gt;"SIM",AI168="UH"),"AA","INDENIZAÇÃO")</f>
        <v>INDENIZAÇÃO</v>
      </c>
      <c r="BE168" s="134" t="str">
        <f>IF(AND(AY168&lt;&gt;"AGUARDANDO",AY168&lt;&gt;"",N168="AUXÍLIO ALUGUEL ATÉ INDENIZAÇÃO"),"SIM","NÃO")</f>
        <v>NÃO</v>
      </c>
      <c r="BF168" s="134" t="s">
        <v>24</v>
      </c>
      <c r="BG168" s="134" t="s">
        <v>24</v>
      </c>
      <c r="BH168" s="134" t="s">
        <v>24</v>
      </c>
      <c r="BI168" s="198" t="s">
        <v>110</v>
      </c>
      <c r="BJ168" s="198" t="s">
        <v>110</v>
      </c>
      <c r="BK168" s="194">
        <v>45859</v>
      </c>
      <c r="BL168" s="149" t="s">
        <v>110</v>
      </c>
      <c r="BM168" s="141" t="s">
        <v>33</v>
      </c>
      <c r="CI168" s="200"/>
    </row>
    <row r="169" spans="1:87" s="149" customFormat="1" ht="30" customHeight="1">
      <c r="A169" s="134">
        <v>155</v>
      </c>
      <c r="B169" s="134" t="s">
        <v>99</v>
      </c>
      <c r="C169" s="134">
        <v>1</v>
      </c>
      <c r="D169" s="134" t="s">
        <v>100</v>
      </c>
      <c r="E169" s="134" t="s">
        <v>100</v>
      </c>
      <c r="F169" s="138" t="s">
        <v>907</v>
      </c>
      <c r="G169" s="149" t="s">
        <v>1</v>
      </c>
      <c r="H169" s="149" t="s">
        <v>2</v>
      </c>
      <c r="I169" s="149" t="s">
        <v>108</v>
      </c>
      <c r="J169" s="152" t="s">
        <v>908</v>
      </c>
      <c r="K169" s="152" t="s">
        <v>909</v>
      </c>
      <c r="L169" s="152" t="s">
        <v>910</v>
      </c>
      <c r="M169" s="134" t="s">
        <v>4</v>
      </c>
      <c r="N169" s="214" t="s">
        <v>5</v>
      </c>
      <c r="O169" s="194">
        <v>45341</v>
      </c>
      <c r="P169" s="144" t="s">
        <v>24</v>
      </c>
      <c r="Q169" s="144" t="s">
        <v>24</v>
      </c>
      <c r="R169" s="144" t="s">
        <v>24</v>
      </c>
      <c r="S169" s="144" t="s">
        <v>24</v>
      </c>
      <c r="T169" s="144" t="s">
        <v>24</v>
      </c>
      <c r="U169" s="144" t="s">
        <v>24</v>
      </c>
      <c r="V169" s="144" t="s">
        <v>24</v>
      </c>
      <c r="W169" s="144" t="s">
        <v>24</v>
      </c>
      <c r="X169" s="144" t="s">
        <v>24</v>
      </c>
      <c r="Y169" s="144" t="s">
        <v>24</v>
      </c>
      <c r="Z169" s="144" t="s">
        <v>24</v>
      </c>
      <c r="AB169" s="152" t="s">
        <v>908</v>
      </c>
      <c r="AC169" s="152" t="s">
        <v>909</v>
      </c>
      <c r="AD169" s="152" t="s">
        <v>910</v>
      </c>
      <c r="AE169" s="149" t="s">
        <v>108</v>
      </c>
      <c r="AF169" s="149" t="s">
        <v>4</v>
      </c>
      <c r="AG169" s="208">
        <v>49119.43</v>
      </c>
      <c r="AH169" s="208">
        <v>60000</v>
      </c>
      <c r="AI169" s="214" t="s">
        <v>6</v>
      </c>
      <c r="AJ169" s="313" t="s">
        <v>109</v>
      </c>
      <c r="AK169" s="214"/>
      <c r="AL169" s="149" t="s">
        <v>110</v>
      </c>
      <c r="AM169" s="198" t="s">
        <v>110</v>
      </c>
      <c r="AN169" s="198" t="s">
        <v>111</v>
      </c>
      <c r="AP169" s="199" t="s">
        <v>911</v>
      </c>
      <c r="AQ169" s="198" t="s">
        <v>110</v>
      </c>
      <c r="AR169" s="198" t="s">
        <v>110</v>
      </c>
      <c r="AS169" s="198" t="s">
        <v>110</v>
      </c>
      <c r="AT169" s="198" t="s">
        <v>110</v>
      </c>
      <c r="AU169" s="144">
        <v>45422</v>
      </c>
      <c r="AV169" s="198" t="s">
        <v>110</v>
      </c>
      <c r="AW169" s="198" t="s">
        <v>110</v>
      </c>
      <c r="AX169" s="144">
        <v>45432</v>
      </c>
      <c r="AY169" s="197">
        <v>45432</v>
      </c>
      <c r="AZ169" s="197" t="s">
        <v>33</v>
      </c>
      <c r="BA169" s="145" t="s">
        <v>113</v>
      </c>
      <c r="BB169" s="149" t="s">
        <v>110</v>
      </c>
      <c r="BC169" s="142">
        <f>IF(AY169-KD169=0,"",AY169-O169)</f>
        <v>91</v>
      </c>
      <c r="BD169" s="134" t="str">
        <f>IF(AND(AI169&lt;&gt;"SIM",AI169="UH"),"AA","INDENIZAÇÃO")</f>
        <v>INDENIZAÇÃO</v>
      </c>
      <c r="BE169" s="134" t="str">
        <f>IF(AND(AY169&lt;&gt;"AGUARDANDO",AY169&lt;&gt;"",N169="AUXÍLIO ALUGUEL ATÉ INDENIZAÇÃO"),"SIM","NÃO")</f>
        <v>NÃO</v>
      </c>
      <c r="BF169" s="134" t="s">
        <v>24</v>
      </c>
      <c r="BG169" s="134" t="s">
        <v>24</v>
      </c>
      <c r="BH169" s="134" t="s">
        <v>24</v>
      </c>
      <c r="BI169" s="198" t="s">
        <v>110</v>
      </c>
      <c r="BJ169" s="198" t="s">
        <v>110</v>
      </c>
      <c r="BK169" s="144">
        <v>45554</v>
      </c>
      <c r="BL169" s="198" t="s">
        <v>110</v>
      </c>
      <c r="BM169" s="145" t="s">
        <v>33</v>
      </c>
      <c r="CI169" s="200"/>
    </row>
    <row r="170" spans="1:87" s="149" customFormat="1" ht="30" customHeight="1">
      <c r="A170" s="134">
        <v>177</v>
      </c>
      <c r="B170" s="134" t="s">
        <v>99</v>
      </c>
      <c r="C170" s="134">
        <v>1</v>
      </c>
      <c r="D170" s="134" t="s">
        <v>100</v>
      </c>
      <c r="E170" s="134" t="s">
        <v>100</v>
      </c>
      <c r="F170" s="138" t="s">
        <v>912</v>
      </c>
      <c r="G170" s="149" t="s">
        <v>1</v>
      </c>
      <c r="H170" s="149" t="s">
        <v>2</v>
      </c>
      <c r="I170" s="149" t="s">
        <v>387</v>
      </c>
      <c r="J170" s="152" t="s">
        <v>913</v>
      </c>
      <c r="K170" s="152" t="s">
        <v>914</v>
      </c>
      <c r="L170" s="152" t="s">
        <v>915</v>
      </c>
      <c r="M170" s="134" t="s">
        <v>4</v>
      </c>
      <c r="N170" s="214" t="s">
        <v>14</v>
      </c>
      <c r="O170" s="194">
        <v>46063</v>
      </c>
      <c r="P170" s="249" t="s">
        <v>24</v>
      </c>
      <c r="Q170" s="249" t="s">
        <v>24</v>
      </c>
      <c r="R170" s="249" t="s">
        <v>24</v>
      </c>
      <c r="S170" s="249" t="s">
        <v>24</v>
      </c>
      <c r="T170" s="249" t="s">
        <v>24</v>
      </c>
      <c r="U170" s="249" t="s">
        <v>24</v>
      </c>
      <c r="V170" s="249" t="s">
        <v>24</v>
      </c>
      <c r="W170" s="249" t="s">
        <v>24</v>
      </c>
      <c r="X170" s="249" t="s">
        <v>24</v>
      </c>
      <c r="Y170" s="249" t="s">
        <v>24</v>
      </c>
      <c r="Z170" s="249" t="s">
        <v>24</v>
      </c>
      <c r="AB170" s="152" t="s">
        <v>916</v>
      </c>
      <c r="AC170" s="152" t="s">
        <v>917</v>
      </c>
      <c r="AD170" s="152" t="s">
        <v>918</v>
      </c>
      <c r="AE170" s="134" t="s">
        <v>287</v>
      </c>
      <c r="AF170" s="149" t="s">
        <v>4</v>
      </c>
      <c r="AG170" s="208">
        <v>46426.74</v>
      </c>
      <c r="AH170" s="208">
        <v>46426.74</v>
      </c>
      <c r="AI170" s="232" t="s">
        <v>6</v>
      </c>
      <c r="AJ170" s="313" t="s">
        <v>109</v>
      </c>
      <c r="AK170" s="235">
        <v>94134876</v>
      </c>
      <c r="AL170" s="149" t="s">
        <v>110</v>
      </c>
      <c r="AM170" s="134" t="s">
        <v>110</v>
      </c>
      <c r="AN170" s="134" t="s">
        <v>111</v>
      </c>
      <c r="AP170" s="199" t="s">
        <v>919</v>
      </c>
      <c r="AQ170" s="149" t="s">
        <v>110</v>
      </c>
      <c r="AR170" s="149" t="s">
        <v>110</v>
      </c>
      <c r="AS170" s="198" t="s">
        <v>110</v>
      </c>
      <c r="AT170" s="198" t="s">
        <v>110</v>
      </c>
      <c r="AU170" s="194">
        <v>46226</v>
      </c>
      <c r="AV170" s="198" t="s">
        <v>110</v>
      </c>
      <c r="AW170" s="198" t="s">
        <v>110</v>
      </c>
      <c r="AX170" s="194">
        <v>46233</v>
      </c>
      <c r="AY170" s="145" t="s">
        <v>33</v>
      </c>
      <c r="AZ170" s="145"/>
      <c r="BA170" s="145" t="s">
        <v>1</v>
      </c>
      <c r="BC170" s="142" t="e">
        <f>IF(AY170-KD170=0,"",AY170-O170)</f>
        <v>#VALUE!</v>
      </c>
      <c r="BD170" s="134" t="str">
        <f>IF(AND(AI170&lt;&gt;"SIM",AI170="UH"),"AA","INDENIZAÇÃO")</f>
        <v>INDENIZAÇÃO</v>
      </c>
      <c r="BE170" s="134" t="str">
        <f>IF(AND(AY170&lt;&gt;"AGUARDANDO",AY170&lt;&gt;"",N170="AUXÍLIO ALUGUEL ATÉ INDENIZAÇÃO"),"SIM","NÃO")</f>
        <v>NÃO</v>
      </c>
      <c r="BF170" s="134"/>
      <c r="BG170" s="194"/>
      <c r="BH170" s="194"/>
      <c r="CI170" s="200"/>
    </row>
    <row r="171" spans="1:87" s="149" customFormat="1" ht="30" customHeight="1">
      <c r="A171" s="134">
        <v>157</v>
      </c>
      <c r="B171" s="134" t="s">
        <v>99</v>
      </c>
      <c r="C171" s="134">
        <v>1</v>
      </c>
      <c r="D171" s="134" t="s">
        <v>100</v>
      </c>
      <c r="E171" s="134" t="s">
        <v>100</v>
      </c>
      <c r="F171" s="138" t="s">
        <v>920</v>
      </c>
      <c r="G171" s="149" t="s">
        <v>1</v>
      </c>
      <c r="H171" s="149" t="s">
        <v>2</v>
      </c>
      <c r="I171" s="149" t="s">
        <v>108</v>
      </c>
      <c r="J171" s="152" t="s">
        <v>921</v>
      </c>
      <c r="K171" s="152" t="s">
        <v>922</v>
      </c>
      <c r="L171" s="152" t="s">
        <v>923</v>
      </c>
      <c r="M171" s="134" t="s">
        <v>4</v>
      </c>
      <c r="N171" s="214" t="s">
        <v>5</v>
      </c>
      <c r="O171" s="194">
        <v>45838</v>
      </c>
      <c r="P171" s="144" t="s">
        <v>24</v>
      </c>
      <c r="Q171" s="144" t="s">
        <v>24</v>
      </c>
      <c r="R171" s="144" t="s">
        <v>24</v>
      </c>
      <c r="S171" s="144" t="s">
        <v>24</v>
      </c>
      <c r="T171" s="144" t="s">
        <v>24</v>
      </c>
      <c r="U171" s="144" t="s">
        <v>24</v>
      </c>
      <c r="V171" s="144" t="s">
        <v>24</v>
      </c>
      <c r="W171" s="144" t="s">
        <v>24</v>
      </c>
      <c r="X171" s="144" t="s">
        <v>24</v>
      </c>
      <c r="Y171" s="144" t="s">
        <v>24</v>
      </c>
      <c r="Z171" s="144" t="s">
        <v>24</v>
      </c>
      <c r="AB171" s="152" t="s">
        <v>921</v>
      </c>
      <c r="AC171" s="152" t="s">
        <v>922</v>
      </c>
      <c r="AD171" s="152" t="s">
        <v>923</v>
      </c>
      <c r="AE171" s="149" t="s">
        <v>108</v>
      </c>
      <c r="AF171" s="149" t="s">
        <v>4</v>
      </c>
      <c r="AG171" s="208">
        <v>23160.92</v>
      </c>
      <c r="AH171" s="208">
        <v>53160.92</v>
      </c>
      <c r="AI171" s="232" t="s">
        <v>6</v>
      </c>
      <c r="AJ171" s="138" t="s">
        <v>109</v>
      </c>
      <c r="AK171" s="235">
        <v>98329587</v>
      </c>
      <c r="AL171" s="149" t="s">
        <v>110</v>
      </c>
      <c r="AM171" s="149" t="s">
        <v>110</v>
      </c>
      <c r="AN171" s="149" t="s">
        <v>111</v>
      </c>
      <c r="AP171" s="138" t="s">
        <v>924</v>
      </c>
      <c r="AQ171" s="198" t="s">
        <v>110</v>
      </c>
      <c r="AR171" s="198" t="s">
        <v>110</v>
      </c>
      <c r="AS171" s="198" t="s">
        <v>110</v>
      </c>
      <c r="AT171" s="198" t="s">
        <v>110</v>
      </c>
      <c r="AU171" s="161">
        <v>45890</v>
      </c>
      <c r="AV171" s="198" t="s">
        <v>110</v>
      </c>
      <c r="AW171" s="198" t="s">
        <v>110</v>
      </c>
      <c r="AX171" s="161">
        <v>45950</v>
      </c>
      <c r="AY171" s="140">
        <v>45950</v>
      </c>
      <c r="AZ171" s="140" t="s">
        <v>33</v>
      </c>
      <c r="BA171" s="145" t="s">
        <v>113</v>
      </c>
      <c r="BB171" s="198" t="s">
        <v>110</v>
      </c>
      <c r="BC171" s="142">
        <f>IF(AY171-KD171=0,"",AY171-O171)</f>
        <v>112</v>
      </c>
      <c r="BD171" s="134" t="str">
        <f>IF(AND(AI171&lt;&gt;"SIM",AI171="UH"),"AA","INDENIZAÇÃO")</f>
        <v>INDENIZAÇÃO</v>
      </c>
      <c r="BE171" s="134" t="str">
        <f>IF(AND(AY171&lt;&gt;"AGUARDANDO",AY171&lt;&gt;"",N171="AUXÍLIO ALUGUEL ATÉ INDENIZAÇÃO"),"SIM","NÃO")</f>
        <v>NÃO</v>
      </c>
      <c r="BF171" s="198" t="s">
        <v>24</v>
      </c>
      <c r="BG171" s="198" t="s">
        <v>24</v>
      </c>
      <c r="BH171" s="198" t="s">
        <v>24</v>
      </c>
      <c r="BI171" s="145" t="s">
        <v>189</v>
      </c>
      <c r="BJ171" s="145"/>
      <c r="BK171" s="279"/>
      <c r="BL171" s="145"/>
      <c r="BM171" s="145"/>
      <c r="CI171" s="200"/>
    </row>
    <row r="172" spans="1:87" s="149" customFormat="1" ht="30" customHeight="1">
      <c r="A172" s="134">
        <v>158</v>
      </c>
      <c r="B172" s="134" t="s">
        <v>99</v>
      </c>
      <c r="C172" s="134">
        <v>1</v>
      </c>
      <c r="D172" s="134" t="s">
        <v>100</v>
      </c>
      <c r="E172" s="134" t="s">
        <v>100</v>
      </c>
      <c r="F172" s="138" t="s">
        <v>925</v>
      </c>
      <c r="G172" s="149" t="s">
        <v>344</v>
      </c>
      <c r="H172" s="149" t="s">
        <v>2</v>
      </c>
      <c r="I172" s="149" t="s">
        <v>287</v>
      </c>
      <c r="J172" s="152" t="s">
        <v>926</v>
      </c>
      <c r="K172" s="152" t="s">
        <v>927</v>
      </c>
      <c r="L172" s="152" t="s">
        <v>928</v>
      </c>
      <c r="M172" s="134" t="s">
        <v>4</v>
      </c>
      <c r="N172" s="134" t="s">
        <v>5</v>
      </c>
      <c r="O172" s="194">
        <v>45455</v>
      </c>
      <c r="P172" s="144" t="s">
        <v>24</v>
      </c>
      <c r="Q172" s="144" t="s">
        <v>24</v>
      </c>
      <c r="R172" s="144" t="s">
        <v>24</v>
      </c>
      <c r="S172" s="144" t="s">
        <v>24</v>
      </c>
      <c r="T172" s="144" t="s">
        <v>24</v>
      </c>
      <c r="U172" s="144" t="s">
        <v>24</v>
      </c>
      <c r="V172" s="144" t="s">
        <v>24</v>
      </c>
      <c r="W172" s="144" t="s">
        <v>24</v>
      </c>
      <c r="X172" s="144" t="s">
        <v>24</v>
      </c>
      <c r="Y172" s="144" t="s">
        <v>24</v>
      </c>
      <c r="Z172" s="144" t="s">
        <v>24</v>
      </c>
      <c r="AB172" s="152" t="s">
        <v>926</v>
      </c>
      <c r="AC172" s="152" t="s">
        <v>927</v>
      </c>
      <c r="AD172" s="152" t="s">
        <v>928</v>
      </c>
      <c r="AE172" s="134" t="s">
        <v>287</v>
      </c>
      <c r="AF172" s="149" t="s">
        <v>4</v>
      </c>
      <c r="AG172" s="208">
        <v>3588.62</v>
      </c>
      <c r="AH172" s="208">
        <f>AG172+30000</f>
        <v>33588.620000000003</v>
      </c>
      <c r="AI172" s="230" t="s">
        <v>6</v>
      </c>
      <c r="AJ172" s="138" t="s">
        <v>109</v>
      </c>
      <c r="AK172" s="235"/>
      <c r="AL172" s="134" t="s">
        <v>110</v>
      </c>
      <c r="AM172" s="149" t="s">
        <v>110</v>
      </c>
      <c r="AN172" s="134" t="s">
        <v>111</v>
      </c>
      <c r="AP172" s="199" t="s">
        <v>929</v>
      </c>
      <c r="AQ172" s="198" t="s">
        <v>110</v>
      </c>
      <c r="AR172" s="198" t="s">
        <v>110</v>
      </c>
      <c r="AS172" s="149" t="s">
        <v>110</v>
      </c>
      <c r="AT172" s="149" t="s">
        <v>110</v>
      </c>
      <c r="AU172" s="161">
        <v>45755</v>
      </c>
      <c r="AV172" s="149" t="s">
        <v>110</v>
      </c>
      <c r="AW172" s="149" t="s">
        <v>110</v>
      </c>
      <c r="AX172" s="161">
        <v>45763</v>
      </c>
      <c r="AY172" s="140">
        <v>45763</v>
      </c>
      <c r="AZ172" s="141" t="s">
        <v>33</v>
      </c>
      <c r="BA172" s="141" t="s">
        <v>1</v>
      </c>
      <c r="BB172" s="149" t="s">
        <v>110</v>
      </c>
      <c r="BC172" s="142">
        <f>IF(AY172-KD172=0,"",AY172-O172)</f>
        <v>308</v>
      </c>
      <c r="BD172" s="134" t="str">
        <f>IF(AND(AI172&lt;&gt;"SIM",AI172="UH"),"AA","INDENIZAÇÃO")</f>
        <v>INDENIZAÇÃO</v>
      </c>
      <c r="BE172" s="134" t="str">
        <f>IF(AND(AY172&lt;&gt;"AGUARDANDO",AY172&lt;&gt;"",N172="AUXÍLIO ALUGUEL ATÉ INDENIZAÇÃO"),"SIM","NÃO")</f>
        <v>NÃO</v>
      </c>
      <c r="BF172" s="149" t="s">
        <v>24</v>
      </c>
      <c r="BG172" s="149" t="s">
        <v>24</v>
      </c>
      <c r="BH172" s="149" t="s">
        <v>24</v>
      </c>
      <c r="BI172" s="198" t="s">
        <v>110</v>
      </c>
      <c r="BJ172" s="198" t="s">
        <v>110</v>
      </c>
      <c r="BK172" s="161">
        <v>45783</v>
      </c>
      <c r="BL172" s="198" t="s">
        <v>110</v>
      </c>
      <c r="BM172" s="145" t="s">
        <v>33</v>
      </c>
      <c r="CI172" s="200"/>
    </row>
    <row r="173" spans="1:87" s="149" customFormat="1" ht="30" customHeight="1">
      <c r="A173" s="134">
        <v>159</v>
      </c>
      <c r="B173" s="134" t="s">
        <v>99</v>
      </c>
      <c r="C173" s="134">
        <v>1</v>
      </c>
      <c r="D173" s="134" t="s">
        <v>100</v>
      </c>
      <c r="E173" s="134" t="s">
        <v>100</v>
      </c>
      <c r="F173" s="138" t="s">
        <v>930</v>
      </c>
      <c r="G173" s="149" t="s">
        <v>1</v>
      </c>
      <c r="H173" s="149" t="s">
        <v>2</v>
      </c>
      <c r="I173" s="149" t="s">
        <v>108</v>
      </c>
      <c r="J173" s="152" t="s">
        <v>931</v>
      </c>
      <c r="K173" s="152" t="s">
        <v>932</v>
      </c>
      <c r="L173" s="152" t="s">
        <v>933</v>
      </c>
      <c r="M173" s="134" t="s">
        <v>4</v>
      </c>
      <c r="N173" s="214" t="s">
        <v>5</v>
      </c>
      <c r="O173" s="194">
        <v>45268</v>
      </c>
      <c r="P173" s="144" t="s">
        <v>24</v>
      </c>
      <c r="Q173" s="144" t="s">
        <v>24</v>
      </c>
      <c r="R173" s="144" t="s">
        <v>24</v>
      </c>
      <c r="S173" s="144" t="s">
        <v>24</v>
      </c>
      <c r="T173" s="144" t="s">
        <v>24</v>
      </c>
      <c r="U173" s="144" t="s">
        <v>24</v>
      </c>
      <c r="V173" s="144" t="s">
        <v>24</v>
      </c>
      <c r="W173" s="144" t="s">
        <v>24</v>
      </c>
      <c r="X173" s="144" t="s">
        <v>24</v>
      </c>
      <c r="Y173" s="144" t="s">
        <v>24</v>
      </c>
      <c r="Z173" s="144" t="s">
        <v>24</v>
      </c>
      <c r="AB173" s="152" t="s">
        <v>931</v>
      </c>
      <c r="AC173" s="152" t="s">
        <v>932</v>
      </c>
      <c r="AD173" s="152" t="s">
        <v>933</v>
      </c>
      <c r="AE173" s="149" t="s">
        <v>108</v>
      </c>
      <c r="AF173" s="149" t="s">
        <v>4</v>
      </c>
      <c r="AG173" s="208">
        <v>43851.08</v>
      </c>
      <c r="AH173" s="208">
        <v>60000</v>
      </c>
      <c r="AI173" s="232" t="s">
        <v>6</v>
      </c>
      <c r="AJ173" s="138" t="s">
        <v>109</v>
      </c>
      <c r="AK173" s="235"/>
      <c r="AL173" s="149" t="s">
        <v>110</v>
      </c>
      <c r="AM173" s="149" t="s">
        <v>110</v>
      </c>
      <c r="AN173" s="149" t="s">
        <v>111</v>
      </c>
      <c r="AP173" s="199" t="s">
        <v>934</v>
      </c>
      <c r="AQ173" s="198" t="s">
        <v>110</v>
      </c>
      <c r="AR173" s="198" t="s">
        <v>110</v>
      </c>
      <c r="AS173" s="198" t="s">
        <v>110</v>
      </c>
      <c r="AT173" s="198" t="s">
        <v>110</v>
      </c>
      <c r="AU173" s="194">
        <v>45498</v>
      </c>
      <c r="AV173" s="198" t="s">
        <v>110</v>
      </c>
      <c r="AW173" s="198" t="s">
        <v>110</v>
      </c>
      <c r="AX173" s="194">
        <v>45506</v>
      </c>
      <c r="AY173" s="197">
        <v>45506</v>
      </c>
      <c r="AZ173" s="197" t="s">
        <v>33</v>
      </c>
      <c r="BA173" s="145" t="s">
        <v>113</v>
      </c>
      <c r="BB173" s="149" t="s">
        <v>110</v>
      </c>
      <c r="BC173" s="142">
        <f>IF(AY173-KD173=0,"",AY173-O173)</f>
        <v>238</v>
      </c>
      <c r="BD173" s="134" t="str">
        <f>IF(AND(AI173&lt;&gt;"SIM",AI173="UH"),"AA","INDENIZAÇÃO")</f>
        <v>INDENIZAÇÃO</v>
      </c>
      <c r="BE173" s="134" t="str">
        <f>IF(AND(AY173&lt;&gt;"AGUARDANDO",AY173&lt;&gt;"",N173="AUXÍLIO ALUGUEL ATÉ INDENIZAÇÃO"),"SIM","NÃO")</f>
        <v>NÃO</v>
      </c>
      <c r="BF173" s="134" t="s">
        <v>24</v>
      </c>
      <c r="BG173" s="134" t="s">
        <v>24</v>
      </c>
      <c r="BH173" s="134" t="s">
        <v>24</v>
      </c>
      <c r="BI173" s="198" t="s">
        <v>110</v>
      </c>
      <c r="BJ173" s="198" t="s">
        <v>110</v>
      </c>
      <c r="BK173" s="194">
        <v>45559</v>
      </c>
      <c r="BL173" s="198" t="s">
        <v>110</v>
      </c>
      <c r="BM173" s="145" t="s">
        <v>33</v>
      </c>
      <c r="CI173" s="200"/>
    </row>
    <row r="174" spans="1:87" s="149" customFormat="1" ht="30" customHeight="1">
      <c r="A174" s="134">
        <v>160</v>
      </c>
      <c r="B174" s="134" t="s">
        <v>99</v>
      </c>
      <c r="C174" s="134">
        <v>1</v>
      </c>
      <c r="D174" s="134" t="s">
        <v>100</v>
      </c>
      <c r="E174" s="134" t="s">
        <v>100</v>
      </c>
      <c r="F174" s="138" t="s">
        <v>935</v>
      </c>
      <c r="G174" s="149" t="s">
        <v>1</v>
      </c>
      <c r="H174" s="149" t="s">
        <v>2</v>
      </c>
      <c r="I174" s="149" t="s">
        <v>108</v>
      </c>
      <c r="J174" s="152" t="s">
        <v>936</v>
      </c>
      <c r="K174" s="152" t="s">
        <v>937</v>
      </c>
      <c r="L174" s="152" t="s">
        <v>938</v>
      </c>
      <c r="M174" s="134" t="s">
        <v>4</v>
      </c>
      <c r="N174" s="214" t="s">
        <v>5</v>
      </c>
      <c r="O174" s="194">
        <v>45268</v>
      </c>
      <c r="P174" s="144" t="s">
        <v>24</v>
      </c>
      <c r="Q174" s="144" t="s">
        <v>24</v>
      </c>
      <c r="R174" s="144" t="s">
        <v>24</v>
      </c>
      <c r="S174" s="144" t="s">
        <v>24</v>
      </c>
      <c r="T174" s="144" t="s">
        <v>24</v>
      </c>
      <c r="U174" s="144" t="s">
        <v>24</v>
      </c>
      <c r="V174" s="144" t="s">
        <v>24</v>
      </c>
      <c r="W174" s="144" t="s">
        <v>24</v>
      </c>
      <c r="X174" s="144" t="s">
        <v>24</v>
      </c>
      <c r="Y174" s="144" t="s">
        <v>24</v>
      </c>
      <c r="Z174" s="144" t="s">
        <v>24</v>
      </c>
      <c r="AB174" s="152" t="s">
        <v>936</v>
      </c>
      <c r="AC174" s="152" t="s">
        <v>937</v>
      </c>
      <c r="AD174" s="152" t="s">
        <v>938</v>
      </c>
      <c r="AE174" s="149" t="s">
        <v>108</v>
      </c>
      <c r="AF174" s="149" t="s">
        <v>4</v>
      </c>
      <c r="AG174" s="208">
        <v>20585.759999999998</v>
      </c>
      <c r="AH174" s="208">
        <v>50585.760000000002</v>
      </c>
      <c r="AI174" s="232" t="s">
        <v>6</v>
      </c>
      <c r="AJ174" s="138" t="s">
        <v>109</v>
      </c>
      <c r="AK174" s="235"/>
      <c r="AL174" s="149" t="s">
        <v>110</v>
      </c>
      <c r="AM174" s="149" t="s">
        <v>110</v>
      </c>
      <c r="AN174" s="149" t="s">
        <v>111</v>
      </c>
      <c r="AP174" s="199" t="s">
        <v>939</v>
      </c>
      <c r="AQ174" s="149" t="s">
        <v>110</v>
      </c>
      <c r="AR174" s="149" t="s">
        <v>110</v>
      </c>
      <c r="AS174" s="149" t="s">
        <v>110</v>
      </c>
      <c r="AT174" s="149" t="s">
        <v>110</v>
      </c>
      <c r="AU174" s="194">
        <v>45373</v>
      </c>
      <c r="AV174" s="149" t="s">
        <v>110</v>
      </c>
      <c r="AW174" s="149" t="s">
        <v>110</v>
      </c>
      <c r="AX174" s="194">
        <v>45384</v>
      </c>
      <c r="AY174" s="197">
        <v>45384</v>
      </c>
      <c r="AZ174" s="197" t="s">
        <v>33</v>
      </c>
      <c r="BA174" s="145" t="s">
        <v>113</v>
      </c>
      <c r="BB174" s="149" t="s">
        <v>110</v>
      </c>
      <c r="BC174" s="142">
        <f>IF(AY174-KD174=0,"",AY174-O174)</f>
        <v>116</v>
      </c>
      <c r="BD174" s="134" t="str">
        <f>IF(AND(AI174&lt;&gt;"SIM",AI174="UH"),"AA","INDENIZAÇÃO")</f>
        <v>INDENIZAÇÃO</v>
      </c>
      <c r="BE174" s="134" t="str">
        <f>IF(AND(AY174&lt;&gt;"AGUARDANDO",AY174&lt;&gt;"",N174="AUXÍLIO ALUGUEL ATÉ INDENIZAÇÃO"),"SIM","NÃO")</f>
        <v>NÃO</v>
      </c>
      <c r="BF174" s="134" t="s">
        <v>24</v>
      </c>
      <c r="BG174" s="134" t="s">
        <v>24</v>
      </c>
      <c r="BH174" s="134" t="s">
        <v>24</v>
      </c>
      <c r="BI174" s="149" t="s">
        <v>110</v>
      </c>
      <c r="BJ174" s="149" t="s">
        <v>110</v>
      </c>
      <c r="BK174" s="194">
        <v>45510</v>
      </c>
      <c r="BL174" s="149" t="s">
        <v>110</v>
      </c>
      <c r="BM174" s="145" t="s">
        <v>33</v>
      </c>
      <c r="CI174" s="200"/>
    </row>
    <row r="175" spans="1:87" s="149" customFormat="1" ht="30" customHeight="1">
      <c r="A175" s="134">
        <v>161</v>
      </c>
      <c r="B175" s="134" t="s">
        <v>99</v>
      </c>
      <c r="C175" s="134">
        <v>1</v>
      </c>
      <c r="D175" s="134" t="s">
        <v>100</v>
      </c>
      <c r="E175" s="134" t="s">
        <v>100</v>
      </c>
      <c r="F175" s="138" t="s">
        <v>940</v>
      </c>
      <c r="G175" s="149" t="s">
        <v>344</v>
      </c>
      <c r="H175" s="149" t="s">
        <v>2</v>
      </c>
      <c r="I175" s="149" t="s">
        <v>287</v>
      </c>
      <c r="J175" s="152" t="s">
        <v>941</v>
      </c>
      <c r="K175" s="152" t="s">
        <v>942</v>
      </c>
      <c r="L175" s="152" t="s">
        <v>943</v>
      </c>
      <c r="M175" s="134" t="s">
        <v>4</v>
      </c>
      <c r="N175" s="214" t="s">
        <v>5</v>
      </c>
      <c r="O175" s="194">
        <v>45505</v>
      </c>
      <c r="P175" s="144" t="s">
        <v>24</v>
      </c>
      <c r="Q175" s="144" t="s">
        <v>24</v>
      </c>
      <c r="R175" s="144" t="s">
        <v>24</v>
      </c>
      <c r="S175" s="144" t="s">
        <v>24</v>
      </c>
      <c r="T175" s="144" t="s">
        <v>24</v>
      </c>
      <c r="U175" s="144" t="s">
        <v>24</v>
      </c>
      <c r="V175" s="144" t="s">
        <v>24</v>
      </c>
      <c r="W175" s="144" t="s">
        <v>24</v>
      </c>
      <c r="X175" s="144" t="s">
        <v>24</v>
      </c>
      <c r="Y175" s="144" t="s">
        <v>24</v>
      </c>
      <c r="Z175" s="144" t="s">
        <v>24</v>
      </c>
      <c r="AB175" s="152" t="s">
        <v>941</v>
      </c>
      <c r="AC175" s="152" t="s">
        <v>942</v>
      </c>
      <c r="AD175" s="152" t="s">
        <v>943</v>
      </c>
      <c r="AE175" s="134" t="s">
        <v>287</v>
      </c>
      <c r="AF175" s="149" t="s">
        <v>4</v>
      </c>
      <c r="AG175" s="208">
        <v>5636.08</v>
      </c>
      <c r="AH175" s="208">
        <f>AG175+30000</f>
        <v>35636.080000000002</v>
      </c>
      <c r="AI175" s="230" t="s">
        <v>6</v>
      </c>
      <c r="AJ175" s="138" t="s">
        <v>109</v>
      </c>
      <c r="AK175" s="200"/>
      <c r="AL175" s="149" t="s">
        <v>110</v>
      </c>
      <c r="AM175" s="149" t="s">
        <v>110</v>
      </c>
      <c r="AN175" s="149" t="s">
        <v>111</v>
      </c>
      <c r="AP175" s="199" t="s">
        <v>944</v>
      </c>
      <c r="AQ175" s="198" t="s">
        <v>110</v>
      </c>
      <c r="AR175" s="198" t="s">
        <v>110</v>
      </c>
      <c r="AS175" s="198" t="s">
        <v>110</v>
      </c>
      <c r="AT175" s="198" t="s">
        <v>110</v>
      </c>
      <c r="AU175" s="194">
        <v>45573</v>
      </c>
      <c r="AV175" s="198" t="s">
        <v>110</v>
      </c>
      <c r="AW175" s="198" t="s">
        <v>110</v>
      </c>
      <c r="AX175" s="194">
        <v>45582</v>
      </c>
      <c r="AY175" s="197">
        <v>45582</v>
      </c>
      <c r="AZ175" s="145" t="s">
        <v>33</v>
      </c>
      <c r="BA175" s="145" t="s">
        <v>113</v>
      </c>
      <c r="BB175" s="149" t="s">
        <v>110</v>
      </c>
      <c r="BC175" s="142">
        <f>IF(AY175-KD175=0,"",AY175-O175)</f>
        <v>77</v>
      </c>
      <c r="BD175" s="134" t="str">
        <f>IF(AND(AI175&lt;&gt;"SIM",AI175="UH"),"AA","INDENIZAÇÃO")</f>
        <v>INDENIZAÇÃO</v>
      </c>
      <c r="BE175" s="134" t="str">
        <f>IF(AND(AY175&lt;&gt;"AGUARDANDO",AY175&lt;&gt;"",N175="AUXÍLIO ALUGUEL ATÉ INDENIZAÇÃO"),"SIM","NÃO")</f>
        <v>NÃO</v>
      </c>
      <c r="BF175" s="134" t="s">
        <v>24</v>
      </c>
      <c r="BG175" s="134" t="s">
        <v>24</v>
      </c>
      <c r="BH175" s="134" t="s">
        <v>24</v>
      </c>
      <c r="BI175" s="198" t="s">
        <v>110</v>
      </c>
      <c r="BJ175" s="198" t="s">
        <v>110</v>
      </c>
      <c r="BK175" s="194">
        <v>45621</v>
      </c>
      <c r="BL175" s="198" t="s">
        <v>110</v>
      </c>
      <c r="BM175" s="145" t="s">
        <v>33</v>
      </c>
      <c r="CI175" s="200"/>
    </row>
    <row r="176" spans="1:87" s="149" customFormat="1" ht="30" customHeight="1">
      <c r="A176" s="134">
        <v>162</v>
      </c>
      <c r="B176" s="134" t="s">
        <v>99</v>
      </c>
      <c r="C176" s="134">
        <v>1</v>
      </c>
      <c r="D176" s="134" t="s">
        <v>100</v>
      </c>
      <c r="E176" s="134" t="s">
        <v>100</v>
      </c>
      <c r="F176" s="138" t="s">
        <v>945</v>
      </c>
      <c r="G176" s="149" t="s">
        <v>1</v>
      </c>
      <c r="H176" s="149" t="s">
        <v>2</v>
      </c>
      <c r="I176" s="149" t="s">
        <v>108</v>
      </c>
      <c r="J176" s="152" t="s">
        <v>946</v>
      </c>
      <c r="K176" s="152" t="s">
        <v>947</v>
      </c>
      <c r="L176" s="152" t="s">
        <v>948</v>
      </c>
      <c r="M176" s="134" t="s">
        <v>4</v>
      </c>
      <c r="N176" s="214" t="s">
        <v>5</v>
      </c>
      <c r="O176" s="194">
        <v>45280</v>
      </c>
      <c r="P176" s="144" t="s">
        <v>24</v>
      </c>
      <c r="Q176" s="144" t="s">
        <v>24</v>
      </c>
      <c r="R176" s="144" t="s">
        <v>24</v>
      </c>
      <c r="S176" s="144" t="s">
        <v>24</v>
      </c>
      <c r="T176" s="144" t="s">
        <v>24</v>
      </c>
      <c r="U176" s="144" t="s">
        <v>24</v>
      </c>
      <c r="V176" s="144" t="s">
        <v>24</v>
      </c>
      <c r="W176" s="144" t="s">
        <v>24</v>
      </c>
      <c r="X176" s="144" t="s">
        <v>24</v>
      </c>
      <c r="Y176" s="144" t="s">
        <v>24</v>
      </c>
      <c r="Z176" s="144" t="s">
        <v>24</v>
      </c>
      <c r="AB176" s="152" t="s">
        <v>946</v>
      </c>
      <c r="AC176" s="152" t="s">
        <v>947</v>
      </c>
      <c r="AD176" s="152" t="s">
        <v>948</v>
      </c>
      <c r="AE176" s="149" t="s">
        <v>108</v>
      </c>
      <c r="AF176" s="149" t="s">
        <v>4</v>
      </c>
      <c r="AG176" s="208">
        <v>26827.54</v>
      </c>
      <c r="AH176" s="208">
        <f>AG176+30000</f>
        <v>56827.54</v>
      </c>
      <c r="AI176" s="232" t="s">
        <v>6</v>
      </c>
      <c r="AJ176" s="138" t="s">
        <v>109</v>
      </c>
      <c r="AK176" s="235"/>
      <c r="AL176" s="149" t="s">
        <v>110</v>
      </c>
      <c r="AM176" s="149" t="s">
        <v>110</v>
      </c>
      <c r="AN176" s="149" t="s">
        <v>111</v>
      </c>
      <c r="AP176" s="199" t="s">
        <v>949</v>
      </c>
      <c r="AQ176" s="149" t="s">
        <v>110</v>
      </c>
      <c r="AR176" s="149" t="s">
        <v>110</v>
      </c>
      <c r="AS176" s="149" t="s">
        <v>110</v>
      </c>
      <c r="AT176" s="149" t="s">
        <v>110</v>
      </c>
      <c r="AU176" s="194">
        <v>45525</v>
      </c>
      <c r="AV176" s="149" t="s">
        <v>110</v>
      </c>
      <c r="AW176" s="149" t="s">
        <v>110</v>
      </c>
      <c r="AX176" s="194">
        <v>45531</v>
      </c>
      <c r="AY176" s="197">
        <v>45531</v>
      </c>
      <c r="AZ176" s="145" t="s">
        <v>33</v>
      </c>
      <c r="BA176" s="145" t="s">
        <v>113</v>
      </c>
      <c r="BB176" s="149" t="s">
        <v>110</v>
      </c>
      <c r="BC176" s="142">
        <f>IF(AY176-KD176=0,"",AY176-O176)</f>
        <v>251</v>
      </c>
      <c r="BD176" s="134" t="str">
        <f>IF(AND(AI176&lt;&gt;"SIM",AI176="UH"),"AA","INDENIZAÇÃO")</f>
        <v>INDENIZAÇÃO</v>
      </c>
      <c r="BE176" s="134" t="str">
        <f>IF(AND(AY176&lt;&gt;"AGUARDANDO",AY176&lt;&gt;"",N176="AUXÍLIO ALUGUEL ATÉ INDENIZAÇÃO"),"SIM","NÃO")</f>
        <v>NÃO</v>
      </c>
      <c r="BF176" s="134" t="s">
        <v>24</v>
      </c>
      <c r="BG176" s="134" t="s">
        <v>24</v>
      </c>
      <c r="BH176" s="134" t="s">
        <v>24</v>
      </c>
      <c r="BI176" s="198" t="s">
        <v>110</v>
      </c>
      <c r="BJ176" s="198" t="s">
        <v>110</v>
      </c>
      <c r="BK176" s="194">
        <v>45559</v>
      </c>
      <c r="BL176" s="198" t="s">
        <v>110</v>
      </c>
      <c r="BM176" s="145" t="s">
        <v>33</v>
      </c>
      <c r="CI176" s="200"/>
    </row>
    <row r="177" spans="1:87" s="149" customFormat="1" ht="30" customHeight="1">
      <c r="A177" s="134">
        <v>163</v>
      </c>
      <c r="B177" s="134" t="s">
        <v>99</v>
      </c>
      <c r="C177" s="134">
        <v>1</v>
      </c>
      <c r="D177" s="134" t="s">
        <v>100</v>
      </c>
      <c r="E177" s="134" t="s">
        <v>100</v>
      </c>
      <c r="F177" s="138" t="s">
        <v>950</v>
      </c>
      <c r="G177" s="149" t="s">
        <v>1</v>
      </c>
      <c r="H177" s="149" t="s">
        <v>2</v>
      </c>
      <c r="I177" s="149" t="s">
        <v>108</v>
      </c>
      <c r="J177" s="152" t="s">
        <v>951</v>
      </c>
      <c r="K177" s="152" t="s">
        <v>952</v>
      </c>
      <c r="L177" s="152" t="s">
        <v>953</v>
      </c>
      <c r="M177" s="134" t="s">
        <v>4</v>
      </c>
      <c r="N177" s="134" t="s">
        <v>5</v>
      </c>
      <c r="O177" s="194">
        <v>45455</v>
      </c>
      <c r="P177" s="144" t="s">
        <v>24</v>
      </c>
      <c r="Q177" s="144" t="s">
        <v>24</v>
      </c>
      <c r="R177" s="144" t="s">
        <v>24</v>
      </c>
      <c r="S177" s="144" t="s">
        <v>24</v>
      </c>
      <c r="T177" s="144" t="s">
        <v>24</v>
      </c>
      <c r="U177" s="144" t="s">
        <v>24</v>
      </c>
      <c r="V177" s="144" t="s">
        <v>24</v>
      </c>
      <c r="W177" s="144" t="s">
        <v>24</v>
      </c>
      <c r="X177" s="144" t="s">
        <v>24</v>
      </c>
      <c r="Y177" s="144" t="s">
        <v>24</v>
      </c>
      <c r="Z177" s="144" t="s">
        <v>24</v>
      </c>
      <c r="AB177" s="152" t="s">
        <v>951</v>
      </c>
      <c r="AC177" s="152" t="s">
        <v>952</v>
      </c>
      <c r="AD177" s="152" t="s">
        <v>953</v>
      </c>
      <c r="AE177" s="149" t="s">
        <v>108</v>
      </c>
      <c r="AF177" s="149" t="s">
        <v>4</v>
      </c>
      <c r="AG177" s="208">
        <v>7969.52</v>
      </c>
      <c r="AH177" s="208">
        <f>AG177+30000</f>
        <v>37969.520000000004</v>
      </c>
      <c r="AI177" s="232" t="s">
        <v>6</v>
      </c>
      <c r="AJ177" s="138" t="s">
        <v>109</v>
      </c>
      <c r="AK177" s="235"/>
      <c r="AL177" s="149" t="s">
        <v>110</v>
      </c>
      <c r="AM177" s="149" t="s">
        <v>110</v>
      </c>
      <c r="AN177" s="149" t="s">
        <v>111</v>
      </c>
      <c r="AP177" s="199" t="s">
        <v>954</v>
      </c>
      <c r="AQ177" s="198" t="s">
        <v>110</v>
      </c>
      <c r="AR177" s="198" t="s">
        <v>110</v>
      </c>
      <c r="AS177" s="149" t="s">
        <v>110</v>
      </c>
      <c r="AT177" s="149" t="s">
        <v>110</v>
      </c>
      <c r="AU177" s="194">
        <v>45525</v>
      </c>
      <c r="AV177" s="149" t="s">
        <v>110</v>
      </c>
      <c r="AW177" s="149" t="s">
        <v>110</v>
      </c>
      <c r="AX177" s="194">
        <v>45531</v>
      </c>
      <c r="AY177" s="197">
        <v>45531</v>
      </c>
      <c r="AZ177" s="145" t="s">
        <v>33</v>
      </c>
      <c r="BA177" s="145" t="s">
        <v>113</v>
      </c>
      <c r="BB177" s="149" t="s">
        <v>110</v>
      </c>
      <c r="BC177" s="142">
        <f>IF(AY177-KD177=0,"",AY177-O177)</f>
        <v>76</v>
      </c>
      <c r="BD177" s="134" t="str">
        <f>IF(AND(AI177&lt;&gt;"SIM",AI177="UH"),"AA","INDENIZAÇÃO")</f>
        <v>INDENIZAÇÃO</v>
      </c>
      <c r="BE177" s="134" t="str">
        <f>IF(AND(AY177&lt;&gt;"AGUARDANDO",AY177&lt;&gt;"",N177="AUXÍLIO ALUGUEL ATÉ INDENIZAÇÃO"),"SIM","NÃO")</f>
        <v>NÃO</v>
      </c>
      <c r="BF177" s="134" t="s">
        <v>24</v>
      </c>
      <c r="BG177" s="134" t="s">
        <v>24</v>
      </c>
      <c r="BH177" s="134" t="s">
        <v>24</v>
      </c>
      <c r="BI177" s="198" t="s">
        <v>110</v>
      </c>
      <c r="BJ177" s="198" t="s">
        <v>110</v>
      </c>
      <c r="BK177" s="194">
        <v>45559</v>
      </c>
      <c r="BL177" s="198" t="s">
        <v>110</v>
      </c>
      <c r="BM177" s="145" t="s">
        <v>33</v>
      </c>
      <c r="CI177" s="200"/>
    </row>
    <row r="178" spans="1:87" s="149" customFormat="1" ht="30" customHeight="1">
      <c r="A178" s="134">
        <v>164</v>
      </c>
      <c r="B178" s="134" t="s">
        <v>99</v>
      </c>
      <c r="C178" s="134">
        <v>1</v>
      </c>
      <c r="D178" s="134" t="s">
        <v>100</v>
      </c>
      <c r="E178" s="134" t="s">
        <v>100</v>
      </c>
      <c r="F178" s="138" t="s">
        <v>955</v>
      </c>
      <c r="G178" s="149" t="s">
        <v>1</v>
      </c>
      <c r="H178" s="149" t="s">
        <v>2</v>
      </c>
      <c r="I178" s="149" t="s">
        <v>108</v>
      </c>
      <c r="J178" s="152" t="s">
        <v>956</v>
      </c>
      <c r="K178" s="152" t="s">
        <v>957</v>
      </c>
      <c r="L178" s="152" t="s">
        <v>958</v>
      </c>
      <c r="M178" s="134" t="s">
        <v>4</v>
      </c>
      <c r="N178" s="134" t="s">
        <v>5</v>
      </c>
      <c r="O178" s="194">
        <v>45792</v>
      </c>
      <c r="P178" s="144" t="s">
        <v>24</v>
      </c>
      <c r="Q178" s="144" t="s">
        <v>24</v>
      </c>
      <c r="R178" s="144" t="s">
        <v>24</v>
      </c>
      <c r="S178" s="144" t="s">
        <v>24</v>
      </c>
      <c r="T178" s="144" t="s">
        <v>24</v>
      </c>
      <c r="U178" s="144" t="s">
        <v>24</v>
      </c>
      <c r="V178" s="144" t="s">
        <v>24</v>
      </c>
      <c r="W178" s="144" t="s">
        <v>24</v>
      </c>
      <c r="X178" s="144" t="s">
        <v>24</v>
      </c>
      <c r="Y178" s="144" t="s">
        <v>24</v>
      </c>
      <c r="Z178" s="144" t="s">
        <v>24</v>
      </c>
      <c r="AB178" s="152" t="s">
        <v>956</v>
      </c>
      <c r="AC178" s="152" t="s">
        <v>957</v>
      </c>
      <c r="AD178" s="152" t="s">
        <v>958</v>
      </c>
      <c r="AE178" s="149" t="s">
        <v>108</v>
      </c>
      <c r="AF178" s="149" t="s">
        <v>4</v>
      </c>
      <c r="AG178" s="208">
        <v>9845.4699999999993</v>
      </c>
      <c r="AH178" s="208">
        <v>39845.47</v>
      </c>
      <c r="AI178" s="232" t="s">
        <v>6</v>
      </c>
      <c r="AJ178" s="138" t="s">
        <v>109</v>
      </c>
      <c r="AK178" s="211">
        <v>93520647</v>
      </c>
      <c r="AL178" s="149" t="s">
        <v>110</v>
      </c>
      <c r="AM178" s="149" t="s">
        <v>110</v>
      </c>
      <c r="AN178" s="149" t="s">
        <v>111</v>
      </c>
      <c r="AP178" s="152" t="s">
        <v>959</v>
      </c>
      <c r="AQ178" s="198" t="s">
        <v>110</v>
      </c>
      <c r="AR178" s="198" t="s">
        <v>110</v>
      </c>
      <c r="AS178" s="198" t="s">
        <v>110</v>
      </c>
      <c r="AT178" s="198" t="s">
        <v>110</v>
      </c>
      <c r="AU178" s="194">
        <v>45834</v>
      </c>
      <c r="AV178" s="198" t="s">
        <v>110</v>
      </c>
      <c r="AW178" s="198" t="s">
        <v>110</v>
      </c>
      <c r="AX178" s="194">
        <v>45842</v>
      </c>
      <c r="AY178" s="197">
        <v>45842</v>
      </c>
      <c r="AZ178" s="145" t="s">
        <v>33</v>
      </c>
      <c r="BA178" s="145" t="s">
        <v>113</v>
      </c>
      <c r="BB178" s="149" t="s">
        <v>110</v>
      </c>
      <c r="BC178" s="142">
        <f>IF(AY178-KD178=0,"",AY178-O178)</f>
        <v>50</v>
      </c>
      <c r="BD178" s="134" t="str">
        <f>IF(AND(AI178&lt;&gt;"SIM",AI178="UH"),"AA","INDENIZAÇÃO")</f>
        <v>INDENIZAÇÃO</v>
      </c>
      <c r="BE178" s="134" t="str">
        <f>IF(AND(AY178&lt;&gt;"AGUARDANDO",AY178&lt;&gt;"",N178="AUXÍLIO ALUGUEL ATÉ INDENIZAÇÃO"),"SIM","NÃO")</f>
        <v>NÃO</v>
      </c>
      <c r="BF178" s="134" t="s">
        <v>24</v>
      </c>
      <c r="BG178" s="134" t="s">
        <v>24</v>
      </c>
      <c r="BH178" s="134" t="s">
        <v>24</v>
      </c>
      <c r="BI178" s="198" t="s">
        <v>110</v>
      </c>
      <c r="BJ178" s="198" t="s">
        <v>110</v>
      </c>
      <c r="BK178" s="194">
        <v>45859</v>
      </c>
      <c r="BL178" s="149" t="s">
        <v>110</v>
      </c>
      <c r="BM178" s="141" t="s">
        <v>33</v>
      </c>
      <c r="CI178" s="200"/>
    </row>
    <row r="179" spans="1:87" s="149" customFormat="1" ht="30" customHeight="1">
      <c r="A179" s="134">
        <v>165</v>
      </c>
      <c r="B179" s="134" t="s">
        <v>99</v>
      </c>
      <c r="C179" s="134">
        <v>1</v>
      </c>
      <c r="D179" s="134" t="s">
        <v>100</v>
      </c>
      <c r="E179" s="134" t="s">
        <v>100</v>
      </c>
      <c r="F179" s="138" t="s">
        <v>960</v>
      </c>
      <c r="G179" s="149" t="s">
        <v>1</v>
      </c>
      <c r="H179" s="149" t="s">
        <v>2</v>
      </c>
      <c r="I179" s="149" t="s">
        <v>108</v>
      </c>
      <c r="J179" s="152" t="s">
        <v>961</v>
      </c>
      <c r="K179" s="152" t="s">
        <v>962</v>
      </c>
      <c r="L179" s="152" t="s">
        <v>963</v>
      </c>
      <c r="M179" s="134" t="s">
        <v>4</v>
      </c>
      <c r="N179" s="214" t="s">
        <v>371</v>
      </c>
      <c r="O179" s="194">
        <v>45268</v>
      </c>
      <c r="P179" s="144" t="s">
        <v>24</v>
      </c>
      <c r="Q179" s="144" t="s">
        <v>24</v>
      </c>
      <c r="R179" s="144" t="s">
        <v>24</v>
      </c>
      <c r="S179" s="144" t="s">
        <v>24</v>
      </c>
      <c r="T179" s="144" t="s">
        <v>24</v>
      </c>
      <c r="U179" s="144" t="s">
        <v>24</v>
      </c>
      <c r="V179" s="144" t="s">
        <v>24</v>
      </c>
      <c r="W179" s="144" t="s">
        <v>24</v>
      </c>
      <c r="X179" s="144" t="s">
        <v>24</v>
      </c>
      <c r="Y179" s="144" t="s">
        <v>24</v>
      </c>
      <c r="Z179" s="144" t="s">
        <v>24</v>
      </c>
      <c r="AB179" s="152" t="s">
        <v>961</v>
      </c>
      <c r="AC179" s="152" t="s">
        <v>962</v>
      </c>
      <c r="AD179" s="152" t="s">
        <v>963</v>
      </c>
      <c r="AE179" s="149" t="s">
        <v>108</v>
      </c>
      <c r="AG179" s="208" t="s">
        <v>371</v>
      </c>
      <c r="AH179" s="208" t="s">
        <v>371</v>
      </c>
      <c r="AI179" s="232" t="s">
        <v>371</v>
      </c>
      <c r="AJ179" s="214" t="s">
        <v>371</v>
      </c>
      <c r="AK179" s="235"/>
      <c r="AP179" s="152"/>
      <c r="BC179" s="142" t="str">
        <f>IF(AY179-KD179=0,"",AY179-O179)</f>
        <v/>
      </c>
      <c r="BD179" s="134" t="str">
        <f>IF(AND(AI179&lt;&gt;"SIM",AI179="UH"),"AA","INDENIZAÇÃO")</f>
        <v>INDENIZAÇÃO</v>
      </c>
      <c r="BE179" s="134" t="str">
        <f>IF(AND(AY179&lt;&gt;"AGUARDANDO",AY179&lt;&gt;"",N179="AUXÍLIO ALUGUEL ATÉ INDENIZAÇÃO"),"SIM","NÃO")</f>
        <v>NÃO</v>
      </c>
      <c r="BF179" s="134"/>
      <c r="BG179" s="194"/>
      <c r="BH179" s="194"/>
      <c r="CI179" s="200"/>
    </row>
    <row r="180" spans="1:87" s="149" customFormat="1" ht="30" customHeight="1">
      <c r="A180" s="134">
        <v>166</v>
      </c>
      <c r="B180" s="134" t="s">
        <v>99</v>
      </c>
      <c r="C180" s="134">
        <v>1</v>
      </c>
      <c r="D180" s="134" t="s">
        <v>100</v>
      </c>
      <c r="E180" s="134" t="s">
        <v>100</v>
      </c>
      <c r="F180" s="138" t="s">
        <v>964</v>
      </c>
      <c r="G180" s="149" t="s">
        <v>344</v>
      </c>
      <c r="H180" s="149" t="s">
        <v>2</v>
      </c>
      <c r="I180" s="149" t="s">
        <v>287</v>
      </c>
      <c r="J180" s="152" t="s">
        <v>965</v>
      </c>
      <c r="K180" s="152" t="s">
        <v>966</v>
      </c>
      <c r="L180" s="152" t="s">
        <v>967</v>
      </c>
      <c r="M180" s="134" t="s">
        <v>4</v>
      </c>
      <c r="N180" s="214"/>
      <c r="O180" s="194"/>
      <c r="P180" s="144"/>
      <c r="Q180" s="263"/>
      <c r="R180" s="144"/>
      <c r="S180" s="144"/>
      <c r="T180" s="144"/>
      <c r="U180" s="144"/>
      <c r="V180" s="144"/>
      <c r="W180" s="144"/>
      <c r="X180" s="144"/>
      <c r="Y180" s="144"/>
      <c r="Z180" s="144"/>
      <c r="AB180" s="152" t="s">
        <v>965</v>
      </c>
      <c r="AC180" s="152" t="s">
        <v>966</v>
      </c>
      <c r="AD180" s="152" t="s">
        <v>967</v>
      </c>
      <c r="AE180" s="134" t="s">
        <v>287</v>
      </c>
      <c r="AG180" s="208"/>
      <c r="AH180" s="208"/>
      <c r="AI180" s="214"/>
      <c r="AJ180" s="239"/>
      <c r="AK180" s="214"/>
      <c r="AP180" s="152"/>
      <c r="BC180" s="142" t="str">
        <f>IF(AY180-KD180=0,"",AY180-O180)</f>
        <v/>
      </c>
      <c r="BD180" s="134" t="str">
        <f>IF(AND(AI180&lt;&gt;"SIM",AI180="UH"),"AA","INDENIZAÇÃO")</f>
        <v>INDENIZAÇÃO</v>
      </c>
      <c r="BE180" s="134" t="str">
        <f>IF(AND(AY180&lt;&gt;"AGUARDANDO",AY180&lt;&gt;"",N180="AUXÍLIO ALUGUEL ATÉ INDENIZAÇÃO"),"SIM","NÃO")</f>
        <v>NÃO</v>
      </c>
      <c r="BF180" s="134"/>
      <c r="BG180" s="194"/>
      <c r="BH180" s="194"/>
      <c r="CI180" s="200"/>
    </row>
    <row r="181" spans="1:87" s="149" customFormat="1" ht="30" customHeight="1">
      <c r="A181" s="134">
        <v>167</v>
      </c>
      <c r="B181" s="134" t="s">
        <v>99</v>
      </c>
      <c r="C181" s="134">
        <v>1</v>
      </c>
      <c r="D181" s="134" t="s">
        <v>100</v>
      </c>
      <c r="E181" s="134" t="s">
        <v>100</v>
      </c>
      <c r="F181" s="138" t="s">
        <v>968</v>
      </c>
      <c r="G181" s="149" t="s">
        <v>1</v>
      </c>
      <c r="H181" s="149" t="s">
        <v>2</v>
      </c>
      <c r="I181" s="149" t="s">
        <v>108</v>
      </c>
      <c r="J181" s="152" t="s">
        <v>969</v>
      </c>
      <c r="K181" s="152" t="s">
        <v>970</v>
      </c>
      <c r="L181" s="152" t="s">
        <v>971</v>
      </c>
      <c r="M181" s="134" t="s">
        <v>4</v>
      </c>
      <c r="N181" s="214" t="s">
        <v>5</v>
      </c>
      <c r="O181" s="194">
        <v>45268</v>
      </c>
      <c r="P181" s="144" t="s">
        <v>24</v>
      </c>
      <c r="Q181" s="144" t="s">
        <v>24</v>
      </c>
      <c r="R181" s="144" t="s">
        <v>24</v>
      </c>
      <c r="S181" s="144" t="s">
        <v>24</v>
      </c>
      <c r="T181" s="144" t="s">
        <v>24</v>
      </c>
      <c r="U181" s="144" t="s">
        <v>24</v>
      </c>
      <c r="V181" s="144" t="s">
        <v>24</v>
      </c>
      <c r="W181" s="144" t="s">
        <v>24</v>
      </c>
      <c r="X181" s="144" t="s">
        <v>24</v>
      </c>
      <c r="Y181" s="144" t="s">
        <v>24</v>
      </c>
      <c r="Z181" s="144" t="s">
        <v>24</v>
      </c>
      <c r="AB181" s="152" t="s">
        <v>972</v>
      </c>
      <c r="AC181" s="152" t="s">
        <v>970</v>
      </c>
      <c r="AD181" s="152" t="s">
        <v>971</v>
      </c>
      <c r="AE181" s="149" t="s">
        <v>108</v>
      </c>
      <c r="AF181" s="149" t="s">
        <v>4</v>
      </c>
      <c r="AG181" s="208">
        <v>54164.37</v>
      </c>
      <c r="AH181" s="208">
        <v>60000</v>
      </c>
      <c r="AI181" s="214" t="s">
        <v>6</v>
      </c>
      <c r="AJ181" s="313" t="s">
        <v>109</v>
      </c>
      <c r="AK181" s="214"/>
      <c r="AL181" s="149" t="s">
        <v>110</v>
      </c>
      <c r="AM181" s="149" t="s">
        <v>110</v>
      </c>
      <c r="AN181" s="149" t="s">
        <v>111</v>
      </c>
      <c r="AO181" s="198"/>
      <c r="AP181" s="199" t="s">
        <v>973</v>
      </c>
      <c r="AQ181" s="198" t="s">
        <v>110</v>
      </c>
      <c r="AR181" s="198" t="s">
        <v>110</v>
      </c>
      <c r="AS181" s="198" t="s">
        <v>110</v>
      </c>
      <c r="AT181" s="198" t="s">
        <v>110</v>
      </c>
      <c r="AU181" s="194">
        <v>45495</v>
      </c>
      <c r="AV181" s="198" t="s">
        <v>110</v>
      </c>
      <c r="AW181" s="198" t="s">
        <v>110</v>
      </c>
      <c r="AX181" s="194">
        <v>45499</v>
      </c>
      <c r="AY181" s="197">
        <v>45499</v>
      </c>
      <c r="AZ181" s="145" t="s">
        <v>33</v>
      </c>
      <c r="BA181" s="145" t="s">
        <v>113</v>
      </c>
      <c r="BB181" s="149" t="s">
        <v>110</v>
      </c>
      <c r="BC181" s="142">
        <f>IF(AY181-KD181=0,"",AY181-O181)</f>
        <v>231</v>
      </c>
      <c r="BD181" s="134" t="str">
        <f>IF(AND(AI181&lt;&gt;"SIM",AI181="UH"),"AA","INDENIZAÇÃO")</f>
        <v>INDENIZAÇÃO</v>
      </c>
      <c r="BE181" s="134" t="str">
        <f>IF(AND(AY181&lt;&gt;"AGUARDANDO",AY181&lt;&gt;"",N181="AUXÍLIO ALUGUEL ATÉ INDENIZAÇÃO"),"SIM","NÃO")</f>
        <v>NÃO</v>
      </c>
      <c r="BF181" s="134" t="s">
        <v>24</v>
      </c>
      <c r="BG181" s="134" t="s">
        <v>24</v>
      </c>
      <c r="BH181" s="134" t="s">
        <v>24</v>
      </c>
      <c r="BI181" s="198" t="s">
        <v>110</v>
      </c>
      <c r="BJ181" s="198" t="s">
        <v>110</v>
      </c>
      <c r="BK181" s="194">
        <v>45559</v>
      </c>
      <c r="BL181" s="198" t="s">
        <v>110</v>
      </c>
      <c r="BM181" s="145" t="s">
        <v>33</v>
      </c>
      <c r="CI181" s="200"/>
    </row>
    <row r="182" spans="1:87" s="149" customFormat="1" ht="30" customHeight="1">
      <c r="A182" s="134">
        <v>168</v>
      </c>
      <c r="B182" s="134" t="s">
        <v>99</v>
      </c>
      <c r="C182" s="134">
        <v>1</v>
      </c>
      <c r="D182" s="134" t="s">
        <v>100</v>
      </c>
      <c r="E182" s="134" t="s">
        <v>100</v>
      </c>
      <c r="F182" s="138" t="s">
        <v>974</v>
      </c>
      <c r="G182" s="149" t="s">
        <v>1</v>
      </c>
      <c r="H182" s="149" t="s">
        <v>2</v>
      </c>
      <c r="I182" s="149" t="s">
        <v>108</v>
      </c>
      <c r="J182" s="152" t="s">
        <v>975</v>
      </c>
      <c r="K182" s="152" t="s">
        <v>976</v>
      </c>
      <c r="L182" s="152" t="s">
        <v>977</v>
      </c>
      <c r="M182" s="134" t="s">
        <v>4</v>
      </c>
      <c r="N182" s="214" t="s">
        <v>5</v>
      </c>
      <c r="O182" s="194">
        <v>45280</v>
      </c>
      <c r="P182" s="144" t="s">
        <v>24</v>
      </c>
      <c r="Q182" s="144" t="s">
        <v>24</v>
      </c>
      <c r="R182" s="144" t="s">
        <v>24</v>
      </c>
      <c r="S182" s="144" t="s">
        <v>24</v>
      </c>
      <c r="T182" s="144" t="s">
        <v>24</v>
      </c>
      <c r="U182" s="144" t="s">
        <v>24</v>
      </c>
      <c r="V182" s="144" t="s">
        <v>24</v>
      </c>
      <c r="W182" s="144" t="s">
        <v>24</v>
      </c>
      <c r="X182" s="144" t="s">
        <v>24</v>
      </c>
      <c r="Y182" s="144" t="s">
        <v>24</v>
      </c>
      <c r="Z182" s="144" t="s">
        <v>24</v>
      </c>
      <c r="AB182" s="152" t="s">
        <v>975</v>
      </c>
      <c r="AC182" s="152" t="s">
        <v>976</v>
      </c>
      <c r="AD182" s="152" t="s">
        <v>977</v>
      </c>
      <c r="AE182" s="149" t="s">
        <v>108</v>
      </c>
      <c r="AF182" s="149" t="s">
        <v>4</v>
      </c>
      <c r="AG182" s="208">
        <v>0</v>
      </c>
      <c r="AH182" s="208">
        <v>60000</v>
      </c>
      <c r="AI182" s="232" t="s">
        <v>6</v>
      </c>
      <c r="AJ182" s="138" t="s">
        <v>109</v>
      </c>
      <c r="AK182" s="235"/>
      <c r="AL182" s="149" t="s">
        <v>110</v>
      </c>
      <c r="AM182" s="149" t="s">
        <v>110</v>
      </c>
      <c r="AN182" s="149" t="s">
        <v>111</v>
      </c>
      <c r="AP182" s="199" t="s">
        <v>978</v>
      </c>
      <c r="AQ182" s="149" t="s">
        <v>110</v>
      </c>
      <c r="AR182" s="149" t="s">
        <v>110</v>
      </c>
      <c r="AS182" s="149" t="s">
        <v>110</v>
      </c>
      <c r="AT182" s="149" t="s">
        <v>110</v>
      </c>
      <c r="AU182" s="194">
        <v>45373</v>
      </c>
      <c r="AV182" s="149" t="s">
        <v>110</v>
      </c>
      <c r="AW182" s="149" t="s">
        <v>110</v>
      </c>
      <c r="AX182" s="194">
        <v>45384</v>
      </c>
      <c r="AY182" s="197">
        <v>45384</v>
      </c>
      <c r="AZ182" s="197" t="s">
        <v>33</v>
      </c>
      <c r="BA182" s="145" t="s">
        <v>113</v>
      </c>
      <c r="BB182" s="149" t="s">
        <v>110</v>
      </c>
      <c r="BC182" s="142">
        <f>IF(AY182-KD182=0,"",AY182-O182)</f>
        <v>104</v>
      </c>
      <c r="BD182" s="134" t="str">
        <f>IF(AND(AI182&lt;&gt;"SIM",AI182="UH"),"AA","INDENIZAÇÃO")</f>
        <v>INDENIZAÇÃO</v>
      </c>
      <c r="BE182" s="134" t="str">
        <f>IF(AND(AY182&lt;&gt;"AGUARDANDO",AY182&lt;&gt;"",N182="AUXÍLIO ALUGUEL ATÉ INDENIZAÇÃO"),"SIM","NÃO")</f>
        <v>NÃO</v>
      </c>
      <c r="BF182" s="134" t="s">
        <v>24</v>
      </c>
      <c r="BG182" s="134" t="s">
        <v>24</v>
      </c>
      <c r="BH182" s="134" t="s">
        <v>24</v>
      </c>
      <c r="BI182" s="149" t="s">
        <v>110</v>
      </c>
      <c r="BJ182" s="149" t="s">
        <v>110</v>
      </c>
      <c r="BK182" s="194">
        <v>45510</v>
      </c>
      <c r="BL182" s="149" t="s">
        <v>110</v>
      </c>
      <c r="BM182" s="145" t="s">
        <v>33</v>
      </c>
      <c r="CI182" s="200"/>
    </row>
    <row r="183" spans="1:87" s="149" customFormat="1" ht="30" customHeight="1">
      <c r="A183" s="134">
        <v>169</v>
      </c>
      <c r="B183" s="134" t="s">
        <v>99</v>
      </c>
      <c r="C183" s="134">
        <v>1</v>
      </c>
      <c r="D183" s="134" t="s">
        <v>100</v>
      </c>
      <c r="E183" s="134" t="s">
        <v>100</v>
      </c>
      <c r="F183" s="138" t="s">
        <v>979</v>
      </c>
      <c r="G183" s="149" t="s">
        <v>1</v>
      </c>
      <c r="H183" s="149" t="s">
        <v>2</v>
      </c>
      <c r="I183" s="149" t="s">
        <v>108</v>
      </c>
      <c r="J183" s="152" t="s">
        <v>980</v>
      </c>
      <c r="K183" s="152" t="s">
        <v>981</v>
      </c>
      <c r="L183" s="152" t="s">
        <v>982</v>
      </c>
      <c r="M183" s="134" t="s">
        <v>4</v>
      </c>
      <c r="N183" s="214" t="s">
        <v>5</v>
      </c>
      <c r="O183" s="194">
        <v>45268</v>
      </c>
      <c r="P183" s="144" t="s">
        <v>24</v>
      </c>
      <c r="Q183" s="144" t="s">
        <v>24</v>
      </c>
      <c r="R183" s="144" t="s">
        <v>24</v>
      </c>
      <c r="S183" s="144" t="s">
        <v>24</v>
      </c>
      <c r="T183" s="144" t="s">
        <v>24</v>
      </c>
      <c r="U183" s="144" t="s">
        <v>24</v>
      </c>
      <c r="V183" s="144" t="s">
        <v>24</v>
      </c>
      <c r="W183" s="144" t="s">
        <v>24</v>
      </c>
      <c r="X183" s="144" t="s">
        <v>24</v>
      </c>
      <c r="Y183" s="144" t="s">
        <v>24</v>
      </c>
      <c r="Z183" s="144" t="s">
        <v>24</v>
      </c>
      <c r="AB183" s="152" t="s">
        <v>980</v>
      </c>
      <c r="AC183" s="152" t="s">
        <v>981</v>
      </c>
      <c r="AD183" s="152" t="s">
        <v>982</v>
      </c>
      <c r="AE183" s="149" t="s">
        <v>108</v>
      </c>
      <c r="AF183" s="149" t="s">
        <v>4</v>
      </c>
      <c r="AG183" s="208">
        <v>49916.49</v>
      </c>
      <c r="AH183" s="208">
        <v>60000</v>
      </c>
      <c r="AI183" s="214" t="s">
        <v>6</v>
      </c>
      <c r="AJ183" s="138" t="s">
        <v>109</v>
      </c>
      <c r="AK183" s="214"/>
      <c r="AL183" s="149" t="s">
        <v>110</v>
      </c>
      <c r="AM183" s="149" t="s">
        <v>110</v>
      </c>
      <c r="AN183" s="149" t="s">
        <v>111</v>
      </c>
      <c r="AP183" s="199" t="s">
        <v>983</v>
      </c>
      <c r="AQ183" s="149" t="s">
        <v>110</v>
      </c>
      <c r="AR183" s="149" t="s">
        <v>110</v>
      </c>
      <c r="AS183" s="149" t="s">
        <v>110</v>
      </c>
      <c r="AT183" s="149" t="s">
        <v>110</v>
      </c>
      <c r="AU183" s="194">
        <v>45373</v>
      </c>
      <c r="AV183" s="149" t="s">
        <v>110</v>
      </c>
      <c r="AW183" s="149" t="s">
        <v>110</v>
      </c>
      <c r="AX183" s="194">
        <v>45476</v>
      </c>
      <c r="AY183" s="197">
        <v>45476</v>
      </c>
      <c r="AZ183" s="145" t="s">
        <v>33</v>
      </c>
      <c r="BA183" s="145" t="s">
        <v>113</v>
      </c>
      <c r="BB183" s="149" t="s">
        <v>110</v>
      </c>
      <c r="BC183" s="142">
        <f>IF(AY183-KD183=0,"",AY183-O183)</f>
        <v>208</v>
      </c>
      <c r="BD183" s="134" t="str">
        <f>IF(AND(AI183&lt;&gt;"SIM",AI183="UH"),"AA","INDENIZAÇÃO")</f>
        <v>INDENIZAÇÃO</v>
      </c>
      <c r="BE183" s="134" t="str">
        <f>IF(AND(AY183&lt;&gt;"AGUARDANDO",AY183&lt;&gt;"",N183="AUXÍLIO ALUGUEL ATÉ INDENIZAÇÃO"),"SIM","NÃO")</f>
        <v>NÃO</v>
      </c>
      <c r="BF183" s="134" t="s">
        <v>24</v>
      </c>
      <c r="BG183" s="134" t="s">
        <v>24</v>
      </c>
      <c r="BH183" s="134" t="s">
        <v>24</v>
      </c>
      <c r="BI183" s="198" t="s">
        <v>110</v>
      </c>
      <c r="BJ183" s="198" t="s">
        <v>110</v>
      </c>
      <c r="BK183" s="194">
        <v>45559</v>
      </c>
      <c r="BL183" s="198" t="s">
        <v>110</v>
      </c>
      <c r="BM183" s="145" t="s">
        <v>33</v>
      </c>
      <c r="CI183" s="200"/>
    </row>
    <row r="184" spans="1:87" s="149" customFormat="1" ht="30" customHeight="1">
      <c r="A184" s="134">
        <v>170</v>
      </c>
      <c r="B184" s="134" t="s">
        <v>99</v>
      </c>
      <c r="C184" s="134">
        <v>1</v>
      </c>
      <c r="D184" s="134" t="s">
        <v>100</v>
      </c>
      <c r="E184" s="134" t="s">
        <v>100</v>
      </c>
      <c r="F184" s="138" t="s">
        <v>984</v>
      </c>
      <c r="G184" s="149" t="s">
        <v>1</v>
      </c>
      <c r="H184" s="149" t="s">
        <v>2</v>
      </c>
      <c r="I184" s="149" t="s">
        <v>108</v>
      </c>
      <c r="J184" s="152" t="s">
        <v>985</v>
      </c>
      <c r="K184" s="152" t="s">
        <v>986</v>
      </c>
      <c r="L184" s="152" t="s">
        <v>987</v>
      </c>
      <c r="M184" s="134" t="s">
        <v>4</v>
      </c>
      <c r="N184" s="214" t="s">
        <v>5</v>
      </c>
      <c r="O184" s="194">
        <v>45280</v>
      </c>
      <c r="P184" s="144" t="s">
        <v>24</v>
      </c>
      <c r="Q184" s="144" t="s">
        <v>24</v>
      </c>
      <c r="R184" s="144" t="s">
        <v>24</v>
      </c>
      <c r="S184" s="144" t="s">
        <v>24</v>
      </c>
      <c r="T184" s="144" t="s">
        <v>24</v>
      </c>
      <c r="U184" s="144" t="s">
        <v>24</v>
      </c>
      <c r="V184" s="144" t="s">
        <v>24</v>
      </c>
      <c r="W184" s="144" t="s">
        <v>24</v>
      </c>
      <c r="X184" s="144" t="s">
        <v>24</v>
      </c>
      <c r="Y184" s="144" t="s">
        <v>24</v>
      </c>
      <c r="Z184" s="144" t="s">
        <v>24</v>
      </c>
      <c r="AB184" s="152" t="s">
        <v>985</v>
      </c>
      <c r="AC184" s="152" t="s">
        <v>986</v>
      </c>
      <c r="AD184" s="152" t="s">
        <v>987</v>
      </c>
      <c r="AE184" s="149" t="s">
        <v>108</v>
      </c>
      <c r="AF184" s="149" t="s">
        <v>4</v>
      </c>
      <c r="AG184" s="208">
        <v>34854.42</v>
      </c>
      <c r="AH184" s="208">
        <v>60000</v>
      </c>
      <c r="AI184" s="232" t="s">
        <v>6</v>
      </c>
      <c r="AJ184" s="138" t="s">
        <v>109</v>
      </c>
      <c r="AK184" s="235"/>
      <c r="AL184" s="149" t="s">
        <v>110</v>
      </c>
      <c r="AM184" s="149" t="s">
        <v>110</v>
      </c>
      <c r="AN184" s="149" t="s">
        <v>111</v>
      </c>
      <c r="AP184" s="199" t="s">
        <v>988</v>
      </c>
      <c r="AQ184" s="149" t="s">
        <v>110</v>
      </c>
      <c r="AR184" s="149" t="s">
        <v>110</v>
      </c>
      <c r="AS184" s="149" t="s">
        <v>110</v>
      </c>
      <c r="AT184" s="149" t="s">
        <v>110</v>
      </c>
      <c r="AU184" s="194">
        <v>45373</v>
      </c>
      <c r="AV184" s="149" t="s">
        <v>110</v>
      </c>
      <c r="AW184" s="149" t="s">
        <v>110</v>
      </c>
      <c r="AX184" s="194">
        <v>45384</v>
      </c>
      <c r="AY184" s="197">
        <v>45384</v>
      </c>
      <c r="AZ184" s="197" t="s">
        <v>33</v>
      </c>
      <c r="BA184" s="145" t="s">
        <v>113</v>
      </c>
      <c r="BB184" s="149" t="s">
        <v>110</v>
      </c>
      <c r="BC184" s="142">
        <f>IF(AY184-KD184=0,"",AY184-O184)</f>
        <v>104</v>
      </c>
      <c r="BD184" s="134" t="str">
        <f>IF(AND(AI184&lt;&gt;"SIM",AI184="UH"),"AA","INDENIZAÇÃO")</f>
        <v>INDENIZAÇÃO</v>
      </c>
      <c r="BE184" s="134" t="str">
        <f>IF(AND(AY184&lt;&gt;"AGUARDANDO",AY184&lt;&gt;"",N184="AUXÍLIO ALUGUEL ATÉ INDENIZAÇÃO"),"SIM","NÃO")</f>
        <v>NÃO</v>
      </c>
      <c r="BF184" s="134" t="s">
        <v>24</v>
      </c>
      <c r="BG184" s="134" t="s">
        <v>24</v>
      </c>
      <c r="BH184" s="134" t="s">
        <v>24</v>
      </c>
      <c r="BI184" s="149" t="s">
        <v>110</v>
      </c>
      <c r="BJ184" s="149" t="s">
        <v>110</v>
      </c>
      <c r="BK184" s="194">
        <v>45510</v>
      </c>
      <c r="BL184" s="149" t="s">
        <v>110</v>
      </c>
      <c r="BM184" s="145" t="s">
        <v>33</v>
      </c>
      <c r="CI184" s="200"/>
    </row>
    <row r="185" spans="1:87" s="149" customFormat="1" ht="30" customHeight="1">
      <c r="A185" s="134">
        <v>171</v>
      </c>
      <c r="B185" s="134" t="s">
        <v>99</v>
      </c>
      <c r="C185" s="134">
        <v>1</v>
      </c>
      <c r="D185" s="134" t="s">
        <v>100</v>
      </c>
      <c r="E185" s="134" t="s">
        <v>100</v>
      </c>
      <c r="F185" s="138" t="s">
        <v>989</v>
      </c>
      <c r="G185" s="149" t="s">
        <v>1</v>
      </c>
      <c r="H185" s="149" t="s">
        <v>2</v>
      </c>
      <c r="I185" s="149" t="s">
        <v>108</v>
      </c>
      <c r="J185" s="152" t="s">
        <v>990</v>
      </c>
      <c r="K185" s="152" t="s">
        <v>991</v>
      </c>
      <c r="L185" s="152" t="s">
        <v>992</v>
      </c>
      <c r="M185" s="134" t="s">
        <v>4</v>
      </c>
      <c r="N185" s="214" t="s">
        <v>5</v>
      </c>
      <c r="O185" s="194">
        <v>45280</v>
      </c>
      <c r="P185" s="144" t="s">
        <v>24</v>
      </c>
      <c r="Q185" s="144" t="s">
        <v>24</v>
      </c>
      <c r="R185" s="144" t="s">
        <v>24</v>
      </c>
      <c r="S185" s="144" t="s">
        <v>24</v>
      </c>
      <c r="T185" s="144" t="s">
        <v>24</v>
      </c>
      <c r="U185" s="144" t="s">
        <v>24</v>
      </c>
      <c r="V185" s="144" t="s">
        <v>24</v>
      </c>
      <c r="W185" s="144" t="s">
        <v>24</v>
      </c>
      <c r="X185" s="144" t="s">
        <v>24</v>
      </c>
      <c r="Y185" s="144" t="s">
        <v>24</v>
      </c>
      <c r="Z185" s="144" t="s">
        <v>24</v>
      </c>
      <c r="AB185" s="152" t="s">
        <v>990</v>
      </c>
      <c r="AC185" s="152" t="s">
        <v>991</v>
      </c>
      <c r="AD185" s="152" t="s">
        <v>992</v>
      </c>
      <c r="AE185" s="149" t="s">
        <v>108</v>
      </c>
      <c r="AF185" s="149" t="s">
        <v>4</v>
      </c>
      <c r="AG185" s="208">
        <v>26350.240000000002</v>
      </c>
      <c r="AH185" s="208">
        <v>56350.239999999998</v>
      </c>
      <c r="AI185" s="214" t="s">
        <v>6</v>
      </c>
      <c r="AJ185" s="312" t="s">
        <v>109</v>
      </c>
      <c r="AK185" s="214"/>
      <c r="AL185" s="149" t="s">
        <v>110</v>
      </c>
      <c r="AM185" s="149" t="s">
        <v>110</v>
      </c>
      <c r="AN185" s="149" t="s">
        <v>111</v>
      </c>
      <c r="AP185" s="199" t="s">
        <v>993</v>
      </c>
      <c r="AQ185" s="149" t="s">
        <v>110</v>
      </c>
      <c r="AR185" s="149" t="s">
        <v>110</v>
      </c>
      <c r="AS185" s="149" t="s">
        <v>110</v>
      </c>
      <c r="AT185" s="149" t="s">
        <v>110</v>
      </c>
      <c r="AU185" s="194">
        <v>45373</v>
      </c>
      <c r="AV185" s="149" t="s">
        <v>110</v>
      </c>
      <c r="AW185" s="149" t="s">
        <v>110</v>
      </c>
      <c r="AX185" s="194">
        <v>45384</v>
      </c>
      <c r="AY185" s="197">
        <v>45384</v>
      </c>
      <c r="AZ185" s="197" t="s">
        <v>33</v>
      </c>
      <c r="BA185" s="145" t="s">
        <v>113</v>
      </c>
      <c r="BB185" s="149" t="s">
        <v>110</v>
      </c>
      <c r="BC185" s="142">
        <f>IF(AY185-KD185=0,"",AY185-O185)</f>
        <v>104</v>
      </c>
      <c r="BD185" s="134" t="str">
        <f>IF(AND(AI185&lt;&gt;"SIM",AI185="UH"),"AA","INDENIZAÇÃO")</f>
        <v>INDENIZAÇÃO</v>
      </c>
      <c r="BE185" s="134" t="str">
        <f>IF(AND(AY185&lt;&gt;"AGUARDANDO",AY185&lt;&gt;"",N185="AUXÍLIO ALUGUEL ATÉ INDENIZAÇÃO"),"SIM","NÃO")</f>
        <v>NÃO</v>
      </c>
      <c r="BF185" s="134" t="s">
        <v>24</v>
      </c>
      <c r="BG185" s="134" t="s">
        <v>24</v>
      </c>
      <c r="BH185" s="134" t="s">
        <v>24</v>
      </c>
      <c r="BI185" s="149" t="s">
        <v>110</v>
      </c>
      <c r="BJ185" s="149" t="s">
        <v>110</v>
      </c>
      <c r="BK185" s="194">
        <v>45510</v>
      </c>
      <c r="BL185" s="149" t="s">
        <v>110</v>
      </c>
      <c r="BM185" s="145" t="s">
        <v>33</v>
      </c>
      <c r="CI185" s="200"/>
    </row>
    <row r="186" spans="1:87" s="149" customFormat="1" ht="30" customHeight="1">
      <c r="A186" s="134">
        <v>172</v>
      </c>
      <c r="B186" s="134" t="s">
        <v>99</v>
      </c>
      <c r="C186" s="134">
        <v>1</v>
      </c>
      <c r="D186" s="134" t="s">
        <v>100</v>
      </c>
      <c r="E186" s="134" t="s">
        <v>100</v>
      </c>
      <c r="F186" s="138" t="s">
        <v>994</v>
      </c>
      <c r="G186" s="149" t="s">
        <v>1</v>
      </c>
      <c r="H186" s="149" t="s">
        <v>2</v>
      </c>
      <c r="I186" s="149" t="s">
        <v>108</v>
      </c>
      <c r="J186" s="152" t="s">
        <v>995</v>
      </c>
      <c r="K186" s="152" t="s">
        <v>996</v>
      </c>
      <c r="L186" s="152" t="s">
        <v>997</v>
      </c>
      <c r="M186" s="134" t="s">
        <v>4</v>
      </c>
      <c r="N186" s="214" t="s">
        <v>5</v>
      </c>
      <c r="O186" s="194">
        <v>45302</v>
      </c>
      <c r="P186" s="144" t="s">
        <v>24</v>
      </c>
      <c r="Q186" s="144" t="s">
        <v>24</v>
      </c>
      <c r="R186" s="144" t="s">
        <v>24</v>
      </c>
      <c r="S186" s="144" t="s">
        <v>24</v>
      </c>
      <c r="T186" s="144" t="s">
        <v>24</v>
      </c>
      <c r="U186" s="144" t="s">
        <v>24</v>
      </c>
      <c r="V186" s="144" t="s">
        <v>24</v>
      </c>
      <c r="W186" s="144" t="s">
        <v>24</v>
      </c>
      <c r="X186" s="144" t="s">
        <v>24</v>
      </c>
      <c r="Y186" s="144" t="s">
        <v>24</v>
      </c>
      <c r="Z186" s="144" t="s">
        <v>24</v>
      </c>
      <c r="AB186" s="152" t="s">
        <v>995</v>
      </c>
      <c r="AC186" s="152" t="s">
        <v>996</v>
      </c>
      <c r="AD186" s="152" t="s">
        <v>997</v>
      </c>
      <c r="AE186" s="149" t="s">
        <v>108</v>
      </c>
      <c r="AF186" s="149" t="s">
        <v>4</v>
      </c>
      <c r="AG186" s="208">
        <v>12745.69</v>
      </c>
      <c r="AH186" s="208">
        <v>42745.69</v>
      </c>
      <c r="AI186" s="232" t="s">
        <v>6</v>
      </c>
      <c r="AJ186" s="138" t="s">
        <v>109</v>
      </c>
      <c r="AK186" s="235"/>
      <c r="AL186" s="149" t="s">
        <v>110</v>
      </c>
      <c r="AM186" s="149" t="s">
        <v>110</v>
      </c>
      <c r="AN186" s="149" t="s">
        <v>111</v>
      </c>
      <c r="AP186" s="199" t="s">
        <v>998</v>
      </c>
      <c r="AQ186" s="149" t="s">
        <v>110</v>
      </c>
      <c r="AR186" s="149" t="s">
        <v>110</v>
      </c>
      <c r="AS186" s="198" t="s">
        <v>110</v>
      </c>
      <c r="AT186" s="198" t="s">
        <v>110</v>
      </c>
      <c r="AU186" s="194">
        <v>45498</v>
      </c>
      <c r="AV186" s="198" t="s">
        <v>110</v>
      </c>
      <c r="AW186" s="198" t="s">
        <v>110</v>
      </c>
      <c r="AX186" s="219">
        <v>45526</v>
      </c>
      <c r="AY186" s="197">
        <v>45526</v>
      </c>
      <c r="AZ186" s="145" t="s">
        <v>33</v>
      </c>
      <c r="BA186" s="145" t="s">
        <v>113</v>
      </c>
      <c r="BB186" s="149" t="s">
        <v>110</v>
      </c>
      <c r="BC186" s="142">
        <f>IF(AY186-KD186=0,"",AY186-O186)</f>
        <v>224</v>
      </c>
      <c r="BD186" s="134" t="str">
        <f>IF(AND(AI186&lt;&gt;"SIM",AI186="UH"),"AA","INDENIZAÇÃO")</f>
        <v>INDENIZAÇÃO</v>
      </c>
      <c r="BE186" s="134" t="str">
        <f>IF(AND(AY186&lt;&gt;"AGUARDANDO",AY186&lt;&gt;"",N186="AUXÍLIO ALUGUEL ATÉ INDENIZAÇÃO"),"SIM","NÃO")</f>
        <v>NÃO</v>
      </c>
      <c r="BF186" s="134" t="s">
        <v>24</v>
      </c>
      <c r="BG186" s="134" t="s">
        <v>24</v>
      </c>
      <c r="BH186" s="134" t="s">
        <v>24</v>
      </c>
      <c r="BI186" s="198" t="s">
        <v>110</v>
      </c>
      <c r="BJ186" s="198" t="s">
        <v>110</v>
      </c>
      <c r="BK186" s="194">
        <v>45559</v>
      </c>
      <c r="BL186" s="198" t="s">
        <v>110</v>
      </c>
      <c r="BM186" s="145" t="s">
        <v>33</v>
      </c>
      <c r="CI186" s="200"/>
    </row>
    <row r="187" spans="1:87" s="149" customFormat="1" ht="30" customHeight="1">
      <c r="A187" s="134">
        <v>173</v>
      </c>
      <c r="B187" s="245" t="s">
        <v>99</v>
      </c>
      <c r="C187" s="245">
        <v>1</v>
      </c>
      <c r="D187" s="245" t="s">
        <v>100</v>
      </c>
      <c r="E187" s="245" t="s">
        <v>100</v>
      </c>
      <c r="F187" s="246" t="s">
        <v>999</v>
      </c>
      <c r="G187" s="149" t="s">
        <v>344</v>
      </c>
      <c r="H187" s="149" t="s">
        <v>2</v>
      </c>
      <c r="I187" s="149" t="s">
        <v>108</v>
      </c>
      <c r="J187" s="152" t="s">
        <v>1000</v>
      </c>
      <c r="K187" s="152" t="s">
        <v>1001</v>
      </c>
      <c r="L187" s="152" t="s">
        <v>1002</v>
      </c>
      <c r="M187" s="245" t="s">
        <v>4</v>
      </c>
      <c r="N187" s="245" t="s">
        <v>5</v>
      </c>
      <c r="O187" s="256">
        <v>45539</v>
      </c>
      <c r="P187" s="249" t="s">
        <v>24</v>
      </c>
      <c r="Q187" s="249" t="s">
        <v>24</v>
      </c>
      <c r="R187" s="249" t="s">
        <v>24</v>
      </c>
      <c r="S187" s="249" t="s">
        <v>24</v>
      </c>
      <c r="T187" s="249" t="s">
        <v>24</v>
      </c>
      <c r="U187" s="249" t="s">
        <v>24</v>
      </c>
      <c r="V187" s="249" t="s">
        <v>24</v>
      </c>
      <c r="W187" s="249" t="s">
        <v>24</v>
      </c>
      <c r="X187" s="249" t="s">
        <v>24</v>
      </c>
      <c r="Y187" s="249" t="s">
        <v>24</v>
      </c>
      <c r="Z187" s="249" t="s">
        <v>24</v>
      </c>
      <c r="AA187" s="250"/>
      <c r="AB187" s="152" t="s">
        <v>1000</v>
      </c>
      <c r="AC187" s="152" t="s">
        <v>1001</v>
      </c>
      <c r="AD187" s="152" t="s">
        <v>1003</v>
      </c>
      <c r="AE187" s="149" t="s">
        <v>108</v>
      </c>
      <c r="AF187" s="250" t="s">
        <v>4</v>
      </c>
      <c r="AG187" s="208">
        <v>52949.65</v>
      </c>
      <c r="AH187" s="208">
        <v>60000</v>
      </c>
      <c r="AI187" s="251" t="s">
        <v>6</v>
      </c>
      <c r="AJ187" s="246" t="s">
        <v>109</v>
      </c>
      <c r="AK187" s="257"/>
      <c r="AL187" s="250" t="s">
        <v>110</v>
      </c>
      <c r="AM187" s="250" t="s">
        <v>110</v>
      </c>
      <c r="AN187" s="250" t="s">
        <v>111</v>
      </c>
      <c r="AO187" s="250"/>
      <c r="AP187" s="253" t="s">
        <v>1004</v>
      </c>
      <c r="AQ187" s="250" t="s">
        <v>110</v>
      </c>
      <c r="AR187" s="250" t="s">
        <v>110</v>
      </c>
      <c r="AS187" s="250" t="s">
        <v>110</v>
      </c>
      <c r="AT187" s="250" t="s">
        <v>110</v>
      </c>
      <c r="AU187" s="248">
        <v>45755</v>
      </c>
      <c r="AV187" s="250" t="s">
        <v>110</v>
      </c>
      <c r="AW187" s="250" t="s">
        <v>110</v>
      </c>
      <c r="AX187" s="248">
        <v>45762</v>
      </c>
      <c r="AY187" s="254">
        <v>45762</v>
      </c>
      <c r="AZ187" s="245" t="s">
        <v>360</v>
      </c>
      <c r="BA187" s="245" t="s">
        <v>1</v>
      </c>
      <c r="BB187" s="250" t="s">
        <v>110</v>
      </c>
      <c r="BC187" s="142">
        <f>IF(AY187-KD187=0,"",AY187-O187)</f>
        <v>223</v>
      </c>
      <c r="BD187" s="134" t="str">
        <f>IF(AND(AI187&lt;&gt;"SIM",AI187="UH"),"AA","INDENIZAÇÃO")</f>
        <v>INDENIZAÇÃO</v>
      </c>
      <c r="BE187" s="134" t="str">
        <f>IF(AND(AY187&lt;&gt;"AGUARDANDO",AY187&lt;&gt;"",N187="AUXÍLIO ALUGUEL ATÉ INDENIZAÇÃO"),"SIM","NÃO")</f>
        <v>NÃO</v>
      </c>
      <c r="BF187" s="250" t="s">
        <v>24</v>
      </c>
      <c r="BG187" s="250" t="s">
        <v>24</v>
      </c>
      <c r="BH187" s="250" t="s">
        <v>24</v>
      </c>
      <c r="BI187" s="250" t="s">
        <v>110</v>
      </c>
      <c r="BJ187" s="250" t="s">
        <v>110</v>
      </c>
      <c r="BK187" s="248">
        <v>45783</v>
      </c>
      <c r="BL187" s="250" t="s">
        <v>110</v>
      </c>
      <c r="BM187" s="250" t="s">
        <v>33</v>
      </c>
      <c r="CI187" s="200"/>
    </row>
    <row r="188" spans="1:87" s="149" customFormat="1" ht="30" customHeight="1">
      <c r="A188" s="134">
        <v>174</v>
      </c>
      <c r="B188" s="245" t="s">
        <v>99</v>
      </c>
      <c r="C188" s="245">
        <v>1</v>
      </c>
      <c r="D188" s="245" t="s">
        <v>100</v>
      </c>
      <c r="E188" s="245" t="s">
        <v>100</v>
      </c>
      <c r="F188" s="246" t="s">
        <v>1005</v>
      </c>
      <c r="G188" s="149" t="s">
        <v>1</v>
      </c>
      <c r="H188" s="149" t="s">
        <v>2</v>
      </c>
      <c r="I188" s="149" t="s">
        <v>108</v>
      </c>
      <c r="J188" s="152" t="s">
        <v>1006</v>
      </c>
      <c r="K188" s="152" t="s">
        <v>1007</v>
      </c>
      <c r="L188" s="152" t="s">
        <v>1008</v>
      </c>
      <c r="M188" s="245" t="s">
        <v>4</v>
      </c>
      <c r="N188" s="245" t="s">
        <v>5</v>
      </c>
      <c r="O188" s="256">
        <v>45455</v>
      </c>
      <c r="P188" s="249" t="s">
        <v>24</v>
      </c>
      <c r="Q188" s="249" t="s">
        <v>24</v>
      </c>
      <c r="R188" s="249" t="s">
        <v>24</v>
      </c>
      <c r="S188" s="249" t="s">
        <v>24</v>
      </c>
      <c r="T188" s="249" t="s">
        <v>24</v>
      </c>
      <c r="U188" s="249" t="s">
        <v>24</v>
      </c>
      <c r="V188" s="249" t="s">
        <v>24</v>
      </c>
      <c r="W188" s="249" t="s">
        <v>24</v>
      </c>
      <c r="X188" s="249" t="s">
        <v>24</v>
      </c>
      <c r="Y188" s="249" t="s">
        <v>24</v>
      </c>
      <c r="Z188" s="249" t="s">
        <v>24</v>
      </c>
      <c r="AA188" s="250"/>
      <c r="AB188" s="152" t="s">
        <v>1006</v>
      </c>
      <c r="AC188" s="152" t="s">
        <v>1007</v>
      </c>
      <c r="AD188" s="152" t="s">
        <v>1008</v>
      </c>
      <c r="AE188" s="149" t="s">
        <v>108</v>
      </c>
      <c r="AF188" s="250" t="s">
        <v>4</v>
      </c>
      <c r="AG188" s="208">
        <v>38912.26</v>
      </c>
      <c r="AH188" s="208">
        <v>60000</v>
      </c>
      <c r="AI188" s="251" t="s">
        <v>6</v>
      </c>
      <c r="AJ188" s="246" t="s">
        <v>109</v>
      </c>
      <c r="AK188" s="257"/>
      <c r="AL188" s="250" t="s">
        <v>110</v>
      </c>
      <c r="AM188" s="250" t="s">
        <v>110</v>
      </c>
      <c r="AN188" s="250" t="s">
        <v>111</v>
      </c>
      <c r="AO188" s="250"/>
      <c r="AP188" s="253" t="s">
        <v>1009</v>
      </c>
      <c r="AQ188" s="250" t="s">
        <v>110</v>
      </c>
      <c r="AR188" s="250" t="s">
        <v>110</v>
      </c>
      <c r="AS188" s="250" t="s">
        <v>110</v>
      </c>
      <c r="AT188" s="250" t="s">
        <v>110</v>
      </c>
      <c r="AU188" s="256">
        <v>45525</v>
      </c>
      <c r="AV188" s="250" t="s">
        <v>110</v>
      </c>
      <c r="AW188" s="250" t="s">
        <v>110</v>
      </c>
      <c r="AX188" s="256">
        <v>45531</v>
      </c>
      <c r="AY188" s="249">
        <v>45531</v>
      </c>
      <c r="AZ188" s="245" t="s">
        <v>360</v>
      </c>
      <c r="BA188" s="245" t="s">
        <v>1</v>
      </c>
      <c r="BB188" s="250" t="s">
        <v>110</v>
      </c>
      <c r="BC188" s="142">
        <f>IF(AY188-KD188=0,"",AY188-O188)</f>
        <v>76</v>
      </c>
      <c r="BD188" s="134" t="str">
        <f>IF(AND(AI188&lt;&gt;"SIM",AI188="UH"),"AA","INDENIZAÇÃO")</f>
        <v>INDENIZAÇÃO</v>
      </c>
      <c r="BE188" s="134" t="str">
        <f>IF(AND(AY188&lt;&gt;"AGUARDANDO",AY188&lt;&gt;"",N188="AUXÍLIO ALUGUEL ATÉ INDENIZAÇÃO"),"SIM","NÃO")</f>
        <v>NÃO</v>
      </c>
      <c r="BF188" s="245" t="s">
        <v>24</v>
      </c>
      <c r="BG188" s="245" t="s">
        <v>24</v>
      </c>
      <c r="BH188" s="245" t="s">
        <v>24</v>
      </c>
      <c r="BI188" s="250" t="s">
        <v>110</v>
      </c>
      <c r="BJ188" s="250" t="s">
        <v>110</v>
      </c>
      <c r="BK188" s="256">
        <v>45559</v>
      </c>
      <c r="BL188" s="250" t="s">
        <v>110</v>
      </c>
      <c r="BM188" s="250" t="s">
        <v>33</v>
      </c>
      <c r="CI188" s="200"/>
    </row>
    <row r="189" spans="1:87" s="149" customFormat="1" ht="30" customHeight="1">
      <c r="A189" s="134">
        <v>175</v>
      </c>
      <c r="B189" s="245" t="s">
        <v>99</v>
      </c>
      <c r="C189" s="245">
        <v>1</v>
      </c>
      <c r="D189" s="245" t="s">
        <v>100</v>
      </c>
      <c r="E189" s="245" t="s">
        <v>100</v>
      </c>
      <c r="F189" s="246" t="s">
        <v>1010</v>
      </c>
      <c r="G189" s="149" t="s">
        <v>1</v>
      </c>
      <c r="H189" s="149" t="s">
        <v>2</v>
      </c>
      <c r="I189" s="149" t="s">
        <v>108</v>
      </c>
      <c r="J189" s="152" t="s">
        <v>1011</v>
      </c>
      <c r="K189" s="152" t="s">
        <v>1012</v>
      </c>
      <c r="L189" s="152" t="s">
        <v>1013</v>
      </c>
      <c r="M189" s="245" t="s">
        <v>4</v>
      </c>
      <c r="N189" s="245" t="s">
        <v>5</v>
      </c>
      <c r="O189" s="256">
        <v>45455</v>
      </c>
      <c r="P189" s="249" t="s">
        <v>24</v>
      </c>
      <c r="Q189" s="249" t="s">
        <v>24</v>
      </c>
      <c r="R189" s="249" t="s">
        <v>24</v>
      </c>
      <c r="S189" s="249" t="s">
        <v>24</v>
      </c>
      <c r="T189" s="249" t="s">
        <v>24</v>
      </c>
      <c r="U189" s="249" t="s">
        <v>24</v>
      </c>
      <c r="V189" s="249" t="s">
        <v>24</v>
      </c>
      <c r="W189" s="249" t="s">
        <v>24</v>
      </c>
      <c r="X189" s="249" t="s">
        <v>24</v>
      </c>
      <c r="Y189" s="249" t="s">
        <v>24</v>
      </c>
      <c r="Z189" s="249" t="s">
        <v>24</v>
      </c>
      <c r="AA189" s="250"/>
      <c r="AB189" s="152" t="s">
        <v>1011</v>
      </c>
      <c r="AC189" s="152" t="s">
        <v>1012</v>
      </c>
      <c r="AD189" s="152" t="s">
        <v>1013</v>
      </c>
      <c r="AE189" s="149" t="s">
        <v>108</v>
      </c>
      <c r="AF189" s="250" t="s">
        <v>4</v>
      </c>
      <c r="AG189" s="208">
        <v>34958.769999999997</v>
      </c>
      <c r="AH189" s="208">
        <v>60000</v>
      </c>
      <c r="AI189" s="251" t="s">
        <v>6</v>
      </c>
      <c r="AJ189" s="246" t="s">
        <v>109</v>
      </c>
      <c r="AK189" s="257"/>
      <c r="AL189" s="250" t="s">
        <v>110</v>
      </c>
      <c r="AM189" s="250" t="s">
        <v>110</v>
      </c>
      <c r="AN189" s="250" t="s">
        <v>111</v>
      </c>
      <c r="AO189" s="250"/>
      <c r="AP189" s="253" t="s">
        <v>1014</v>
      </c>
      <c r="AQ189" s="250" t="s">
        <v>110</v>
      </c>
      <c r="AR189" s="250" t="s">
        <v>110</v>
      </c>
      <c r="AS189" s="250" t="s">
        <v>110</v>
      </c>
      <c r="AT189" s="250" t="s">
        <v>110</v>
      </c>
      <c r="AU189" s="256">
        <v>45525</v>
      </c>
      <c r="AV189" s="250" t="s">
        <v>110</v>
      </c>
      <c r="AW189" s="250" t="s">
        <v>110</v>
      </c>
      <c r="AX189" s="256">
        <v>45531</v>
      </c>
      <c r="AY189" s="249">
        <v>45531</v>
      </c>
      <c r="AZ189" s="245" t="s">
        <v>360</v>
      </c>
      <c r="BA189" s="245" t="s">
        <v>1</v>
      </c>
      <c r="BB189" s="250" t="s">
        <v>110</v>
      </c>
      <c r="BC189" s="142">
        <f>IF(AY189-KD189=0,"",AY189-O189)</f>
        <v>76</v>
      </c>
      <c r="BD189" s="134" t="str">
        <f>IF(AND(AI189&lt;&gt;"SIM",AI189="UH"),"AA","INDENIZAÇÃO")</f>
        <v>INDENIZAÇÃO</v>
      </c>
      <c r="BE189" s="134" t="str">
        <f>IF(AND(AY189&lt;&gt;"AGUARDANDO",AY189&lt;&gt;"",N189="AUXÍLIO ALUGUEL ATÉ INDENIZAÇÃO"),"SIM","NÃO")</f>
        <v>NÃO</v>
      </c>
      <c r="BF189" s="245" t="s">
        <v>24</v>
      </c>
      <c r="BG189" s="245" t="s">
        <v>24</v>
      </c>
      <c r="BH189" s="245" t="s">
        <v>24</v>
      </c>
      <c r="BI189" s="250" t="s">
        <v>110</v>
      </c>
      <c r="BJ189" s="250" t="s">
        <v>110</v>
      </c>
      <c r="BK189" s="256">
        <v>45559</v>
      </c>
      <c r="BL189" s="250" t="s">
        <v>110</v>
      </c>
      <c r="BM189" s="250" t="s">
        <v>33</v>
      </c>
      <c r="CI189" s="200"/>
    </row>
    <row r="190" spans="1:87" s="149" customFormat="1" ht="30" customHeight="1">
      <c r="A190" s="134">
        <v>176</v>
      </c>
      <c r="B190" s="245" t="s">
        <v>99</v>
      </c>
      <c r="C190" s="245">
        <v>1</v>
      </c>
      <c r="D190" s="245" t="s">
        <v>100</v>
      </c>
      <c r="E190" s="245" t="s">
        <v>100</v>
      </c>
      <c r="F190" s="246" t="s">
        <v>1015</v>
      </c>
      <c r="G190" s="149" t="s">
        <v>10</v>
      </c>
      <c r="H190" s="149" t="s">
        <v>2</v>
      </c>
      <c r="I190" s="149" t="s">
        <v>287</v>
      </c>
      <c r="J190" s="152" t="s">
        <v>1016</v>
      </c>
      <c r="K190" s="152" t="s">
        <v>1017</v>
      </c>
      <c r="L190" s="152" t="s">
        <v>1018</v>
      </c>
      <c r="M190" s="245" t="s">
        <v>4</v>
      </c>
      <c r="N190" s="245" t="s">
        <v>5</v>
      </c>
      <c r="O190" s="256">
        <v>45628</v>
      </c>
      <c r="P190" s="249" t="s">
        <v>24</v>
      </c>
      <c r="Q190" s="249" t="s">
        <v>24</v>
      </c>
      <c r="R190" s="249" t="s">
        <v>24</v>
      </c>
      <c r="S190" s="249" t="s">
        <v>24</v>
      </c>
      <c r="T190" s="249" t="s">
        <v>24</v>
      </c>
      <c r="U190" s="249" t="s">
        <v>24</v>
      </c>
      <c r="V190" s="249" t="s">
        <v>24</v>
      </c>
      <c r="W190" s="249" t="s">
        <v>24</v>
      </c>
      <c r="X190" s="249" t="s">
        <v>24</v>
      </c>
      <c r="Y190" s="249" t="s">
        <v>24</v>
      </c>
      <c r="Z190" s="249" t="s">
        <v>24</v>
      </c>
      <c r="AA190" s="250"/>
      <c r="AB190" s="152" t="s">
        <v>1016</v>
      </c>
      <c r="AC190" s="152" t="s">
        <v>1017</v>
      </c>
      <c r="AD190" s="152" t="s">
        <v>1018</v>
      </c>
      <c r="AE190" s="134" t="s">
        <v>287</v>
      </c>
      <c r="AF190" s="250" t="s">
        <v>4</v>
      </c>
      <c r="AG190" s="208">
        <v>43487.39</v>
      </c>
      <c r="AH190" s="208">
        <v>60000</v>
      </c>
      <c r="AI190" s="251" t="s">
        <v>6</v>
      </c>
      <c r="AJ190" s="246" t="s">
        <v>109</v>
      </c>
      <c r="AK190" s="257"/>
      <c r="AL190" s="245" t="s">
        <v>110</v>
      </c>
      <c r="AM190" s="250" t="s">
        <v>110</v>
      </c>
      <c r="AN190" s="245" t="s">
        <v>111</v>
      </c>
      <c r="AO190" s="250"/>
      <c r="AP190" s="253" t="s">
        <v>1019</v>
      </c>
      <c r="AQ190" s="250" t="s">
        <v>110</v>
      </c>
      <c r="AR190" s="250" t="s">
        <v>110</v>
      </c>
      <c r="AS190" s="250" t="s">
        <v>110</v>
      </c>
      <c r="AT190" s="250" t="s">
        <v>110</v>
      </c>
      <c r="AU190" s="248">
        <v>45755</v>
      </c>
      <c r="AV190" s="250" t="s">
        <v>110</v>
      </c>
      <c r="AW190" s="250" t="s">
        <v>110</v>
      </c>
      <c r="AX190" s="248">
        <v>45762</v>
      </c>
      <c r="AY190" s="254">
        <v>45762</v>
      </c>
      <c r="AZ190" s="245" t="s">
        <v>360</v>
      </c>
      <c r="BA190" s="245" t="s">
        <v>1</v>
      </c>
      <c r="BB190" s="250" t="s">
        <v>110</v>
      </c>
      <c r="BC190" s="142">
        <f>IF(AY190-KD190=0,"",AY190-O190)</f>
        <v>134</v>
      </c>
      <c r="BD190" s="134" t="str">
        <f>IF(AND(AI190&lt;&gt;"SIM",AI190="UH"),"AA","INDENIZAÇÃO")</f>
        <v>INDENIZAÇÃO</v>
      </c>
      <c r="BE190" s="134" t="str">
        <f>IF(AND(AY190&lt;&gt;"AGUARDANDO",AY190&lt;&gt;"",N190="AUXÍLIO ALUGUEL ATÉ INDENIZAÇÃO"),"SIM","NÃO")</f>
        <v>NÃO</v>
      </c>
      <c r="BF190" s="250" t="s">
        <v>24</v>
      </c>
      <c r="BG190" s="250" t="s">
        <v>24</v>
      </c>
      <c r="BH190" s="250" t="s">
        <v>24</v>
      </c>
      <c r="BI190" s="250" t="s">
        <v>110</v>
      </c>
      <c r="BJ190" s="250" t="s">
        <v>110</v>
      </c>
      <c r="BK190" s="248">
        <v>45783</v>
      </c>
      <c r="BL190" s="250" t="s">
        <v>110</v>
      </c>
      <c r="BM190" s="250" t="s">
        <v>33</v>
      </c>
      <c r="CI190" s="200"/>
    </row>
    <row r="191" spans="1:87" s="149" customFormat="1" ht="30" customHeight="1">
      <c r="A191" s="134">
        <v>45</v>
      </c>
      <c r="B191" s="134" t="s">
        <v>99</v>
      </c>
      <c r="C191" s="134">
        <v>2</v>
      </c>
      <c r="D191" s="134" t="s">
        <v>100</v>
      </c>
      <c r="E191" s="134" t="s">
        <v>100</v>
      </c>
      <c r="F191" s="152" t="s">
        <v>1020</v>
      </c>
      <c r="G191" s="149" t="s">
        <v>344</v>
      </c>
      <c r="H191" s="149" t="s">
        <v>103</v>
      </c>
      <c r="I191" s="149" t="s">
        <v>587</v>
      </c>
      <c r="J191" s="152" t="s">
        <v>1021</v>
      </c>
      <c r="K191" s="152" t="s">
        <v>1022</v>
      </c>
      <c r="L191" s="152" t="s">
        <v>1023</v>
      </c>
      <c r="M191" s="149" t="s">
        <v>4</v>
      </c>
      <c r="N191" s="149" t="s">
        <v>5</v>
      </c>
      <c r="O191" s="194">
        <v>46141</v>
      </c>
      <c r="P191" s="139" t="s">
        <v>24</v>
      </c>
      <c r="Q191" s="139" t="s">
        <v>24</v>
      </c>
      <c r="R191" s="139" t="s">
        <v>24</v>
      </c>
      <c r="S191" s="139" t="s">
        <v>24</v>
      </c>
      <c r="T191" s="139" t="s">
        <v>24</v>
      </c>
      <c r="U191" s="139" t="s">
        <v>24</v>
      </c>
      <c r="V191" s="139" t="s">
        <v>24</v>
      </c>
      <c r="W191" s="139" t="s">
        <v>24</v>
      </c>
      <c r="X191" s="139" t="s">
        <v>24</v>
      </c>
      <c r="Y191" s="139" t="s">
        <v>24</v>
      </c>
      <c r="Z191" s="139" t="s">
        <v>24</v>
      </c>
      <c r="AB191" s="152" t="s">
        <v>1021</v>
      </c>
      <c r="AC191" s="152" t="s">
        <v>1022</v>
      </c>
      <c r="AD191" s="152" t="s">
        <v>1023</v>
      </c>
      <c r="AE191" s="134" t="s">
        <v>287</v>
      </c>
      <c r="AF191" s="149" t="s">
        <v>4</v>
      </c>
      <c r="AG191" s="208">
        <v>8883.09</v>
      </c>
      <c r="AH191" s="208">
        <v>38883.089999999997</v>
      </c>
      <c r="AI191" s="234" t="s">
        <v>6</v>
      </c>
      <c r="AJ191" s="138" t="s">
        <v>301</v>
      </c>
      <c r="AK191" s="275" t="s">
        <v>1024</v>
      </c>
      <c r="AL191" s="134" t="s">
        <v>110</v>
      </c>
      <c r="AM191" s="134" t="s">
        <v>110</v>
      </c>
      <c r="AN191" s="273" t="s">
        <v>111</v>
      </c>
      <c r="AO191" s="224"/>
      <c r="AP191" s="152" t="s">
        <v>1025</v>
      </c>
      <c r="AQ191" s="198" t="s">
        <v>110</v>
      </c>
      <c r="AR191" s="198" t="s">
        <v>110</v>
      </c>
      <c r="AS191" s="198" t="s">
        <v>110</v>
      </c>
      <c r="AT191" s="198" t="s">
        <v>110</v>
      </c>
      <c r="AU191" s="194">
        <v>46226</v>
      </c>
      <c r="AV191" s="198" t="s">
        <v>110</v>
      </c>
      <c r="AW191" s="198" t="s">
        <v>110</v>
      </c>
      <c r="AX191" s="194">
        <v>46233</v>
      </c>
      <c r="AY191" s="145" t="s">
        <v>33</v>
      </c>
      <c r="AZ191" s="145"/>
      <c r="BA191" s="145" t="s">
        <v>1</v>
      </c>
      <c r="BB191" s="198"/>
      <c r="BC191" s="142" t="e">
        <f>IF(AY191-KD191=0,"",AY191-O191)</f>
        <v>#VALUE!</v>
      </c>
      <c r="BD191" s="134" t="str">
        <f>IF(AND(AI191&lt;&gt;"SIM",AI191="UH"),"AA","INDENIZAÇÃO")</f>
        <v>INDENIZAÇÃO</v>
      </c>
      <c r="BE191" s="134" t="str">
        <f>IF(AND(AY191&lt;&gt;"AGUARDANDO",AY191&lt;&gt;"",N191="AUXÍLIO ALUGUEL ATÉ INDENIZAÇÃO"),"SIM","NÃO")</f>
        <v>NÃO</v>
      </c>
      <c r="BF191" s="198"/>
      <c r="BG191" s="198"/>
      <c r="BH191" s="198"/>
      <c r="BI191" s="145"/>
      <c r="BJ191" s="145"/>
      <c r="BK191" s="279"/>
      <c r="BL191" s="145"/>
      <c r="BM191" s="145"/>
      <c r="CI191" s="200"/>
    </row>
    <row r="192" spans="1:87" s="149" customFormat="1" ht="30" customHeight="1">
      <c r="A192" s="134">
        <v>178</v>
      </c>
      <c r="B192" s="134" t="s">
        <v>99</v>
      </c>
      <c r="C192" s="143">
        <v>2</v>
      </c>
      <c r="D192" s="134" t="s">
        <v>100</v>
      </c>
      <c r="E192" s="134" t="s">
        <v>100</v>
      </c>
      <c r="F192" s="152" t="s">
        <v>1026</v>
      </c>
      <c r="G192" s="149" t="s">
        <v>102</v>
      </c>
      <c r="H192" s="149" t="s">
        <v>103</v>
      </c>
      <c r="I192" s="149" t="s">
        <v>104</v>
      </c>
      <c r="J192" s="152" t="s">
        <v>1027</v>
      </c>
      <c r="K192" s="152" t="s">
        <v>1028</v>
      </c>
      <c r="L192" s="152" t="s">
        <v>1029</v>
      </c>
      <c r="M192" s="149" t="s">
        <v>4</v>
      </c>
      <c r="N192" s="149" t="s">
        <v>5</v>
      </c>
      <c r="O192" s="194">
        <v>46155</v>
      </c>
      <c r="P192" s="139" t="s">
        <v>24</v>
      </c>
      <c r="Q192" s="139" t="s">
        <v>24</v>
      </c>
      <c r="R192" s="139" t="s">
        <v>24</v>
      </c>
      <c r="S192" s="139" t="s">
        <v>24</v>
      </c>
      <c r="T192" s="139" t="s">
        <v>24</v>
      </c>
      <c r="U192" s="139" t="s">
        <v>24</v>
      </c>
      <c r="V192" s="139" t="s">
        <v>24</v>
      </c>
      <c r="W192" s="139" t="s">
        <v>24</v>
      </c>
      <c r="X192" s="139" t="s">
        <v>24</v>
      </c>
      <c r="Y192" s="139" t="s">
        <v>24</v>
      </c>
      <c r="Z192" s="139" t="s">
        <v>24</v>
      </c>
      <c r="AB192" s="152" t="s">
        <v>1027</v>
      </c>
      <c r="AC192" s="152" t="s">
        <v>1028</v>
      </c>
      <c r="AD192" s="152" t="s">
        <v>1029</v>
      </c>
      <c r="AE192" s="149" t="s">
        <v>108</v>
      </c>
      <c r="AF192" s="149" t="s">
        <v>4</v>
      </c>
      <c r="AG192" s="208">
        <v>83056.23</v>
      </c>
      <c r="AH192" s="208">
        <v>83056.23</v>
      </c>
      <c r="AI192" s="234" t="s">
        <v>6</v>
      </c>
      <c r="AJ192" s="138" t="s">
        <v>301</v>
      </c>
      <c r="AK192" s="200">
        <v>155556198</v>
      </c>
      <c r="AL192" s="134" t="s">
        <v>110</v>
      </c>
      <c r="AM192" s="134" t="s">
        <v>110</v>
      </c>
      <c r="AN192" s="149" t="s">
        <v>111</v>
      </c>
      <c r="AO192" s="224"/>
      <c r="AP192" s="152" t="s">
        <v>1030</v>
      </c>
      <c r="AQ192" s="198" t="s">
        <v>110</v>
      </c>
      <c r="AR192" s="198" t="s">
        <v>110</v>
      </c>
      <c r="AS192" s="198" t="s">
        <v>110</v>
      </c>
      <c r="AT192" s="198" t="s">
        <v>110</v>
      </c>
      <c r="AU192" s="194">
        <v>46195</v>
      </c>
      <c r="AV192" s="198" t="s">
        <v>110</v>
      </c>
      <c r="AW192" s="198" t="s">
        <v>110</v>
      </c>
      <c r="AX192" s="194">
        <v>46199</v>
      </c>
      <c r="AY192" s="197">
        <v>46199</v>
      </c>
      <c r="AZ192" s="145" t="s">
        <v>33</v>
      </c>
      <c r="BA192" s="145" t="s">
        <v>113</v>
      </c>
      <c r="BB192" s="149" t="s">
        <v>110</v>
      </c>
      <c r="BC192" s="142">
        <f t="shared" ref="BC157:BC220" si="6">IF(AY192-KD192=0,"",AY192-O192)</f>
        <v>44</v>
      </c>
      <c r="BD192" s="134" t="str">
        <f t="shared" ref="BD157:BD220" si="7">IF(AND(AI192&lt;&gt;"SIM",AI192="UH"),"AA","INDENIZAÇÃO")</f>
        <v>INDENIZAÇÃO</v>
      </c>
      <c r="BE192" s="134" t="str">
        <f t="shared" ref="BE157:BE220" si="8">IF(AND(AY192&lt;&gt;"AGUARDANDO",AY192&lt;&gt;"",N192="AUXÍLIO ALUGUEL ATÉ INDENIZAÇÃO"),"SIM","NÃO")</f>
        <v>NÃO</v>
      </c>
      <c r="BF192" s="149" t="s">
        <v>24</v>
      </c>
      <c r="BG192" s="149" t="s">
        <v>24</v>
      </c>
      <c r="BH192" s="149" t="s">
        <v>24</v>
      </c>
      <c r="BI192" s="145" t="s">
        <v>189</v>
      </c>
      <c r="BJ192" s="145"/>
      <c r="BK192" s="145"/>
      <c r="BL192" s="145"/>
      <c r="BM192" s="145"/>
      <c r="BN192" s="276"/>
      <c r="BO192" s="276"/>
      <c r="CI192" s="200"/>
    </row>
    <row r="193" spans="1:87" s="149" customFormat="1" ht="30" customHeight="1">
      <c r="A193" s="134">
        <v>179</v>
      </c>
      <c r="B193" s="245" t="s">
        <v>99</v>
      </c>
      <c r="C193" s="245">
        <v>1</v>
      </c>
      <c r="D193" s="245" t="s">
        <v>100</v>
      </c>
      <c r="E193" s="245" t="s">
        <v>100</v>
      </c>
      <c r="F193" s="246" t="s">
        <v>1031</v>
      </c>
      <c r="G193" s="149" t="s">
        <v>1</v>
      </c>
      <c r="H193" s="149" t="s">
        <v>2</v>
      </c>
      <c r="I193" s="149" t="s">
        <v>108</v>
      </c>
      <c r="J193" s="152" t="s">
        <v>1032</v>
      </c>
      <c r="K193" s="152" t="s">
        <v>1033</v>
      </c>
      <c r="L193" s="152" t="s">
        <v>1034</v>
      </c>
      <c r="M193" s="245" t="s">
        <v>4</v>
      </c>
      <c r="N193" s="245" t="s">
        <v>5</v>
      </c>
      <c r="O193" s="256">
        <v>45652</v>
      </c>
      <c r="P193" s="249" t="s">
        <v>24</v>
      </c>
      <c r="Q193" s="249" t="s">
        <v>24</v>
      </c>
      <c r="R193" s="249" t="s">
        <v>24</v>
      </c>
      <c r="S193" s="249" t="s">
        <v>24</v>
      </c>
      <c r="T193" s="249" t="s">
        <v>24</v>
      </c>
      <c r="U193" s="249" t="s">
        <v>24</v>
      </c>
      <c r="V193" s="249" t="s">
        <v>24</v>
      </c>
      <c r="W193" s="249" t="s">
        <v>24</v>
      </c>
      <c r="X193" s="249" t="s">
        <v>24</v>
      </c>
      <c r="Y193" s="249" t="s">
        <v>24</v>
      </c>
      <c r="Z193" s="249" t="s">
        <v>24</v>
      </c>
      <c r="AA193" s="250"/>
      <c r="AB193" s="152" t="s">
        <v>1032</v>
      </c>
      <c r="AC193" s="152" t="s">
        <v>1033</v>
      </c>
      <c r="AD193" s="152" t="s">
        <v>1034</v>
      </c>
      <c r="AE193" s="149" t="s">
        <v>108</v>
      </c>
      <c r="AF193" s="250" t="s">
        <v>4</v>
      </c>
      <c r="AG193" s="208">
        <v>31769.79</v>
      </c>
      <c r="AH193" s="208">
        <v>60000</v>
      </c>
      <c r="AI193" s="251" t="s">
        <v>6</v>
      </c>
      <c r="AJ193" s="246" t="s">
        <v>109</v>
      </c>
      <c r="AK193" s="257">
        <v>98330434</v>
      </c>
      <c r="AL193" s="250" t="s">
        <v>110</v>
      </c>
      <c r="AM193" s="250" t="s">
        <v>110</v>
      </c>
      <c r="AN193" s="250" t="s">
        <v>111</v>
      </c>
      <c r="AO193" s="245" t="s">
        <v>1035</v>
      </c>
      <c r="AP193" s="253" t="s">
        <v>1036</v>
      </c>
      <c r="AQ193" s="250" t="s">
        <v>110</v>
      </c>
      <c r="AR193" s="250" t="s">
        <v>110</v>
      </c>
      <c r="AS193" s="250" t="s">
        <v>110</v>
      </c>
      <c r="AT193" s="250" t="s">
        <v>110</v>
      </c>
      <c r="AU193" s="256">
        <v>45775</v>
      </c>
      <c r="AV193" s="250" t="s">
        <v>110</v>
      </c>
      <c r="AW193" s="250" t="s">
        <v>110</v>
      </c>
      <c r="AX193" s="256">
        <v>45782</v>
      </c>
      <c r="AY193" s="249">
        <v>45782</v>
      </c>
      <c r="AZ193" s="245" t="s">
        <v>360</v>
      </c>
      <c r="BA193" s="245" t="s">
        <v>1</v>
      </c>
      <c r="BB193" s="250" t="s">
        <v>110</v>
      </c>
      <c r="BC193" s="142">
        <f t="shared" si="6"/>
        <v>130</v>
      </c>
      <c r="BD193" s="134" t="str">
        <f t="shared" si="7"/>
        <v>INDENIZAÇÃO</v>
      </c>
      <c r="BE193" s="134" t="str">
        <f t="shared" si="8"/>
        <v>NÃO</v>
      </c>
      <c r="BF193" s="245" t="s">
        <v>24</v>
      </c>
      <c r="BG193" s="245" t="s">
        <v>24</v>
      </c>
      <c r="BH193" s="245" t="s">
        <v>24</v>
      </c>
      <c r="BI193" s="250" t="s">
        <v>110</v>
      </c>
      <c r="BJ193" s="198" t="s">
        <v>110</v>
      </c>
      <c r="BK193" s="194">
        <v>45859</v>
      </c>
      <c r="BL193" s="149" t="s">
        <v>110</v>
      </c>
      <c r="BM193" s="141" t="s">
        <v>33</v>
      </c>
      <c r="CI193" s="200"/>
    </row>
    <row r="194" spans="1:87" s="149" customFormat="1" ht="30" customHeight="1">
      <c r="A194" s="134">
        <v>180</v>
      </c>
      <c r="B194" s="134" t="s">
        <v>99</v>
      </c>
      <c r="C194" s="134">
        <v>1</v>
      </c>
      <c r="D194" s="134" t="s">
        <v>100</v>
      </c>
      <c r="E194" s="134" t="s">
        <v>100</v>
      </c>
      <c r="F194" s="138" t="s">
        <v>1037</v>
      </c>
      <c r="G194" s="149" t="s">
        <v>1</v>
      </c>
      <c r="H194" s="149" t="s">
        <v>2</v>
      </c>
      <c r="I194" s="149" t="s">
        <v>279</v>
      </c>
      <c r="J194" s="152" t="s">
        <v>1038</v>
      </c>
      <c r="K194" s="152" t="s">
        <v>1039</v>
      </c>
      <c r="L194" s="152" t="s">
        <v>1040</v>
      </c>
      <c r="M194" s="134" t="s">
        <v>4</v>
      </c>
      <c r="N194" s="134" t="s">
        <v>14</v>
      </c>
      <c r="O194" s="194">
        <v>45756</v>
      </c>
      <c r="P194" s="197" t="s">
        <v>17</v>
      </c>
      <c r="Q194" s="264" t="s">
        <v>283</v>
      </c>
      <c r="R194" s="197"/>
      <c r="S194" s="197"/>
      <c r="T194" s="197"/>
      <c r="U194" s="197"/>
      <c r="V194" s="197"/>
      <c r="W194" s="197"/>
      <c r="X194" s="197"/>
      <c r="Y194" s="197"/>
      <c r="Z194" s="197"/>
      <c r="AB194" s="152" t="s">
        <v>1041</v>
      </c>
      <c r="AC194" s="152" t="s">
        <v>1042</v>
      </c>
      <c r="AD194" s="152" t="s">
        <v>1043</v>
      </c>
      <c r="AE194" s="134" t="s">
        <v>287</v>
      </c>
      <c r="AF194" s="149" t="s">
        <v>4</v>
      </c>
      <c r="AG194" s="208">
        <v>42255.9</v>
      </c>
      <c r="AH194" s="208">
        <v>42255.9</v>
      </c>
      <c r="AI194" s="232" t="s">
        <v>6</v>
      </c>
      <c r="AJ194" s="138" t="s">
        <v>109</v>
      </c>
      <c r="AK194" s="235">
        <v>125886839</v>
      </c>
      <c r="AL194" s="134" t="s">
        <v>110</v>
      </c>
      <c r="AM194" s="134" t="s">
        <v>110</v>
      </c>
      <c r="AN194" s="134" t="s">
        <v>111</v>
      </c>
      <c r="AO194" s="226"/>
      <c r="AP194" s="152" t="s">
        <v>1044</v>
      </c>
      <c r="AQ194" s="149" t="s">
        <v>110</v>
      </c>
      <c r="AR194" s="149" t="s">
        <v>110</v>
      </c>
      <c r="AS194" s="198" t="s">
        <v>110</v>
      </c>
      <c r="AT194" s="198" t="s">
        <v>110</v>
      </c>
      <c r="AU194" s="194">
        <v>45819</v>
      </c>
      <c r="AV194" s="198" t="s">
        <v>110</v>
      </c>
      <c r="AW194" s="198" t="s">
        <v>110</v>
      </c>
      <c r="AX194" s="194">
        <v>45826</v>
      </c>
      <c r="AY194" s="197">
        <v>45826</v>
      </c>
      <c r="AZ194" s="145" t="s">
        <v>33</v>
      </c>
      <c r="BA194" s="145" t="s">
        <v>113</v>
      </c>
      <c r="BB194" s="149" t="s">
        <v>110</v>
      </c>
      <c r="BC194" s="142">
        <f t="shared" si="6"/>
        <v>70</v>
      </c>
      <c r="BD194" s="134" t="str">
        <f t="shared" si="7"/>
        <v>INDENIZAÇÃO</v>
      </c>
      <c r="BE194" s="134" t="str">
        <f t="shared" si="8"/>
        <v>NÃO</v>
      </c>
      <c r="BF194" s="134" t="s">
        <v>24</v>
      </c>
      <c r="BG194" s="134" t="s">
        <v>24</v>
      </c>
      <c r="BH194" s="134" t="s">
        <v>24</v>
      </c>
      <c r="BI194" s="198" t="s">
        <v>110</v>
      </c>
      <c r="BJ194" s="198" t="s">
        <v>110</v>
      </c>
      <c r="BK194" s="194">
        <v>45859</v>
      </c>
      <c r="BL194" s="149" t="s">
        <v>110</v>
      </c>
      <c r="BM194" s="141" t="s">
        <v>33</v>
      </c>
      <c r="CI194" s="200"/>
    </row>
    <row r="195" spans="1:87" s="149" customFormat="1" ht="30" customHeight="1">
      <c r="A195" s="134">
        <v>181</v>
      </c>
      <c r="B195" s="134" t="s">
        <v>99</v>
      </c>
      <c r="C195" s="134">
        <v>1</v>
      </c>
      <c r="D195" s="134" t="s">
        <v>100</v>
      </c>
      <c r="E195" s="134" t="s">
        <v>100</v>
      </c>
      <c r="F195" s="138" t="s">
        <v>1045</v>
      </c>
      <c r="G195" s="149" t="s">
        <v>1</v>
      </c>
      <c r="H195" s="149" t="s">
        <v>2</v>
      </c>
      <c r="I195" s="149" t="s">
        <v>108</v>
      </c>
      <c r="J195" s="152" t="s">
        <v>1046</v>
      </c>
      <c r="K195" s="152" t="s">
        <v>1047</v>
      </c>
      <c r="L195" s="152" t="s">
        <v>1048</v>
      </c>
      <c r="M195" s="134" t="s">
        <v>4</v>
      </c>
      <c r="N195" s="214" t="s">
        <v>5</v>
      </c>
      <c r="O195" s="194">
        <v>45702</v>
      </c>
      <c r="P195" s="144" t="s">
        <v>24</v>
      </c>
      <c r="Q195" s="144" t="s">
        <v>24</v>
      </c>
      <c r="R195" s="144" t="s">
        <v>24</v>
      </c>
      <c r="S195" s="144" t="s">
        <v>24</v>
      </c>
      <c r="T195" s="144" t="s">
        <v>24</v>
      </c>
      <c r="U195" s="144" t="s">
        <v>24</v>
      </c>
      <c r="V195" s="144" t="s">
        <v>24</v>
      </c>
      <c r="W195" s="144" t="s">
        <v>24</v>
      </c>
      <c r="X195" s="144" t="s">
        <v>24</v>
      </c>
      <c r="Y195" s="144" t="s">
        <v>24</v>
      </c>
      <c r="Z195" s="144" t="s">
        <v>24</v>
      </c>
      <c r="AB195" s="152" t="s">
        <v>1046</v>
      </c>
      <c r="AC195" s="152" t="s">
        <v>1047</v>
      </c>
      <c r="AD195" s="152" t="s">
        <v>1048</v>
      </c>
      <c r="AE195" s="149" t="s">
        <v>108</v>
      </c>
      <c r="AF195" s="149" t="s">
        <v>4</v>
      </c>
      <c r="AG195" s="208">
        <v>38033.14</v>
      </c>
      <c r="AH195" s="208">
        <v>60000</v>
      </c>
      <c r="AI195" s="232" t="s">
        <v>6</v>
      </c>
      <c r="AJ195" s="138" t="s">
        <v>109</v>
      </c>
      <c r="AK195" s="235">
        <v>114956465</v>
      </c>
      <c r="AL195" s="149" t="s">
        <v>110</v>
      </c>
      <c r="AM195" s="149" t="s">
        <v>110</v>
      </c>
      <c r="AN195" s="149" t="s">
        <v>111</v>
      </c>
      <c r="AP195" s="199" t="s">
        <v>1049</v>
      </c>
      <c r="AQ195" s="149" t="s">
        <v>110</v>
      </c>
      <c r="AR195" s="149" t="s">
        <v>110</v>
      </c>
      <c r="AS195" s="149" t="s">
        <v>110</v>
      </c>
      <c r="AT195" s="149" t="s">
        <v>110</v>
      </c>
      <c r="AU195" s="144">
        <v>45750</v>
      </c>
      <c r="AV195" s="149" t="s">
        <v>110</v>
      </c>
      <c r="AW195" s="149" t="s">
        <v>110</v>
      </c>
      <c r="AX195" s="144">
        <v>45756</v>
      </c>
      <c r="AY195" s="140">
        <v>45756</v>
      </c>
      <c r="AZ195" s="141" t="s">
        <v>33</v>
      </c>
      <c r="BA195" s="145" t="s">
        <v>1</v>
      </c>
      <c r="BB195" s="149" t="s">
        <v>110</v>
      </c>
      <c r="BC195" s="142">
        <f t="shared" si="6"/>
        <v>54</v>
      </c>
      <c r="BD195" s="134" t="str">
        <f t="shared" si="7"/>
        <v>INDENIZAÇÃO</v>
      </c>
      <c r="BE195" s="134" t="str">
        <f t="shared" si="8"/>
        <v>NÃO</v>
      </c>
      <c r="BF195" s="149" t="s">
        <v>24</v>
      </c>
      <c r="BG195" s="149" t="s">
        <v>24</v>
      </c>
      <c r="BH195" s="149" t="s">
        <v>24</v>
      </c>
      <c r="BI195" s="198" t="s">
        <v>110</v>
      </c>
      <c r="BJ195" s="198" t="s">
        <v>110</v>
      </c>
      <c r="BK195" s="161">
        <v>45783</v>
      </c>
      <c r="BL195" s="198" t="s">
        <v>110</v>
      </c>
      <c r="BM195" s="145" t="s">
        <v>33</v>
      </c>
      <c r="CI195" s="200"/>
    </row>
    <row r="196" spans="1:87" s="149" customFormat="1" ht="30" customHeight="1">
      <c r="A196" s="134">
        <v>182</v>
      </c>
      <c r="B196" s="134" t="s">
        <v>99</v>
      </c>
      <c r="C196" s="134">
        <v>1</v>
      </c>
      <c r="D196" s="134" t="s">
        <v>100</v>
      </c>
      <c r="E196" s="134" t="s">
        <v>100</v>
      </c>
      <c r="F196" s="138" t="s">
        <v>1050</v>
      </c>
      <c r="G196" s="149" t="s">
        <v>1</v>
      </c>
      <c r="H196" s="149" t="s">
        <v>2</v>
      </c>
      <c r="I196" s="149" t="s">
        <v>287</v>
      </c>
      <c r="J196" s="152" t="s">
        <v>1051</v>
      </c>
      <c r="K196" s="152" t="s">
        <v>1052</v>
      </c>
      <c r="L196" s="152" t="s">
        <v>1053</v>
      </c>
      <c r="M196" s="134" t="s">
        <v>4</v>
      </c>
      <c r="N196" s="214" t="s">
        <v>370</v>
      </c>
      <c r="O196" s="194"/>
      <c r="P196" s="144"/>
      <c r="Q196" s="263"/>
      <c r="R196" s="144"/>
      <c r="S196" s="144"/>
      <c r="T196" s="144"/>
      <c r="U196" s="144"/>
      <c r="V196" s="144"/>
      <c r="W196" s="144"/>
      <c r="X196" s="144"/>
      <c r="Y196" s="144"/>
      <c r="Z196" s="144"/>
      <c r="AB196" s="152" t="s">
        <v>1051</v>
      </c>
      <c r="AC196" s="152" t="s">
        <v>1052</v>
      </c>
      <c r="AD196" s="152" t="s">
        <v>1053</v>
      </c>
      <c r="AE196" s="134" t="s">
        <v>287</v>
      </c>
      <c r="AG196" s="208"/>
      <c r="AH196" s="208"/>
      <c r="AI196" s="232"/>
      <c r="AJ196" s="214"/>
      <c r="AK196" s="235"/>
      <c r="AP196" s="152"/>
      <c r="BC196" s="142" t="str">
        <f t="shared" si="6"/>
        <v/>
      </c>
      <c r="BD196" s="134" t="str">
        <f t="shared" si="7"/>
        <v>INDENIZAÇÃO</v>
      </c>
      <c r="BE196" s="134" t="str">
        <f t="shared" si="8"/>
        <v>NÃO</v>
      </c>
      <c r="BF196" s="134"/>
      <c r="BG196" s="194"/>
      <c r="BH196" s="194"/>
      <c r="CI196" s="200"/>
    </row>
    <row r="197" spans="1:87" s="149" customFormat="1" ht="30" customHeight="1">
      <c r="A197" s="134">
        <v>183</v>
      </c>
      <c r="B197" s="134" t="s">
        <v>99</v>
      </c>
      <c r="C197" s="134">
        <v>1</v>
      </c>
      <c r="D197" s="134" t="s">
        <v>100</v>
      </c>
      <c r="E197" s="134" t="s">
        <v>100</v>
      </c>
      <c r="F197" s="138" t="s">
        <v>1054</v>
      </c>
      <c r="G197" s="149" t="s">
        <v>1</v>
      </c>
      <c r="H197" s="149" t="s">
        <v>2</v>
      </c>
      <c r="I197" s="149" t="s">
        <v>108</v>
      </c>
      <c r="J197" s="152" t="s">
        <v>1055</v>
      </c>
      <c r="K197" s="152" t="s">
        <v>1056</v>
      </c>
      <c r="L197" s="152" t="s">
        <v>1057</v>
      </c>
      <c r="M197" s="134" t="s">
        <v>4</v>
      </c>
      <c r="N197" s="214" t="s">
        <v>5</v>
      </c>
      <c r="O197" s="194">
        <v>45594</v>
      </c>
      <c r="P197" s="144" t="s">
        <v>24</v>
      </c>
      <c r="Q197" s="144" t="s">
        <v>24</v>
      </c>
      <c r="R197" s="144" t="s">
        <v>24</v>
      </c>
      <c r="S197" s="144" t="s">
        <v>24</v>
      </c>
      <c r="T197" s="144" t="s">
        <v>24</v>
      </c>
      <c r="U197" s="144" t="s">
        <v>24</v>
      </c>
      <c r="V197" s="144" t="s">
        <v>24</v>
      </c>
      <c r="W197" s="144" t="s">
        <v>24</v>
      </c>
      <c r="X197" s="144" t="s">
        <v>24</v>
      </c>
      <c r="Y197" s="144" t="s">
        <v>24</v>
      </c>
      <c r="Z197" s="144" t="s">
        <v>24</v>
      </c>
      <c r="AB197" s="152" t="s">
        <v>1055</v>
      </c>
      <c r="AC197" s="152" t="s">
        <v>1056</v>
      </c>
      <c r="AD197" s="152" t="s">
        <v>1057</v>
      </c>
      <c r="AE197" s="149" t="s">
        <v>108</v>
      </c>
      <c r="AF197" s="149" t="s">
        <v>4</v>
      </c>
      <c r="AG197" s="208">
        <v>90482.35</v>
      </c>
      <c r="AH197" s="208">
        <v>90482.35</v>
      </c>
      <c r="AI197" s="232" t="s">
        <v>6</v>
      </c>
      <c r="AJ197" s="138" t="s">
        <v>109</v>
      </c>
      <c r="AK197" s="235">
        <v>98330542</v>
      </c>
      <c r="AL197" s="134" t="s">
        <v>110</v>
      </c>
      <c r="AM197" s="134" t="s">
        <v>110</v>
      </c>
      <c r="AN197" s="134" t="s">
        <v>111</v>
      </c>
      <c r="AO197" s="225" t="s">
        <v>1058</v>
      </c>
      <c r="AP197" s="152" t="s">
        <v>1059</v>
      </c>
      <c r="AQ197" s="149" t="s">
        <v>110</v>
      </c>
      <c r="AR197" s="149" t="s">
        <v>110</v>
      </c>
      <c r="AS197" s="198" t="s">
        <v>110</v>
      </c>
      <c r="AT197" s="198" t="s">
        <v>110</v>
      </c>
      <c r="AU197" s="161">
        <v>45831</v>
      </c>
      <c r="AV197" s="198" t="s">
        <v>110</v>
      </c>
      <c r="AW197" s="198" t="s">
        <v>110</v>
      </c>
      <c r="AX197" s="161">
        <v>45834</v>
      </c>
      <c r="AY197" s="140">
        <v>45834</v>
      </c>
      <c r="AZ197" s="145" t="s">
        <v>33</v>
      </c>
      <c r="BA197" s="145" t="s">
        <v>113</v>
      </c>
      <c r="BB197" s="149" t="s">
        <v>110</v>
      </c>
      <c r="BC197" s="142">
        <f t="shared" si="6"/>
        <v>240</v>
      </c>
      <c r="BD197" s="134" t="str">
        <f t="shared" si="7"/>
        <v>INDENIZAÇÃO</v>
      </c>
      <c r="BE197" s="134" t="str">
        <f t="shared" si="8"/>
        <v>NÃO</v>
      </c>
      <c r="BF197" s="134" t="s">
        <v>24</v>
      </c>
      <c r="BG197" s="134" t="s">
        <v>24</v>
      </c>
      <c r="BH197" s="134" t="s">
        <v>24</v>
      </c>
      <c r="BI197" s="198" t="s">
        <v>110</v>
      </c>
      <c r="BJ197" s="198" t="s">
        <v>110</v>
      </c>
      <c r="BK197" s="194">
        <v>45859</v>
      </c>
      <c r="BL197" s="149" t="s">
        <v>110</v>
      </c>
      <c r="BM197" s="141" t="s">
        <v>33</v>
      </c>
      <c r="CI197" s="200"/>
    </row>
    <row r="198" spans="1:87" s="149" customFormat="1" ht="30" customHeight="1">
      <c r="A198" s="134">
        <v>184</v>
      </c>
      <c r="B198" s="134" t="s">
        <v>99</v>
      </c>
      <c r="C198" s="134">
        <v>1</v>
      </c>
      <c r="D198" s="134" t="s">
        <v>100</v>
      </c>
      <c r="E198" s="134" t="s">
        <v>100</v>
      </c>
      <c r="F198" s="138" t="s">
        <v>1060</v>
      </c>
      <c r="G198" s="149" t="s">
        <v>1</v>
      </c>
      <c r="H198" s="149" t="s">
        <v>2</v>
      </c>
      <c r="I198" s="149" t="s">
        <v>108</v>
      </c>
      <c r="J198" s="152" t="s">
        <v>1061</v>
      </c>
      <c r="K198" s="152" t="s">
        <v>1062</v>
      </c>
      <c r="L198" s="152">
        <v>48834094816</v>
      </c>
      <c r="M198" s="134" t="s">
        <v>4</v>
      </c>
      <c r="N198" s="214" t="s">
        <v>5</v>
      </c>
      <c r="O198" s="194">
        <v>45652</v>
      </c>
      <c r="P198" s="144" t="s">
        <v>24</v>
      </c>
      <c r="Q198" s="144" t="s">
        <v>24</v>
      </c>
      <c r="R198" s="144" t="s">
        <v>24</v>
      </c>
      <c r="S198" s="144" t="s">
        <v>24</v>
      </c>
      <c r="T198" s="144" t="s">
        <v>24</v>
      </c>
      <c r="U198" s="144" t="s">
        <v>24</v>
      </c>
      <c r="V198" s="144" t="s">
        <v>24</v>
      </c>
      <c r="W198" s="144" t="s">
        <v>24</v>
      </c>
      <c r="X198" s="144" t="s">
        <v>24</v>
      </c>
      <c r="Y198" s="144" t="s">
        <v>24</v>
      </c>
      <c r="Z198" s="144" t="s">
        <v>24</v>
      </c>
      <c r="AB198" s="152" t="s">
        <v>1061</v>
      </c>
      <c r="AC198" s="152" t="s">
        <v>1062</v>
      </c>
      <c r="AD198" s="152" t="s">
        <v>1063</v>
      </c>
      <c r="AE198" s="149" t="s">
        <v>108</v>
      </c>
      <c r="AF198" s="149" t="s">
        <v>4</v>
      </c>
      <c r="AG198" s="208">
        <v>36577.31</v>
      </c>
      <c r="AH198" s="208">
        <v>60000</v>
      </c>
      <c r="AI198" s="232" t="s">
        <v>6</v>
      </c>
      <c r="AJ198" s="138" t="s">
        <v>109</v>
      </c>
      <c r="AK198" s="235">
        <v>98330665</v>
      </c>
      <c r="AL198" s="134" t="s">
        <v>110</v>
      </c>
      <c r="AM198" s="134" t="s">
        <v>110</v>
      </c>
      <c r="AN198" s="134" t="s">
        <v>111</v>
      </c>
      <c r="AO198" s="225" t="s">
        <v>1058</v>
      </c>
      <c r="AP198" s="152" t="s">
        <v>1064</v>
      </c>
      <c r="AQ198" s="149" t="s">
        <v>110</v>
      </c>
      <c r="AR198" s="149" t="s">
        <v>110</v>
      </c>
      <c r="AS198" s="198" t="s">
        <v>110</v>
      </c>
      <c r="AT198" s="198" t="s">
        <v>110</v>
      </c>
      <c r="AU198" s="161">
        <v>45831</v>
      </c>
      <c r="AV198" s="198" t="s">
        <v>110</v>
      </c>
      <c r="AW198" s="198" t="s">
        <v>110</v>
      </c>
      <c r="AX198" s="161">
        <v>45834</v>
      </c>
      <c r="AY198" s="140">
        <v>45834</v>
      </c>
      <c r="AZ198" s="145" t="s">
        <v>33</v>
      </c>
      <c r="BA198" s="145" t="s">
        <v>113</v>
      </c>
      <c r="BB198" s="149" t="s">
        <v>110</v>
      </c>
      <c r="BC198" s="142">
        <f t="shared" si="6"/>
        <v>182</v>
      </c>
      <c r="BD198" s="134" t="str">
        <f t="shared" si="7"/>
        <v>INDENIZAÇÃO</v>
      </c>
      <c r="BE198" s="134" t="str">
        <f t="shared" si="8"/>
        <v>NÃO</v>
      </c>
      <c r="BF198" s="134" t="s">
        <v>24</v>
      </c>
      <c r="BG198" s="134" t="s">
        <v>24</v>
      </c>
      <c r="BH198" s="134" t="s">
        <v>24</v>
      </c>
      <c r="BI198" s="198" t="s">
        <v>110</v>
      </c>
      <c r="BJ198" s="198" t="s">
        <v>110</v>
      </c>
      <c r="BK198" s="194">
        <v>45859</v>
      </c>
      <c r="BL198" s="149" t="s">
        <v>110</v>
      </c>
      <c r="BM198" s="141" t="s">
        <v>33</v>
      </c>
      <c r="CI198" s="200"/>
    </row>
    <row r="199" spans="1:87" s="149" customFormat="1" ht="30" customHeight="1">
      <c r="A199" s="134">
        <v>185</v>
      </c>
      <c r="B199" s="245" t="s">
        <v>99</v>
      </c>
      <c r="C199" s="245">
        <v>1</v>
      </c>
      <c r="D199" s="245" t="s">
        <v>100</v>
      </c>
      <c r="E199" s="245" t="s">
        <v>100</v>
      </c>
      <c r="F199" s="246" t="s">
        <v>1065</v>
      </c>
      <c r="G199" s="149" t="s">
        <v>1</v>
      </c>
      <c r="H199" s="149" t="s">
        <v>1066</v>
      </c>
      <c r="I199" s="149" t="s">
        <v>287</v>
      </c>
      <c r="J199" s="152" t="s">
        <v>1067</v>
      </c>
      <c r="K199" s="152" t="s">
        <v>1068</v>
      </c>
      <c r="L199" s="152" t="s">
        <v>1069</v>
      </c>
      <c r="M199" s="245" t="s">
        <v>4</v>
      </c>
      <c r="N199" s="245" t="s">
        <v>1070</v>
      </c>
      <c r="O199" s="256">
        <v>45594</v>
      </c>
      <c r="P199" s="249" t="s">
        <v>24</v>
      </c>
      <c r="Q199" s="249" t="s">
        <v>24</v>
      </c>
      <c r="R199" s="249" t="s">
        <v>24</v>
      </c>
      <c r="S199" s="249" t="s">
        <v>24</v>
      </c>
      <c r="T199" s="249" t="s">
        <v>24</v>
      </c>
      <c r="U199" s="249" t="s">
        <v>24</v>
      </c>
      <c r="V199" s="249" t="s">
        <v>24</v>
      </c>
      <c r="W199" s="249" t="s">
        <v>24</v>
      </c>
      <c r="X199" s="249" t="s">
        <v>24</v>
      </c>
      <c r="Y199" s="249" t="s">
        <v>24</v>
      </c>
      <c r="Z199" s="249" t="s">
        <v>24</v>
      </c>
      <c r="AA199" s="250"/>
      <c r="AB199" s="152" t="s">
        <v>1067</v>
      </c>
      <c r="AC199" s="152" t="s">
        <v>1068</v>
      </c>
      <c r="AD199" s="152" t="s">
        <v>1069</v>
      </c>
      <c r="AE199" s="134" t="s">
        <v>287</v>
      </c>
      <c r="AF199" s="303" t="s">
        <v>4</v>
      </c>
      <c r="AG199" s="208">
        <v>29353.89</v>
      </c>
      <c r="AH199" s="208">
        <v>59353.89</v>
      </c>
      <c r="AI199" s="304" t="s">
        <v>6</v>
      </c>
      <c r="AJ199" s="315" t="s">
        <v>109</v>
      </c>
      <c r="AK199" s="304"/>
      <c r="AL199" s="303" t="s">
        <v>110</v>
      </c>
      <c r="AM199" s="303" t="s">
        <v>110</v>
      </c>
      <c r="AN199" s="304" t="s">
        <v>111</v>
      </c>
      <c r="AO199" s="303"/>
      <c r="AP199" s="253" t="s">
        <v>1071</v>
      </c>
      <c r="AQ199" s="250" t="s">
        <v>110</v>
      </c>
      <c r="AR199" s="250" t="s">
        <v>110</v>
      </c>
      <c r="AS199" s="250" t="s">
        <v>110</v>
      </c>
      <c r="AT199" s="250" t="s">
        <v>110</v>
      </c>
      <c r="AU199" s="248">
        <v>45755</v>
      </c>
      <c r="AV199" s="250" t="s">
        <v>110</v>
      </c>
      <c r="AW199" s="250" t="s">
        <v>110</v>
      </c>
      <c r="AX199" s="254">
        <v>45762</v>
      </c>
      <c r="AY199" s="254">
        <v>45762</v>
      </c>
      <c r="AZ199" s="245" t="s">
        <v>360</v>
      </c>
      <c r="BA199" s="245" t="s">
        <v>1</v>
      </c>
      <c r="BB199" s="250" t="s">
        <v>110</v>
      </c>
      <c r="BC199" s="142">
        <f t="shared" si="6"/>
        <v>168</v>
      </c>
      <c r="BD199" s="134" t="str">
        <f t="shared" si="7"/>
        <v>INDENIZAÇÃO</v>
      </c>
      <c r="BE199" s="134" t="str">
        <f t="shared" si="8"/>
        <v>NÃO</v>
      </c>
      <c r="BF199" s="303" t="s">
        <v>24</v>
      </c>
      <c r="BG199" s="303" t="s">
        <v>24</v>
      </c>
      <c r="BH199" s="303" t="s">
        <v>24</v>
      </c>
      <c r="BI199" s="303" t="s">
        <v>110</v>
      </c>
      <c r="BJ199" s="303" t="s">
        <v>110</v>
      </c>
      <c r="BK199" s="305">
        <v>45783</v>
      </c>
      <c r="BL199" s="250" t="s">
        <v>110</v>
      </c>
      <c r="BM199" s="250" t="s">
        <v>33</v>
      </c>
      <c r="CI199" s="200"/>
    </row>
    <row r="200" spans="1:87" s="149" customFormat="1" ht="30" customHeight="1">
      <c r="A200" s="134">
        <v>186</v>
      </c>
      <c r="B200" s="134" t="s">
        <v>99</v>
      </c>
      <c r="C200" s="134">
        <v>1</v>
      </c>
      <c r="D200" s="134" t="s">
        <v>100</v>
      </c>
      <c r="E200" s="134" t="s">
        <v>100</v>
      </c>
      <c r="F200" s="138" t="s">
        <v>1072</v>
      </c>
      <c r="G200" s="149" t="s">
        <v>1</v>
      </c>
      <c r="H200" s="149" t="s">
        <v>2</v>
      </c>
      <c r="I200" s="149" t="s">
        <v>108</v>
      </c>
      <c r="J200" s="152" t="s">
        <v>1073</v>
      </c>
      <c r="K200" s="152" t="s">
        <v>1074</v>
      </c>
      <c r="L200" s="152" t="s">
        <v>1075</v>
      </c>
      <c r="M200" s="134" t="s">
        <v>4</v>
      </c>
      <c r="N200" s="214" t="s">
        <v>5</v>
      </c>
      <c r="O200" s="194">
        <v>45594</v>
      </c>
      <c r="P200" s="144" t="s">
        <v>24</v>
      </c>
      <c r="Q200" s="144" t="s">
        <v>24</v>
      </c>
      <c r="R200" s="144" t="s">
        <v>24</v>
      </c>
      <c r="S200" s="144" t="s">
        <v>24</v>
      </c>
      <c r="T200" s="144" t="s">
        <v>24</v>
      </c>
      <c r="U200" s="144" t="s">
        <v>1076</v>
      </c>
      <c r="V200" s="144" t="s">
        <v>24</v>
      </c>
      <c r="W200" s="144" t="s">
        <v>24</v>
      </c>
      <c r="X200" s="144" t="s">
        <v>24</v>
      </c>
      <c r="Y200" s="144" t="s">
        <v>24</v>
      </c>
      <c r="Z200" s="144" t="s">
        <v>24</v>
      </c>
      <c r="AB200" s="152" t="s">
        <v>1073</v>
      </c>
      <c r="AC200" s="152" t="s">
        <v>1074</v>
      </c>
      <c r="AD200" s="152" t="s">
        <v>1075</v>
      </c>
      <c r="AE200" s="149" t="s">
        <v>108</v>
      </c>
      <c r="AF200" s="149" t="s">
        <v>4</v>
      </c>
      <c r="AG200" s="208">
        <v>75427.740000000005</v>
      </c>
      <c r="AH200" s="208">
        <v>75427.740000000005</v>
      </c>
      <c r="AI200" s="232" t="s">
        <v>6</v>
      </c>
      <c r="AJ200" s="138" t="s">
        <v>109</v>
      </c>
      <c r="AK200" s="235">
        <v>108769791</v>
      </c>
      <c r="AL200" s="134" t="s">
        <v>110</v>
      </c>
      <c r="AM200" s="134" t="s">
        <v>110</v>
      </c>
      <c r="AN200" s="134" t="s">
        <v>111</v>
      </c>
      <c r="AO200" s="225" t="s">
        <v>1058</v>
      </c>
      <c r="AP200" s="152" t="s">
        <v>1077</v>
      </c>
      <c r="AQ200" s="134" t="s">
        <v>110</v>
      </c>
      <c r="AR200" s="134" t="s">
        <v>110</v>
      </c>
      <c r="AS200" s="134" t="s">
        <v>110</v>
      </c>
      <c r="AT200" s="134" t="s">
        <v>110</v>
      </c>
      <c r="AU200" s="194">
        <v>45846</v>
      </c>
      <c r="AV200" s="198" t="s">
        <v>110</v>
      </c>
      <c r="AW200" s="198" t="s">
        <v>110</v>
      </c>
      <c r="AX200" s="161">
        <v>45902</v>
      </c>
      <c r="AY200" s="140">
        <v>45902</v>
      </c>
      <c r="AZ200" s="140" t="s">
        <v>33</v>
      </c>
      <c r="BA200" s="141" t="s">
        <v>113</v>
      </c>
      <c r="BB200" s="149" t="s">
        <v>110</v>
      </c>
      <c r="BC200" s="142">
        <f t="shared" si="6"/>
        <v>308</v>
      </c>
      <c r="BD200" s="134" t="str">
        <f t="shared" si="7"/>
        <v>INDENIZAÇÃO</v>
      </c>
      <c r="BE200" s="134" t="str">
        <f t="shared" si="8"/>
        <v>NÃO</v>
      </c>
      <c r="BF200" s="149" t="s">
        <v>24</v>
      </c>
      <c r="BG200" s="149" t="s">
        <v>24</v>
      </c>
      <c r="BH200" s="149" t="s">
        <v>24</v>
      </c>
      <c r="BI200" s="198" t="s">
        <v>110</v>
      </c>
      <c r="BJ200" s="198" t="s">
        <v>110</v>
      </c>
      <c r="BK200" s="161">
        <v>45923</v>
      </c>
      <c r="BL200" s="198" t="s">
        <v>110</v>
      </c>
      <c r="BM200" s="145" t="s">
        <v>33</v>
      </c>
      <c r="CI200" s="200"/>
    </row>
    <row r="201" spans="1:87" s="149" customFormat="1" ht="30" customHeight="1">
      <c r="A201" s="134">
        <v>187</v>
      </c>
      <c r="B201" s="134" t="s">
        <v>99</v>
      </c>
      <c r="C201" s="134">
        <v>1</v>
      </c>
      <c r="D201" s="134" t="s">
        <v>100</v>
      </c>
      <c r="E201" s="134" t="s">
        <v>100</v>
      </c>
      <c r="F201" s="138" t="s">
        <v>1078</v>
      </c>
      <c r="G201" s="149" t="s">
        <v>1</v>
      </c>
      <c r="H201" s="149" t="s">
        <v>2</v>
      </c>
      <c r="I201" s="149" t="s">
        <v>108</v>
      </c>
      <c r="J201" s="152" t="s">
        <v>1079</v>
      </c>
      <c r="K201" s="152" t="s">
        <v>1080</v>
      </c>
      <c r="L201" s="152" t="s">
        <v>1081</v>
      </c>
      <c r="M201" s="134" t="s">
        <v>4</v>
      </c>
      <c r="N201" s="214" t="s">
        <v>5</v>
      </c>
      <c r="O201" s="194">
        <v>45455</v>
      </c>
      <c r="P201" s="144" t="s">
        <v>24</v>
      </c>
      <c r="Q201" s="144" t="s">
        <v>24</v>
      </c>
      <c r="R201" s="144" t="s">
        <v>24</v>
      </c>
      <c r="S201" s="144" t="s">
        <v>24</v>
      </c>
      <c r="T201" s="144" t="s">
        <v>24</v>
      </c>
      <c r="U201" s="144" t="s">
        <v>24</v>
      </c>
      <c r="V201" s="144" t="s">
        <v>24</v>
      </c>
      <c r="W201" s="144" t="s">
        <v>24</v>
      </c>
      <c r="X201" s="144" t="s">
        <v>24</v>
      </c>
      <c r="Y201" s="144" t="s">
        <v>24</v>
      </c>
      <c r="Z201" s="144" t="s">
        <v>24</v>
      </c>
      <c r="AB201" s="152" t="s">
        <v>1079</v>
      </c>
      <c r="AC201" s="152" t="s">
        <v>1080</v>
      </c>
      <c r="AD201" s="152" t="s">
        <v>1081</v>
      </c>
      <c r="AE201" s="149" t="s">
        <v>108</v>
      </c>
      <c r="AF201" s="149" t="s">
        <v>4</v>
      </c>
      <c r="AG201" s="208">
        <v>36199.06</v>
      </c>
      <c r="AH201" s="208">
        <v>60000</v>
      </c>
      <c r="AI201" s="232" t="s">
        <v>6</v>
      </c>
      <c r="AJ201" s="138" t="s">
        <v>109</v>
      </c>
      <c r="AK201" s="235"/>
      <c r="AL201" s="149" t="s">
        <v>110</v>
      </c>
      <c r="AM201" s="149" t="s">
        <v>110</v>
      </c>
      <c r="AN201" s="149" t="s">
        <v>111</v>
      </c>
      <c r="AP201" s="199" t="s">
        <v>1082</v>
      </c>
      <c r="AQ201" s="149" t="s">
        <v>110</v>
      </c>
      <c r="AR201" s="149" t="s">
        <v>110</v>
      </c>
      <c r="AS201" s="149" t="s">
        <v>110</v>
      </c>
      <c r="AT201" s="149" t="s">
        <v>110</v>
      </c>
      <c r="AU201" s="194">
        <v>45525</v>
      </c>
      <c r="AV201" s="149" t="s">
        <v>110</v>
      </c>
      <c r="AW201" s="149" t="s">
        <v>110</v>
      </c>
      <c r="AX201" s="194">
        <v>45531</v>
      </c>
      <c r="AY201" s="197">
        <v>45531</v>
      </c>
      <c r="AZ201" s="145" t="s">
        <v>33</v>
      </c>
      <c r="BA201" s="145" t="s">
        <v>113</v>
      </c>
      <c r="BB201" s="149" t="s">
        <v>110</v>
      </c>
      <c r="BC201" s="142">
        <f t="shared" si="6"/>
        <v>76</v>
      </c>
      <c r="BD201" s="134" t="str">
        <f t="shared" si="7"/>
        <v>INDENIZAÇÃO</v>
      </c>
      <c r="BE201" s="134" t="str">
        <f t="shared" si="8"/>
        <v>NÃO</v>
      </c>
      <c r="BF201" s="134" t="s">
        <v>24</v>
      </c>
      <c r="BG201" s="134" t="s">
        <v>24</v>
      </c>
      <c r="BH201" s="134" t="s">
        <v>24</v>
      </c>
      <c r="BI201" s="198" t="s">
        <v>110</v>
      </c>
      <c r="BJ201" s="198" t="s">
        <v>110</v>
      </c>
      <c r="BK201" s="194">
        <v>45559</v>
      </c>
      <c r="BL201" s="198" t="s">
        <v>110</v>
      </c>
      <c r="BM201" s="145" t="s">
        <v>33</v>
      </c>
      <c r="CI201" s="200"/>
    </row>
    <row r="202" spans="1:87" s="149" customFormat="1" ht="30" customHeight="1">
      <c r="A202" s="134">
        <v>188</v>
      </c>
      <c r="B202" s="134" t="s">
        <v>99</v>
      </c>
      <c r="C202" s="134">
        <v>1</v>
      </c>
      <c r="D202" s="134" t="s">
        <v>100</v>
      </c>
      <c r="E202" s="134" t="s">
        <v>100</v>
      </c>
      <c r="F202" s="138" t="s">
        <v>1083</v>
      </c>
      <c r="G202" s="149" t="s">
        <v>1</v>
      </c>
      <c r="H202" s="149" t="s">
        <v>2</v>
      </c>
      <c r="I202" s="149" t="s">
        <v>108</v>
      </c>
      <c r="J202" s="152" t="s">
        <v>1084</v>
      </c>
      <c r="K202" s="152" t="s">
        <v>1085</v>
      </c>
      <c r="L202" s="152" t="s">
        <v>1086</v>
      </c>
      <c r="M202" s="134" t="s">
        <v>4</v>
      </c>
      <c r="N202" s="214" t="s">
        <v>5</v>
      </c>
      <c r="O202" s="194">
        <v>45455</v>
      </c>
      <c r="P202" s="144" t="s">
        <v>24</v>
      </c>
      <c r="Q202" s="144" t="s">
        <v>24</v>
      </c>
      <c r="R202" s="144" t="s">
        <v>24</v>
      </c>
      <c r="S202" s="144" t="s">
        <v>24</v>
      </c>
      <c r="T202" s="144" t="s">
        <v>24</v>
      </c>
      <c r="U202" s="144" t="s">
        <v>24</v>
      </c>
      <c r="V202" s="144" t="s">
        <v>24</v>
      </c>
      <c r="W202" s="144" t="s">
        <v>24</v>
      </c>
      <c r="X202" s="144" t="s">
        <v>24</v>
      </c>
      <c r="Y202" s="144" t="s">
        <v>24</v>
      </c>
      <c r="Z202" s="144" t="s">
        <v>24</v>
      </c>
      <c r="AB202" s="152" t="s">
        <v>1084</v>
      </c>
      <c r="AC202" s="152" t="s">
        <v>1085</v>
      </c>
      <c r="AD202" s="152" t="s">
        <v>1086</v>
      </c>
      <c r="AE202" s="149" t="s">
        <v>108</v>
      </c>
      <c r="AF202" s="149" t="s">
        <v>4</v>
      </c>
      <c r="AG202" s="208">
        <v>10467.299999999999</v>
      </c>
      <c r="AH202" s="208">
        <f>AG202+30000</f>
        <v>40467.300000000003</v>
      </c>
      <c r="AI202" s="232" t="s">
        <v>6</v>
      </c>
      <c r="AJ202" s="138" t="s">
        <v>109</v>
      </c>
      <c r="AK202" s="235"/>
      <c r="AL202" s="149" t="s">
        <v>110</v>
      </c>
      <c r="AM202" s="149" t="s">
        <v>110</v>
      </c>
      <c r="AN202" s="149" t="s">
        <v>111</v>
      </c>
      <c r="AP202" s="199" t="s">
        <v>1087</v>
      </c>
      <c r="AQ202" s="149" t="s">
        <v>110</v>
      </c>
      <c r="AR202" s="149" t="s">
        <v>110</v>
      </c>
      <c r="AS202" s="149" t="s">
        <v>110</v>
      </c>
      <c r="AT202" s="149" t="s">
        <v>110</v>
      </c>
      <c r="AU202" s="194">
        <v>45538</v>
      </c>
      <c r="AV202" s="149" t="s">
        <v>110</v>
      </c>
      <c r="AW202" s="149" t="s">
        <v>110</v>
      </c>
      <c r="AX202" s="144">
        <v>45546</v>
      </c>
      <c r="AY202" s="197">
        <v>45546</v>
      </c>
      <c r="AZ202" s="145" t="s">
        <v>33</v>
      </c>
      <c r="BA202" s="145" t="s">
        <v>113</v>
      </c>
      <c r="BB202" s="149" t="s">
        <v>110</v>
      </c>
      <c r="BC202" s="142">
        <f t="shared" si="6"/>
        <v>91</v>
      </c>
      <c r="BD202" s="134" t="str">
        <f t="shared" si="7"/>
        <v>INDENIZAÇÃO</v>
      </c>
      <c r="BE202" s="134" t="str">
        <f t="shared" si="8"/>
        <v>NÃO</v>
      </c>
      <c r="BF202" s="134" t="s">
        <v>24</v>
      </c>
      <c r="BG202" s="134" t="s">
        <v>24</v>
      </c>
      <c r="BH202" s="134" t="s">
        <v>24</v>
      </c>
      <c r="BI202" s="198" t="s">
        <v>110</v>
      </c>
      <c r="BJ202" s="198" t="s">
        <v>110</v>
      </c>
      <c r="BK202" s="194">
        <v>45621</v>
      </c>
      <c r="BL202" s="198" t="s">
        <v>110</v>
      </c>
      <c r="BM202" s="145" t="s">
        <v>33</v>
      </c>
      <c r="CI202" s="200"/>
    </row>
    <row r="203" spans="1:87" s="149" customFormat="1" ht="30" customHeight="1">
      <c r="A203" s="134">
        <v>189</v>
      </c>
      <c r="B203" s="134" t="s">
        <v>99</v>
      </c>
      <c r="C203" s="134">
        <v>1</v>
      </c>
      <c r="D203" s="134" t="s">
        <v>100</v>
      </c>
      <c r="E203" s="134" t="s">
        <v>100</v>
      </c>
      <c r="F203" s="138" t="s">
        <v>1088</v>
      </c>
      <c r="G203" s="149" t="s">
        <v>1</v>
      </c>
      <c r="H203" s="149" t="s">
        <v>2</v>
      </c>
      <c r="I203" s="149" t="s">
        <v>108</v>
      </c>
      <c r="J203" s="152" t="s">
        <v>1089</v>
      </c>
      <c r="K203" s="152" t="s">
        <v>1090</v>
      </c>
      <c r="L203" s="152" t="s">
        <v>1091</v>
      </c>
      <c r="M203" s="134" t="s">
        <v>4</v>
      </c>
      <c r="N203" s="214" t="s">
        <v>5</v>
      </c>
      <c r="O203" s="194">
        <v>45268</v>
      </c>
      <c r="P203" s="144" t="s">
        <v>24</v>
      </c>
      <c r="Q203" s="144" t="s">
        <v>24</v>
      </c>
      <c r="R203" s="144" t="s">
        <v>24</v>
      </c>
      <c r="S203" s="144" t="s">
        <v>24</v>
      </c>
      <c r="T203" s="144" t="s">
        <v>24</v>
      </c>
      <c r="U203" s="144" t="s">
        <v>24</v>
      </c>
      <c r="V203" s="144" t="s">
        <v>24</v>
      </c>
      <c r="W203" s="144" t="s">
        <v>24</v>
      </c>
      <c r="X203" s="144" t="s">
        <v>24</v>
      </c>
      <c r="Y203" s="144" t="s">
        <v>24</v>
      </c>
      <c r="Z203" s="144" t="s">
        <v>24</v>
      </c>
      <c r="AB203" s="152" t="s">
        <v>1089</v>
      </c>
      <c r="AC203" s="152" t="s">
        <v>1090</v>
      </c>
      <c r="AD203" s="152" t="s">
        <v>1091</v>
      </c>
      <c r="AE203" s="149" t="s">
        <v>108</v>
      </c>
      <c r="AF203" s="149" t="s">
        <v>4</v>
      </c>
      <c r="AG203" s="208">
        <v>61334.66</v>
      </c>
      <c r="AH203" s="208">
        <v>61334.66</v>
      </c>
      <c r="AI203" s="214" t="s">
        <v>6</v>
      </c>
      <c r="AJ203" s="138" t="s">
        <v>109</v>
      </c>
      <c r="AK203" s="214"/>
      <c r="AL203" s="149" t="s">
        <v>110</v>
      </c>
      <c r="AM203" s="149" t="s">
        <v>110</v>
      </c>
      <c r="AN203" s="149" t="s">
        <v>111</v>
      </c>
      <c r="AP203" s="199" t="s">
        <v>1092</v>
      </c>
      <c r="AQ203" s="149" t="s">
        <v>110</v>
      </c>
      <c r="AR203" s="149" t="s">
        <v>110</v>
      </c>
      <c r="AS203" s="149" t="s">
        <v>110</v>
      </c>
      <c r="AT203" s="149" t="s">
        <v>110</v>
      </c>
      <c r="AU203" s="194">
        <v>45373</v>
      </c>
      <c r="AV203" s="149" t="s">
        <v>110</v>
      </c>
      <c r="AW203" s="149" t="s">
        <v>110</v>
      </c>
      <c r="AX203" s="194">
        <v>45385</v>
      </c>
      <c r="AY203" s="197">
        <v>45385</v>
      </c>
      <c r="AZ203" s="197" t="s">
        <v>33</v>
      </c>
      <c r="BA203" s="145" t="s">
        <v>113</v>
      </c>
      <c r="BB203" s="149" t="s">
        <v>110</v>
      </c>
      <c r="BC203" s="142">
        <f t="shared" si="6"/>
        <v>117</v>
      </c>
      <c r="BD203" s="134" t="str">
        <f t="shared" si="7"/>
        <v>INDENIZAÇÃO</v>
      </c>
      <c r="BE203" s="134" t="str">
        <f t="shared" si="8"/>
        <v>NÃO</v>
      </c>
      <c r="BF203" s="134" t="s">
        <v>24</v>
      </c>
      <c r="BG203" s="134" t="s">
        <v>24</v>
      </c>
      <c r="BH203" s="134" t="s">
        <v>24</v>
      </c>
      <c r="BI203" s="149" t="s">
        <v>110</v>
      </c>
      <c r="BJ203" s="149" t="s">
        <v>110</v>
      </c>
      <c r="BK203" s="194">
        <v>45510</v>
      </c>
      <c r="BL203" s="149" t="s">
        <v>110</v>
      </c>
      <c r="BM203" s="145" t="s">
        <v>33</v>
      </c>
      <c r="CI203" s="200"/>
    </row>
    <row r="204" spans="1:87" s="149" customFormat="1" ht="30" customHeight="1">
      <c r="A204" s="134">
        <v>190</v>
      </c>
      <c r="B204" s="134" t="s">
        <v>99</v>
      </c>
      <c r="C204" s="134">
        <v>1</v>
      </c>
      <c r="D204" s="134" t="s">
        <v>100</v>
      </c>
      <c r="E204" s="134" t="s">
        <v>100</v>
      </c>
      <c r="F204" s="138" t="s">
        <v>1093</v>
      </c>
      <c r="G204" s="149" t="s">
        <v>1</v>
      </c>
      <c r="H204" s="149" t="s">
        <v>2</v>
      </c>
      <c r="I204" s="149" t="s">
        <v>108</v>
      </c>
      <c r="J204" s="152" t="s">
        <v>1094</v>
      </c>
      <c r="K204" s="152" t="s">
        <v>1095</v>
      </c>
      <c r="L204" s="152" t="s">
        <v>1096</v>
      </c>
      <c r="M204" s="134" t="s">
        <v>4</v>
      </c>
      <c r="N204" s="214" t="s">
        <v>5</v>
      </c>
      <c r="O204" s="194">
        <v>45268</v>
      </c>
      <c r="P204" s="144" t="s">
        <v>24</v>
      </c>
      <c r="Q204" s="144" t="s">
        <v>24</v>
      </c>
      <c r="R204" s="144" t="s">
        <v>24</v>
      </c>
      <c r="S204" s="144" t="s">
        <v>24</v>
      </c>
      <c r="T204" s="144" t="s">
        <v>24</v>
      </c>
      <c r="U204" s="144" t="s">
        <v>24</v>
      </c>
      <c r="V204" s="144" t="s">
        <v>24</v>
      </c>
      <c r="W204" s="144" t="s">
        <v>24</v>
      </c>
      <c r="X204" s="144" t="s">
        <v>24</v>
      </c>
      <c r="Y204" s="144" t="s">
        <v>24</v>
      </c>
      <c r="Z204" s="144" t="s">
        <v>24</v>
      </c>
      <c r="AB204" s="152" t="s">
        <v>1094</v>
      </c>
      <c r="AC204" s="152" t="s">
        <v>1095</v>
      </c>
      <c r="AD204" s="152" t="s">
        <v>1096</v>
      </c>
      <c r="AE204" s="149" t="s">
        <v>108</v>
      </c>
      <c r="AF204" s="149" t="s">
        <v>4</v>
      </c>
      <c r="AG204" s="208">
        <v>19092.78</v>
      </c>
      <c r="AH204" s="208">
        <v>49092.78</v>
      </c>
      <c r="AI204" s="214" t="s">
        <v>6</v>
      </c>
      <c r="AJ204" s="138" t="s">
        <v>109</v>
      </c>
      <c r="AK204" s="214"/>
      <c r="AL204" s="149" t="s">
        <v>110</v>
      </c>
      <c r="AM204" s="149" t="s">
        <v>110</v>
      </c>
      <c r="AN204" s="149" t="s">
        <v>111</v>
      </c>
      <c r="AP204" s="199" t="s">
        <v>1097</v>
      </c>
      <c r="AQ204" s="149" t="s">
        <v>110</v>
      </c>
      <c r="AR204" s="149" t="s">
        <v>110</v>
      </c>
      <c r="AS204" s="149" t="s">
        <v>110</v>
      </c>
      <c r="AT204" s="149" t="s">
        <v>110</v>
      </c>
      <c r="AU204" s="194">
        <v>45373</v>
      </c>
      <c r="AV204" s="149" t="s">
        <v>110</v>
      </c>
      <c r="AW204" s="149" t="s">
        <v>110</v>
      </c>
      <c r="AX204" s="194">
        <v>45384</v>
      </c>
      <c r="AY204" s="197">
        <v>45384</v>
      </c>
      <c r="AZ204" s="197" t="s">
        <v>33</v>
      </c>
      <c r="BA204" s="145" t="s">
        <v>113</v>
      </c>
      <c r="BB204" s="149" t="s">
        <v>110</v>
      </c>
      <c r="BC204" s="142">
        <f t="shared" si="6"/>
        <v>116</v>
      </c>
      <c r="BD204" s="134" t="str">
        <f t="shared" si="7"/>
        <v>INDENIZAÇÃO</v>
      </c>
      <c r="BE204" s="134" t="str">
        <f t="shared" si="8"/>
        <v>NÃO</v>
      </c>
      <c r="BF204" s="134" t="s">
        <v>24</v>
      </c>
      <c r="BG204" s="134" t="s">
        <v>24</v>
      </c>
      <c r="BH204" s="134" t="s">
        <v>24</v>
      </c>
      <c r="BI204" s="149" t="s">
        <v>110</v>
      </c>
      <c r="BJ204" s="149" t="s">
        <v>110</v>
      </c>
      <c r="BK204" s="194">
        <v>45510</v>
      </c>
      <c r="BL204" s="149" t="s">
        <v>110</v>
      </c>
      <c r="BM204" s="145" t="s">
        <v>33</v>
      </c>
      <c r="CI204" s="200"/>
    </row>
    <row r="205" spans="1:87" s="149" customFormat="1" ht="30" customHeight="1">
      <c r="A205" s="134">
        <v>191</v>
      </c>
      <c r="B205" s="134" t="s">
        <v>99</v>
      </c>
      <c r="C205" s="134">
        <v>1</v>
      </c>
      <c r="D205" s="134" t="s">
        <v>100</v>
      </c>
      <c r="E205" s="134" t="s">
        <v>100</v>
      </c>
      <c r="F205" s="138" t="s">
        <v>1098</v>
      </c>
      <c r="G205" s="149" t="s">
        <v>1</v>
      </c>
      <c r="H205" s="149" t="s">
        <v>2</v>
      </c>
      <c r="I205" s="149" t="s">
        <v>108</v>
      </c>
      <c r="J205" s="152" t="s">
        <v>1099</v>
      </c>
      <c r="K205" s="152" t="s">
        <v>1100</v>
      </c>
      <c r="L205" s="152" t="s">
        <v>1101</v>
      </c>
      <c r="M205" s="134" t="s">
        <v>4</v>
      </c>
      <c r="N205" s="214" t="s">
        <v>5</v>
      </c>
      <c r="O205" s="194">
        <v>45280</v>
      </c>
      <c r="P205" s="144" t="s">
        <v>24</v>
      </c>
      <c r="Q205" s="144" t="s">
        <v>24</v>
      </c>
      <c r="R205" s="144" t="s">
        <v>24</v>
      </c>
      <c r="S205" s="144" t="s">
        <v>24</v>
      </c>
      <c r="T205" s="144" t="s">
        <v>24</v>
      </c>
      <c r="U205" s="144" t="s">
        <v>24</v>
      </c>
      <c r="V205" s="144" t="s">
        <v>24</v>
      </c>
      <c r="W205" s="144" t="s">
        <v>24</v>
      </c>
      <c r="X205" s="144" t="s">
        <v>24</v>
      </c>
      <c r="Y205" s="144" t="s">
        <v>24</v>
      </c>
      <c r="Z205" s="144" t="s">
        <v>24</v>
      </c>
      <c r="AB205" s="152" t="s">
        <v>1099</v>
      </c>
      <c r="AC205" s="152" t="s">
        <v>1100</v>
      </c>
      <c r="AD205" s="152" t="s">
        <v>1101</v>
      </c>
      <c r="AE205" s="149" t="s">
        <v>108</v>
      </c>
      <c r="AF205" s="149" t="s">
        <v>4</v>
      </c>
      <c r="AG205" s="208">
        <v>19207.29</v>
      </c>
      <c r="AH205" s="208">
        <v>49207.29</v>
      </c>
      <c r="AI205" s="232" t="s">
        <v>6</v>
      </c>
      <c r="AJ205" s="138" t="s">
        <v>109</v>
      </c>
      <c r="AK205" s="214"/>
      <c r="AL205" s="149" t="s">
        <v>110</v>
      </c>
      <c r="AM205" s="149" t="s">
        <v>110</v>
      </c>
      <c r="AN205" s="149" t="s">
        <v>111</v>
      </c>
      <c r="AP205" s="199" t="s">
        <v>1102</v>
      </c>
      <c r="AQ205" s="149" t="s">
        <v>110</v>
      </c>
      <c r="AR205" s="149" t="s">
        <v>110</v>
      </c>
      <c r="AS205" s="149" t="s">
        <v>110</v>
      </c>
      <c r="AT205" s="149" t="s">
        <v>110</v>
      </c>
      <c r="AU205" s="194">
        <v>45397</v>
      </c>
      <c r="AV205" s="149" t="s">
        <v>110</v>
      </c>
      <c r="AW205" s="149" t="s">
        <v>110</v>
      </c>
      <c r="AX205" s="194">
        <v>45406</v>
      </c>
      <c r="AY205" s="197">
        <v>45406</v>
      </c>
      <c r="AZ205" s="145" t="s">
        <v>33</v>
      </c>
      <c r="BA205" s="145" t="s">
        <v>113</v>
      </c>
      <c r="BB205" s="149" t="s">
        <v>110</v>
      </c>
      <c r="BC205" s="142">
        <f t="shared" si="6"/>
        <v>126</v>
      </c>
      <c r="BD205" s="134" t="str">
        <f t="shared" si="7"/>
        <v>INDENIZAÇÃO</v>
      </c>
      <c r="BE205" s="134" t="str">
        <f t="shared" si="8"/>
        <v>NÃO</v>
      </c>
      <c r="BF205" s="134" t="s">
        <v>24</v>
      </c>
      <c r="BG205" s="134" t="s">
        <v>24</v>
      </c>
      <c r="BH205" s="134" t="s">
        <v>24</v>
      </c>
      <c r="BI205" s="198" t="s">
        <v>110</v>
      </c>
      <c r="BJ205" s="198" t="s">
        <v>110</v>
      </c>
      <c r="BK205" s="144">
        <v>45545</v>
      </c>
      <c r="BL205" s="198" t="s">
        <v>110</v>
      </c>
      <c r="BM205" s="145" t="s">
        <v>33</v>
      </c>
      <c r="CI205" s="200"/>
    </row>
    <row r="206" spans="1:87" s="149" customFormat="1" ht="30" customHeight="1">
      <c r="A206" s="134">
        <v>192</v>
      </c>
      <c r="B206" s="134" t="s">
        <v>99</v>
      </c>
      <c r="C206" s="134">
        <v>1</v>
      </c>
      <c r="D206" s="134" t="s">
        <v>100</v>
      </c>
      <c r="E206" s="134" t="s">
        <v>100</v>
      </c>
      <c r="F206" s="138" t="s">
        <v>1103</v>
      </c>
      <c r="G206" s="149" t="s">
        <v>10</v>
      </c>
      <c r="H206" s="149" t="s">
        <v>2</v>
      </c>
      <c r="I206" s="149" t="s">
        <v>287</v>
      </c>
      <c r="J206" s="152" t="s">
        <v>1104</v>
      </c>
      <c r="K206" s="152" t="s">
        <v>1105</v>
      </c>
      <c r="L206" s="152" t="s">
        <v>1106</v>
      </c>
      <c r="M206" s="134" t="s">
        <v>4</v>
      </c>
      <c r="N206" s="214" t="s">
        <v>5</v>
      </c>
      <c r="O206" s="194">
        <v>45475</v>
      </c>
      <c r="P206" s="144" t="s">
        <v>24</v>
      </c>
      <c r="Q206" s="144" t="s">
        <v>24</v>
      </c>
      <c r="R206" s="144" t="s">
        <v>24</v>
      </c>
      <c r="S206" s="144" t="s">
        <v>24</v>
      </c>
      <c r="T206" s="144" t="s">
        <v>24</v>
      </c>
      <c r="U206" s="144" t="s">
        <v>24</v>
      </c>
      <c r="V206" s="144" t="s">
        <v>24</v>
      </c>
      <c r="W206" s="144" t="s">
        <v>24</v>
      </c>
      <c r="X206" s="144" t="s">
        <v>24</v>
      </c>
      <c r="Y206" s="144" t="s">
        <v>24</v>
      </c>
      <c r="Z206" s="144" t="s">
        <v>24</v>
      </c>
      <c r="AB206" s="152" t="s">
        <v>1107</v>
      </c>
      <c r="AC206" s="152" t="s">
        <v>1105</v>
      </c>
      <c r="AD206" s="152" t="s">
        <v>1106</v>
      </c>
      <c r="AE206" s="134" t="s">
        <v>287</v>
      </c>
      <c r="AF206" s="149" t="s">
        <v>4</v>
      </c>
      <c r="AG206" s="208">
        <v>8038</v>
      </c>
      <c r="AH206" s="208">
        <f>AG206+30000</f>
        <v>38038</v>
      </c>
      <c r="AI206" s="232" t="s">
        <v>6</v>
      </c>
      <c r="AJ206" s="138" t="s">
        <v>109</v>
      </c>
      <c r="AK206" s="235"/>
      <c r="AL206" s="149" t="s">
        <v>110</v>
      </c>
      <c r="AM206" s="149" t="s">
        <v>110</v>
      </c>
      <c r="AN206" s="149" t="s">
        <v>111</v>
      </c>
      <c r="AP206" s="199" t="s">
        <v>1108</v>
      </c>
      <c r="AQ206" s="149" t="s">
        <v>110</v>
      </c>
      <c r="AR206" s="149" t="s">
        <v>110</v>
      </c>
      <c r="AS206" s="149" t="s">
        <v>110</v>
      </c>
      <c r="AT206" s="198" t="s">
        <v>110</v>
      </c>
      <c r="AU206" s="194">
        <v>45498</v>
      </c>
      <c r="AV206" s="198" t="s">
        <v>110</v>
      </c>
      <c r="AW206" s="198" t="s">
        <v>110</v>
      </c>
      <c r="AX206" s="219">
        <v>45526</v>
      </c>
      <c r="AY206" s="197">
        <v>45526</v>
      </c>
      <c r="AZ206" s="145" t="s">
        <v>33</v>
      </c>
      <c r="BA206" s="145" t="s">
        <v>113</v>
      </c>
      <c r="BB206" s="149" t="s">
        <v>110</v>
      </c>
      <c r="BC206" s="142">
        <f t="shared" si="6"/>
        <v>51</v>
      </c>
      <c r="BD206" s="134" t="str">
        <f t="shared" si="7"/>
        <v>INDENIZAÇÃO</v>
      </c>
      <c r="BE206" s="134" t="str">
        <f t="shared" si="8"/>
        <v>NÃO</v>
      </c>
      <c r="BF206" s="134" t="s">
        <v>24</v>
      </c>
      <c r="BG206" s="134" t="s">
        <v>24</v>
      </c>
      <c r="BH206" s="134" t="s">
        <v>24</v>
      </c>
      <c r="BI206" s="198" t="s">
        <v>110</v>
      </c>
      <c r="BJ206" s="198" t="s">
        <v>110</v>
      </c>
      <c r="BK206" s="194">
        <v>45559</v>
      </c>
      <c r="BL206" s="198" t="s">
        <v>110</v>
      </c>
      <c r="BM206" s="145" t="s">
        <v>33</v>
      </c>
      <c r="CI206" s="200"/>
    </row>
    <row r="207" spans="1:87" s="149" customFormat="1" ht="30" customHeight="1">
      <c r="A207" s="134">
        <v>193</v>
      </c>
      <c r="B207" s="245" t="s">
        <v>99</v>
      </c>
      <c r="C207" s="245">
        <v>1</v>
      </c>
      <c r="D207" s="245" t="s">
        <v>100</v>
      </c>
      <c r="E207" s="245" t="s">
        <v>100</v>
      </c>
      <c r="F207" s="246" t="s">
        <v>1109</v>
      </c>
      <c r="G207" s="149" t="s">
        <v>1</v>
      </c>
      <c r="H207" s="149" t="s">
        <v>2</v>
      </c>
      <c r="I207" s="149" t="s">
        <v>108</v>
      </c>
      <c r="J207" s="152" t="s">
        <v>1110</v>
      </c>
      <c r="K207" s="152" t="s">
        <v>1111</v>
      </c>
      <c r="L207" s="152" t="s">
        <v>1112</v>
      </c>
      <c r="M207" s="245" t="s">
        <v>4</v>
      </c>
      <c r="N207" s="245" t="s">
        <v>5</v>
      </c>
      <c r="O207" s="256">
        <v>45300</v>
      </c>
      <c r="P207" s="249" t="s">
        <v>24</v>
      </c>
      <c r="Q207" s="249" t="s">
        <v>24</v>
      </c>
      <c r="R207" s="249" t="s">
        <v>24</v>
      </c>
      <c r="S207" s="249" t="s">
        <v>24</v>
      </c>
      <c r="T207" s="249" t="s">
        <v>24</v>
      </c>
      <c r="U207" s="249" t="s">
        <v>24</v>
      </c>
      <c r="V207" s="249" t="s">
        <v>24</v>
      </c>
      <c r="W207" s="249" t="s">
        <v>24</v>
      </c>
      <c r="X207" s="249" t="s">
        <v>24</v>
      </c>
      <c r="Y207" s="249" t="s">
        <v>24</v>
      </c>
      <c r="Z207" s="249" t="s">
        <v>24</v>
      </c>
      <c r="AA207" s="250"/>
      <c r="AB207" s="152" t="s">
        <v>1110</v>
      </c>
      <c r="AC207" s="152" t="s">
        <v>1111</v>
      </c>
      <c r="AD207" s="152" t="s">
        <v>1112</v>
      </c>
      <c r="AE207" s="149" t="s">
        <v>108</v>
      </c>
      <c r="AF207" s="250" t="s">
        <v>4</v>
      </c>
      <c r="AG207" s="208">
        <v>0</v>
      </c>
      <c r="AH207" s="208">
        <v>60000</v>
      </c>
      <c r="AI207" s="245" t="s">
        <v>6</v>
      </c>
      <c r="AJ207" s="314" t="s">
        <v>109</v>
      </c>
      <c r="AK207" s="245"/>
      <c r="AL207" s="250" t="s">
        <v>110</v>
      </c>
      <c r="AM207" s="250" t="s">
        <v>110</v>
      </c>
      <c r="AN207" s="250" t="s">
        <v>111</v>
      </c>
      <c r="AO207" s="250"/>
      <c r="AP207" s="253" t="s">
        <v>1113</v>
      </c>
      <c r="AQ207" s="250" t="s">
        <v>110</v>
      </c>
      <c r="AR207" s="250" t="s">
        <v>110</v>
      </c>
      <c r="AS207" s="250" t="s">
        <v>110</v>
      </c>
      <c r="AT207" s="250" t="s">
        <v>110</v>
      </c>
      <c r="AU207" s="256">
        <v>45373</v>
      </c>
      <c r="AV207" s="250" t="s">
        <v>110</v>
      </c>
      <c r="AW207" s="250" t="s">
        <v>110</v>
      </c>
      <c r="AX207" s="256">
        <v>45384</v>
      </c>
      <c r="AY207" s="249">
        <v>45384</v>
      </c>
      <c r="AZ207" s="245" t="s">
        <v>360</v>
      </c>
      <c r="BA207" s="245" t="s">
        <v>1</v>
      </c>
      <c r="BB207" s="250" t="s">
        <v>110</v>
      </c>
      <c r="BC207" s="142">
        <f t="shared" si="6"/>
        <v>84</v>
      </c>
      <c r="BD207" s="134" t="str">
        <f t="shared" si="7"/>
        <v>INDENIZAÇÃO</v>
      </c>
      <c r="BE207" s="134" t="str">
        <f t="shared" si="8"/>
        <v>NÃO</v>
      </c>
      <c r="BF207" s="245" t="s">
        <v>24</v>
      </c>
      <c r="BG207" s="245" t="s">
        <v>24</v>
      </c>
      <c r="BH207" s="245" t="s">
        <v>24</v>
      </c>
      <c r="BI207" s="250" t="s">
        <v>110</v>
      </c>
      <c r="BJ207" s="250" t="s">
        <v>110</v>
      </c>
      <c r="BK207" s="256">
        <v>45510</v>
      </c>
      <c r="BL207" s="250" t="s">
        <v>110</v>
      </c>
      <c r="BM207" s="250" t="s">
        <v>33</v>
      </c>
      <c r="CI207" s="200"/>
    </row>
    <row r="208" spans="1:87" s="149" customFormat="1" ht="30" customHeight="1">
      <c r="A208" s="134">
        <v>194</v>
      </c>
      <c r="B208" s="134" t="s">
        <v>99</v>
      </c>
      <c r="C208" s="134">
        <v>1</v>
      </c>
      <c r="D208" s="134" t="s">
        <v>100</v>
      </c>
      <c r="E208" s="134" t="s">
        <v>100</v>
      </c>
      <c r="F208" s="138" t="s">
        <v>1114</v>
      </c>
      <c r="G208" s="149" t="s">
        <v>1</v>
      </c>
      <c r="H208" s="149" t="s">
        <v>2</v>
      </c>
      <c r="I208" s="149" t="s">
        <v>108</v>
      </c>
      <c r="J208" s="152" t="s">
        <v>1115</v>
      </c>
      <c r="K208" s="152" t="s">
        <v>1116</v>
      </c>
      <c r="L208" s="152" t="s">
        <v>1117</v>
      </c>
      <c r="M208" s="134" t="s">
        <v>4</v>
      </c>
      <c r="N208" s="214" t="s">
        <v>5</v>
      </c>
      <c r="O208" s="194">
        <v>45393</v>
      </c>
      <c r="P208" s="144" t="s">
        <v>24</v>
      </c>
      <c r="Q208" s="144" t="s">
        <v>24</v>
      </c>
      <c r="R208" s="144" t="s">
        <v>24</v>
      </c>
      <c r="S208" s="144" t="s">
        <v>24</v>
      </c>
      <c r="T208" s="144" t="s">
        <v>24</v>
      </c>
      <c r="U208" s="144" t="s">
        <v>24</v>
      </c>
      <c r="V208" s="144" t="s">
        <v>24</v>
      </c>
      <c r="W208" s="144" t="s">
        <v>24</v>
      </c>
      <c r="X208" s="144" t="s">
        <v>24</v>
      </c>
      <c r="Y208" s="144" t="s">
        <v>24</v>
      </c>
      <c r="Z208" s="144" t="s">
        <v>24</v>
      </c>
      <c r="AB208" s="152" t="s">
        <v>1115</v>
      </c>
      <c r="AC208" s="152" t="s">
        <v>1116</v>
      </c>
      <c r="AD208" s="152" t="s">
        <v>1117</v>
      </c>
      <c r="AE208" s="149" t="s">
        <v>108</v>
      </c>
      <c r="AF208" s="149" t="s">
        <v>4</v>
      </c>
      <c r="AG208" s="208">
        <v>43339.040000000001</v>
      </c>
      <c r="AH208" s="208">
        <v>60000</v>
      </c>
      <c r="AI208" s="232" t="s">
        <v>6</v>
      </c>
      <c r="AJ208" s="138" t="s">
        <v>109</v>
      </c>
      <c r="AK208" s="235"/>
      <c r="AL208" s="149" t="s">
        <v>110</v>
      </c>
      <c r="AM208" s="149" t="s">
        <v>110</v>
      </c>
      <c r="AN208" s="149" t="s">
        <v>111</v>
      </c>
      <c r="AO208" s="198"/>
      <c r="AP208" s="199" t="s">
        <v>1118</v>
      </c>
      <c r="AQ208" s="198" t="s">
        <v>110</v>
      </c>
      <c r="AR208" s="198" t="s">
        <v>110</v>
      </c>
      <c r="AS208" s="198" t="s">
        <v>110</v>
      </c>
      <c r="AT208" s="198" t="s">
        <v>110</v>
      </c>
      <c r="AU208" s="144">
        <v>45422</v>
      </c>
      <c r="AV208" s="198" t="s">
        <v>110</v>
      </c>
      <c r="AW208" s="198" t="s">
        <v>110</v>
      </c>
      <c r="AX208" s="144">
        <v>45432</v>
      </c>
      <c r="AY208" s="197">
        <v>45432</v>
      </c>
      <c r="AZ208" s="197" t="s">
        <v>33</v>
      </c>
      <c r="BA208" s="145" t="s">
        <v>113</v>
      </c>
      <c r="BB208" s="149" t="s">
        <v>110</v>
      </c>
      <c r="BC208" s="142">
        <f t="shared" si="6"/>
        <v>39</v>
      </c>
      <c r="BD208" s="134" t="str">
        <f t="shared" si="7"/>
        <v>INDENIZAÇÃO</v>
      </c>
      <c r="BE208" s="134" t="str">
        <f t="shared" si="8"/>
        <v>NÃO</v>
      </c>
      <c r="BF208" s="134" t="s">
        <v>24</v>
      </c>
      <c r="BG208" s="134" t="s">
        <v>24</v>
      </c>
      <c r="BH208" s="134" t="s">
        <v>24</v>
      </c>
      <c r="BI208" s="198" t="s">
        <v>110</v>
      </c>
      <c r="BJ208" s="198" t="s">
        <v>110</v>
      </c>
      <c r="BK208" s="144">
        <v>45545</v>
      </c>
      <c r="BL208" s="198" t="s">
        <v>110</v>
      </c>
      <c r="BM208" s="145" t="s">
        <v>33</v>
      </c>
      <c r="CI208" s="200"/>
    </row>
    <row r="209" spans="1:92" s="149" customFormat="1" ht="30" customHeight="1">
      <c r="A209" s="134">
        <v>195</v>
      </c>
      <c r="B209" s="245" t="s">
        <v>99</v>
      </c>
      <c r="C209" s="245">
        <v>1</v>
      </c>
      <c r="D209" s="245" t="s">
        <v>100</v>
      </c>
      <c r="E209" s="245" t="s">
        <v>100</v>
      </c>
      <c r="F209" s="246" t="s">
        <v>1119</v>
      </c>
      <c r="G209" s="149" t="s">
        <v>1</v>
      </c>
      <c r="H209" s="149" t="s">
        <v>2</v>
      </c>
      <c r="I209" s="149" t="s">
        <v>108</v>
      </c>
      <c r="J209" s="152" t="s">
        <v>1120</v>
      </c>
      <c r="K209" s="152" t="s">
        <v>1121</v>
      </c>
      <c r="L209" s="152" t="s">
        <v>1122</v>
      </c>
      <c r="M209" s="245" t="s">
        <v>4</v>
      </c>
      <c r="N209" s="245" t="s">
        <v>5</v>
      </c>
      <c r="O209" s="256">
        <v>45455</v>
      </c>
      <c r="P209" s="249" t="s">
        <v>24</v>
      </c>
      <c r="Q209" s="249" t="s">
        <v>24</v>
      </c>
      <c r="R209" s="249" t="s">
        <v>24</v>
      </c>
      <c r="S209" s="249" t="s">
        <v>24</v>
      </c>
      <c r="T209" s="249" t="s">
        <v>24</v>
      </c>
      <c r="U209" s="249" t="s">
        <v>24</v>
      </c>
      <c r="V209" s="249" t="s">
        <v>24</v>
      </c>
      <c r="W209" s="249" t="s">
        <v>24</v>
      </c>
      <c r="X209" s="249" t="s">
        <v>24</v>
      </c>
      <c r="Y209" s="249" t="s">
        <v>24</v>
      </c>
      <c r="Z209" s="249" t="s">
        <v>24</v>
      </c>
      <c r="AA209" s="250"/>
      <c r="AB209" s="152" t="s">
        <v>1120</v>
      </c>
      <c r="AC209" s="152" t="s">
        <v>1121</v>
      </c>
      <c r="AD209" s="152" t="s">
        <v>1122</v>
      </c>
      <c r="AE209" s="149" t="s">
        <v>108</v>
      </c>
      <c r="AF209" s="250" t="s">
        <v>4</v>
      </c>
      <c r="AG209" s="208">
        <v>10720.02</v>
      </c>
      <c r="AH209" s="208">
        <f>AG209+30000</f>
        <v>40720.020000000004</v>
      </c>
      <c r="AI209" s="251" t="s">
        <v>6</v>
      </c>
      <c r="AJ209" s="246" t="s">
        <v>109</v>
      </c>
      <c r="AK209" s="257"/>
      <c r="AL209" s="250" t="s">
        <v>110</v>
      </c>
      <c r="AM209" s="250" t="s">
        <v>110</v>
      </c>
      <c r="AN209" s="250" t="s">
        <v>111</v>
      </c>
      <c r="AO209" s="250"/>
      <c r="AP209" s="253" t="s">
        <v>1123</v>
      </c>
      <c r="AQ209" s="250" t="s">
        <v>110</v>
      </c>
      <c r="AR209" s="250" t="s">
        <v>110</v>
      </c>
      <c r="AS209" s="250" t="s">
        <v>110</v>
      </c>
      <c r="AT209" s="250" t="s">
        <v>110</v>
      </c>
      <c r="AU209" s="256">
        <v>45525</v>
      </c>
      <c r="AV209" s="250" t="s">
        <v>110</v>
      </c>
      <c r="AW209" s="250" t="s">
        <v>110</v>
      </c>
      <c r="AX209" s="256">
        <v>45531</v>
      </c>
      <c r="AY209" s="249">
        <v>45531</v>
      </c>
      <c r="AZ209" s="245" t="s">
        <v>360</v>
      </c>
      <c r="BA209" s="245" t="s">
        <v>1</v>
      </c>
      <c r="BB209" s="250" t="s">
        <v>110</v>
      </c>
      <c r="BC209" s="142">
        <f t="shared" si="6"/>
        <v>76</v>
      </c>
      <c r="BD209" s="134" t="str">
        <f t="shared" si="7"/>
        <v>INDENIZAÇÃO</v>
      </c>
      <c r="BE209" s="134" t="str">
        <f t="shared" si="8"/>
        <v>NÃO</v>
      </c>
      <c r="BF209" s="245" t="s">
        <v>24</v>
      </c>
      <c r="BG209" s="245" t="s">
        <v>24</v>
      </c>
      <c r="BH209" s="245" t="s">
        <v>24</v>
      </c>
      <c r="BI209" s="250" t="s">
        <v>110</v>
      </c>
      <c r="BJ209" s="250" t="s">
        <v>110</v>
      </c>
      <c r="BK209" s="256">
        <v>45559</v>
      </c>
      <c r="BL209" s="250" t="s">
        <v>110</v>
      </c>
      <c r="BM209" s="250" t="s">
        <v>33</v>
      </c>
      <c r="CI209" s="200"/>
    </row>
    <row r="210" spans="1:92" s="149" customFormat="1" ht="30" customHeight="1">
      <c r="A210" s="134">
        <v>196</v>
      </c>
      <c r="B210" s="134" t="s">
        <v>99</v>
      </c>
      <c r="C210" s="134">
        <v>1</v>
      </c>
      <c r="D210" s="134" t="s">
        <v>100</v>
      </c>
      <c r="E210" s="134" t="s">
        <v>100</v>
      </c>
      <c r="F210" s="138" t="s">
        <v>1124</v>
      </c>
      <c r="G210" s="149" t="s">
        <v>10</v>
      </c>
      <c r="H210" s="149" t="s">
        <v>2</v>
      </c>
      <c r="I210" s="149" t="s">
        <v>287</v>
      </c>
      <c r="J210" s="152" t="s">
        <v>1120</v>
      </c>
      <c r="K210" s="152" t="s">
        <v>1121</v>
      </c>
      <c r="L210" s="152" t="s">
        <v>1122</v>
      </c>
      <c r="M210" s="134" t="s">
        <v>4</v>
      </c>
      <c r="N210" s="214" t="s">
        <v>467</v>
      </c>
      <c r="O210" s="194">
        <v>45455</v>
      </c>
      <c r="P210" s="144" t="s">
        <v>24</v>
      </c>
      <c r="Q210" s="144" t="s">
        <v>24</v>
      </c>
      <c r="R210" s="144" t="s">
        <v>24</v>
      </c>
      <c r="S210" s="144" t="s">
        <v>24</v>
      </c>
      <c r="T210" s="144" t="s">
        <v>24</v>
      </c>
      <c r="U210" s="144" t="s">
        <v>24</v>
      </c>
      <c r="V210" s="144" t="s">
        <v>24</v>
      </c>
      <c r="W210" s="144" t="s">
        <v>24</v>
      </c>
      <c r="X210" s="144" t="s">
        <v>24</v>
      </c>
      <c r="Y210" s="144" t="s">
        <v>24</v>
      </c>
      <c r="Z210" s="144" t="s">
        <v>24</v>
      </c>
      <c r="AA210" s="149" t="s">
        <v>1125</v>
      </c>
      <c r="AB210" s="152" t="s">
        <v>1120</v>
      </c>
      <c r="AC210" s="152" t="s">
        <v>1121</v>
      </c>
      <c r="AD210" s="152" t="s">
        <v>1122</v>
      </c>
      <c r="AE210" s="134" t="s">
        <v>287</v>
      </c>
      <c r="AF210" s="280" t="s">
        <v>24</v>
      </c>
      <c r="AG210" s="208" t="s">
        <v>24</v>
      </c>
      <c r="AH210" s="208" t="s">
        <v>24</v>
      </c>
      <c r="AI210" s="289" t="s">
        <v>24</v>
      </c>
      <c r="AJ210" s="280" t="s">
        <v>24</v>
      </c>
      <c r="AK210" s="290"/>
      <c r="AL210" s="280" t="s">
        <v>24</v>
      </c>
      <c r="AM210" s="280" t="s">
        <v>24</v>
      </c>
      <c r="AN210" s="280" t="s">
        <v>24</v>
      </c>
      <c r="AO210" s="149" t="s">
        <v>1125</v>
      </c>
      <c r="AP210" s="199" t="s">
        <v>24</v>
      </c>
      <c r="AQ210" s="149" t="s">
        <v>24</v>
      </c>
      <c r="AR210" s="149" t="s">
        <v>24</v>
      </c>
      <c r="AS210" s="149" t="s">
        <v>24</v>
      </c>
      <c r="AT210" s="149" t="s">
        <v>24</v>
      </c>
      <c r="AU210" s="149" t="s">
        <v>24</v>
      </c>
      <c r="AV210" s="149" t="s">
        <v>24</v>
      </c>
      <c r="AW210" s="149" t="s">
        <v>24</v>
      </c>
      <c r="AX210" s="149" t="s">
        <v>24</v>
      </c>
      <c r="AY210" s="149" t="s">
        <v>24</v>
      </c>
      <c r="AZ210" s="149" t="s">
        <v>24</v>
      </c>
      <c r="BA210" s="149" t="s">
        <v>24</v>
      </c>
      <c r="BB210" s="149" t="s">
        <v>24</v>
      </c>
      <c r="BC210" s="142" t="e">
        <f t="shared" si="6"/>
        <v>#VALUE!</v>
      </c>
      <c r="BD210" s="134" t="str">
        <f t="shared" si="7"/>
        <v>INDENIZAÇÃO</v>
      </c>
      <c r="BE210" s="134" t="str">
        <f t="shared" si="8"/>
        <v>NÃO</v>
      </c>
      <c r="BF210" s="142" t="s">
        <v>24</v>
      </c>
      <c r="BG210" s="142" t="s">
        <v>24</v>
      </c>
      <c r="BH210" s="142" t="s">
        <v>24</v>
      </c>
      <c r="BI210" s="142" t="s">
        <v>24</v>
      </c>
      <c r="BJ210" s="142" t="s">
        <v>24</v>
      </c>
      <c r="BK210" s="142" t="s">
        <v>24</v>
      </c>
      <c r="BL210" s="142" t="s">
        <v>24</v>
      </c>
      <c r="BM210" s="142" t="s">
        <v>24</v>
      </c>
      <c r="CI210" s="200"/>
    </row>
    <row r="211" spans="1:92" s="149" customFormat="1" ht="30" customHeight="1">
      <c r="A211" s="134">
        <v>197</v>
      </c>
      <c r="B211" s="134" t="s">
        <v>99</v>
      </c>
      <c r="C211" s="134">
        <v>1</v>
      </c>
      <c r="D211" s="134" t="s">
        <v>100</v>
      </c>
      <c r="E211" s="134" t="s">
        <v>100</v>
      </c>
      <c r="F211" s="138" t="s">
        <v>1126</v>
      </c>
      <c r="G211" s="149" t="s">
        <v>1</v>
      </c>
      <c r="H211" s="149" t="s">
        <v>2</v>
      </c>
      <c r="I211" s="149" t="s">
        <v>108</v>
      </c>
      <c r="J211" s="152" t="s">
        <v>1127</v>
      </c>
      <c r="K211" s="152" t="s">
        <v>1128</v>
      </c>
      <c r="L211" s="152" t="s">
        <v>1129</v>
      </c>
      <c r="M211" s="134" t="s">
        <v>4</v>
      </c>
      <c r="N211" s="214" t="s">
        <v>5</v>
      </c>
      <c r="O211" s="194">
        <v>45280</v>
      </c>
      <c r="P211" s="144" t="s">
        <v>24</v>
      </c>
      <c r="Q211" s="144" t="s">
        <v>24</v>
      </c>
      <c r="R211" s="144" t="s">
        <v>24</v>
      </c>
      <c r="S211" s="144" t="s">
        <v>24</v>
      </c>
      <c r="T211" s="144" t="s">
        <v>24</v>
      </c>
      <c r="U211" s="144" t="s">
        <v>24</v>
      </c>
      <c r="V211" s="144" t="s">
        <v>24</v>
      </c>
      <c r="W211" s="144" t="s">
        <v>24</v>
      </c>
      <c r="X211" s="144" t="s">
        <v>24</v>
      </c>
      <c r="Y211" s="144" t="s">
        <v>24</v>
      </c>
      <c r="Z211" s="144" t="s">
        <v>24</v>
      </c>
      <c r="AB211" s="152" t="s">
        <v>1127</v>
      </c>
      <c r="AC211" s="152" t="s">
        <v>1128</v>
      </c>
      <c r="AD211" s="152" t="s">
        <v>1129</v>
      </c>
      <c r="AE211" s="149" t="s">
        <v>108</v>
      </c>
      <c r="AF211" s="149" t="s">
        <v>4</v>
      </c>
      <c r="AG211" s="208">
        <v>31370.45</v>
      </c>
      <c r="AH211" s="208">
        <v>60000</v>
      </c>
      <c r="AI211" s="214" t="s">
        <v>6</v>
      </c>
      <c r="AJ211" s="312" t="s">
        <v>109</v>
      </c>
      <c r="AK211" s="214"/>
      <c r="AL211" s="149" t="s">
        <v>110</v>
      </c>
      <c r="AM211" s="149" t="s">
        <v>110</v>
      </c>
      <c r="AN211" s="149" t="s">
        <v>111</v>
      </c>
      <c r="AP211" s="152" t="s">
        <v>1130</v>
      </c>
      <c r="AQ211" s="198" t="s">
        <v>110</v>
      </c>
      <c r="AR211" s="198" t="s">
        <v>110</v>
      </c>
      <c r="AS211" s="198" t="s">
        <v>110</v>
      </c>
      <c r="AT211" s="198" t="s">
        <v>110</v>
      </c>
      <c r="AU211" s="194">
        <v>45495</v>
      </c>
      <c r="AV211" s="198" t="s">
        <v>110</v>
      </c>
      <c r="AW211" s="198" t="s">
        <v>110</v>
      </c>
      <c r="AX211" s="194">
        <v>45499</v>
      </c>
      <c r="AY211" s="197">
        <v>45499</v>
      </c>
      <c r="AZ211" s="145" t="s">
        <v>33</v>
      </c>
      <c r="BA211" s="145" t="s">
        <v>113</v>
      </c>
      <c r="BB211" s="149" t="s">
        <v>110</v>
      </c>
      <c r="BC211" s="142">
        <f t="shared" si="6"/>
        <v>219</v>
      </c>
      <c r="BD211" s="134" t="str">
        <f t="shared" si="7"/>
        <v>INDENIZAÇÃO</v>
      </c>
      <c r="BE211" s="134" t="str">
        <f t="shared" si="8"/>
        <v>NÃO</v>
      </c>
      <c r="BF211" s="134" t="s">
        <v>24</v>
      </c>
      <c r="BG211" s="134" t="s">
        <v>24</v>
      </c>
      <c r="BH211" s="134" t="s">
        <v>24</v>
      </c>
      <c r="BI211" s="198" t="s">
        <v>110</v>
      </c>
      <c r="BJ211" s="198" t="s">
        <v>110</v>
      </c>
      <c r="BK211" s="194">
        <v>45559</v>
      </c>
      <c r="BL211" s="198" t="s">
        <v>110</v>
      </c>
      <c r="BM211" s="145" t="s">
        <v>33</v>
      </c>
      <c r="CI211" s="200"/>
    </row>
    <row r="212" spans="1:92" s="149" customFormat="1" ht="30" customHeight="1">
      <c r="A212" s="134">
        <v>198</v>
      </c>
      <c r="B212" s="134" t="s">
        <v>99</v>
      </c>
      <c r="C212" s="134">
        <v>1</v>
      </c>
      <c r="D212" s="134" t="s">
        <v>100</v>
      </c>
      <c r="E212" s="134" t="s">
        <v>100</v>
      </c>
      <c r="F212" s="138" t="s">
        <v>1131</v>
      </c>
      <c r="G212" s="149" t="s">
        <v>1</v>
      </c>
      <c r="H212" s="149" t="s">
        <v>2</v>
      </c>
      <c r="I212" s="149" t="s">
        <v>108</v>
      </c>
      <c r="J212" s="152" t="s">
        <v>1132</v>
      </c>
      <c r="K212" s="152" t="s">
        <v>1133</v>
      </c>
      <c r="L212" s="152" t="s">
        <v>1134</v>
      </c>
      <c r="M212" s="134" t="s">
        <v>4</v>
      </c>
      <c r="N212" s="214" t="s">
        <v>5</v>
      </c>
      <c r="O212" s="194">
        <v>45280</v>
      </c>
      <c r="P212" s="144" t="s">
        <v>24</v>
      </c>
      <c r="Q212" s="144" t="s">
        <v>24</v>
      </c>
      <c r="R212" s="144" t="s">
        <v>24</v>
      </c>
      <c r="S212" s="144" t="s">
        <v>24</v>
      </c>
      <c r="T212" s="144" t="s">
        <v>24</v>
      </c>
      <c r="U212" s="144" t="s">
        <v>24</v>
      </c>
      <c r="V212" s="144" t="s">
        <v>24</v>
      </c>
      <c r="W212" s="144" t="s">
        <v>24</v>
      </c>
      <c r="X212" s="144" t="s">
        <v>24</v>
      </c>
      <c r="Y212" s="144" t="s">
        <v>24</v>
      </c>
      <c r="Z212" s="144" t="s">
        <v>24</v>
      </c>
      <c r="AB212" s="152" t="s">
        <v>1132</v>
      </c>
      <c r="AC212" s="152" t="s">
        <v>1133</v>
      </c>
      <c r="AD212" s="152" t="s">
        <v>1134</v>
      </c>
      <c r="AE212" s="149" t="s">
        <v>108</v>
      </c>
      <c r="AF212" s="149" t="s">
        <v>4</v>
      </c>
      <c r="AG212" s="208">
        <v>11508.99</v>
      </c>
      <c r="AH212" s="208">
        <v>41508.99</v>
      </c>
      <c r="AI212" s="232" t="s">
        <v>6</v>
      </c>
      <c r="AJ212" s="138" t="s">
        <v>109</v>
      </c>
      <c r="AK212" s="235"/>
      <c r="AL212" s="149" t="s">
        <v>110</v>
      </c>
      <c r="AM212" s="149" t="s">
        <v>110</v>
      </c>
      <c r="AN212" s="149" t="s">
        <v>111</v>
      </c>
      <c r="AP212" s="152" t="s">
        <v>1135</v>
      </c>
      <c r="AQ212" s="149" t="s">
        <v>110</v>
      </c>
      <c r="AR212" s="149" t="s">
        <v>110</v>
      </c>
      <c r="AS212" s="149" t="s">
        <v>110</v>
      </c>
      <c r="AT212" s="149" t="s">
        <v>110</v>
      </c>
      <c r="AU212" s="194">
        <v>45373</v>
      </c>
      <c r="AV212" s="149" t="s">
        <v>110</v>
      </c>
      <c r="AW212" s="149" t="s">
        <v>110</v>
      </c>
      <c r="AX212" s="194">
        <v>45384</v>
      </c>
      <c r="AY212" s="197">
        <v>45384</v>
      </c>
      <c r="AZ212" s="197" t="s">
        <v>33</v>
      </c>
      <c r="BA212" s="145" t="s">
        <v>113</v>
      </c>
      <c r="BB212" s="149" t="s">
        <v>110</v>
      </c>
      <c r="BC212" s="142">
        <f t="shared" si="6"/>
        <v>104</v>
      </c>
      <c r="BD212" s="134" t="str">
        <f t="shared" si="7"/>
        <v>INDENIZAÇÃO</v>
      </c>
      <c r="BE212" s="134" t="str">
        <f t="shared" si="8"/>
        <v>NÃO</v>
      </c>
      <c r="BF212" s="134" t="s">
        <v>24</v>
      </c>
      <c r="BG212" s="134" t="s">
        <v>24</v>
      </c>
      <c r="BH212" s="134" t="s">
        <v>24</v>
      </c>
      <c r="BI212" s="149" t="s">
        <v>110</v>
      </c>
      <c r="BJ212" s="149" t="s">
        <v>110</v>
      </c>
      <c r="BK212" s="194">
        <v>45510</v>
      </c>
      <c r="BL212" s="149" t="s">
        <v>110</v>
      </c>
      <c r="BM212" s="145" t="s">
        <v>33</v>
      </c>
      <c r="CI212" s="200"/>
    </row>
    <row r="213" spans="1:92" s="149" customFormat="1" ht="30" customHeight="1">
      <c r="A213" s="134">
        <v>199</v>
      </c>
      <c r="B213" s="134" t="s">
        <v>99</v>
      </c>
      <c r="C213" s="134">
        <v>1</v>
      </c>
      <c r="D213" s="134" t="s">
        <v>100</v>
      </c>
      <c r="E213" s="134" t="s">
        <v>100</v>
      </c>
      <c r="F213" s="138" t="s">
        <v>1136</v>
      </c>
      <c r="G213" s="149" t="s">
        <v>1</v>
      </c>
      <c r="H213" s="149" t="s">
        <v>2</v>
      </c>
      <c r="I213" s="149" t="s">
        <v>108</v>
      </c>
      <c r="J213" s="152" t="s">
        <v>1137</v>
      </c>
      <c r="K213" s="152" t="s">
        <v>1138</v>
      </c>
      <c r="L213" s="152" t="s">
        <v>1139</v>
      </c>
      <c r="M213" s="134" t="s">
        <v>4</v>
      </c>
      <c r="N213" s="214" t="s">
        <v>5</v>
      </c>
      <c r="O213" s="194">
        <v>45280</v>
      </c>
      <c r="P213" s="144" t="s">
        <v>24</v>
      </c>
      <c r="Q213" s="144" t="s">
        <v>24</v>
      </c>
      <c r="R213" s="144" t="s">
        <v>24</v>
      </c>
      <c r="S213" s="144" t="s">
        <v>24</v>
      </c>
      <c r="T213" s="144" t="s">
        <v>24</v>
      </c>
      <c r="U213" s="144" t="s">
        <v>24</v>
      </c>
      <c r="V213" s="144" t="s">
        <v>24</v>
      </c>
      <c r="W213" s="144" t="s">
        <v>24</v>
      </c>
      <c r="X213" s="144" t="s">
        <v>24</v>
      </c>
      <c r="Y213" s="144" t="s">
        <v>24</v>
      </c>
      <c r="Z213" s="144" t="s">
        <v>24</v>
      </c>
      <c r="AB213" s="152" t="s">
        <v>1137</v>
      </c>
      <c r="AC213" s="152" t="s">
        <v>1138</v>
      </c>
      <c r="AD213" s="152" t="s">
        <v>1139</v>
      </c>
      <c r="AE213" s="149" t="s">
        <v>108</v>
      </c>
      <c r="AF213" s="149" t="s">
        <v>4</v>
      </c>
      <c r="AG213" s="208">
        <v>18453.830000000002</v>
      </c>
      <c r="AH213" s="208">
        <v>48453.83</v>
      </c>
      <c r="AI213" s="232" t="s">
        <v>6</v>
      </c>
      <c r="AJ213" s="138" t="s">
        <v>109</v>
      </c>
      <c r="AK213" s="235"/>
      <c r="AL213" s="149" t="s">
        <v>110</v>
      </c>
      <c r="AM213" s="149" t="s">
        <v>110</v>
      </c>
      <c r="AN213" s="149" t="s">
        <v>111</v>
      </c>
      <c r="AP213" s="152" t="s">
        <v>1140</v>
      </c>
      <c r="AQ213" s="149" t="s">
        <v>110</v>
      </c>
      <c r="AR213" s="149" t="s">
        <v>110</v>
      </c>
      <c r="AS213" s="198" t="s">
        <v>110</v>
      </c>
      <c r="AT213" s="198" t="s">
        <v>110</v>
      </c>
      <c r="AU213" s="144">
        <v>45422</v>
      </c>
      <c r="AV213" s="198" t="s">
        <v>110</v>
      </c>
      <c r="AW213" s="198" t="s">
        <v>110</v>
      </c>
      <c r="AX213" s="144">
        <v>45432</v>
      </c>
      <c r="AY213" s="197">
        <v>45432</v>
      </c>
      <c r="AZ213" s="197" t="s">
        <v>33</v>
      </c>
      <c r="BA213" s="145" t="s">
        <v>113</v>
      </c>
      <c r="BB213" s="149" t="s">
        <v>110</v>
      </c>
      <c r="BC213" s="142">
        <f t="shared" si="6"/>
        <v>152</v>
      </c>
      <c r="BD213" s="134" t="str">
        <f t="shared" si="7"/>
        <v>INDENIZAÇÃO</v>
      </c>
      <c r="BE213" s="134" t="str">
        <f t="shared" si="8"/>
        <v>NÃO</v>
      </c>
      <c r="BF213" s="134" t="s">
        <v>24</v>
      </c>
      <c r="BG213" s="134" t="s">
        <v>24</v>
      </c>
      <c r="BH213" s="134" t="s">
        <v>24</v>
      </c>
      <c r="BI213" s="198" t="s">
        <v>110</v>
      </c>
      <c r="BJ213" s="198" t="s">
        <v>110</v>
      </c>
      <c r="BK213" s="144">
        <v>45545</v>
      </c>
      <c r="BL213" s="198" t="s">
        <v>110</v>
      </c>
      <c r="BM213" s="145" t="s">
        <v>33</v>
      </c>
      <c r="CI213" s="200"/>
    </row>
    <row r="214" spans="1:92" s="149" customFormat="1" ht="30" customHeight="1">
      <c r="A214" s="134">
        <v>200</v>
      </c>
      <c r="B214" s="134" t="s">
        <v>99</v>
      </c>
      <c r="C214" s="134">
        <v>1</v>
      </c>
      <c r="D214" s="134" t="s">
        <v>100</v>
      </c>
      <c r="E214" s="134" t="s">
        <v>100</v>
      </c>
      <c r="F214" s="138" t="s">
        <v>1141</v>
      </c>
      <c r="G214" s="149" t="s">
        <v>10</v>
      </c>
      <c r="H214" s="149" t="s">
        <v>26</v>
      </c>
      <c r="I214" s="149" t="s">
        <v>287</v>
      </c>
      <c r="J214" s="152" t="s">
        <v>1142</v>
      </c>
      <c r="K214" s="152" t="s">
        <v>1143</v>
      </c>
      <c r="L214" s="152" t="s">
        <v>1144</v>
      </c>
      <c r="M214" s="134" t="s">
        <v>4</v>
      </c>
      <c r="N214" s="214" t="s">
        <v>5</v>
      </c>
      <c r="O214" s="194">
        <v>45849</v>
      </c>
      <c r="P214" s="144" t="s">
        <v>24</v>
      </c>
      <c r="Q214" s="144" t="s">
        <v>24</v>
      </c>
      <c r="R214" s="144" t="s">
        <v>24</v>
      </c>
      <c r="S214" s="144" t="s">
        <v>24</v>
      </c>
      <c r="T214" s="144" t="s">
        <v>24</v>
      </c>
      <c r="U214" s="144" t="s">
        <v>24</v>
      </c>
      <c r="V214" s="144" t="s">
        <v>24</v>
      </c>
      <c r="W214" s="144" t="s">
        <v>24</v>
      </c>
      <c r="X214" s="144" t="s">
        <v>24</v>
      </c>
      <c r="Y214" s="144" t="s">
        <v>24</v>
      </c>
      <c r="Z214" s="144" t="s">
        <v>24</v>
      </c>
      <c r="AB214" s="152" t="s">
        <v>1142</v>
      </c>
      <c r="AC214" s="152" t="s">
        <v>1143</v>
      </c>
      <c r="AD214" s="152" t="s">
        <v>1144</v>
      </c>
      <c r="AE214" s="134" t="s">
        <v>287</v>
      </c>
      <c r="AF214" s="149" t="s">
        <v>4</v>
      </c>
      <c r="AG214" s="208">
        <v>17991.54</v>
      </c>
      <c r="AH214" s="208">
        <v>47991.54</v>
      </c>
      <c r="AI214" s="232" t="s">
        <v>6</v>
      </c>
      <c r="AJ214" s="138" t="s">
        <v>109</v>
      </c>
      <c r="AK214" s="235">
        <v>92710551</v>
      </c>
      <c r="AL214" s="149" t="s">
        <v>110</v>
      </c>
      <c r="AM214" s="149" t="s">
        <v>110</v>
      </c>
      <c r="AN214" s="149" t="s">
        <v>111</v>
      </c>
      <c r="AO214" s="198"/>
      <c r="AP214" s="199" t="s">
        <v>1145</v>
      </c>
      <c r="AQ214" s="149" t="s">
        <v>110</v>
      </c>
      <c r="AR214" s="198" t="s">
        <v>110</v>
      </c>
      <c r="AS214" s="149" t="s">
        <v>110</v>
      </c>
      <c r="AT214" s="149" t="s">
        <v>110</v>
      </c>
      <c r="AU214" s="144">
        <v>46090</v>
      </c>
      <c r="AV214" s="149" t="s">
        <v>110</v>
      </c>
      <c r="AW214" s="149" t="s">
        <v>110</v>
      </c>
      <c r="AX214" s="274">
        <v>46097</v>
      </c>
      <c r="AY214" s="197">
        <v>46097</v>
      </c>
      <c r="AZ214" s="145" t="s">
        <v>33</v>
      </c>
      <c r="BA214" s="145" t="s">
        <v>113</v>
      </c>
      <c r="BB214" s="198" t="s">
        <v>110</v>
      </c>
      <c r="BC214" s="142">
        <f t="shared" si="6"/>
        <v>248</v>
      </c>
      <c r="BD214" s="134" t="str">
        <f t="shared" si="7"/>
        <v>INDENIZAÇÃO</v>
      </c>
      <c r="BE214" s="134" t="str">
        <f t="shared" si="8"/>
        <v>NÃO</v>
      </c>
      <c r="BF214" s="198" t="s">
        <v>24</v>
      </c>
      <c r="BG214" s="198" t="s">
        <v>24</v>
      </c>
      <c r="BH214" s="198" t="s">
        <v>24</v>
      </c>
      <c r="BI214" s="145" t="s">
        <v>189</v>
      </c>
      <c r="BJ214" s="145"/>
      <c r="BK214" s="279"/>
      <c r="BL214" s="145"/>
      <c r="BM214" s="145"/>
      <c r="CI214" s="200"/>
    </row>
    <row r="215" spans="1:92" s="149" customFormat="1" ht="30" customHeight="1">
      <c r="A215" s="134">
        <v>201</v>
      </c>
      <c r="B215" s="134" t="s">
        <v>99</v>
      </c>
      <c r="C215" s="134">
        <v>1</v>
      </c>
      <c r="D215" s="134" t="s">
        <v>100</v>
      </c>
      <c r="E215" s="134" t="s">
        <v>100</v>
      </c>
      <c r="F215" s="138" t="s">
        <v>1146</v>
      </c>
      <c r="G215" s="149" t="s">
        <v>1</v>
      </c>
      <c r="H215" s="149" t="s">
        <v>2</v>
      </c>
      <c r="I215" s="149" t="s">
        <v>108</v>
      </c>
      <c r="J215" s="152" t="s">
        <v>1147</v>
      </c>
      <c r="K215" s="152" t="s">
        <v>1148</v>
      </c>
      <c r="L215" s="152" t="s">
        <v>1149</v>
      </c>
      <c r="M215" s="134" t="s">
        <v>4</v>
      </c>
      <c r="N215" s="214" t="s">
        <v>5</v>
      </c>
      <c r="O215" s="194">
        <v>45849</v>
      </c>
      <c r="P215" s="144" t="s">
        <v>24</v>
      </c>
      <c r="Q215" s="144" t="s">
        <v>24</v>
      </c>
      <c r="R215" s="144" t="s">
        <v>24</v>
      </c>
      <c r="S215" s="144" t="s">
        <v>24</v>
      </c>
      <c r="T215" s="144" t="s">
        <v>24</v>
      </c>
      <c r="U215" s="144" t="s">
        <v>24</v>
      </c>
      <c r="V215" s="144" t="s">
        <v>24</v>
      </c>
      <c r="W215" s="144" t="s">
        <v>24</v>
      </c>
      <c r="X215" s="144" t="s">
        <v>24</v>
      </c>
      <c r="Y215" s="144" t="s">
        <v>24</v>
      </c>
      <c r="Z215" s="144" t="s">
        <v>24</v>
      </c>
      <c r="AB215" s="152" t="s">
        <v>1147</v>
      </c>
      <c r="AC215" s="152" t="s">
        <v>1148</v>
      </c>
      <c r="AD215" s="152" t="s">
        <v>1149</v>
      </c>
      <c r="AE215" s="149" t="s">
        <v>108</v>
      </c>
      <c r="AF215" s="149" t="s">
        <v>4</v>
      </c>
      <c r="AG215" s="208">
        <v>24632.82</v>
      </c>
      <c r="AH215" s="208">
        <v>54632.82</v>
      </c>
      <c r="AI215" s="232" t="s">
        <v>6</v>
      </c>
      <c r="AJ215" s="138" t="s">
        <v>109</v>
      </c>
      <c r="AK215" s="235">
        <v>92976418</v>
      </c>
      <c r="AL215" s="149" t="s">
        <v>110</v>
      </c>
      <c r="AM215" s="149" t="s">
        <v>110</v>
      </c>
      <c r="AN215" s="149" t="s">
        <v>111</v>
      </c>
      <c r="AO215" s="149" t="s">
        <v>1150</v>
      </c>
      <c r="AP215" s="199" t="s">
        <v>1151</v>
      </c>
      <c r="AQ215" s="149" t="s">
        <v>110</v>
      </c>
      <c r="AR215" s="149" t="s">
        <v>110</v>
      </c>
      <c r="AS215" s="149" t="s">
        <v>110</v>
      </c>
      <c r="AT215" s="149" t="s">
        <v>110</v>
      </c>
      <c r="AU215" s="144">
        <v>46090</v>
      </c>
      <c r="AV215" s="149" t="s">
        <v>110</v>
      </c>
      <c r="AW215" s="149" t="s">
        <v>110</v>
      </c>
      <c r="AX215" s="144">
        <v>46134</v>
      </c>
      <c r="AY215" s="197">
        <v>46134</v>
      </c>
      <c r="AZ215" s="145" t="s">
        <v>33</v>
      </c>
      <c r="BA215" s="145" t="s">
        <v>113</v>
      </c>
      <c r="BB215" s="149" t="s">
        <v>110</v>
      </c>
      <c r="BC215" s="142">
        <f t="shared" si="6"/>
        <v>285</v>
      </c>
      <c r="BD215" s="134" t="str">
        <f t="shared" si="7"/>
        <v>INDENIZAÇÃO</v>
      </c>
      <c r="BE215" s="134" t="str">
        <f t="shared" si="8"/>
        <v>NÃO</v>
      </c>
      <c r="BF215" s="134" t="s">
        <v>24</v>
      </c>
      <c r="BG215" s="134" t="s">
        <v>24</v>
      </c>
      <c r="BH215" s="134" t="s">
        <v>24</v>
      </c>
      <c r="BI215" s="145" t="s">
        <v>189</v>
      </c>
      <c r="BJ215" s="145"/>
      <c r="BK215" s="145"/>
      <c r="BL215" s="145"/>
      <c r="BM215" s="145"/>
      <c r="CI215" s="200"/>
    </row>
    <row r="216" spans="1:92" s="149" customFormat="1" ht="30" customHeight="1">
      <c r="A216" s="134">
        <v>202</v>
      </c>
      <c r="B216" s="245" t="s">
        <v>99</v>
      </c>
      <c r="C216" s="245">
        <v>1</v>
      </c>
      <c r="D216" s="245" t="s">
        <v>100</v>
      </c>
      <c r="E216" s="245" t="s">
        <v>100</v>
      </c>
      <c r="F216" s="246" t="s">
        <v>1152</v>
      </c>
      <c r="G216" s="149" t="s">
        <v>1</v>
      </c>
      <c r="H216" s="149" t="s">
        <v>2</v>
      </c>
      <c r="I216" s="149" t="s">
        <v>387</v>
      </c>
      <c r="J216" s="152" t="s">
        <v>1153</v>
      </c>
      <c r="K216" s="152" t="s">
        <v>1154</v>
      </c>
      <c r="L216" s="152" t="s">
        <v>1155</v>
      </c>
      <c r="M216" s="245" t="s">
        <v>4</v>
      </c>
      <c r="N216" s="245" t="s">
        <v>14</v>
      </c>
      <c r="O216" s="256">
        <v>45280</v>
      </c>
      <c r="P216" s="249" t="s">
        <v>17</v>
      </c>
      <c r="Q216" s="246" t="s">
        <v>283</v>
      </c>
      <c r="R216" s="249"/>
      <c r="S216" s="249"/>
      <c r="T216" s="249"/>
      <c r="U216" s="249"/>
      <c r="V216" s="249"/>
      <c r="W216" s="249"/>
      <c r="X216" s="249"/>
      <c r="Y216" s="249"/>
      <c r="Z216" s="249"/>
      <c r="AA216" s="250"/>
      <c r="AB216" s="152" t="s">
        <v>1156</v>
      </c>
      <c r="AC216" s="152" t="s">
        <v>1157</v>
      </c>
      <c r="AD216" s="152" t="s">
        <v>1158</v>
      </c>
      <c r="AE216" s="134" t="s">
        <v>287</v>
      </c>
      <c r="AF216" s="250" t="s">
        <v>4</v>
      </c>
      <c r="AG216" s="208">
        <v>35521.71</v>
      </c>
      <c r="AH216" s="208">
        <v>35521.71</v>
      </c>
      <c r="AI216" s="251" t="s">
        <v>6</v>
      </c>
      <c r="AJ216" s="246" t="s">
        <v>109</v>
      </c>
      <c r="AK216" s="257" t="s">
        <v>110</v>
      </c>
      <c r="AL216" s="250" t="s">
        <v>110</v>
      </c>
      <c r="AM216" s="250" t="s">
        <v>110</v>
      </c>
      <c r="AN216" s="245" t="s">
        <v>111</v>
      </c>
      <c r="AO216" s="250"/>
      <c r="AP216" s="253" t="s">
        <v>1159</v>
      </c>
      <c r="AQ216" s="250" t="s">
        <v>110</v>
      </c>
      <c r="AR216" s="250" t="s">
        <v>110</v>
      </c>
      <c r="AS216" s="250" t="s">
        <v>110</v>
      </c>
      <c r="AT216" s="250" t="s">
        <v>110</v>
      </c>
      <c r="AU216" s="248">
        <v>45755</v>
      </c>
      <c r="AV216" s="250" t="s">
        <v>110</v>
      </c>
      <c r="AW216" s="250" t="s">
        <v>110</v>
      </c>
      <c r="AX216" s="248">
        <v>45800</v>
      </c>
      <c r="AY216" s="254">
        <v>45800</v>
      </c>
      <c r="AZ216" s="245" t="s">
        <v>360</v>
      </c>
      <c r="BA216" s="245" t="s">
        <v>1</v>
      </c>
      <c r="BB216" s="250" t="s">
        <v>110</v>
      </c>
      <c r="BC216" s="142">
        <f t="shared" si="6"/>
        <v>520</v>
      </c>
      <c r="BD216" s="134" t="str">
        <f t="shared" si="7"/>
        <v>INDENIZAÇÃO</v>
      </c>
      <c r="BE216" s="134" t="str">
        <f t="shared" si="8"/>
        <v>NÃO</v>
      </c>
      <c r="BF216" s="245" t="s">
        <v>24</v>
      </c>
      <c r="BG216" s="245" t="s">
        <v>24</v>
      </c>
      <c r="BH216" s="245" t="s">
        <v>24</v>
      </c>
      <c r="BI216" s="250" t="s">
        <v>110</v>
      </c>
      <c r="BJ216" s="198" t="s">
        <v>110</v>
      </c>
      <c r="BK216" s="194">
        <v>45859</v>
      </c>
      <c r="BL216" s="149" t="s">
        <v>110</v>
      </c>
      <c r="BM216" s="141" t="s">
        <v>33</v>
      </c>
      <c r="CI216" s="200"/>
    </row>
    <row r="217" spans="1:92" s="149" customFormat="1" ht="30" customHeight="1">
      <c r="A217" s="134">
        <v>203</v>
      </c>
      <c r="B217" s="245" t="s">
        <v>99</v>
      </c>
      <c r="C217" s="245">
        <v>1</v>
      </c>
      <c r="D217" s="245" t="s">
        <v>100</v>
      </c>
      <c r="E217" s="245" t="s">
        <v>100</v>
      </c>
      <c r="F217" s="246" t="s">
        <v>1160</v>
      </c>
      <c r="G217" s="149" t="s">
        <v>1</v>
      </c>
      <c r="H217" s="149" t="s">
        <v>2</v>
      </c>
      <c r="I217" s="149" t="s">
        <v>387</v>
      </c>
      <c r="J217" s="152" t="s">
        <v>1161</v>
      </c>
      <c r="K217" s="152" t="s">
        <v>1162</v>
      </c>
      <c r="L217" s="152" t="s">
        <v>1163</v>
      </c>
      <c r="M217" s="245" t="s">
        <v>4</v>
      </c>
      <c r="N217" s="245" t="s">
        <v>14</v>
      </c>
      <c r="O217" s="256">
        <v>45455</v>
      </c>
      <c r="P217" s="249" t="s">
        <v>17</v>
      </c>
      <c r="Q217" s="246" t="s">
        <v>283</v>
      </c>
      <c r="R217" s="249"/>
      <c r="S217" s="249"/>
      <c r="T217" s="249"/>
      <c r="U217" s="249"/>
      <c r="V217" s="249"/>
      <c r="W217" s="249"/>
      <c r="X217" s="249"/>
      <c r="Y217" s="249"/>
      <c r="Z217" s="249"/>
      <c r="AA217" s="250"/>
      <c r="AB217" s="152" t="s">
        <v>1164</v>
      </c>
      <c r="AC217" s="152" t="s">
        <v>1165</v>
      </c>
      <c r="AD217" s="152" t="s">
        <v>1166</v>
      </c>
      <c r="AE217" s="134" t="s">
        <v>287</v>
      </c>
      <c r="AF217" s="250" t="s">
        <v>4</v>
      </c>
      <c r="AG217" s="208">
        <v>16883.169999999998</v>
      </c>
      <c r="AH217" s="208">
        <v>16883.169999999998</v>
      </c>
      <c r="AI217" s="245" t="s">
        <v>6</v>
      </c>
      <c r="AJ217" s="246" t="s">
        <v>109</v>
      </c>
      <c r="AK217" s="245"/>
      <c r="AL217" s="250" t="s">
        <v>110</v>
      </c>
      <c r="AM217" s="250" t="s">
        <v>110</v>
      </c>
      <c r="AN217" s="250" t="s">
        <v>111</v>
      </c>
      <c r="AO217" s="250"/>
      <c r="AP217" s="253" t="s">
        <v>1167</v>
      </c>
      <c r="AQ217" s="250" t="s">
        <v>110</v>
      </c>
      <c r="AR217" s="250" t="s">
        <v>110</v>
      </c>
      <c r="AS217" s="250" t="s">
        <v>110</v>
      </c>
      <c r="AT217" s="250" t="s">
        <v>110</v>
      </c>
      <c r="AU217" s="256">
        <v>45579</v>
      </c>
      <c r="AV217" s="250" t="s">
        <v>110</v>
      </c>
      <c r="AW217" s="250" t="s">
        <v>110</v>
      </c>
      <c r="AX217" s="256">
        <v>45600</v>
      </c>
      <c r="AY217" s="249">
        <v>45600</v>
      </c>
      <c r="AZ217" s="245" t="s">
        <v>360</v>
      </c>
      <c r="BA217" s="245" t="s">
        <v>1</v>
      </c>
      <c r="BB217" s="250" t="s">
        <v>110</v>
      </c>
      <c r="BC217" s="142">
        <f t="shared" si="6"/>
        <v>145</v>
      </c>
      <c r="BD217" s="134" t="str">
        <f t="shared" si="7"/>
        <v>INDENIZAÇÃO</v>
      </c>
      <c r="BE217" s="134" t="str">
        <f t="shared" si="8"/>
        <v>NÃO</v>
      </c>
      <c r="BF217" s="245" t="s">
        <v>24</v>
      </c>
      <c r="BG217" s="245" t="s">
        <v>24</v>
      </c>
      <c r="BH217" s="245" t="s">
        <v>24</v>
      </c>
      <c r="BI217" s="250" t="s">
        <v>110</v>
      </c>
      <c r="BJ217" s="250" t="s">
        <v>110</v>
      </c>
      <c r="BK217" s="256">
        <v>45621</v>
      </c>
      <c r="BL217" s="250" t="s">
        <v>110</v>
      </c>
      <c r="BM217" s="250" t="s">
        <v>33</v>
      </c>
      <c r="CI217" s="200"/>
    </row>
    <row r="218" spans="1:92" s="149" customFormat="1" ht="30" customHeight="1">
      <c r="A218" s="134">
        <v>204</v>
      </c>
      <c r="B218" s="134" t="s">
        <v>99</v>
      </c>
      <c r="C218" s="134">
        <v>1</v>
      </c>
      <c r="D218" s="134" t="s">
        <v>100</v>
      </c>
      <c r="E218" s="134" t="s">
        <v>100</v>
      </c>
      <c r="F218" s="152" t="s">
        <v>1168</v>
      </c>
      <c r="G218" s="149" t="s">
        <v>1</v>
      </c>
      <c r="H218" s="149" t="s">
        <v>2</v>
      </c>
      <c r="I218" s="149" t="s">
        <v>108</v>
      </c>
      <c r="J218" s="152" t="s">
        <v>1169</v>
      </c>
      <c r="K218" s="152" t="s">
        <v>1170</v>
      </c>
      <c r="L218" s="152" t="s">
        <v>1171</v>
      </c>
      <c r="M218" s="134" t="s">
        <v>4</v>
      </c>
      <c r="N218" s="214" t="s">
        <v>14</v>
      </c>
      <c r="O218" s="194">
        <v>45356</v>
      </c>
      <c r="P218" s="144">
        <v>45251</v>
      </c>
      <c r="Q218" s="138" t="s">
        <v>283</v>
      </c>
      <c r="R218" s="144" t="s">
        <v>110</v>
      </c>
      <c r="S218" s="144" t="s">
        <v>110</v>
      </c>
      <c r="T218" s="144"/>
      <c r="U218" s="144"/>
      <c r="V218" s="144"/>
      <c r="W218" s="144"/>
      <c r="X218" s="144"/>
      <c r="Y218" s="144"/>
      <c r="Z218" s="144"/>
      <c r="AB218" s="152" t="s">
        <v>1172</v>
      </c>
      <c r="AC218" s="152" t="s">
        <v>1170</v>
      </c>
      <c r="AD218" s="152" t="s">
        <v>1171</v>
      </c>
      <c r="AE218" s="149" t="s">
        <v>108</v>
      </c>
      <c r="AG218" s="208"/>
      <c r="AH218" s="208"/>
      <c r="AI218" s="234"/>
      <c r="AK218" s="200"/>
      <c r="AP218" s="152"/>
      <c r="BC218" s="142" t="str">
        <f t="shared" si="6"/>
        <v/>
      </c>
      <c r="BD218" s="134" t="str">
        <f t="shared" si="7"/>
        <v>INDENIZAÇÃO</v>
      </c>
      <c r="BE218" s="134" t="str">
        <f t="shared" si="8"/>
        <v>NÃO</v>
      </c>
      <c r="BG218" s="194"/>
      <c r="BH218" s="194"/>
      <c r="CI218" s="210"/>
      <c r="CJ218" s="201"/>
      <c r="CK218" s="201"/>
      <c r="CL218" s="201"/>
      <c r="CM218" s="201"/>
    </row>
    <row r="219" spans="1:92" s="149" customFormat="1" ht="30" customHeight="1">
      <c r="A219" s="134">
        <v>205</v>
      </c>
      <c r="B219" s="134" t="s">
        <v>99</v>
      </c>
      <c r="C219" s="134">
        <v>1</v>
      </c>
      <c r="D219" s="134" t="s">
        <v>100</v>
      </c>
      <c r="E219" s="134" t="s">
        <v>100</v>
      </c>
      <c r="F219" s="138" t="s">
        <v>1173</v>
      </c>
      <c r="G219" s="149" t="s">
        <v>1</v>
      </c>
      <c r="H219" s="149" t="s">
        <v>2</v>
      </c>
      <c r="I219" s="149" t="s">
        <v>108</v>
      </c>
      <c r="J219" s="152" t="s">
        <v>1174</v>
      </c>
      <c r="K219" s="152" t="s">
        <v>1175</v>
      </c>
      <c r="L219" s="152" t="s">
        <v>1176</v>
      </c>
      <c r="M219" s="134" t="s">
        <v>4</v>
      </c>
      <c r="N219" s="214" t="s">
        <v>5</v>
      </c>
      <c r="O219" s="194">
        <v>45280</v>
      </c>
      <c r="P219" s="144" t="s">
        <v>24</v>
      </c>
      <c r="Q219" s="144" t="s">
        <v>24</v>
      </c>
      <c r="R219" s="144" t="s">
        <v>24</v>
      </c>
      <c r="S219" s="144" t="s">
        <v>24</v>
      </c>
      <c r="T219" s="144" t="s">
        <v>24</v>
      </c>
      <c r="U219" s="144" t="s">
        <v>24</v>
      </c>
      <c r="V219" s="144" t="s">
        <v>24</v>
      </c>
      <c r="W219" s="144" t="s">
        <v>24</v>
      </c>
      <c r="X219" s="144" t="s">
        <v>24</v>
      </c>
      <c r="Y219" s="144" t="s">
        <v>24</v>
      </c>
      <c r="Z219" s="144" t="s">
        <v>24</v>
      </c>
      <c r="AB219" s="152" t="s">
        <v>1174</v>
      </c>
      <c r="AC219" s="152" t="s">
        <v>1175</v>
      </c>
      <c r="AD219" s="152" t="s">
        <v>1176</v>
      </c>
      <c r="AE219" s="149" t="s">
        <v>108</v>
      </c>
      <c r="AF219" s="149" t="s">
        <v>4</v>
      </c>
      <c r="AG219" s="208">
        <v>10157.67</v>
      </c>
      <c r="AH219" s="208">
        <v>40157.67</v>
      </c>
      <c r="AI219" s="232" t="s">
        <v>6</v>
      </c>
      <c r="AJ219" s="138" t="s">
        <v>109</v>
      </c>
      <c r="AK219" s="235"/>
      <c r="AL219" s="149" t="s">
        <v>110</v>
      </c>
      <c r="AM219" s="149" t="s">
        <v>110</v>
      </c>
      <c r="AN219" s="149" t="s">
        <v>111</v>
      </c>
      <c r="AP219" s="152" t="s">
        <v>1177</v>
      </c>
      <c r="AQ219" s="149" t="s">
        <v>110</v>
      </c>
      <c r="AR219" s="149" t="s">
        <v>110</v>
      </c>
      <c r="AS219" s="149" t="s">
        <v>110</v>
      </c>
      <c r="AT219" s="149" t="s">
        <v>110</v>
      </c>
      <c r="AU219" s="194">
        <v>45441</v>
      </c>
      <c r="AV219" s="149" t="s">
        <v>110</v>
      </c>
      <c r="AW219" s="149" t="s">
        <v>110</v>
      </c>
      <c r="AX219" s="194">
        <v>45450</v>
      </c>
      <c r="AY219" s="217">
        <v>45450</v>
      </c>
      <c r="AZ219" s="217" t="s">
        <v>33</v>
      </c>
      <c r="BA219" s="145" t="s">
        <v>113</v>
      </c>
      <c r="BB219" s="149" t="s">
        <v>110</v>
      </c>
      <c r="BC219" s="142">
        <f t="shared" si="6"/>
        <v>170</v>
      </c>
      <c r="BD219" s="134" t="str">
        <f t="shared" si="7"/>
        <v>INDENIZAÇÃO</v>
      </c>
      <c r="BE219" s="134" t="str">
        <f t="shared" si="8"/>
        <v>NÃO</v>
      </c>
      <c r="BF219" s="134" t="s">
        <v>24</v>
      </c>
      <c r="BG219" s="134" t="s">
        <v>24</v>
      </c>
      <c r="BH219" s="134" t="s">
        <v>24</v>
      </c>
      <c r="BI219" s="198" t="s">
        <v>110</v>
      </c>
      <c r="BJ219" s="198" t="s">
        <v>110</v>
      </c>
      <c r="BK219" s="144">
        <v>45545</v>
      </c>
      <c r="BL219" s="198" t="s">
        <v>110</v>
      </c>
      <c r="BM219" s="145" t="s">
        <v>33</v>
      </c>
      <c r="CI219" s="212"/>
      <c r="CJ219" s="171"/>
      <c r="CK219" s="171"/>
      <c r="CL219" s="171"/>
      <c r="CM219" s="171"/>
    </row>
    <row r="220" spans="1:92" s="149" customFormat="1" ht="30" customHeight="1">
      <c r="A220" s="134">
        <v>206</v>
      </c>
      <c r="B220" s="134" t="s">
        <v>99</v>
      </c>
      <c r="C220" s="134">
        <v>1</v>
      </c>
      <c r="D220" s="134" t="s">
        <v>100</v>
      </c>
      <c r="E220" s="134" t="s">
        <v>100</v>
      </c>
      <c r="F220" s="138" t="s">
        <v>1178</v>
      </c>
      <c r="G220" s="149" t="s">
        <v>1</v>
      </c>
      <c r="H220" s="149" t="s">
        <v>2</v>
      </c>
      <c r="I220" s="149" t="s">
        <v>387</v>
      </c>
      <c r="J220" s="152" t="s">
        <v>1179</v>
      </c>
      <c r="K220" s="152" t="s">
        <v>1180</v>
      </c>
      <c r="L220" s="152" t="s">
        <v>1181</v>
      </c>
      <c r="M220" s="134" t="s">
        <v>4</v>
      </c>
      <c r="N220" s="134" t="s">
        <v>14</v>
      </c>
      <c r="O220" s="194">
        <v>45280</v>
      </c>
      <c r="P220" s="197" t="s">
        <v>17</v>
      </c>
      <c r="Q220" s="264" t="s">
        <v>283</v>
      </c>
      <c r="R220" s="197"/>
      <c r="S220" s="197"/>
      <c r="T220" s="197"/>
      <c r="U220" s="197"/>
      <c r="V220" s="197"/>
      <c r="W220" s="197"/>
      <c r="X220" s="197"/>
      <c r="Y220" s="197"/>
      <c r="Z220" s="197"/>
      <c r="AB220" s="152" t="s">
        <v>1182</v>
      </c>
      <c r="AC220" s="152" t="s">
        <v>1183</v>
      </c>
      <c r="AD220" s="152" t="s">
        <v>1184</v>
      </c>
      <c r="AE220" s="134" t="s">
        <v>287</v>
      </c>
      <c r="AF220" s="149" t="s">
        <v>4</v>
      </c>
      <c r="AG220" s="208">
        <v>9571.6299999999992</v>
      </c>
      <c r="AH220" s="208">
        <v>9571.6299999999992</v>
      </c>
      <c r="AI220" s="134" t="s">
        <v>6</v>
      </c>
      <c r="AJ220" s="160" t="s">
        <v>109</v>
      </c>
      <c r="AK220" s="134">
        <v>125886905</v>
      </c>
      <c r="AL220" s="134" t="s">
        <v>110</v>
      </c>
      <c r="AM220" s="134" t="s">
        <v>110</v>
      </c>
      <c r="AN220" s="134" t="s">
        <v>111</v>
      </c>
      <c r="AO220" s="134" t="s">
        <v>1035</v>
      </c>
      <c r="AP220" s="152" t="s">
        <v>1185</v>
      </c>
      <c r="AQ220" s="134" t="s">
        <v>110</v>
      </c>
      <c r="AR220" s="134" t="s">
        <v>110</v>
      </c>
      <c r="AS220" s="198" t="s">
        <v>110</v>
      </c>
      <c r="AT220" s="198" t="s">
        <v>110</v>
      </c>
      <c r="AU220" s="194">
        <v>45834</v>
      </c>
      <c r="AV220" s="198" t="s">
        <v>110</v>
      </c>
      <c r="AW220" s="198" t="s">
        <v>110</v>
      </c>
      <c r="AX220" s="194">
        <v>45840</v>
      </c>
      <c r="AY220" s="140">
        <v>45840</v>
      </c>
      <c r="AZ220" s="145" t="s">
        <v>33</v>
      </c>
      <c r="BA220" s="145" t="s">
        <v>113</v>
      </c>
      <c r="BB220" s="149" t="s">
        <v>110</v>
      </c>
      <c r="BC220" s="142">
        <f t="shared" si="6"/>
        <v>560</v>
      </c>
      <c r="BD220" s="134" t="str">
        <f t="shared" si="7"/>
        <v>INDENIZAÇÃO</v>
      </c>
      <c r="BE220" s="134" t="str">
        <f t="shared" si="8"/>
        <v>NÃO</v>
      </c>
      <c r="BF220" s="134" t="s">
        <v>24</v>
      </c>
      <c r="BG220" s="134" t="s">
        <v>24</v>
      </c>
      <c r="BH220" s="134" t="s">
        <v>24</v>
      </c>
      <c r="BI220" s="198" t="s">
        <v>110</v>
      </c>
      <c r="BJ220" s="198" t="s">
        <v>110</v>
      </c>
      <c r="BK220" s="194">
        <v>45859</v>
      </c>
      <c r="BL220" s="149" t="s">
        <v>110</v>
      </c>
      <c r="BM220" s="141" t="s">
        <v>33</v>
      </c>
      <c r="CI220" s="210"/>
      <c r="CJ220" s="201"/>
      <c r="CK220" s="201"/>
      <c r="CL220" s="201"/>
      <c r="CM220" s="201"/>
    </row>
    <row r="221" spans="1:92" s="149" customFormat="1" ht="30" customHeight="1">
      <c r="A221" s="134">
        <v>207</v>
      </c>
      <c r="B221" s="134" t="s">
        <v>99</v>
      </c>
      <c r="C221" s="134">
        <v>1</v>
      </c>
      <c r="D221" s="134" t="s">
        <v>100</v>
      </c>
      <c r="E221" s="134" t="s">
        <v>100</v>
      </c>
      <c r="F221" s="138" t="s">
        <v>1186</v>
      </c>
      <c r="G221" s="149" t="s">
        <v>1</v>
      </c>
      <c r="H221" s="149" t="s">
        <v>2</v>
      </c>
      <c r="I221" s="149" t="s">
        <v>108</v>
      </c>
      <c r="J221" s="152" t="s">
        <v>1187</v>
      </c>
      <c r="K221" s="152" t="s">
        <v>1188</v>
      </c>
      <c r="L221" s="152" t="s">
        <v>1189</v>
      </c>
      <c r="M221" s="134" t="s">
        <v>4</v>
      </c>
      <c r="N221" s="214" t="s">
        <v>5</v>
      </c>
      <c r="O221" s="194">
        <v>45268</v>
      </c>
      <c r="P221" s="144" t="s">
        <v>24</v>
      </c>
      <c r="Q221" s="144" t="s">
        <v>24</v>
      </c>
      <c r="R221" s="144" t="s">
        <v>24</v>
      </c>
      <c r="S221" s="144" t="s">
        <v>24</v>
      </c>
      <c r="T221" s="144" t="s">
        <v>24</v>
      </c>
      <c r="U221" s="144" t="s">
        <v>24</v>
      </c>
      <c r="V221" s="144" t="s">
        <v>24</v>
      </c>
      <c r="W221" s="144" t="s">
        <v>24</v>
      </c>
      <c r="X221" s="144" t="s">
        <v>24</v>
      </c>
      <c r="Y221" s="144" t="s">
        <v>24</v>
      </c>
      <c r="Z221" s="144" t="s">
        <v>24</v>
      </c>
      <c r="AB221" s="152" t="s">
        <v>1187</v>
      </c>
      <c r="AC221" s="152" t="s">
        <v>1188</v>
      </c>
      <c r="AD221" s="152" t="s">
        <v>1189</v>
      </c>
      <c r="AE221" s="149" t="s">
        <v>108</v>
      </c>
      <c r="AF221" s="149" t="s">
        <v>4</v>
      </c>
      <c r="AG221" s="208">
        <v>35521.71</v>
      </c>
      <c r="AH221" s="208">
        <v>60000</v>
      </c>
      <c r="AI221" s="214" t="s">
        <v>6</v>
      </c>
      <c r="AJ221" s="313" t="s">
        <v>109</v>
      </c>
      <c r="AK221" s="214"/>
      <c r="AL221" s="149" t="s">
        <v>110</v>
      </c>
      <c r="AM221" s="149" t="s">
        <v>110</v>
      </c>
      <c r="AN221" s="149" t="s">
        <v>111</v>
      </c>
      <c r="AP221" s="152" t="s">
        <v>1190</v>
      </c>
      <c r="AQ221" s="149" t="s">
        <v>110</v>
      </c>
      <c r="AR221" s="149" t="s">
        <v>110</v>
      </c>
      <c r="AS221" s="149" t="s">
        <v>110</v>
      </c>
      <c r="AT221" s="149" t="s">
        <v>110</v>
      </c>
      <c r="AU221" s="194">
        <v>45373</v>
      </c>
      <c r="AV221" s="149" t="s">
        <v>110</v>
      </c>
      <c r="AW221" s="149" t="s">
        <v>110</v>
      </c>
      <c r="AX221" s="194">
        <v>45384</v>
      </c>
      <c r="AY221" s="197">
        <v>45384</v>
      </c>
      <c r="AZ221" s="197" t="s">
        <v>33</v>
      </c>
      <c r="BA221" s="145" t="s">
        <v>113</v>
      </c>
      <c r="BB221" s="149" t="s">
        <v>110</v>
      </c>
      <c r="BC221" s="142">
        <f t="shared" ref="BC221:BC284" si="9">IF(AY221-KD221=0,"",AY221-O221)</f>
        <v>116</v>
      </c>
      <c r="BD221" s="134" t="str">
        <f t="shared" ref="BD221:BD284" si="10">IF(AND(AI221&lt;&gt;"SIM",AI221="UH"),"AA","INDENIZAÇÃO")</f>
        <v>INDENIZAÇÃO</v>
      </c>
      <c r="BE221" s="134" t="str">
        <f t="shared" ref="BE221:BE286" si="11">IF(AND(AY221&lt;&gt;"AGUARDANDO",AY221&lt;&gt;"",N221="AUXÍLIO ALUGUEL ATÉ INDENIZAÇÃO"),"SIM","NÃO")</f>
        <v>NÃO</v>
      </c>
      <c r="BF221" s="134" t="s">
        <v>24</v>
      </c>
      <c r="BG221" s="134" t="s">
        <v>24</v>
      </c>
      <c r="BH221" s="134" t="s">
        <v>24</v>
      </c>
      <c r="BI221" s="149" t="s">
        <v>110</v>
      </c>
      <c r="BJ221" s="149" t="s">
        <v>110</v>
      </c>
      <c r="BK221" s="194">
        <v>45510</v>
      </c>
      <c r="BL221" s="149" t="s">
        <v>110</v>
      </c>
      <c r="BM221" s="145" t="s">
        <v>33</v>
      </c>
      <c r="CI221" s="200"/>
      <c r="CN221" s="200"/>
    </row>
    <row r="222" spans="1:92" s="149" customFormat="1" ht="30" customHeight="1">
      <c r="A222" s="134">
        <v>208</v>
      </c>
      <c r="B222" s="134" t="s">
        <v>99</v>
      </c>
      <c r="C222" s="134">
        <v>1</v>
      </c>
      <c r="D222" s="134" t="s">
        <v>100</v>
      </c>
      <c r="E222" s="134" t="s">
        <v>100</v>
      </c>
      <c r="F222" s="138" t="s">
        <v>1191</v>
      </c>
      <c r="G222" s="149" t="s">
        <v>1</v>
      </c>
      <c r="H222" s="149" t="s">
        <v>2</v>
      </c>
      <c r="I222" s="149" t="s">
        <v>108</v>
      </c>
      <c r="J222" s="152" t="s">
        <v>1192</v>
      </c>
      <c r="K222" s="152" t="s">
        <v>1193</v>
      </c>
      <c r="L222" s="152" t="s">
        <v>1194</v>
      </c>
      <c r="M222" s="134" t="s">
        <v>4</v>
      </c>
      <c r="N222" s="214" t="s">
        <v>370</v>
      </c>
      <c r="O222" s="194">
        <v>45356</v>
      </c>
      <c r="P222" s="144">
        <v>45264</v>
      </c>
      <c r="Q222" s="138" t="s">
        <v>283</v>
      </c>
      <c r="R222" s="144" t="s">
        <v>110</v>
      </c>
      <c r="S222" s="144" t="s">
        <v>110</v>
      </c>
      <c r="T222" s="144"/>
      <c r="U222" s="144"/>
      <c r="V222" s="144"/>
      <c r="W222" s="144"/>
      <c r="X222" s="144"/>
      <c r="Y222" s="144"/>
      <c r="Z222" s="144"/>
      <c r="AB222" s="152"/>
      <c r="AC222" s="152"/>
      <c r="AD222" s="152"/>
      <c r="AG222" s="208"/>
      <c r="AH222" s="208"/>
      <c r="AI222" s="234"/>
      <c r="AK222" s="200"/>
      <c r="AP222" s="152"/>
      <c r="BC222" s="142" t="str">
        <f t="shared" si="9"/>
        <v/>
      </c>
      <c r="BD222" s="134" t="str">
        <f t="shared" si="10"/>
        <v>INDENIZAÇÃO</v>
      </c>
      <c r="BE222" s="134" t="str">
        <f t="shared" si="11"/>
        <v>NÃO</v>
      </c>
      <c r="BG222" s="194"/>
      <c r="BH222" s="194"/>
      <c r="CI222" s="200"/>
      <c r="CN222" s="200"/>
    </row>
    <row r="223" spans="1:92" s="149" customFormat="1" ht="30" customHeight="1">
      <c r="A223" s="134">
        <v>209</v>
      </c>
      <c r="B223" s="134" t="s">
        <v>99</v>
      </c>
      <c r="C223" s="134">
        <v>1</v>
      </c>
      <c r="D223" s="134" t="s">
        <v>100</v>
      </c>
      <c r="E223" s="134" t="s">
        <v>100</v>
      </c>
      <c r="F223" s="138" t="s">
        <v>1195</v>
      </c>
      <c r="G223" s="149" t="s">
        <v>1</v>
      </c>
      <c r="H223" s="149" t="s">
        <v>2</v>
      </c>
      <c r="I223" s="149" t="s">
        <v>108</v>
      </c>
      <c r="J223" s="152" t="s">
        <v>1196</v>
      </c>
      <c r="K223" s="152" t="s">
        <v>1197</v>
      </c>
      <c r="L223" s="152" t="s">
        <v>1198</v>
      </c>
      <c r="M223" s="134" t="s">
        <v>4</v>
      </c>
      <c r="N223" s="214" t="s">
        <v>5</v>
      </c>
      <c r="O223" s="194">
        <v>45268</v>
      </c>
      <c r="P223" s="144" t="s">
        <v>24</v>
      </c>
      <c r="Q223" s="144" t="s">
        <v>24</v>
      </c>
      <c r="R223" s="144" t="s">
        <v>24</v>
      </c>
      <c r="S223" s="144" t="s">
        <v>24</v>
      </c>
      <c r="T223" s="144" t="s">
        <v>24</v>
      </c>
      <c r="U223" s="144" t="s">
        <v>24</v>
      </c>
      <c r="V223" s="144" t="s">
        <v>24</v>
      </c>
      <c r="W223" s="144" t="s">
        <v>24</v>
      </c>
      <c r="X223" s="144" t="s">
        <v>24</v>
      </c>
      <c r="Y223" s="144" t="s">
        <v>24</v>
      </c>
      <c r="Z223" s="144" t="s">
        <v>24</v>
      </c>
      <c r="AB223" s="152" t="s">
        <v>1196</v>
      </c>
      <c r="AC223" s="152" t="s">
        <v>1197</v>
      </c>
      <c r="AD223" s="152" t="s">
        <v>1198</v>
      </c>
      <c r="AE223" s="149" t="s">
        <v>108</v>
      </c>
      <c r="AF223" s="149" t="s">
        <v>4</v>
      </c>
      <c r="AG223" s="208">
        <v>33523.040000000001</v>
      </c>
      <c r="AH223" s="208">
        <v>60000</v>
      </c>
      <c r="AI223" s="232" t="s">
        <v>6</v>
      </c>
      <c r="AJ223" s="138" t="s">
        <v>109</v>
      </c>
      <c r="AK223" s="235"/>
      <c r="AL223" s="149" t="s">
        <v>110</v>
      </c>
      <c r="AM223" s="149" t="s">
        <v>110</v>
      </c>
      <c r="AN223" s="149" t="s">
        <v>111</v>
      </c>
      <c r="AP223" s="152" t="s">
        <v>1199</v>
      </c>
      <c r="AQ223" s="149" t="s">
        <v>110</v>
      </c>
      <c r="AR223" s="149" t="s">
        <v>110</v>
      </c>
      <c r="AS223" s="149" t="s">
        <v>110</v>
      </c>
      <c r="AT223" s="149" t="s">
        <v>110</v>
      </c>
      <c r="AU223" s="194">
        <v>45373</v>
      </c>
      <c r="AV223" s="149" t="s">
        <v>110</v>
      </c>
      <c r="AW223" s="149" t="s">
        <v>110</v>
      </c>
      <c r="AX223" s="194">
        <v>45385</v>
      </c>
      <c r="AY223" s="197">
        <v>45385</v>
      </c>
      <c r="AZ223" s="197" t="s">
        <v>33</v>
      </c>
      <c r="BA223" s="145" t="s">
        <v>113</v>
      </c>
      <c r="BB223" s="149" t="s">
        <v>110</v>
      </c>
      <c r="BC223" s="142">
        <f t="shared" si="9"/>
        <v>117</v>
      </c>
      <c r="BD223" s="134" t="str">
        <f t="shared" si="10"/>
        <v>INDENIZAÇÃO</v>
      </c>
      <c r="BE223" s="134" t="str">
        <f t="shared" si="11"/>
        <v>NÃO</v>
      </c>
      <c r="BF223" s="134" t="s">
        <v>24</v>
      </c>
      <c r="BG223" s="134" t="s">
        <v>24</v>
      </c>
      <c r="BH223" s="134" t="s">
        <v>24</v>
      </c>
      <c r="BI223" s="149" t="s">
        <v>110</v>
      </c>
      <c r="BJ223" s="149" t="s">
        <v>110</v>
      </c>
      <c r="BK223" s="194">
        <v>45510</v>
      </c>
      <c r="BL223" s="149" t="s">
        <v>110</v>
      </c>
      <c r="BM223" s="145" t="s">
        <v>33</v>
      </c>
      <c r="CI223" s="200"/>
    </row>
    <row r="224" spans="1:92" s="149" customFormat="1" ht="30" customHeight="1">
      <c r="A224" s="134">
        <v>210</v>
      </c>
      <c r="B224" s="134" t="s">
        <v>99</v>
      </c>
      <c r="C224" s="134">
        <v>1</v>
      </c>
      <c r="D224" s="134" t="s">
        <v>100</v>
      </c>
      <c r="E224" s="134" t="s">
        <v>100</v>
      </c>
      <c r="F224" s="138" t="s">
        <v>1200</v>
      </c>
      <c r="G224" s="149" t="s">
        <v>1</v>
      </c>
      <c r="H224" s="149" t="s">
        <v>2</v>
      </c>
      <c r="I224" s="149" t="s">
        <v>108</v>
      </c>
      <c r="J224" s="152" t="s">
        <v>1201</v>
      </c>
      <c r="K224" s="152" t="s">
        <v>1202</v>
      </c>
      <c r="L224" s="152" t="s">
        <v>1203</v>
      </c>
      <c r="M224" s="134" t="s">
        <v>4</v>
      </c>
      <c r="N224" s="214" t="s">
        <v>5</v>
      </c>
      <c r="O224" s="194">
        <v>45280</v>
      </c>
      <c r="P224" s="144" t="s">
        <v>24</v>
      </c>
      <c r="Q224" s="144" t="s">
        <v>24</v>
      </c>
      <c r="R224" s="144" t="s">
        <v>24</v>
      </c>
      <c r="S224" s="144" t="s">
        <v>24</v>
      </c>
      <c r="T224" s="144" t="s">
        <v>24</v>
      </c>
      <c r="U224" s="144" t="s">
        <v>24</v>
      </c>
      <c r="V224" s="144" t="s">
        <v>24</v>
      </c>
      <c r="W224" s="144" t="s">
        <v>24</v>
      </c>
      <c r="X224" s="144" t="s">
        <v>24</v>
      </c>
      <c r="Y224" s="144" t="s">
        <v>24</v>
      </c>
      <c r="Z224" s="144" t="s">
        <v>24</v>
      </c>
      <c r="AB224" s="152" t="s">
        <v>1201</v>
      </c>
      <c r="AC224" s="152" t="s">
        <v>1204</v>
      </c>
      <c r="AD224" s="152" t="s">
        <v>1203</v>
      </c>
      <c r="AE224" s="149" t="s">
        <v>108</v>
      </c>
      <c r="AF224" s="149" t="s">
        <v>4</v>
      </c>
      <c r="AG224" s="208">
        <v>10859.81</v>
      </c>
      <c r="AH224" s="208">
        <v>40859.81</v>
      </c>
      <c r="AI224" s="232" t="s">
        <v>6</v>
      </c>
      <c r="AJ224" s="138" t="s">
        <v>109</v>
      </c>
      <c r="AK224" s="235"/>
      <c r="AL224" s="149" t="s">
        <v>110</v>
      </c>
      <c r="AM224" s="149" t="s">
        <v>110</v>
      </c>
      <c r="AN224" s="149" t="s">
        <v>111</v>
      </c>
      <c r="AP224" s="152" t="s">
        <v>1205</v>
      </c>
      <c r="AQ224" s="149" t="s">
        <v>110</v>
      </c>
      <c r="AR224" s="149" t="s">
        <v>110</v>
      </c>
      <c r="AS224" s="149" t="s">
        <v>110</v>
      </c>
      <c r="AT224" s="149" t="s">
        <v>110</v>
      </c>
      <c r="AU224" s="194">
        <v>45373</v>
      </c>
      <c r="AV224" s="149" t="s">
        <v>110</v>
      </c>
      <c r="AW224" s="149" t="s">
        <v>110</v>
      </c>
      <c r="AX224" s="194">
        <v>45393</v>
      </c>
      <c r="AY224" s="197">
        <v>45393</v>
      </c>
      <c r="AZ224" s="197" t="s">
        <v>33</v>
      </c>
      <c r="BA224" s="145" t="s">
        <v>113</v>
      </c>
      <c r="BB224" s="149" t="s">
        <v>110</v>
      </c>
      <c r="BC224" s="142">
        <f t="shared" si="9"/>
        <v>113</v>
      </c>
      <c r="BD224" s="134" t="str">
        <f t="shared" si="10"/>
        <v>INDENIZAÇÃO</v>
      </c>
      <c r="BE224" s="134" t="str">
        <f t="shared" si="11"/>
        <v>NÃO</v>
      </c>
      <c r="BF224" s="134" t="s">
        <v>24</v>
      </c>
      <c r="BG224" s="134" t="s">
        <v>24</v>
      </c>
      <c r="BH224" s="134" t="s">
        <v>24</v>
      </c>
      <c r="BI224" s="198" t="s">
        <v>110</v>
      </c>
      <c r="BJ224" s="198" t="s">
        <v>110</v>
      </c>
      <c r="BK224" s="144">
        <v>45545</v>
      </c>
      <c r="BL224" s="198" t="s">
        <v>110</v>
      </c>
      <c r="BM224" s="145" t="s">
        <v>33</v>
      </c>
      <c r="CI224" s="200"/>
    </row>
    <row r="225" spans="1:92" s="149" customFormat="1" ht="30" customHeight="1">
      <c r="A225" s="134">
        <v>211</v>
      </c>
      <c r="B225" s="136" t="s">
        <v>99</v>
      </c>
      <c r="C225" s="136">
        <v>1</v>
      </c>
      <c r="D225" s="136" t="s">
        <v>100</v>
      </c>
      <c r="E225" s="136" t="s">
        <v>100</v>
      </c>
      <c r="F225" s="137" t="s">
        <v>1206</v>
      </c>
      <c r="G225" s="149" t="s">
        <v>1</v>
      </c>
      <c r="H225" s="149" t="s">
        <v>2</v>
      </c>
      <c r="I225" s="149" t="s">
        <v>108</v>
      </c>
      <c r="J225" s="152" t="s">
        <v>1207</v>
      </c>
      <c r="K225" s="152" t="s">
        <v>1208</v>
      </c>
      <c r="L225" s="152" t="s">
        <v>1209</v>
      </c>
      <c r="M225" s="136" t="s">
        <v>4</v>
      </c>
      <c r="N225" s="136" t="s">
        <v>5</v>
      </c>
      <c r="O225" s="220">
        <v>45280</v>
      </c>
      <c r="P225" s="221" t="s">
        <v>24</v>
      </c>
      <c r="Q225" s="221" t="s">
        <v>24</v>
      </c>
      <c r="R225" s="221" t="s">
        <v>24</v>
      </c>
      <c r="S225" s="221" t="s">
        <v>24</v>
      </c>
      <c r="T225" s="221" t="s">
        <v>24</v>
      </c>
      <c r="U225" s="221" t="s">
        <v>24</v>
      </c>
      <c r="V225" s="221" t="s">
        <v>24</v>
      </c>
      <c r="W225" s="221" t="s">
        <v>24</v>
      </c>
      <c r="X225" s="221" t="s">
        <v>24</v>
      </c>
      <c r="Y225" s="221" t="s">
        <v>24</v>
      </c>
      <c r="Z225" s="221" t="s">
        <v>24</v>
      </c>
      <c r="AA225" s="218"/>
      <c r="AB225" s="152" t="s">
        <v>1207</v>
      </c>
      <c r="AC225" s="152" t="s">
        <v>1208</v>
      </c>
      <c r="AD225" s="152" t="s">
        <v>1209</v>
      </c>
      <c r="AE225" s="149" t="s">
        <v>108</v>
      </c>
      <c r="AF225" s="218" t="s">
        <v>4</v>
      </c>
      <c r="AG225" s="208">
        <v>9274.34</v>
      </c>
      <c r="AH225" s="208">
        <v>39274.339999999997</v>
      </c>
      <c r="AI225" s="233" t="s">
        <v>6</v>
      </c>
      <c r="AJ225" s="137" t="s">
        <v>109</v>
      </c>
      <c r="AK225" s="236"/>
      <c r="AL225" s="218" t="s">
        <v>110</v>
      </c>
      <c r="AM225" s="218" t="s">
        <v>110</v>
      </c>
      <c r="AN225" s="218" t="s">
        <v>111</v>
      </c>
      <c r="AO225" s="218"/>
      <c r="AP225" s="222" t="s">
        <v>1210</v>
      </c>
      <c r="AQ225" s="218" t="s">
        <v>110</v>
      </c>
      <c r="AR225" s="218" t="s">
        <v>110</v>
      </c>
      <c r="AS225" s="218" t="s">
        <v>110</v>
      </c>
      <c r="AT225" s="218" t="s">
        <v>110</v>
      </c>
      <c r="AU225" s="220">
        <v>45441</v>
      </c>
      <c r="AV225" s="218" t="s">
        <v>110</v>
      </c>
      <c r="AW225" s="218" t="s">
        <v>110</v>
      </c>
      <c r="AX225" s="220">
        <v>45450</v>
      </c>
      <c r="AY225" s="223">
        <v>45450</v>
      </c>
      <c r="AZ225" s="221" t="s">
        <v>360</v>
      </c>
      <c r="BA225" s="218" t="s">
        <v>113</v>
      </c>
      <c r="BB225" s="149" t="s">
        <v>110</v>
      </c>
      <c r="BC225" s="142">
        <f t="shared" si="9"/>
        <v>170</v>
      </c>
      <c r="BD225" s="134" t="str">
        <f t="shared" si="10"/>
        <v>INDENIZAÇÃO</v>
      </c>
      <c r="BE225" s="134" t="str">
        <f t="shared" si="11"/>
        <v>NÃO</v>
      </c>
      <c r="BF225" s="134" t="s">
        <v>24</v>
      </c>
      <c r="BG225" s="134" t="s">
        <v>24</v>
      </c>
      <c r="BH225" s="134" t="s">
        <v>24</v>
      </c>
      <c r="BI225" s="198" t="s">
        <v>110</v>
      </c>
      <c r="BJ225" s="198" t="s">
        <v>110</v>
      </c>
      <c r="BK225" s="144">
        <v>45545</v>
      </c>
      <c r="BL225" s="198" t="s">
        <v>110</v>
      </c>
      <c r="BM225" s="145" t="s">
        <v>33</v>
      </c>
      <c r="CI225" s="200"/>
      <c r="CN225" s="200"/>
    </row>
    <row r="226" spans="1:92" s="149" customFormat="1" ht="30" customHeight="1">
      <c r="A226" s="134">
        <v>212</v>
      </c>
      <c r="B226" s="245" t="s">
        <v>99</v>
      </c>
      <c r="C226" s="245">
        <v>1</v>
      </c>
      <c r="D226" s="245" t="s">
        <v>100</v>
      </c>
      <c r="E226" s="245" t="s">
        <v>100</v>
      </c>
      <c r="F226" s="246" t="s">
        <v>1211</v>
      </c>
      <c r="G226" s="149" t="s">
        <v>1</v>
      </c>
      <c r="H226" s="149" t="s">
        <v>2</v>
      </c>
      <c r="I226" s="149" t="s">
        <v>108</v>
      </c>
      <c r="J226" s="152" t="s">
        <v>1212</v>
      </c>
      <c r="K226" s="152" t="s">
        <v>1213</v>
      </c>
      <c r="L226" s="152" t="s">
        <v>1214</v>
      </c>
      <c r="M226" s="245" t="s">
        <v>4</v>
      </c>
      <c r="N226" s="245" t="s">
        <v>5</v>
      </c>
      <c r="O226" s="256">
        <v>45525</v>
      </c>
      <c r="P226" s="249" t="s">
        <v>24</v>
      </c>
      <c r="Q226" s="249" t="s">
        <v>24</v>
      </c>
      <c r="R226" s="249" t="s">
        <v>24</v>
      </c>
      <c r="S226" s="249" t="s">
        <v>24</v>
      </c>
      <c r="T226" s="249" t="s">
        <v>24</v>
      </c>
      <c r="U226" s="249" t="s">
        <v>24</v>
      </c>
      <c r="V226" s="249" t="s">
        <v>24</v>
      </c>
      <c r="W226" s="249" t="s">
        <v>24</v>
      </c>
      <c r="X226" s="249" t="s">
        <v>24</v>
      </c>
      <c r="Y226" s="249" t="s">
        <v>24</v>
      </c>
      <c r="Z226" s="249" t="s">
        <v>24</v>
      </c>
      <c r="AA226" s="250"/>
      <c r="AB226" s="152" t="s">
        <v>1212</v>
      </c>
      <c r="AC226" s="152" t="s">
        <v>1213</v>
      </c>
      <c r="AD226" s="152" t="s">
        <v>1214</v>
      </c>
      <c r="AE226" s="149" t="s">
        <v>108</v>
      </c>
      <c r="AF226" s="250" t="s">
        <v>4</v>
      </c>
      <c r="AG226" s="208">
        <v>65800.25</v>
      </c>
      <c r="AH226" s="208">
        <f>AG226</f>
        <v>65800.25</v>
      </c>
      <c r="AI226" s="251" t="s">
        <v>6</v>
      </c>
      <c r="AJ226" s="246" t="s">
        <v>109</v>
      </c>
      <c r="AK226" s="257"/>
      <c r="AL226" s="250" t="s">
        <v>110</v>
      </c>
      <c r="AM226" s="250" t="s">
        <v>110</v>
      </c>
      <c r="AN226" s="250" t="s">
        <v>111</v>
      </c>
      <c r="AO226" s="250"/>
      <c r="AP226" s="253" t="s">
        <v>1215</v>
      </c>
      <c r="AQ226" s="250" t="s">
        <v>110</v>
      </c>
      <c r="AR226" s="250" t="s">
        <v>110</v>
      </c>
      <c r="AS226" s="250" t="s">
        <v>110</v>
      </c>
      <c r="AT226" s="250" t="s">
        <v>110</v>
      </c>
      <c r="AU226" s="256">
        <v>45573</v>
      </c>
      <c r="AV226" s="250" t="s">
        <v>110</v>
      </c>
      <c r="AW226" s="250" t="s">
        <v>110</v>
      </c>
      <c r="AX226" s="256">
        <v>45582</v>
      </c>
      <c r="AY226" s="249">
        <v>45582</v>
      </c>
      <c r="AZ226" s="245" t="s">
        <v>360</v>
      </c>
      <c r="BA226" s="245" t="s">
        <v>1</v>
      </c>
      <c r="BB226" s="250" t="s">
        <v>110</v>
      </c>
      <c r="BC226" s="142">
        <f t="shared" si="9"/>
        <v>57</v>
      </c>
      <c r="BD226" s="134" t="str">
        <f t="shared" si="10"/>
        <v>INDENIZAÇÃO</v>
      </c>
      <c r="BE226" s="134" t="str">
        <f t="shared" si="11"/>
        <v>NÃO</v>
      </c>
      <c r="BF226" s="245" t="s">
        <v>24</v>
      </c>
      <c r="BG226" s="245" t="s">
        <v>24</v>
      </c>
      <c r="BH226" s="245" t="s">
        <v>24</v>
      </c>
      <c r="BI226" s="250" t="s">
        <v>110</v>
      </c>
      <c r="BJ226" s="250" t="s">
        <v>110</v>
      </c>
      <c r="BK226" s="256">
        <v>45621</v>
      </c>
      <c r="BL226" s="250" t="s">
        <v>110</v>
      </c>
      <c r="BM226" s="250" t="s">
        <v>33</v>
      </c>
      <c r="CI226" s="200"/>
      <c r="CN226" s="200"/>
    </row>
    <row r="227" spans="1:92" s="149" customFormat="1" ht="30" customHeight="1">
      <c r="A227" s="134">
        <v>213</v>
      </c>
      <c r="B227" s="245" t="s">
        <v>99</v>
      </c>
      <c r="C227" s="245">
        <v>1</v>
      </c>
      <c r="D227" s="245" t="s">
        <v>100</v>
      </c>
      <c r="E227" s="245" t="s">
        <v>100</v>
      </c>
      <c r="F227" s="246" t="s">
        <v>1216</v>
      </c>
      <c r="G227" s="149" t="s">
        <v>1</v>
      </c>
      <c r="H227" s="149" t="s">
        <v>2</v>
      </c>
      <c r="I227" s="149" t="s">
        <v>108</v>
      </c>
      <c r="J227" s="152" t="s">
        <v>1217</v>
      </c>
      <c r="K227" s="152" t="s">
        <v>1218</v>
      </c>
      <c r="L227" s="152" t="s">
        <v>1219</v>
      </c>
      <c r="M227" s="245" t="s">
        <v>4</v>
      </c>
      <c r="N227" s="245" t="s">
        <v>5</v>
      </c>
      <c r="O227" s="256">
        <v>45572</v>
      </c>
      <c r="P227" s="249" t="s">
        <v>24</v>
      </c>
      <c r="Q227" s="249" t="s">
        <v>24</v>
      </c>
      <c r="R227" s="249" t="s">
        <v>24</v>
      </c>
      <c r="S227" s="249" t="s">
        <v>24</v>
      </c>
      <c r="T227" s="249" t="s">
        <v>24</v>
      </c>
      <c r="U227" s="249" t="s">
        <v>24</v>
      </c>
      <c r="V227" s="249" t="s">
        <v>24</v>
      </c>
      <c r="W227" s="249" t="s">
        <v>24</v>
      </c>
      <c r="X227" s="249" t="s">
        <v>24</v>
      </c>
      <c r="Y227" s="249" t="s">
        <v>24</v>
      </c>
      <c r="Z227" s="249" t="s">
        <v>24</v>
      </c>
      <c r="AA227" s="250"/>
      <c r="AB227" s="152" t="s">
        <v>1217</v>
      </c>
      <c r="AC227" s="152" t="s">
        <v>1218</v>
      </c>
      <c r="AD227" s="152" t="s">
        <v>1219</v>
      </c>
      <c r="AE227" s="149" t="s">
        <v>108</v>
      </c>
      <c r="AF227" s="250" t="s">
        <v>4</v>
      </c>
      <c r="AG227" s="208">
        <v>31831.66</v>
      </c>
      <c r="AH227" s="208">
        <v>60000</v>
      </c>
      <c r="AI227" s="251" t="s">
        <v>6</v>
      </c>
      <c r="AJ227" s="246" t="s">
        <v>109</v>
      </c>
      <c r="AK227" s="245"/>
      <c r="AL227" s="250" t="s">
        <v>110</v>
      </c>
      <c r="AM227" s="250" t="s">
        <v>110</v>
      </c>
      <c r="AN227" s="250" t="s">
        <v>111</v>
      </c>
      <c r="AO227" s="250"/>
      <c r="AP227" s="253" t="s">
        <v>1220</v>
      </c>
      <c r="AQ227" s="250" t="s">
        <v>110</v>
      </c>
      <c r="AR227" s="250" t="s">
        <v>110</v>
      </c>
      <c r="AS227" s="250" t="s">
        <v>110</v>
      </c>
      <c r="AT227" s="250" t="s">
        <v>110</v>
      </c>
      <c r="AU227" s="256">
        <v>45614</v>
      </c>
      <c r="AV227" s="250" t="s">
        <v>110</v>
      </c>
      <c r="AW227" s="250" t="s">
        <v>110</v>
      </c>
      <c r="AX227" s="256">
        <v>45621</v>
      </c>
      <c r="AY227" s="249">
        <v>45621</v>
      </c>
      <c r="AZ227" s="245" t="s">
        <v>360</v>
      </c>
      <c r="BA227" s="245" t="s">
        <v>1</v>
      </c>
      <c r="BB227" s="250" t="s">
        <v>110</v>
      </c>
      <c r="BC227" s="142">
        <f t="shared" si="9"/>
        <v>49</v>
      </c>
      <c r="BD227" s="134" t="str">
        <f t="shared" si="10"/>
        <v>INDENIZAÇÃO</v>
      </c>
      <c r="BE227" s="134" t="str">
        <f t="shared" si="11"/>
        <v>NÃO</v>
      </c>
      <c r="BF227" s="245" t="s">
        <v>24</v>
      </c>
      <c r="BG227" s="245" t="s">
        <v>24</v>
      </c>
      <c r="BH227" s="245" t="s">
        <v>24</v>
      </c>
      <c r="BI227" s="250" t="s">
        <v>110</v>
      </c>
      <c r="BJ227" s="250" t="s">
        <v>110</v>
      </c>
      <c r="BK227" s="256">
        <v>45677</v>
      </c>
      <c r="BL227" s="250" t="s">
        <v>110</v>
      </c>
      <c r="BM227" s="249" t="s">
        <v>33</v>
      </c>
      <c r="CI227" s="200"/>
      <c r="CN227" s="200"/>
    </row>
    <row r="228" spans="1:92" s="149" customFormat="1" ht="30" customHeight="1">
      <c r="A228" s="134">
        <v>214</v>
      </c>
      <c r="B228" s="134" t="s">
        <v>99</v>
      </c>
      <c r="C228" s="134">
        <v>1</v>
      </c>
      <c r="D228" s="134" t="s">
        <v>100</v>
      </c>
      <c r="E228" s="134" t="s">
        <v>100</v>
      </c>
      <c r="F228" s="138" t="s">
        <v>1221</v>
      </c>
      <c r="G228" s="149" t="s">
        <v>1</v>
      </c>
      <c r="H228" s="149" t="s">
        <v>2</v>
      </c>
      <c r="I228" s="149" t="s">
        <v>108</v>
      </c>
      <c r="J228" s="152" t="s">
        <v>1222</v>
      </c>
      <c r="K228" s="152" t="s">
        <v>1223</v>
      </c>
      <c r="L228" s="152" t="s">
        <v>1224</v>
      </c>
      <c r="M228" s="134" t="s">
        <v>4</v>
      </c>
      <c r="N228" s="214" t="s">
        <v>5</v>
      </c>
      <c r="O228" s="194">
        <v>45770</v>
      </c>
      <c r="P228" s="144" t="s">
        <v>24</v>
      </c>
      <c r="Q228" s="144" t="s">
        <v>24</v>
      </c>
      <c r="R228" s="144" t="s">
        <v>24</v>
      </c>
      <c r="S228" s="144" t="s">
        <v>24</v>
      </c>
      <c r="T228" s="144" t="s">
        <v>24</v>
      </c>
      <c r="U228" s="144" t="s">
        <v>24</v>
      </c>
      <c r="V228" s="144" t="s">
        <v>24</v>
      </c>
      <c r="W228" s="144" t="s">
        <v>24</v>
      </c>
      <c r="X228" s="144" t="s">
        <v>24</v>
      </c>
      <c r="Y228" s="144" t="s">
        <v>24</v>
      </c>
      <c r="Z228" s="144" t="s">
        <v>24</v>
      </c>
      <c r="AB228" s="152" t="s">
        <v>1225</v>
      </c>
      <c r="AC228" s="152" t="s">
        <v>1223</v>
      </c>
      <c r="AD228" s="152" t="s">
        <v>1224</v>
      </c>
      <c r="AE228" s="149" t="s">
        <v>108</v>
      </c>
      <c r="AF228" s="149" t="s">
        <v>4</v>
      </c>
      <c r="AG228" s="208">
        <v>57287.34</v>
      </c>
      <c r="AH228" s="208">
        <v>60000</v>
      </c>
      <c r="AI228" s="214" t="s">
        <v>6</v>
      </c>
      <c r="AJ228" s="312" t="s">
        <v>109</v>
      </c>
      <c r="AK228" s="214">
        <v>110306174</v>
      </c>
      <c r="AL228" s="149" t="s">
        <v>110</v>
      </c>
      <c r="AM228" s="149" t="s">
        <v>110</v>
      </c>
      <c r="AN228" s="149" t="s">
        <v>111</v>
      </c>
      <c r="AP228" s="152" t="s">
        <v>1226</v>
      </c>
      <c r="AQ228" s="149" t="s">
        <v>110</v>
      </c>
      <c r="AR228" s="149" t="s">
        <v>110</v>
      </c>
      <c r="AS228" s="198" t="s">
        <v>110</v>
      </c>
      <c r="AT228" s="198" t="s">
        <v>110</v>
      </c>
      <c r="AU228" s="194">
        <v>45834</v>
      </c>
      <c r="AV228" s="198" t="s">
        <v>110</v>
      </c>
      <c r="AW228" s="198" t="s">
        <v>110</v>
      </c>
      <c r="AX228" s="194">
        <v>45840</v>
      </c>
      <c r="AY228" s="140">
        <v>45840</v>
      </c>
      <c r="AZ228" s="145" t="s">
        <v>33</v>
      </c>
      <c r="BA228" s="145" t="s">
        <v>113</v>
      </c>
      <c r="BB228" s="149" t="s">
        <v>110</v>
      </c>
      <c r="BC228" s="142">
        <f t="shared" si="9"/>
        <v>70</v>
      </c>
      <c r="BD228" s="134" t="str">
        <f t="shared" si="10"/>
        <v>INDENIZAÇÃO</v>
      </c>
      <c r="BE228" s="134" t="str">
        <f t="shared" si="11"/>
        <v>NÃO</v>
      </c>
      <c r="BF228" s="134" t="s">
        <v>24</v>
      </c>
      <c r="BG228" s="134" t="s">
        <v>24</v>
      </c>
      <c r="BH228" s="134" t="s">
        <v>24</v>
      </c>
      <c r="BI228" s="198" t="s">
        <v>110</v>
      </c>
      <c r="BJ228" s="198" t="s">
        <v>110</v>
      </c>
      <c r="BK228" s="194">
        <v>45859</v>
      </c>
      <c r="BL228" s="149" t="s">
        <v>110</v>
      </c>
      <c r="BM228" s="141" t="s">
        <v>33</v>
      </c>
      <c r="CI228" s="200"/>
      <c r="CN228" s="200"/>
    </row>
    <row r="229" spans="1:92" s="149" customFormat="1" ht="30" customHeight="1">
      <c r="A229" s="134">
        <v>215</v>
      </c>
      <c r="B229" s="134" t="s">
        <v>99</v>
      </c>
      <c r="C229" s="134">
        <v>1</v>
      </c>
      <c r="D229" s="134" t="s">
        <v>100</v>
      </c>
      <c r="E229" s="134" t="s">
        <v>100</v>
      </c>
      <c r="F229" s="138" t="s">
        <v>1227</v>
      </c>
      <c r="G229" s="149" t="s">
        <v>1</v>
      </c>
      <c r="H229" s="149" t="s">
        <v>2</v>
      </c>
      <c r="I229" s="149" t="s">
        <v>108</v>
      </c>
      <c r="J229" s="152" t="s">
        <v>1228</v>
      </c>
      <c r="K229" s="152" t="s">
        <v>1229</v>
      </c>
      <c r="L229" s="152" t="s">
        <v>1230</v>
      </c>
      <c r="M229" s="134" t="s">
        <v>4</v>
      </c>
      <c r="N229" s="214" t="s">
        <v>5</v>
      </c>
      <c r="O229" s="194">
        <v>45268</v>
      </c>
      <c r="P229" s="144" t="s">
        <v>24</v>
      </c>
      <c r="Q229" s="144" t="s">
        <v>24</v>
      </c>
      <c r="R229" s="144" t="s">
        <v>24</v>
      </c>
      <c r="S229" s="144" t="s">
        <v>24</v>
      </c>
      <c r="T229" s="144" t="s">
        <v>24</v>
      </c>
      <c r="U229" s="144" t="s">
        <v>24</v>
      </c>
      <c r="V229" s="144" t="s">
        <v>24</v>
      </c>
      <c r="W229" s="144" t="s">
        <v>24</v>
      </c>
      <c r="X229" s="144" t="s">
        <v>24</v>
      </c>
      <c r="Y229" s="144" t="s">
        <v>24</v>
      </c>
      <c r="Z229" s="144" t="s">
        <v>24</v>
      </c>
      <c r="AB229" s="152" t="s">
        <v>1228</v>
      </c>
      <c r="AC229" s="152" t="s">
        <v>1229</v>
      </c>
      <c r="AD229" s="152" t="s">
        <v>1230</v>
      </c>
      <c r="AE229" s="149" t="s">
        <v>108</v>
      </c>
      <c r="AF229" s="149" t="s">
        <v>4</v>
      </c>
      <c r="AG229" s="208">
        <v>14387.77</v>
      </c>
      <c r="AH229" s="208">
        <v>44387.77</v>
      </c>
      <c r="AI229" s="232" t="s">
        <v>6</v>
      </c>
      <c r="AJ229" s="138" t="s">
        <v>109</v>
      </c>
      <c r="AK229" s="235"/>
      <c r="AL229" s="149" t="s">
        <v>110</v>
      </c>
      <c r="AM229" s="149" t="s">
        <v>110</v>
      </c>
      <c r="AN229" s="149" t="s">
        <v>111</v>
      </c>
      <c r="AP229" s="199" t="s">
        <v>1231</v>
      </c>
      <c r="AQ229" s="149" t="s">
        <v>110</v>
      </c>
      <c r="AR229" s="149" t="s">
        <v>110</v>
      </c>
      <c r="AS229" s="198" t="s">
        <v>110</v>
      </c>
      <c r="AT229" s="198" t="s">
        <v>110</v>
      </c>
      <c r="AU229" s="194">
        <v>45498</v>
      </c>
      <c r="AV229" s="198" t="s">
        <v>110</v>
      </c>
      <c r="AW229" s="198" t="s">
        <v>110</v>
      </c>
      <c r="AX229" s="194">
        <v>45517</v>
      </c>
      <c r="AY229" s="197">
        <v>45517</v>
      </c>
      <c r="AZ229" s="145" t="s">
        <v>33</v>
      </c>
      <c r="BA229" s="145" t="s">
        <v>113</v>
      </c>
      <c r="BB229" s="149" t="s">
        <v>110</v>
      </c>
      <c r="BC229" s="142">
        <f t="shared" si="9"/>
        <v>249</v>
      </c>
      <c r="BD229" s="134" t="str">
        <f t="shared" si="10"/>
        <v>INDENIZAÇÃO</v>
      </c>
      <c r="BE229" s="134" t="str">
        <f t="shared" si="11"/>
        <v>NÃO</v>
      </c>
      <c r="BF229" s="134" t="s">
        <v>24</v>
      </c>
      <c r="BG229" s="134" t="s">
        <v>24</v>
      </c>
      <c r="BH229" s="134" t="s">
        <v>24</v>
      </c>
      <c r="BI229" s="198" t="s">
        <v>110</v>
      </c>
      <c r="BJ229" s="198" t="s">
        <v>110</v>
      </c>
      <c r="BK229" s="194">
        <v>45559</v>
      </c>
      <c r="BL229" s="198" t="s">
        <v>110</v>
      </c>
      <c r="BM229" s="145" t="s">
        <v>33</v>
      </c>
      <c r="CI229" s="200"/>
      <c r="CN229" s="200"/>
    </row>
    <row r="230" spans="1:92" s="149" customFormat="1" ht="30" customHeight="1">
      <c r="A230" s="134">
        <v>216</v>
      </c>
      <c r="B230" s="134" t="s">
        <v>99</v>
      </c>
      <c r="C230" s="134">
        <v>1</v>
      </c>
      <c r="D230" s="134" t="s">
        <v>100</v>
      </c>
      <c r="E230" s="134" t="s">
        <v>100</v>
      </c>
      <c r="F230" s="138" t="s">
        <v>1232</v>
      </c>
      <c r="G230" s="149" t="s">
        <v>1</v>
      </c>
      <c r="H230" s="149" t="s">
        <v>2</v>
      </c>
      <c r="I230" s="149" t="s">
        <v>108</v>
      </c>
      <c r="J230" s="152" t="s">
        <v>1233</v>
      </c>
      <c r="K230" s="152" t="s">
        <v>1234</v>
      </c>
      <c r="L230" s="152" t="s">
        <v>1235</v>
      </c>
      <c r="M230" s="134" t="s">
        <v>4</v>
      </c>
      <c r="N230" s="214" t="s">
        <v>5</v>
      </c>
      <c r="O230" s="194">
        <v>45324</v>
      </c>
      <c r="P230" s="144" t="s">
        <v>24</v>
      </c>
      <c r="Q230" s="144" t="s">
        <v>24</v>
      </c>
      <c r="R230" s="144" t="s">
        <v>24</v>
      </c>
      <c r="S230" s="144" t="s">
        <v>24</v>
      </c>
      <c r="T230" s="144" t="s">
        <v>24</v>
      </c>
      <c r="U230" s="144" t="s">
        <v>24</v>
      </c>
      <c r="V230" s="144" t="s">
        <v>24</v>
      </c>
      <c r="W230" s="144" t="s">
        <v>24</v>
      </c>
      <c r="X230" s="144" t="s">
        <v>24</v>
      </c>
      <c r="Y230" s="144" t="s">
        <v>24</v>
      </c>
      <c r="Z230" s="144" t="s">
        <v>24</v>
      </c>
      <c r="AB230" s="152" t="s">
        <v>1233</v>
      </c>
      <c r="AC230" s="152" t="s">
        <v>1234</v>
      </c>
      <c r="AD230" s="152" t="s">
        <v>1235</v>
      </c>
      <c r="AE230" s="149" t="s">
        <v>108</v>
      </c>
      <c r="AF230" s="149" t="s">
        <v>4</v>
      </c>
      <c r="AG230" s="208">
        <v>18898.5</v>
      </c>
      <c r="AH230" s="208">
        <f>AG230+30000</f>
        <v>48898.5</v>
      </c>
      <c r="AI230" s="214" t="s">
        <v>6</v>
      </c>
      <c r="AJ230" s="312" t="s">
        <v>109</v>
      </c>
      <c r="AK230" s="214"/>
      <c r="AL230" s="149" t="s">
        <v>110</v>
      </c>
      <c r="AM230" s="149" t="s">
        <v>110</v>
      </c>
      <c r="AN230" s="149" t="s">
        <v>111</v>
      </c>
      <c r="AO230" s="198"/>
      <c r="AP230" s="152" t="s">
        <v>1236</v>
      </c>
      <c r="AQ230" s="198" t="s">
        <v>110</v>
      </c>
      <c r="AR230" s="149" t="s">
        <v>110</v>
      </c>
      <c r="AS230" s="149" t="s">
        <v>110</v>
      </c>
      <c r="AT230" s="149" t="s">
        <v>110</v>
      </c>
      <c r="AU230" s="194">
        <v>45373</v>
      </c>
      <c r="AV230" s="149" t="s">
        <v>110</v>
      </c>
      <c r="AW230" s="149" t="s">
        <v>110</v>
      </c>
      <c r="AX230" s="194">
        <v>45406</v>
      </c>
      <c r="AY230" s="197">
        <v>45406</v>
      </c>
      <c r="AZ230" s="145" t="s">
        <v>33</v>
      </c>
      <c r="BA230" s="145" t="s">
        <v>113</v>
      </c>
      <c r="BB230" s="149" t="s">
        <v>110</v>
      </c>
      <c r="BC230" s="142">
        <f t="shared" si="9"/>
        <v>82</v>
      </c>
      <c r="BD230" s="134" t="str">
        <f t="shared" si="10"/>
        <v>INDENIZAÇÃO</v>
      </c>
      <c r="BE230" s="134" t="str">
        <f t="shared" si="11"/>
        <v>NÃO</v>
      </c>
      <c r="BF230" s="134" t="s">
        <v>24</v>
      </c>
      <c r="BG230" s="134" t="s">
        <v>24</v>
      </c>
      <c r="BH230" s="134" t="s">
        <v>24</v>
      </c>
      <c r="BI230" s="198" t="s">
        <v>110</v>
      </c>
      <c r="BJ230" s="198" t="s">
        <v>110</v>
      </c>
      <c r="BK230" s="144">
        <v>45545</v>
      </c>
      <c r="BL230" s="198" t="s">
        <v>110</v>
      </c>
      <c r="BM230" s="145" t="s">
        <v>33</v>
      </c>
      <c r="CI230" s="200"/>
      <c r="CN230" s="200"/>
    </row>
    <row r="231" spans="1:92" s="149" customFormat="1" ht="30" customHeight="1">
      <c r="A231" s="134">
        <v>217</v>
      </c>
      <c r="B231" s="134" t="s">
        <v>99</v>
      </c>
      <c r="C231" s="134">
        <v>1</v>
      </c>
      <c r="D231" s="134" t="s">
        <v>100</v>
      </c>
      <c r="E231" s="134" t="s">
        <v>100</v>
      </c>
      <c r="F231" s="138" t="s">
        <v>1237</v>
      </c>
      <c r="G231" s="149" t="s">
        <v>1</v>
      </c>
      <c r="H231" s="149" t="s">
        <v>2</v>
      </c>
      <c r="I231" s="149" t="s">
        <v>108</v>
      </c>
      <c r="J231" s="152" t="s">
        <v>1238</v>
      </c>
      <c r="K231" s="152" t="s">
        <v>1239</v>
      </c>
      <c r="L231" s="152" t="s">
        <v>1240</v>
      </c>
      <c r="M231" s="134" t="s">
        <v>4</v>
      </c>
      <c r="N231" s="214" t="s">
        <v>14</v>
      </c>
      <c r="O231" s="194">
        <v>45356</v>
      </c>
      <c r="P231" s="144">
        <v>45257</v>
      </c>
      <c r="Q231" s="138" t="s">
        <v>283</v>
      </c>
      <c r="R231" s="144" t="s">
        <v>110</v>
      </c>
      <c r="S231" s="144" t="s">
        <v>110</v>
      </c>
      <c r="T231" s="144"/>
      <c r="U231" s="144"/>
      <c r="V231" s="144"/>
      <c r="W231" s="144"/>
      <c r="X231" s="144"/>
      <c r="Y231" s="144"/>
      <c r="Z231" s="144"/>
      <c r="AB231" s="152" t="s">
        <v>1238</v>
      </c>
      <c r="AC231" s="152" t="s">
        <v>1239</v>
      </c>
      <c r="AD231" s="152" t="s">
        <v>1240</v>
      </c>
      <c r="AE231" s="149" t="s">
        <v>108</v>
      </c>
      <c r="AG231" s="208" t="s">
        <v>371</v>
      </c>
      <c r="AH231" s="208" t="s">
        <v>371</v>
      </c>
      <c r="AI231" s="232" t="s">
        <v>371</v>
      </c>
      <c r="AJ231" s="214" t="s">
        <v>371</v>
      </c>
      <c r="AK231" s="235"/>
      <c r="AP231" s="152"/>
      <c r="BC231" s="142" t="str">
        <f t="shared" si="9"/>
        <v/>
      </c>
      <c r="BD231" s="134" t="str">
        <f t="shared" si="10"/>
        <v>INDENIZAÇÃO</v>
      </c>
      <c r="BE231" s="134" t="str">
        <f t="shared" si="11"/>
        <v>NÃO</v>
      </c>
      <c r="BF231" s="134"/>
      <c r="BG231" s="194"/>
      <c r="BH231" s="194"/>
      <c r="CI231" s="200"/>
      <c r="CN231" s="200"/>
    </row>
    <row r="232" spans="1:92" s="149" customFormat="1" ht="30" customHeight="1">
      <c r="A232" s="134">
        <v>218</v>
      </c>
      <c r="B232" s="134" t="s">
        <v>99</v>
      </c>
      <c r="C232" s="134">
        <v>1</v>
      </c>
      <c r="D232" s="134" t="s">
        <v>100</v>
      </c>
      <c r="E232" s="134" t="s">
        <v>100</v>
      </c>
      <c r="F232" s="138" t="s">
        <v>1241</v>
      </c>
      <c r="G232" s="149" t="s">
        <v>1</v>
      </c>
      <c r="H232" s="149" t="s">
        <v>2</v>
      </c>
      <c r="I232" s="149" t="s">
        <v>108</v>
      </c>
      <c r="J232" s="152" t="s">
        <v>1242</v>
      </c>
      <c r="K232" s="152" t="s">
        <v>1243</v>
      </c>
      <c r="L232" s="152" t="s">
        <v>1244</v>
      </c>
      <c r="M232" s="134" t="s">
        <v>4</v>
      </c>
      <c r="N232" s="214" t="s">
        <v>14</v>
      </c>
      <c r="O232" s="194">
        <v>45356</v>
      </c>
      <c r="P232" s="144">
        <v>45203</v>
      </c>
      <c r="Q232" s="138" t="s">
        <v>283</v>
      </c>
      <c r="R232" s="144" t="s">
        <v>110</v>
      </c>
      <c r="S232" s="144" t="s">
        <v>110</v>
      </c>
      <c r="T232" s="144"/>
      <c r="U232" s="144"/>
      <c r="V232" s="144"/>
      <c r="W232" s="144"/>
      <c r="X232" s="144"/>
      <c r="Y232" s="144"/>
      <c r="Z232" s="144"/>
      <c r="AB232" s="152" t="s">
        <v>1242</v>
      </c>
      <c r="AC232" s="152" t="s">
        <v>1243</v>
      </c>
      <c r="AD232" s="152" t="s">
        <v>1244</v>
      </c>
      <c r="AE232" s="149" t="s">
        <v>108</v>
      </c>
      <c r="AG232" s="208" t="s">
        <v>371</v>
      </c>
      <c r="AH232" s="208" t="s">
        <v>371</v>
      </c>
      <c r="AI232" s="214" t="s">
        <v>371</v>
      </c>
      <c r="AJ232" s="239" t="s">
        <v>371</v>
      </c>
      <c r="AK232" s="214"/>
      <c r="AP232" s="152"/>
      <c r="BC232" s="142" t="str">
        <f t="shared" si="9"/>
        <v/>
      </c>
      <c r="BD232" s="134" t="str">
        <f t="shared" si="10"/>
        <v>INDENIZAÇÃO</v>
      </c>
      <c r="BE232" s="134" t="str">
        <f t="shared" si="11"/>
        <v>NÃO</v>
      </c>
      <c r="BF232" s="134"/>
      <c r="BG232" s="194"/>
      <c r="BH232" s="194"/>
      <c r="CI232" s="200"/>
      <c r="CN232" s="200"/>
    </row>
    <row r="233" spans="1:92" s="149" customFormat="1" ht="30" customHeight="1">
      <c r="A233" s="134">
        <v>219</v>
      </c>
      <c r="B233" s="134" t="s">
        <v>99</v>
      </c>
      <c r="C233" s="134">
        <v>1</v>
      </c>
      <c r="D233" s="134" t="s">
        <v>100</v>
      </c>
      <c r="E233" s="134" t="s">
        <v>100</v>
      </c>
      <c r="F233" s="138" t="s">
        <v>1245</v>
      </c>
      <c r="G233" s="149" t="s">
        <v>1</v>
      </c>
      <c r="H233" s="149" t="s">
        <v>2</v>
      </c>
      <c r="I233" s="149" t="s">
        <v>279</v>
      </c>
      <c r="J233" s="152" t="s">
        <v>1246</v>
      </c>
      <c r="K233" s="152" t="s">
        <v>1247</v>
      </c>
      <c r="L233" s="152" t="s">
        <v>1248</v>
      </c>
      <c r="M233" s="134" t="s">
        <v>4</v>
      </c>
      <c r="N233" s="134" t="s">
        <v>14</v>
      </c>
      <c r="O233" s="194">
        <v>45280</v>
      </c>
      <c r="P233" s="197" t="s">
        <v>17</v>
      </c>
      <c r="Q233" s="264" t="s">
        <v>283</v>
      </c>
      <c r="R233" s="197"/>
      <c r="S233" s="197"/>
      <c r="T233" s="197"/>
      <c r="U233" s="197"/>
      <c r="V233" s="197"/>
      <c r="W233" s="197"/>
      <c r="X233" s="197"/>
      <c r="Y233" s="197"/>
      <c r="Z233" s="197"/>
      <c r="AB233" s="152" t="s">
        <v>1249</v>
      </c>
      <c r="AC233" s="152" t="s">
        <v>1250</v>
      </c>
      <c r="AD233" s="152" t="s">
        <v>1251</v>
      </c>
      <c r="AE233" s="134" t="s">
        <v>287</v>
      </c>
      <c r="AF233" s="149" t="s">
        <v>4</v>
      </c>
      <c r="AG233" s="208">
        <v>13475.48</v>
      </c>
      <c r="AH233" s="208">
        <v>13475.48</v>
      </c>
      <c r="AI233" s="214" t="s">
        <v>6</v>
      </c>
      <c r="AJ233" s="313" t="s">
        <v>109</v>
      </c>
      <c r="AK233" s="214"/>
      <c r="AL233" s="149" t="s">
        <v>110</v>
      </c>
      <c r="AM233" s="149" t="s">
        <v>110</v>
      </c>
      <c r="AN233" s="149" t="s">
        <v>111</v>
      </c>
      <c r="AP233" s="152" t="s">
        <v>1252</v>
      </c>
      <c r="AQ233" s="198" t="s">
        <v>110</v>
      </c>
      <c r="AR233" s="149" t="s">
        <v>110</v>
      </c>
      <c r="AS233" s="198" t="s">
        <v>110</v>
      </c>
      <c r="AT233" s="198" t="s">
        <v>110</v>
      </c>
      <c r="AU233" s="194">
        <v>45601</v>
      </c>
      <c r="AV233" s="198" t="s">
        <v>110</v>
      </c>
      <c r="AW233" s="198" t="s">
        <v>110</v>
      </c>
      <c r="AX233" s="194">
        <v>45615</v>
      </c>
      <c r="AY233" s="197">
        <v>45615</v>
      </c>
      <c r="AZ233" s="197" t="s">
        <v>33</v>
      </c>
      <c r="BA233" s="145" t="s">
        <v>113</v>
      </c>
      <c r="BB233" s="149" t="s">
        <v>110</v>
      </c>
      <c r="BC233" s="142">
        <f t="shared" si="9"/>
        <v>335</v>
      </c>
      <c r="BD233" s="134" t="str">
        <f t="shared" si="10"/>
        <v>INDENIZAÇÃO</v>
      </c>
      <c r="BE233" s="134" t="str">
        <f t="shared" si="11"/>
        <v>NÃO</v>
      </c>
      <c r="BF233" s="134" t="s">
        <v>24</v>
      </c>
      <c r="BG233" s="134" t="s">
        <v>24</v>
      </c>
      <c r="BH233" s="134" t="s">
        <v>24</v>
      </c>
      <c r="BI233" s="198" t="s">
        <v>110</v>
      </c>
      <c r="BJ233" s="198" t="s">
        <v>110</v>
      </c>
      <c r="BK233" s="194">
        <v>45677</v>
      </c>
      <c r="BL233" s="198" t="s">
        <v>110</v>
      </c>
      <c r="BM233" s="197" t="s">
        <v>33</v>
      </c>
      <c r="CI233" s="200"/>
      <c r="CN233" s="200"/>
    </row>
    <row r="234" spans="1:92" s="149" customFormat="1" ht="30" customHeight="1">
      <c r="A234" s="134">
        <v>220</v>
      </c>
      <c r="B234" s="134" t="s">
        <v>99</v>
      </c>
      <c r="C234" s="134">
        <v>1</v>
      </c>
      <c r="D234" s="134" t="s">
        <v>100</v>
      </c>
      <c r="E234" s="134" t="s">
        <v>100</v>
      </c>
      <c r="F234" s="138" t="s">
        <v>1253</v>
      </c>
      <c r="G234" s="149" t="s">
        <v>1</v>
      </c>
      <c r="H234" s="149" t="s">
        <v>2</v>
      </c>
      <c r="I234" s="149" t="s">
        <v>108</v>
      </c>
      <c r="J234" s="152" t="s">
        <v>1254</v>
      </c>
      <c r="K234" s="152" t="s">
        <v>1255</v>
      </c>
      <c r="L234" s="152" t="s">
        <v>1256</v>
      </c>
      <c r="M234" s="134" t="s">
        <v>4</v>
      </c>
      <c r="N234" s="214" t="s">
        <v>5</v>
      </c>
      <c r="O234" s="194">
        <v>45280</v>
      </c>
      <c r="P234" s="144" t="s">
        <v>24</v>
      </c>
      <c r="Q234" s="144" t="s">
        <v>24</v>
      </c>
      <c r="R234" s="144" t="s">
        <v>24</v>
      </c>
      <c r="S234" s="144" t="s">
        <v>24</v>
      </c>
      <c r="T234" s="144" t="s">
        <v>24</v>
      </c>
      <c r="U234" s="144" t="s">
        <v>24</v>
      </c>
      <c r="V234" s="144" t="s">
        <v>24</v>
      </c>
      <c r="W234" s="144" t="s">
        <v>24</v>
      </c>
      <c r="X234" s="144" t="s">
        <v>24</v>
      </c>
      <c r="Y234" s="144" t="s">
        <v>24</v>
      </c>
      <c r="Z234" s="144" t="s">
        <v>24</v>
      </c>
      <c r="AB234" s="152" t="s">
        <v>1254</v>
      </c>
      <c r="AC234" s="152" t="s">
        <v>1255</v>
      </c>
      <c r="AD234" s="152" t="s">
        <v>1256</v>
      </c>
      <c r="AE234" s="149" t="s">
        <v>108</v>
      </c>
      <c r="AF234" s="149" t="s">
        <v>4</v>
      </c>
      <c r="AG234" s="208">
        <v>50234.76</v>
      </c>
      <c r="AH234" s="208">
        <v>60000</v>
      </c>
      <c r="AI234" s="232" t="s">
        <v>6</v>
      </c>
      <c r="AJ234" s="138" t="s">
        <v>109</v>
      </c>
      <c r="AK234" s="235"/>
      <c r="AL234" s="149" t="s">
        <v>110</v>
      </c>
      <c r="AM234" s="149" t="s">
        <v>110</v>
      </c>
      <c r="AN234" s="149" t="s">
        <v>111</v>
      </c>
      <c r="AP234" s="152" t="s">
        <v>1257</v>
      </c>
      <c r="AQ234" s="149" t="s">
        <v>110</v>
      </c>
      <c r="AR234" s="149" t="s">
        <v>110</v>
      </c>
      <c r="AS234" s="149" t="s">
        <v>110</v>
      </c>
      <c r="AT234" s="149" t="s">
        <v>110</v>
      </c>
      <c r="AU234" s="194">
        <v>45441</v>
      </c>
      <c r="AV234" s="149" t="s">
        <v>110</v>
      </c>
      <c r="AW234" s="149" t="s">
        <v>110</v>
      </c>
      <c r="AX234" s="194">
        <v>45450</v>
      </c>
      <c r="AY234" s="217">
        <v>45450</v>
      </c>
      <c r="AZ234" s="217" t="s">
        <v>33</v>
      </c>
      <c r="BA234" s="145" t="s">
        <v>113</v>
      </c>
      <c r="BB234" s="149" t="s">
        <v>110</v>
      </c>
      <c r="BC234" s="142">
        <f t="shared" si="9"/>
        <v>170</v>
      </c>
      <c r="BD234" s="134" t="str">
        <f t="shared" si="10"/>
        <v>INDENIZAÇÃO</v>
      </c>
      <c r="BE234" s="134" t="str">
        <f t="shared" si="11"/>
        <v>NÃO</v>
      </c>
      <c r="BF234" s="134" t="s">
        <v>24</v>
      </c>
      <c r="BG234" s="134" t="s">
        <v>24</v>
      </c>
      <c r="BH234" s="134" t="s">
        <v>24</v>
      </c>
      <c r="BI234" s="198" t="s">
        <v>110</v>
      </c>
      <c r="BJ234" s="198" t="s">
        <v>110</v>
      </c>
      <c r="BK234" s="144">
        <v>45545</v>
      </c>
      <c r="BL234" s="198" t="s">
        <v>110</v>
      </c>
      <c r="BM234" s="145" t="s">
        <v>33</v>
      </c>
      <c r="CI234" s="209"/>
      <c r="CJ234" s="204"/>
      <c r="CK234" s="204"/>
      <c r="CL234" s="204"/>
      <c r="CM234" s="204"/>
    </row>
    <row r="235" spans="1:92" s="149" customFormat="1" ht="30" customHeight="1">
      <c r="A235" s="134">
        <v>221</v>
      </c>
      <c r="B235" s="136" t="s">
        <v>99</v>
      </c>
      <c r="C235" s="136">
        <v>1</v>
      </c>
      <c r="D235" s="136" t="s">
        <v>100</v>
      </c>
      <c r="E235" s="136" t="s">
        <v>100</v>
      </c>
      <c r="F235" s="137" t="s">
        <v>1258</v>
      </c>
      <c r="G235" s="149" t="s">
        <v>1</v>
      </c>
      <c r="H235" s="149" t="s">
        <v>2</v>
      </c>
      <c r="I235" s="149" t="s">
        <v>108</v>
      </c>
      <c r="J235" s="152" t="s">
        <v>1259</v>
      </c>
      <c r="K235" s="152" t="s">
        <v>1260</v>
      </c>
      <c r="L235" s="152" t="s">
        <v>1261</v>
      </c>
      <c r="M235" s="136" t="s">
        <v>4</v>
      </c>
      <c r="N235" s="136" t="s">
        <v>5</v>
      </c>
      <c r="O235" s="220">
        <v>45299</v>
      </c>
      <c r="P235" s="221" t="s">
        <v>24</v>
      </c>
      <c r="Q235" s="221" t="s">
        <v>24</v>
      </c>
      <c r="R235" s="221" t="s">
        <v>24</v>
      </c>
      <c r="S235" s="221" t="s">
        <v>24</v>
      </c>
      <c r="T235" s="221" t="s">
        <v>24</v>
      </c>
      <c r="U235" s="221" t="s">
        <v>24</v>
      </c>
      <c r="V235" s="221" t="s">
        <v>24</v>
      </c>
      <c r="W235" s="221" t="s">
        <v>24</v>
      </c>
      <c r="X235" s="221" t="s">
        <v>24</v>
      </c>
      <c r="Y235" s="221" t="s">
        <v>24</v>
      </c>
      <c r="Z235" s="221" t="s">
        <v>24</v>
      </c>
      <c r="AA235" s="218"/>
      <c r="AB235" s="152" t="s">
        <v>1259</v>
      </c>
      <c r="AC235" s="152" t="s">
        <v>1260</v>
      </c>
      <c r="AD235" s="152" t="s">
        <v>1261</v>
      </c>
      <c r="AE235" s="149" t="s">
        <v>108</v>
      </c>
      <c r="AF235" s="218" t="s">
        <v>4</v>
      </c>
      <c r="AG235" s="208">
        <v>0</v>
      </c>
      <c r="AH235" s="208">
        <v>60000</v>
      </c>
      <c r="AI235" s="233" t="s">
        <v>6</v>
      </c>
      <c r="AJ235" s="137" t="s">
        <v>109</v>
      </c>
      <c r="AK235" s="236"/>
      <c r="AL235" s="218" t="s">
        <v>110</v>
      </c>
      <c r="AM235" s="218" t="s">
        <v>110</v>
      </c>
      <c r="AN235" s="218" t="s">
        <v>111</v>
      </c>
      <c r="AO235" s="218"/>
      <c r="AP235" s="222" t="s">
        <v>1262</v>
      </c>
      <c r="AQ235" s="218" t="s">
        <v>110</v>
      </c>
      <c r="AR235" s="218" t="s">
        <v>110</v>
      </c>
      <c r="AS235" s="218" t="s">
        <v>110</v>
      </c>
      <c r="AT235" s="218" t="s">
        <v>110</v>
      </c>
      <c r="AU235" s="220">
        <v>45373</v>
      </c>
      <c r="AV235" s="218" t="s">
        <v>110</v>
      </c>
      <c r="AW235" s="218" t="s">
        <v>110</v>
      </c>
      <c r="AX235" s="220">
        <v>45385</v>
      </c>
      <c r="AY235" s="221">
        <v>45385</v>
      </c>
      <c r="AZ235" s="221" t="s">
        <v>360</v>
      </c>
      <c r="BA235" s="218" t="s">
        <v>113</v>
      </c>
      <c r="BB235" s="149" t="s">
        <v>110</v>
      </c>
      <c r="BC235" s="142">
        <f t="shared" si="9"/>
        <v>86</v>
      </c>
      <c r="BD235" s="134" t="str">
        <f t="shared" si="10"/>
        <v>INDENIZAÇÃO</v>
      </c>
      <c r="BE235" s="134" t="str">
        <f t="shared" si="11"/>
        <v>NÃO</v>
      </c>
      <c r="BF235" s="134" t="s">
        <v>24</v>
      </c>
      <c r="BG235" s="134" t="s">
        <v>24</v>
      </c>
      <c r="BH235" s="134" t="s">
        <v>24</v>
      </c>
      <c r="BI235" s="149" t="s">
        <v>110</v>
      </c>
      <c r="BJ235" s="149" t="s">
        <v>110</v>
      </c>
      <c r="BK235" s="194">
        <v>45510</v>
      </c>
      <c r="BL235" s="149" t="s">
        <v>110</v>
      </c>
      <c r="BM235" s="145" t="s">
        <v>33</v>
      </c>
      <c r="CI235" s="200"/>
      <c r="CN235" s="200"/>
    </row>
    <row r="236" spans="1:92" s="149" customFormat="1" ht="30" customHeight="1">
      <c r="A236" s="134">
        <v>222</v>
      </c>
      <c r="B236" s="134" t="s">
        <v>99</v>
      </c>
      <c r="C236" s="134">
        <v>1</v>
      </c>
      <c r="D236" s="134" t="s">
        <v>100</v>
      </c>
      <c r="E236" s="134" t="s">
        <v>100</v>
      </c>
      <c r="F236" s="138" t="s">
        <v>1263</v>
      </c>
      <c r="G236" s="149" t="s">
        <v>10</v>
      </c>
      <c r="H236" s="149" t="s">
        <v>2</v>
      </c>
      <c r="I236" s="149" t="s">
        <v>287</v>
      </c>
      <c r="J236" s="152" t="s">
        <v>1264</v>
      </c>
      <c r="K236" s="152" t="s">
        <v>1265</v>
      </c>
      <c r="L236" s="152" t="s">
        <v>1266</v>
      </c>
      <c r="M236" s="134" t="s">
        <v>4</v>
      </c>
      <c r="N236" s="214" t="s">
        <v>5</v>
      </c>
      <c r="O236" s="194">
        <v>45475</v>
      </c>
      <c r="P236" s="144" t="s">
        <v>24</v>
      </c>
      <c r="Q236" s="144" t="s">
        <v>24</v>
      </c>
      <c r="R236" s="144" t="s">
        <v>24</v>
      </c>
      <c r="S236" s="144" t="s">
        <v>24</v>
      </c>
      <c r="T236" s="144" t="s">
        <v>24</v>
      </c>
      <c r="U236" s="144" t="s">
        <v>24</v>
      </c>
      <c r="V236" s="144" t="s">
        <v>24</v>
      </c>
      <c r="W236" s="144" t="s">
        <v>24</v>
      </c>
      <c r="X236" s="144" t="s">
        <v>24</v>
      </c>
      <c r="Y236" s="144" t="s">
        <v>24</v>
      </c>
      <c r="Z236" s="144" t="s">
        <v>24</v>
      </c>
      <c r="AB236" s="152" t="s">
        <v>1264</v>
      </c>
      <c r="AC236" s="152" t="s">
        <v>1265</v>
      </c>
      <c r="AD236" s="152" t="s">
        <v>1266</v>
      </c>
      <c r="AE236" s="134" t="s">
        <v>287</v>
      </c>
      <c r="AF236" s="149" t="s">
        <v>4</v>
      </c>
      <c r="AG236" s="208">
        <v>2531.38</v>
      </c>
      <c r="AH236" s="208">
        <v>32531.38</v>
      </c>
      <c r="AI236" s="232" t="s">
        <v>6</v>
      </c>
      <c r="AJ236" s="138" t="s">
        <v>109</v>
      </c>
      <c r="AK236" s="235"/>
      <c r="AL236" s="149" t="s">
        <v>110</v>
      </c>
      <c r="AM236" s="149" t="s">
        <v>110</v>
      </c>
      <c r="AN236" s="149" t="s">
        <v>111</v>
      </c>
      <c r="AP236" s="152" t="s">
        <v>1267</v>
      </c>
      <c r="AQ236" s="198" t="s">
        <v>110</v>
      </c>
      <c r="AR236" s="198" t="s">
        <v>110</v>
      </c>
      <c r="AS236" s="198" t="s">
        <v>110</v>
      </c>
      <c r="AT236" s="198" t="s">
        <v>110</v>
      </c>
      <c r="AU236" s="194">
        <v>45498</v>
      </c>
      <c r="AV236" s="198" t="s">
        <v>110</v>
      </c>
      <c r="AW236" s="198" t="s">
        <v>110</v>
      </c>
      <c r="AX236" s="219">
        <v>45533</v>
      </c>
      <c r="AY236" s="197">
        <v>45533</v>
      </c>
      <c r="AZ236" s="145" t="s">
        <v>33</v>
      </c>
      <c r="BA236" s="145" t="s">
        <v>113</v>
      </c>
      <c r="BB236" s="149" t="s">
        <v>110</v>
      </c>
      <c r="BC236" s="142">
        <f t="shared" si="9"/>
        <v>58</v>
      </c>
      <c r="BD236" s="134" t="str">
        <f t="shared" si="10"/>
        <v>INDENIZAÇÃO</v>
      </c>
      <c r="BE236" s="134" t="str">
        <f t="shared" si="11"/>
        <v>NÃO</v>
      </c>
      <c r="BF236" s="134" t="s">
        <v>24</v>
      </c>
      <c r="BG236" s="134" t="s">
        <v>24</v>
      </c>
      <c r="BH236" s="134" t="s">
        <v>24</v>
      </c>
      <c r="BI236" s="198" t="s">
        <v>110</v>
      </c>
      <c r="BJ236" s="198" t="s">
        <v>110</v>
      </c>
      <c r="BK236" s="194">
        <v>45559</v>
      </c>
      <c r="BL236" s="198" t="s">
        <v>110</v>
      </c>
      <c r="BM236" s="145" t="s">
        <v>33</v>
      </c>
      <c r="CI236" s="200"/>
      <c r="CN236" s="200"/>
    </row>
    <row r="237" spans="1:92" s="149" customFormat="1" ht="30" customHeight="1">
      <c r="A237" s="134">
        <v>223</v>
      </c>
      <c r="B237" s="134" t="s">
        <v>99</v>
      </c>
      <c r="C237" s="134">
        <v>1</v>
      </c>
      <c r="D237" s="134" t="s">
        <v>100</v>
      </c>
      <c r="E237" s="134" t="s">
        <v>100</v>
      </c>
      <c r="F237" s="138" t="s">
        <v>1268</v>
      </c>
      <c r="G237" s="149" t="s">
        <v>1</v>
      </c>
      <c r="H237" s="149" t="s">
        <v>2</v>
      </c>
      <c r="I237" s="149" t="s">
        <v>108</v>
      </c>
      <c r="J237" s="152" t="s">
        <v>1269</v>
      </c>
      <c r="K237" s="152" t="s">
        <v>1270</v>
      </c>
      <c r="L237" s="152" t="s">
        <v>1271</v>
      </c>
      <c r="M237" s="134" t="s">
        <v>4</v>
      </c>
      <c r="N237" s="214" t="s">
        <v>5</v>
      </c>
      <c r="O237" s="194">
        <v>45299</v>
      </c>
      <c r="P237" s="144" t="s">
        <v>24</v>
      </c>
      <c r="Q237" s="144" t="s">
        <v>24</v>
      </c>
      <c r="R237" s="144" t="s">
        <v>24</v>
      </c>
      <c r="S237" s="144" t="s">
        <v>24</v>
      </c>
      <c r="T237" s="144" t="s">
        <v>24</v>
      </c>
      <c r="U237" s="144" t="s">
        <v>24</v>
      </c>
      <c r="V237" s="144" t="s">
        <v>24</v>
      </c>
      <c r="W237" s="144" t="s">
        <v>24</v>
      </c>
      <c r="X237" s="144" t="s">
        <v>24</v>
      </c>
      <c r="Y237" s="144" t="s">
        <v>24</v>
      </c>
      <c r="Z237" s="144" t="s">
        <v>24</v>
      </c>
      <c r="AB237" s="152" t="s">
        <v>1269</v>
      </c>
      <c r="AC237" s="152" t="s">
        <v>1270</v>
      </c>
      <c r="AD237" s="152" t="s">
        <v>1271</v>
      </c>
      <c r="AE237" s="149" t="s">
        <v>108</v>
      </c>
      <c r="AF237" s="149" t="s">
        <v>4</v>
      </c>
      <c r="AG237" s="208">
        <v>14653.48</v>
      </c>
      <c r="AH237" s="208">
        <v>44653.48</v>
      </c>
      <c r="AI237" s="232" t="s">
        <v>6</v>
      </c>
      <c r="AJ237" s="138" t="s">
        <v>109</v>
      </c>
      <c r="AK237" s="235"/>
      <c r="AL237" s="149" t="s">
        <v>110</v>
      </c>
      <c r="AM237" s="149" t="s">
        <v>110</v>
      </c>
      <c r="AN237" s="149" t="s">
        <v>111</v>
      </c>
      <c r="AP237" s="152" t="s">
        <v>1272</v>
      </c>
      <c r="AQ237" s="198" t="s">
        <v>110</v>
      </c>
      <c r="AR237" s="149" t="s">
        <v>110</v>
      </c>
      <c r="AS237" s="149" t="s">
        <v>110</v>
      </c>
      <c r="AT237" s="149" t="s">
        <v>110</v>
      </c>
      <c r="AU237" s="194">
        <v>45373</v>
      </c>
      <c r="AV237" s="149" t="s">
        <v>110</v>
      </c>
      <c r="AW237" s="149" t="s">
        <v>110</v>
      </c>
      <c r="AX237" s="194">
        <v>45385</v>
      </c>
      <c r="AY237" s="197">
        <v>45385</v>
      </c>
      <c r="AZ237" s="197" t="s">
        <v>33</v>
      </c>
      <c r="BA237" s="145" t="s">
        <v>113</v>
      </c>
      <c r="BB237" s="149" t="s">
        <v>110</v>
      </c>
      <c r="BC237" s="142">
        <f t="shared" si="9"/>
        <v>86</v>
      </c>
      <c r="BD237" s="134" t="str">
        <f t="shared" si="10"/>
        <v>INDENIZAÇÃO</v>
      </c>
      <c r="BE237" s="134" t="str">
        <f t="shared" si="11"/>
        <v>NÃO</v>
      </c>
      <c r="BF237" s="134" t="s">
        <v>24</v>
      </c>
      <c r="BG237" s="134" t="s">
        <v>24</v>
      </c>
      <c r="BH237" s="134" t="s">
        <v>24</v>
      </c>
      <c r="BI237" s="149" t="s">
        <v>110</v>
      </c>
      <c r="BJ237" s="149" t="s">
        <v>110</v>
      </c>
      <c r="BK237" s="194">
        <v>45510</v>
      </c>
      <c r="BL237" s="149" t="s">
        <v>110</v>
      </c>
      <c r="BM237" s="145" t="s">
        <v>33</v>
      </c>
      <c r="CI237" s="200"/>
      <c r="CN237" s="200"/>
    </row>
    <row r="238" spans="1:92" s="149" customFormat="1" ht="30" customHeight="1">
      <c r="A238" s="134">
        <v>224</v>
      </c>
      <c r="B238" s="245" t="s">
        <v>99</v>
      </c>
      <c r="C238" s="245">
        <v>1</v>
      </c>
      <c r="D238" s="245" t="s">
        <v>100</v>
      </c>
      <c r="E238" s="245" t="s">
        <v>100</v>
      </c>
      <c r="F238" s="246" t="s">
        <v>1273</v>
      </c>
      <c r="G238" s="149" t="s">
        <v>10</v>
      </c>
      <c r="H238" s="149" t="s">
        <v>2</v>
      </c>
      <c r="I238" s="149" t="s">
        <v>287</v>
      </c>
      <c r="J238" s="152" t="s">
        <v>1274</v>
      </c>
      <c r="K238" s="152" t="s">
        <v>1275</v>
      </c>
      <c r="L238" s="152" t="s">
        <v>1276</v>
      </c>
      <c r="M238" s="245" t="s">
        <v>4</v>
      </c>
      <c r="N238" s="245" t="s">
        <v>5</v>
      </c>
      <c r="O238" s="249">
        <v>45455</v>
      </c>
      <c r="P238" s="249" t="s">
        <v>24</v>
      </c>
      <c r="Q238" s="249" t="s">
        <v>24</v>
      </c>
      <c r="R238" s="249" t="s">
        <v>24</v>
      </c>
      <c r="S238" s="249" t="s">
        <v>24</v>
      </c>
      <c r="T238" s="249" t="s">
        <v>24</v>
      </c>
      <c r="U238" s="249" t="s">
        <v>24</v>
      </c>
      <c r="V238" s="249" t="s">
        <v>24</v>
      </c>
      <c r="W238" s="249" t="s">
        <v>24</v>
      </c>
      <c r="X238" s="249" t="s">
        <v>24</v>
      </c>
      <c r="Y238" s="249" t="s">
        <v>24</v>
      </c>
      <c r="Z238" s="249" t="s">
        <v>24</v>
      </c>
      <c r="AA238" s="250"/>
      <c r="AB238" s="152" t="s">
        <v>1274</v>
      </c>
      <c r="AC238" s="152" t="s">
        <v>1275</v>
      </c>
      <c r="AD238" s="152" t="s">
        <v>1276</v>
      </c>
      <c r="AE238" s="134" t="s">
        <v>287</v>
      </c>
      <c r="AF238" s="250" t="s">
        <v>4</v>
      </c>
      <c r="AG238" s="208">
        <v>2891.63</v>
      </c>
      <c r="AH238" s="208">
        <f>AG238+30000</f>
        <v>32891.629999999997</v>
      </c>
      <c r="AI238" s="245" t="s">
        <v>6</v>
      </c>
      <c r="AJ238" s="246" t="s">
        <v>109</v>
      </c>
      <c r="AK238" s="245" t="s">
        <v>110</v>
      </c>
      <c r="AL238" s="245" t="s">
        <v>110</v>
      </c>
      <c r="AM238" s="250" t="s">
        <v>110</v>
      </c>
      <c r="AN238" s="245" t="s">
        <v>111</v>
      </c>
      <c r="AO238" s="250" t="s">
        <v>1277</v>
      </c>
      <c r="AP238" s="253" t="s">
        <v>1278</v>
      </c>
      <c r="AQ238" s="250" t="s">
        <v>110</v>
      </c>
      <c r="AR238" s="250" t="s">
        <v>110</v>
      </c>
      <c r="AS238" s="250" t="s">
        <v>110</v>
      </c>
      <c r="AT238" s="250" t="s">
        <v>110</v>
      </c>
      <c r="AU238" s="248">
        <v>45755</v>
      </c>
      <c r="AV238" s="250" t="s">
        <v>110</v>
      </c>
      <c r="AW238" s="250" t="s">
        <v>110</v>
      </c>
      <c r="AX238" s="248">
        <v>45790</v>
      </c>
      <c r="AY238" s="254">
        <v>45790</v>
      </c>
      <c r="AZ238" s="245" t="s">
        <v>360</v>
      </c>
      <c r="BA238" s="245" t="s">
        <v>1</v>
      </c>
      <c r="BB238" s="250" t="s">
        <v>110</v>
      </c>
      <c r="BC238" s="142">
        <f t="shared" si="9"/>
        <v>335</v>
      </c>
      <c r="BD238" s="134" t="str">
        <f t="shared" si="10"/>
        <v>INDENIZAÇÃO</v>
      </c>
      <c r="BE238" s="134" t="str">
        <f t="shared" si="11"/>
        <v>NÃO</v>
      </c>
      <c r="BF238" s="245" t="s">
        <v>24</v>
      </c>
      <c r="BG238" s="245" t="s">
        <v>24</v>
      </c>
      <c r="BH238" s="245" t="s">
        <v>24</v>
      </c>
      <c r="BI238" s="250" t="s">
        <v>110</v>
      </c>
      <c r="BJ238" s="198" t="s">
        <v>110</v>
      </c>
      <c r="BK238" s="194">
        <v>45859</v>
      </c>
      <c r="BL238" s="149" t="s">
        <v>110</v>
      </c>
      <c r="BM238" s="141" t="s">
        <v>33</v>
      </c>
      <c r="CI238" s="212"/>
      <c r="CJ238" s="171"/>
      <c r="CK238" s="171"/>
      <c r="CL238" s="171"/>
      <c r="CM238" s="171"/>
    </row>
    <row r="239" spans="1:92" s="149" customFormat="1" ht="30" customHeight="1">
      <c r="A239" s="134">
        <v>225</v>
      </c>
      <c r="B239" s="134" t="s">
        <v>99</v>
      </c>
      <c r="C239" s="134">
        <v>1</v>
      </c>
      <c r="D239" s="134" t="s">
        <v>100</v>
      </c>
      <c r="E239" s="134" t="s">
        <v>100</v>
      </c>
      <c r="F239" s="138" t="s">
        <v>1279</v>
      </c>
      <c r="G239" s="149" t="s">
        <v>1</v>
      </c>
      <c r="H239" s="149" t="s">
        <v>2</v>
      </c>
      <c r="I239" s="149" t="s">
        <v>108</v>
      </c>
      <c r="J239" s="152" t="s">
        <v>1280</v>
      </c>
      <c r="K239" s="152" t="s">
        <v>1281</v>
      </c>
      <c r="L239" s="152" t="s">
        <v>1282</v>
      </c>
      <c r="M239" s="134" t="s">
        <v>4</v>
      </c>
      <c r="N239" s="214" t="s">
        <v>14</v>
      </c>
      <c r="O239" s="194">
        <v>45356</v>
      </c>
      <c r="P239" s="144">
        <v>45246</v>
      </c>
      <c r="Q239" s="138" t="s">
        <v>283</v>
      </c>
      <c r="R239" s="144" t="s">
        <v>110</v>
      </c>
      <c r="S239" s="144" t="s">
        <v>110</v>
      </c>
      <c r="T239" s="144"/>
      <c r="U239" s="144"/>
      <c r="V239" s="144"/>
      <c r="W239" s="144"/>
      <c r="X239" s="144"/>
      <c r="Y239" s="144"/>
      <c r="Z239" s="144"/>
      <c r="AB239" s="152" t="s">
        <v>1280</v>
      </c>
      <c r="AC239" s="152" t="s">
        <v>1281</v>
      </c>
      <c r="AD239" s="152" t="s">
        <v>1282</v>
      </c>
      <c r="AE239" s="149" t="s">
        <v>108</v>
      </c>
      <c r="AG239" s="208" t="s">
        <v>371</v>
      </c>
      <c r="AH239" s="208" t="s">
        <v>371</v>
      </c>
      <c r="AI239" s="232" t="s">
        <v>371</v>
      </c>
      <c r="AJ239" s="214" t="s">
        <v>371</v>
      </c>
      <c r="AK239" s="235"/>
      <c r="AP239" s="152"/>
      <c r="BC239" s="142" t="str">
        <f t="shared" si="9"/>
        <v/>
      </c>
      <c r="BD239" s="134" t="str">
        <f t="shared" si="10"/>
        <v>INDENIZAÇÃO</v>
      </c>
      <c r="BE239" s="134" t="str">
        <f t="shared" si="11"/>
        <v>NÃO</v>
      </c>
      <c r="BF239" s="134"/>
      <c r="BG239" s="194"/>
      <c r="BH239" s="194"/>
      <c r="CI239" s="200"/>
    </row>
    <row r="240" spans="1:92" s="149" customFormat="1" ht="30" customHeight="1">
      <c r="A240" s="134">
        <v>226</v>
      </c>
      <c r="B240" s="134" t="s">
        <v>99</v>
      </c>
      <c r="C240" s="134">
        <v>1</v>
      </c>
      <c r="D240" s="134" t="s">
        <v>100</v>
      </c>
      <c r="E240" s="134" t="s">
        <v>100</v>
      </c>
      <c r="F240" s="138" t="s">
        <v>1283</v>
      </c>
      <c r="G240" s="149" t="s">
        <v>1</v>
      </c>
      <c r="H240" s="149" t="s">
        <v>2</v>
      </c>
      <c r="I240" s="149" t="s">
        <v>108</v>
      </c>
      <c r="J240" s="152" t="s">
        <v>1284</v>
      </c>
      <c r="K240" s="152" t="s">
        <v>1285</v>
      </c>
      <c r="L240" s="152" t="s">
        <v>1286</v>
      </c>
      <c r="M240" s="134" t="s">
        <v>4</v>
      </c>
      <c r="N240" s="214" t="s">
        <v>5</v>
      </c>
      <c r="O240" s="194">
        <v>45268</v>
      </c>
      <c r="P240" s="144" t="s">
        <v>24</v>
      </c>
      <c r="Q240" s="144" t="s">
        <v>24</v>
      </c>
      <c r="R240" s="144" t="s">
        <v>24</v>
      </c>
      <c r="S240" s="144" t="s">
        <v>24</v>
      </c>
      <c r="T240" s="144" t="s">
        <v>24</v>
      </c>
      <c r="U240" s="144" t="s">
        <v>24</v>
      </c>
      <c r="V240" s="144" t="s">
        <v>24</v>
      </c>
      <c r="W240" s="144" t="s">
        <v>24</v>
      </c>
      <c r="X240" s="144" t="s">
        <v>24</v>
      </c>
      <c r="Y240" s="144" t="s">
        <v>24</v>
      </c>
      <c r="Z240" s="144" t="s">
        <v>24</v>
      </c>
      <c r="AB240" s="152" t="s">
        <v>1284</v>
      </c>
      <c r="AC240" s="152" t="s">
        <v>1285</v>
      </c>
      <c r="AD240" s="152" t="s">
        <v>1286</v>
      </c>
      <c r="AE240" s="149" t="s">
        <v>108</v>
      </c>
      <c r="AF240" s="149" t="s">
        <v>4</v>
      </c>
      <c r="AG240" s="208">
        <v>2928.66</v>
      </c>
      <c r="AH240" s="208">
        <v>32928.660000000003</v>
      </c>
      <c r="AI240" s="232" t="s">
        <v>6</v>
      </c>
      <c r="AJ240" s="138" t="s">
        <v>109</v>
      </c>
      <c r="AK240" s="235"/>
      <c r="AL240" s="149" t="s">
        <v>110</v>
      </c>
      <c r="AM240" s="149" t="s">
        <v>110</v>
      </c>
      <c r="AN240" s="149" t="s">
        <v>111</v>
      </c>
      <c r="AP240" s="152" t="s">
        <v>1287</v>
      </c>
      <c r="AQ240" s="149" t="s">
        <v>110</v>
      </c>
      <c r="AR240" s="149" t="s">
        <v>110</v>
      </c>
      <c r="AS240" s="198" t="s">
        <v>110</v>
      </c>
      <c r="AT240" s="198" t="s">
        <v>110</v>
      </c>
      <c r="AU240" s="144">
        <v>45422</v>
      </c>
      <c r="AV240" s="198" t="s">
        <v>110</v>
      </c>
      <c r="AW240" s="198" t="s">
        <v>110</v>
      </c>
      <c r="AX240" s="144">
        <v>45432</v>
      </c>
      <c r="AY240" s="197">
        <v>45432</v>
      </c>
      <c r="AZ240" s="197" t="s">
        <v>33</v>
      </c>
      <c r="BA240" s="145" t="s">
        <v>113</v>
      </c>
      <c r="BB240" s="149" t="s">
        <v>110</v>
      </c>
      <c r="BC240" s="142">
        <f t="shared" si="9"/>
        <v>164</v>
      </c>
      <c r="BD240" s="134" t="str">
        <f t="shared" si="10"/>
        <v>INDENIZAÇÃO</v>
      </c>
      <c r="BE240" s="134" t="str">
        <f t="shared" si="11"/>
        <v>NÃO</v>
      </c>
      <c r="BF240" s="134" t="s">
        <v>24</v>
      </c>
      <c r="BG240" s="134" t="s">
        <v>24</v>
      </c>
      <c r="BH240" s="134" t="s">
        <v>24</v>
      </c>
      <c r="BI240" s="198" t="s">
        <v>110</v>
      </c>
      <c r="BJ240" s="198" t="s">
        <v>110</v>
      </c>
      <c r="BK240" s="144">
        <v>45545</v>
      </c>
      <c r="BL240" s="198" t="s">
        <v>110</v>
      </c>
      <c r="BM240" s="145" t="s">
        <v>33</v>
      </c>
      <c r="CI240" s="210"/>
      <c r="CJ240" s="201"/>
      <c r="CK240" s="201"/>
      <c r="CL240" s="201"/>
      <c r="CM240" s="201"/>
    </row>
    <row r="241" spans="1:103" s="149" customFormat="1" ht="30" customHeight="1">
      <c r="A241" s="134">
        <v>227</v>
      </c>
      <c r="B241" s="134" t="s">
        <v>99</v>
      </c>
      <c r="C241" s="134">
        <v>1</v>
      </c>
      <c r="D241" s="134" t="s">
        <v>100</v>
      </c>
      <c r="E241" s="134" t="s">
        <v>100</v>
      </c>
      <c r="F241" s="138" t="s">
        <v>1288</v>
      </c>
      <c r="G241" s="149" t="s">
        <v>1</v>
      </c>
      <c r="H241" s="149" t="s">
        <v>2</v>
      </c>
      <c r="I241" s="149" t="s">
        <v>108</v>
      </c>
      <c r="J241" s="152" t="s">
        <v>1289</v>
      </c>
      <c r="K241" s="152" t="s">
        <v>1290</v>
      </c>
      <c r="L241" s="152" t="s">
        <v>1291</v>
      </c>
      <c r="M241" s="134" t="s">
        <v>4</v>
      </c>
      <c r="N241" s="214" t="s">
        <v>14</v>
      </c>
      <c r="O241" s="194">
        <v>45356</v>
      </c>
      <c r="P241" s="144">
        <v>45259</v>
      </c>
      <c r="Q241" s="138" t="s">
        <v>283</v>
      </c>
      <c r="R241" s="144" t="s">
        <v>110</v>
      </c>
      <c r="S241" s="144" t="s">
        <v>110</v>
      </c>
      <c r="T241" s="144"/>
      <c r="U241" s="144"/>
      <c r="V241" s="144"/>
      <c r="W241" s="144"/>
      <c r="X241" s="144"/>
      <c r="Y241" s="144"/>
      <c r="Z241" s="144"/>
      <c r="AB241" s="152" t="s">
        <v>1289</v>
      </c>
      <c r="AC241" s="152" t="s">
        <v>1290</v>
      </c>
      <c r="AD241" s="152" t="s">
        <v>1291</v>
      </c>
      <c r="AE241" s="149" t="s">
        <v>108</v>
      </c>
      <c r="AG241" s="208" t="s">
        <v>371</v>
      </c>
      <c r="AH241" s="208" t="s">
        <v>371</v>
      </c>
      <c r="AI241" s="232" t="s">
        <v>371</v>
      </c>
      <c r="AJ241" s="214" t="s">
        <v>371</v>
      </c>
      <c r="AK241" s="235"/>
      <c r="AP241" s="152"/>
      <c r="BC241" s="142" t="str">
        <f t="shared" si="9"/>
        <v/>
      </c>
      <c r="BD241" s="134" t="str">
        <f t="shared" si="10"/>
        <v>INDENIZAÇÃO</v>
      </c>
      <c r="BE241" s="134" t="str">
        <f t="shared" si="11"/>
        <v>NÃO</v>
      </c>
      <c r="BG241" s="194"/>
      <c r="BH241" s="194"/>
      <c r="CI241" s="200"/>
      <c r="CN241" s="200"/>
    </row>
    <row r="242" spans="1:103" s="149" customFormat="1" ht="30" customHeight="1">
      <c r="A242" s="134">
        <v>228</v>
      </c>
      <c r="B242" s="134" t="s">
        <v>99</v>
      </c>
      <c r="C242" s="134">
        <v>1</v>
      </c>
      <c r="D242" s="134" t="s">
        <v>100</v>
      </c>
      <c r="E242" s="134" t="s">
        <v>100</v>
      </c>
      <c r="F242" s="138" t="s">
        <v>1292</v>
      </c>
      <c r="G242" s="149" t="s">
        <v>1</v>
      </c>
      <c r="H242" s="149" t="s">
        <v>2</v>
      </c>
      <c r="I242" s="149" t="s">
        <v>387</v>
      </c>
      <c r="J242" s="152" t="s">
        <v>1293</v>
      </c>
      <c r="K242" s="152" t="s">
        <v>1294</v>
      </c>
      <c r="L242" s="152" t="s">
        <v>1295</v>
      </c>
      <c r="M242" s="134" t="s">
        <v>4</v>
      </c>
      <c r="N242" s="134" t="s">
        <v>14</v>
      </c>
      <c r="O242" s="194">
        <v>45690</v>
      </c>
      <c r="P242" s="197" t="s">
        <v>17</v>
      </c>
      <c r="Q242" s="264" t="s">
        <v>283</v>
      </c>
      <c r="R242" s="197"/>
      <c r="S242" s="197"/>
      <c r="T242" s="197"/>
      <c r="U242" s="197"/>
      <c r="V242" s="197"/>
      <c r="W242" s="197"/>
      <c r="X242" s="197"/>
      <c r="Y242" s="197"/>
      <c r="Z242" s="197"/>
      <c r="AB242" s="152" t="s">
        <v>1296</v>
      </c>
      <c r="AC242" s="152" t="s">
        <v>1297</v>
      </c>
      <c r="AD242" s="152" t="s">
        <v>1298</v>
      </c>
      <c r="AE242" s="134" t="s">
        <v>287</v>
      </c>
      <c r="AF242" s="149" t="s">
        <v>4</v>
      </c>
      <c r="AG242" s="208">
        <v>8310.49</v>
      </c>
      <c r="AH242" s="208">
        <v>8310.49</v>
      </c>
      <c r="AI242" s="232" t="s">
        <v>6</v>
      </c>
      <c r="AJ242" s="138" t="s">
        <v>109</v>
      </c>
      <c r="AK242" s="235">
        <v>92508446</v>
      </c>
      <c r="AL242" s="149" t="s">
        <v>110</v>
      </c>
      <c r="AM242" s="149" t="s">
        <v>110</v>
      </c>
      <c r="AN242" s="149" t="s">
        <v>111</v>
      </c>
      <c r="AO242" s="149" t="s">
        <v>1299</v>
      </c>
      <c r="AP242" s="152" t="s">
        <v>1300</v>
      </c>
      <c r="AQ242" s="149" t="s">
        <v>110</v>
      </c>
      <c r="AR242" s="149" t="s">
        <v>110</v>
      </c>
      <c r="AS242" s="149" t="s">
        <v>110</v>
      </c>
      <c r="AT242" s="149" t="s">
        <v>110</v>
      </c>
      <c r="AU242" s="194">
        <v>45783</v>
      </c>
      <c r="AV242" s="149" t="s">
        <v>110</v>
      </c>
      <c r="AW242" s="149" t="s">
        <v>110</v>
      </c>
      <c r="AX242" s="194">
        <v>45791</v>
      </c>
      <c r="AY242" s="140">
        <v>45791</v>
      </c>
      <c r="AZ242" s="141" t="s">
        <v>33</v>
      </c>
      <c r="BA242" s="145" t="s">
        <v>113</v>
      </c>
      <c r="BB242" s="149" t="s">
        <v>110</v>
      </c>
      <c r="BC242" s="142">
        <f t="shared" si="9"/>
        <v>101</v>
      </c>
      <c r="BD242" s="134" t="str">
        <f t="shared" si="10"/>
        <v>INDENIZAÇÃO</v>
      </c>
      <c r="BE242" s="134" t="str">
        <f t="shared" si="11"/>
        <v>NÃO</v>
      </c>
      <c r="BF242" s="134" t="s">
        <v>24</v>
      </c>
      <c r="BG242" s="134" t="s">
        <v>24</v>
      </c>
      <c r="BH242" s="134" t="s">
        <v>24</v>
      </c>
      <c r="BI242" s="198" t="s">
        <v>110</v>
      </c>
      <c r="BJ242" s="198" t="s">
        <v>110</v>
      </c>
      <c r="BK242" s="194">
        <v>45856</v>
      </c>
      <c r="BL242" s="149" t="s">
        <v>110</v>
      </c>
      <c r="BM242" s="141" t="s">
        <v>33</v>
      </c>
      <c r="CI242" s="200"/>
    </row>
    <row r="243" spans="1:103" s="149" customFormat="1" ht="30" customHeight="1">
      <c r="A243" s="134">
        <v>229</v>
      </c>
      <c r="B243" s="134" t="s">
        <v>99</v>
      </c>
      <c r="C243" s="134">
        <v>1</v>
      </c>
      <c r="D243" s="134" t="s">
        <v>100</v>
      </c>
      <c r="E243" s="134" t="s">
        <v>100</v>
      </c>
      <c r="F243" s="138" t="s">
        <v>1301</v>
      </c>
      <c r="G243" s="149" t="s">
        <v>1</v>
      </c>
      <c r="H243" s="149" t="s">
        <v>2</v>
      </c>
      <c r="I243" s="149" t="s">
        <v>108</v>
      </c>
      <c r="J243" s="152" t="s">
        <v>1302</v>
      </c>
      <c r="K243" s="152" t="s">
        <v>1303</v>
      </c>
      <c r="L243" s="152" t="s">
        <v>1304</v>
      </c>
      <c r="M243" s="134" t="s">
        <v>4</v>
      </c>
      <c r="N243" s="214" t="s">
        <v>14</v>
      </c>
      <c r="O243" s="194">
        <v>45356</v>
      </c>
      <c r="P243" s="144">
        <v>45274</v>
      </c>
      <c r="Q243" s="138" t="s">
        <v>283</v>
      </c>
      <c r="R243" s="144" t="s">
        <v>110</v>
      </c>
      <c r="S243" s="144" t="s">
        <v>110</v>
      </c>
      <c r="T243" s="144"/>
      <c r="U243" s="144"/>
      <c r="V243" s="144"/>
      <c r="W243" s="144"/>
      <c r="X243" s="144"/>
      <c r="Y243" s="144"/>
      <c r="Z243" s="144"/>
      <c r="AB243" s="152"/>
      <c r="AC243" s="152"/>
      <c r="AD243" s="152"/>
      <c r="AG243" s="208"/>
      <c r="AH243" s="208"/>
      <c r="AI243" s="234"/>
      <c r="AK243" s="200"/>
      <c r="AP243" s="152"/>
      <c r="BC243" s="142" t="str">
        <f t="shared" si="9"/>
        <v/>
      </c>
      <c r="BD243" s="134" t="str">
        <f t="shared" si="10"/>
        <v>INDENIZAÇÃO</v>
      </c>
      <c r="BE243" s="134" t="str">
        <f t="shared" si="11"/>
        <v>NÃO</v>
      </c>
      <c r="BG243" s="194"/>
      <c r="BH243" s="194"/>
      <c r="CI243" s="210"/>
      <c r="CJ243" s="201"/>
      <c r="CK243" s="201"/>
      <c r="CL243" s="201"/>
      <c r="CM243" s="201"/>
      <c r="CN243" s="200"/>
    </row>
    <row r="244" spans="1:103" s="149" customFormat="1" ht="30" customHeight="1">
      <c r="A244" s="134">
        <v>230</v>
      </c>
      <c r="B244" s="134" t="s">
        <v>99</v>
      </c>
      <c r="C244" s="134">
        <v>1</v>
      </c>
      <c r="D244" s="134" t="s">
        <v>100</v>
      </c>
      <c r="E244" s="134" t="s">
        <v>100</v>
      </c>
      <c r="F244" s="138" t="s">
        <v>1305</v>
      </c>
      <c r="G244" s="149" t="s">
        <v>1</v>
      </c>
      <c r="H244" s="149" t="s">
        <v>2</v>
      </c>
      <c r="I244" s="149" t="s">
        <v>108</v>
      </c>
      <c r="J244" s="152" t="s">
        <v>1306</v>
      </c>
      <c r="K244" s="152">
        <v>9780000</v>
      </c>
      <c r="L244" s="152" t="s">
        <v>1307</v>
      </c>
      <c r="M244" s="134" t="s">
        <v>4</v>
      </c>
      <c r="N244" s="214" t="s">
        <v>14</v>
      </c>
      <c r="O244" s="194">
        <v>45356</v>
      </c>
      <c r="P244" s="144">
        <v>45274</v>
      </c>
      <c r="Q244" s="138" t="s">
        <v>283</v>
      </c>
      <c r="R244" s="144" t="s">
        <v>110</v>
      </c>
      <c r="S244" s="144" t="s">
        <v>110</v>
      </c>
      <c r="T244" s="144"/>
      <c r="U244" s="144"/>
      <c r="V244" s="144"/>
      <c r="W244" s="144"/>
      <c r="X244" s="144"/>
      <c r="Y244" s="144"/>
      <c r="Z244" s="144"/>
      <c r="AB244" s="152"/>
      <c r="AC244" s="152"/>
      <c r="AD244" s="152"/>
      <c r="AG244" s="208"/>
      <c r="AH244" s="208"/>
      <c r="AI244" s="234"/>
      <c r="AK244" s="200"/>
      <c r="AP244" s="152"/>
      <c r="BC244" s="142" t="str">
        <f t="shared" si="9"/>
        <v/>
      </c>
      <c r="BD244" s="134" t="str">
        <f t="shared" si="10"/>
        <v>INDENIZAÇÃO</v>
      </c>
      <c r="BE244" s="134" t="str">
        <f t="shared" si="11"/>
        <v>NÃO</v>
      </c>
      <c r="BG244" s="194"/>
      <c r="BH244" s="194"/>
      <c r="CI244" s="209"/>
      <c r="CJ244" s="204"/>
      <c r="CK244" s="204"/>
      <c r="CL244" s="204"/>
      <c r="CM244" s="204"/>
    </row>
    <row r="245" spans="1:103" s="149" customFormat="1" ht="30" customHeight="1">
      <c r="A245" s="134">
        <v>231</v>
      </c>
      <c r="B245" s="134" t="s">
        <v>99</v>
      </c>
      <c r="C245" s="134">
        <v>1</v>
      </c>
      <c r="D245" s="134" t="s">
        <v>100</v>
      </c>
      <c r="E245" s="134" t="s">
        <v>100</v>
      </c>
      <c r="F245" s="138" t="s">
        <v>1308</v>
      </c>
      <c r="G245" s="149" t="s">
        <v>1</v>
      </c>
      <c r="H245" s="149" t="s">
        <v>2</v>
      </c>
      <c r="I245" s="149" t="s">
        <v>108</v>
      </c>
      <c r="J245" s="152" t="s">
        <v>1309</v>
      </c>
      <c r="K245" s="152" t="s">
        <v>1310</v>
      </c>
      <c r="L245" s="152" t="s">
        <v>1311</v>
      </c>
      <c r="M245" s="134" t="s">
        <v>4</v>
      </c>
      <c r="N245" s="214" t="s">
        <v>5</v>
      </c>
      <c r="O245" s="194">
        <v>45299</v>
      </c>
      <c r="P245" s="144" t="s">
        <v>24</v>
      </c>
      <c r="Q245" s="144" t="s">
        <v>24</v>
      </c>
      <c r="R245" s="144" t="s">
        <v>24</v>
      </c>
      <c r="S245" s="144" t="s">
        <v>24</v>
      </c>
      <c r="T245" s="144" t="s">
        <v>24</v>
      </c>
      <c r="U245" s="144" t="s">
        <v>24</v>
      </c>
      <c r="V245" s="144" t="s">
        <v>24</v>
      </c>
      <c r="W245" s="144" t="s">
        <v>24</v>
      </c>
      <c r="X245" s="144" t="s">
        <v>24</v>
      </c>
      <c r="Y245" s="144" t="s">
        <v>24</v>
      </c>
      <c r="Z245" s="144" t="s">
        <v>24</v>
      </c>
      <c r="AA245" s="198"/>
      <c r="AB245" s="152" t="s">
        <v>1309</v>
      </c>
      <c r="AC245" s="152" t="s">
        <v>1310</v>
      </c>
      <c r="AD245" s="152" t="s">
        <v>1311</v>
      </c>
      <c r="AE245" s="149" t="s">
        <v>108</v>
      </c>
      <c r="AF245" s="149" t="s">
        <v>4</v>
      </c>
      <c r="AG245" s="208">
        <v>4451.1000000000004</v>
      </c>
      <c r="AH245" s="208">
        <f>AG245+30000</f>
        <v>34451.1</v>
      </c>
      <c r="AI245" s="231" t="s">
        <v>6</v>
      </c>
      <c r="AJ245" s="138" t="s">
        <v>109</v>
      </c>
      <c r="AK245" s="235"/>
      <c r="AL245" s="149" t="s">
        <v>110</v>
      </c>
      <c r="AM245" s="149" t="s">
        <v>110</v>
      </c>
      <c r="AN245" s="149" t="s">
        <v>111</v>
      </c>
      <c r="AO245" s="198"/>
      <c r="AP245" s="152" t="s">
        <v>1312</v>
      </c>
      <c r="AQ245" s="198" t="s">
        <v>110</v>
      </c>
      <c r="AR245" s="198" t="s">
        <v>110</v>
      </c>
      <c r="AS245" s="149" t="s">
        <v>110</v>
      </c>
      <c r="AT245" s="149" t="s">
        <v>110</v>
      </c>
      <c r="AU245" s="194">
        <v>45373</v>
      </c>
      <c r="AV245" s="149" t="s">
        <v>110</v>
      </c>
      <c r="AW245" s="149" t="s">
        <v>110</v>
      </c>
      <c r="AX245" s="194">
        <v>45385</v>
      </c>
      <c r="AY245" s="197">
        <v>45385</v>
      </c>
      <c r="AZ245" s="197" t="s">
        <v>33</v>
      </c>
      <c r="BA245" s="145" t="s">
        <v>113</v>
      </c>
      <c r="BB245" s="149" t="s">
        <v>110</v>
      </c>
      <c r="BC245" s="142">
        <f t="shared" si="9"/>
        <v>86</v>
      </c>
      <c r="BD245" s="134" t="str">
        <f t="shared" si="10"/>
        <v>INDENIZAÇÃO</v>
      </c>
      <c r="BE245" s="134" t="str">
        <f t="shared" si="11"/>
        <v>NÃO</v>
      </c>
      <c r="BF245" s="134" t="s">
        <v>24</v>
      </c>
      <c r="BG245" s="134" t="s">
        <v>24</v>
      </c>
      <c r="BH245" s="134" t="s">
        <v>24</v>
      </c>
      <c r="BI245" s="149" t="s">
        <v>110</v>
      </c>
      <c r="BJ245" s="149" t="s">
        <v>110</v>
      </c>
      <c r="BK245" s="194">
        <v>45510</v>
      </c>
      <c r="BL245" s="149" t="s">
        <v>110</v>
      </c>
      <c r="BM245" s="145" t="s">
        <v>33</v>
      </c>
      <c r="CI245" s="200"/>
      <c r="CN245" s="200"/>
    </row>
    <row r="246" spans="1:103" s="149" customFormat="1" ht="30" customHeight="1">
      <c r="A246" s="134">
        <v>232</v>
      </c>
      <c r="B246" s="136" t="s">
        <v>99</v>
      </c>
      <c r="C246" s="136">
        <v>1</v>
      </c>
      <c r="D246" s="136" t="s">
        <v>100</v>
      </c>
      <c r="E246" s="136" t="s">
        <v>100</v>
      </c>
      <c r="F246" s="137" t="s">
        <v>1313</v>
      </c>
      <c r="G246" s="149" t="s">
        <v>1</v>
      </c>
      <c r="H246" s="149" t="s">
        <v>2</v>
      </c>
      <c r="I246" s="149" t="s">
        <v>108</v>
      </c>
      <c r="J246" s="152" t="s">
        <v>1314</v>
      </c>
      <c r="K246" s="152" t="s">
        <v>1315</v>
      </c>
      <c r="L246" s="152" t="s">
        <v>1316</v>
      </c>
      <c r="M246" s="136" t="s">
        <v>4</v>
      </c>
      <c r="N246" s="136" t="s">
        <v>5</v>
      </c>
      <c r="O246" s="220">
        <v>45268</v>
      </c>
      <c r="P246" s="221" t="s">
        <v>24</v>
      </c>
      <c r="Q246" s="221" t="s">
        <v>24</v>
      </c>
      <c r="R246" s="221" t="s">
        <v>24</v>
      </c>
      <c r="S246" s="221" t="s">
        <v>24</v>
      </c>
      <c r="T246" s="221" t="s">
        <v>24</v>
      </c>
      <c r="U246" s="221" t="s">
        <v>24</v>
      </c>
      <c r="V246" s="221" t="s">
        <v>24</v>
      </c>
      <c r="W246" s="221" t="s">
        <v>24</v>
      </c>
      <c r="X246" s="221" t="s">
        <v>24</v>
      </c>
      <c r="Y246" s="221" t="s">
        <v>24</v>
      </c>
      <c r="Z246" s="221" t="s">
        <v>24</v>
      </c>
      <c r="AA246" s="218"/>
      <c r="AB246" s="152" t="s">
        <v>1314</v>
      </c>
      <c r="AC246" s="152" t="s">
        <v>1315</v>
      </c>
      <c r="AD246" s="152" t="s">
        <v>1316</v>
      </c>
      <c r="AE246" s="149" t="s">
        <v>108</v>
      </c>
      <c r="AF246" s="218" t="s">
        <v>4</v>
      </c>
      <c r="AG246" s="208">
        <f>AH246-30000</f>
        <v>7026.7200000000012</v>
      </c>
      <c r="AH246" s="208">
        <v>37026.720000000001</v>
      </c>
      <c r="AI246" s="233" t="s">
        <v>6</v>
      </c>
      <c r="AJ246" s="137" t="s">
        <v>109</v>
      </c>
      <c r="AK246" s="236"/>
      <c r="AL246" s="218" t="s">
        <v>110</v>
      </c>
      <c r="AM246" s="218" t="s">
        <v>110</v>
      </c>
      <c r="AN246" s="218" t="s">
        <v>111</v>
      </c>
      <c r="AO246" s="218"/>
      <c r="AP246" s="222" t="s">
        <v>1317</v>
      </c>
      <c r="AQ246" s="218" t="s">
        <v>110</v>
      </c>
      <c r="AR246" s="218" t="s">
        <v>110</v>
      </c>
      <c r="AS246" s="218" t="s">
        <v>110</v>
      </c>
      <c r="AT246" s="218" t="s">
        <v>110</v>
      </c>
      <c r="AU246" s="220">
        <v>45495</v>
      </c>
      <c r="AV246" s="218" t="s">
        <v>110</v>
      </c>
      <c r="AW246" s="218" t="s">
        <v>110</v>
      </c>
      <c r="AX246" s="220">
        <v>45499</v>
      </c>
      <c r="AY246" s="221">
        <v>45499</v>
      </c>
      <c r="AZ246" s="221" t="s">
        <v>360</v>
      </c>
      <c r="BA246" s="218" t="s">
        <v>113</v>
      </c>
      <c r="BB246" s="149" t="s">
        <v>110</v>
      </c>
      <c r="BC246" s="142">
        <f t="shared" si="9"/>
        <v>231</v>
      </c>
      <c r="BD246" s="134" t="str">
        <f t="shared" si="10"/>
        <v>INDENIZAÇÃO</v>
      </c>
      <c r="BE246" s="134" t="str">
        <f t="shared" si="11"/>
        <v>NÃO</v>
      </c>
      <c r="BF246" s="134" t="s">
        <v>24</v>
      </c>
      <c r="BG246" s="134" t="s">
        <v>24</v>
      </c>
      <c r="BH246" s="134" t="s">
        <v>24</v>
      </c>
      <c r="BI246" s="198" t="s">
        <v>110</v>
      </c>
      <c r="BJ246" s="198" t="s">
        <v>110</v>
      </c>
      <c r="BK246" s="194">
        <v>45559</v>
      </c>
      <c r="BL246" s="198" t="s">
        <v>110</v>
      </c>
      <c r="BM246" s="145" t="s">
        <v>33</v>
      </c>
      <c r="CI246" s="200"/>
      <c r="CN246" s="200"/>
    </row>
    <row r="247" spans="1:103" s="149" customFormat="1" ht="30" customHeight="1">
      <c r="A247" s="134">
        <v>233</v>
      </c>
      <c r="B247" s="134" t="s">
        <v>99</v>
      </c>
      <c r="C247" s="134">
        <v>1</v>
      </c>
      <c r="D247" s="134" t="s">
        <v>100</v>
      </c>
      <c r="E247" s="134" t="s">
        <v>100</v>
      </c>
      <c r="F247" s="138" t="s">
        <v>1318</v>
      </c>
      <c r="G247" s="149" t="s">
        <v>1</v>
      </c>
      <c r="H247" s="149" t="s">
        <v>2</v>
      </c>
      <c r="I247" s="149" t="s">
        <v>108</v>
      </c>
      <c r="J247" s="152" t="s">
        <v>1319</v>
      </c>
      <c r="K247" s="152" t="s">
        <v>1320</v>
      </c>
      <c r="L247" s="152" t="s">
        <v>1321</v>
      </c>
      <c r="M247" s="134" t="s">
        <v>4</v>
      </c>
      <c r="N247" s="214" t="s">
        <v>5</v>
      </c>
      <c r="O247" s="194">
        <v>45280</v>
      </c>
      <c r="P247" s="144" t="s">
        <v>24</v>
      </c>
      <c r="Q247" s="144" t="s">
        <v>24</v>
      </c>
      <c r="R247" s="144" t="s">
        <v>24</v>
      </c>
      <c r="S247" s="144" t="s">
        <v>24</v>
      </c>
      <c r="T247" s="144" t="s">
        <v>24</v>
      </c>
      <c r="U247" s="144" t="s">
        <v>24</v>
      </c>
      <c r="V247" s="144" t="s">
        <v>24</v>
      </c>
      <c r="W247" s="144" t="s">
        <v>24</v>
      </c>
      <c r="X247" s="144" t="s">
        <v>24</v>
      </c>
      <c r="Y247" s="144" t="s">
        <v>24</v>
      </c>
      <c r="Z247" s="144" t="s">
        <v>24</v>
      </c>
      <c r="AB247" s="152" t="s">
        <v>1319</v>
      </c>
      <c r="AC247" s="152" t="s">
        <v>1320</v>
      </c>
      <c r="AD247" s="152" t="s">
        <v>1321</v>
      </c>
      <c r="AE247" s="149" t="s">
        <v>108</v>
      </c>
      <c r="AF247" s="149" t="s">
        <v>4</v>
      </c>
      <c r="AG247" s="208">
        <v>14434.35</v>
      </c>
      <c r="AH247" s="208">
        <f>AG247+30000</f>
        <v>44434.35</v>
      </c>
      <c r="AI247" s="232" t="s">
        <v>6</v>
      </c>
      <c r="AJ247" s="138" t="s">
        <v>109</v>
      </c>
      <c r="AK247" s="235"/>
      <c r="AL247" s="149" t="s">
        <v>110</v>
      </c>
      <c r="AM247" s="198" t="s">
        <v>110</v>
      </c>
      <c r="AN247" s="198" t="s">
        <v>111</v>
      </c>
      <c r="AP247" s="152" t="s">
        <v>1322</v>
      </c>
      <c r="AQ247" s="198" t="s">
        <v>110</v>
      </c>
      <c r="AR247" s="198" t="s">
        <v>110</v>
      </c>
      <c r="AS247" s="149" t="s">
        <v>110</v>
      </c>
      <c r="AT247" s="149" t="s">
        <v>110</v>
      </c>
      <c r="AU247" s="194">
        <v>45373</v>
      </c>
      <c r="AV247" s="149" t="s">
        <v>110</v>
      </c>
      <c r="AW247" s="149" t="s">
        <v>110</v>
      </c>
      <c r="AX247" s="194">
        <v>45385</v>
      </c>
      <c r="AY247" s="197">
        <v>45385</v>
      </c>
      <c r="AZ247" s="197" t="s">
        <v>33</v>
      </c>
      <c r="BA247" s="145" t="s">
        <v>113</v>
      </c>
      <c r="BB247" s="149" t="s">
        <v>110</v>
      </c>
      <c r="BC247" s="142">
        <f t="shared" si="9"/>
        <v>105</v>
      </c>
      <c r="BD247" s="134" t="str">
        <f t="shared" si="10"/>
        <v>INDENIZAÇÃO</v>
      </c>
      <c r="BE247" s="134" t="str">
        <f t="shared" si="11"/>
        <v>NÃO</v>
      </c>
      <c r="BF247" s="134" t="s">
        <v>24</v>
      </c>
      <c r="BG247" s="134" t="s">
        <v>24</v>
      </c>
      <c r="BH247" s="134" t="s">
        <v>24</v>
      </c>
      <c r="BI247" s="149" t="s">
        <v>110</v>
      </c>
      <c r="BJ247" s="149" t="s">
        <v>110</v>
      </c>
      <c r="BK247" s="194">
        <v>45510</v>
      </c>
      <c r="BL247" s="149" t="s">
        <v>110</v>
      </c>
      <c r="BM247" s="145" t="s">
        <v>33</v>
      </c>
      <c r="CI247" s="200"/>
      <c r="CN247" s="200"/>
    </row>
    <row r="248" spans="1:103" s="149" customFormat="1" ht="30" customHeight="1">
      <c r="A248" s="134">
        <v>234</v>
      </c>
      <c r="B248" s="245" t="s">
        <v>99</v>
      </c>
      <c r="C248" s="245">
        <v>1</v>
      </c>
      <c r="D248" s="245" t="s">
        <v>100</v>
      </c>
      <c r="E248" s="245" t="s">
        <v>100</v>
      </c>
      <c r="F248" s="246" t="s">
        <v>1323</v>
      </c>
      <c r="G248" s="149" t="s">
        <v>1</v>
      </c>
      <c r="H248" s="149" t="s">
        <v>2</v>
      </c>
      <c r="I248" s="149" t="s">
        <v>108</v>
      </c>
      <c r="J248" s="152" t="s">
        <v>1324</v>
      </c>
      <c r="K248" s="152" t="s">
        <v>1325</v>
      </c>
      <c r="L248" s="152" t="s">
        <v>1326</v>
      </c>
      <c r="M248" s="245" t="s">
        <v>4</v>
      </c>
      <c r="N248" s="245" t="s">
        <v>5</v>
      </c>
      <c r="O248" s="256">
        <v>45525</v>
      </c>
      <c r="P248" s="249" t="s">
        <v>24</v>
      </c>
      <c r="Q248" s="249" t="s">
        <v>24</v>
      </c>
      <c r="R248" s="249" t="s">
        <v>24</v>
      </c>
      <c r="S248" s="249" t="s">
        <v>24</v>
      </c>
      <c r="T248" s="249" t="s">
        <v>24</v>
      </c>
      <c r="U248" s="249" t="s">
        <v>24</v>
      </c>
      <c r="V248" s="249" t="s">
        <v>24</v>
      </c>
      <c r="W248" s="249" t="s">
        <v>24</v>
      </c>
      <c r="X248" s="249" t="s">
        <v>24</v>
      </c>
      <c r="Y248" s="249" t="s">
        <v>24</v>
      </c>
      <c r="Z248" s="249" t="s">
        <v>24</v>
      </c>
      <c r="AA248" s="250"/>
      <c r="AB248" s="152" t="s">
        <v>1324</v>
      </c>
      <c r="AC248" s="152" t="s">
        <v>1325</v>
      </c>
      <c r="AD248" s="152" t="s">
        <v>1326</v>
      </c>
      <c r="AE248" s="149" t="s">
        <v>108</v>
      </c>
      <c r="AF248" s="250" t="s">
        <v>4</v>
      </c>
      <c r="AG248" s="208">
        <v>48700.51</v>
      </c>
      <c r="AH248" s="208">
        <v>60000</v>
      </c>
      <c r="AI248" s="251" t="s">
        <v>6</v>
      </c>
      <c r="AJ248" s="246" t="s">
        <v>109</v>
      </c>
      <c r="AK248" s="257"/>
      <c r="AL248" s="250" t="s">
        <v>110</v>
      </c>
      <c r="AM248" s="250" t="s">
        <v>110</v>
      </c>
      <c r="AN248" s="250" t="s">
        <v>111</v>
      </c>
      <c r="AO248" s="250"/>
      <c r="AP248" s="253" t="s">
        <v>1327</v>
      </c>
      <c r="AQ248" s="250" t="s">
        <v>110</v>
      </c>
      <c r="AR248" s="250" t="s">
        <v>110</v>
      </c>
      <c r="AS248" s="250" t="s">
        <v>110</v>
      </c>
      <c r="AT248" s="250" t="s">
        <v>110</v>
      </c>
      <c r="AU248" s="256">
        <v>45573</v>
      </c>
      <c r="AV248" s="250" t="s">
        <v>110</v>
      </c>
      <c r="AW248" s="250" t="s">
        <v>110</v>
      </c>
      <c r="AX248" s="256">
        <v>45582</v>
      </c>
      <c r="AY248" s="249">
        <v>45582</v>
      </c>
      <c r="AZ248" s="245" t="s">
        <v>360</v>
      </c>
      <c r="BA248" s="245" t="s">
        <v>1</v>
      </c>
      <c r="BB248" s="250" t="s">
        <v>110</v>
      </c>
      <c r="BC248" s="142">
        <f t="shared" si="9"/>
        <v>57</v>
      </c>
      <c r="BD248" s="134" t="str">
        <f t="shared" si="10"/>
        <v>INDENIZAÇÃO</v>
      </c>
      <c r="BE248" s="134" t="str">
        <f t="shared" si="11"/>
        <v>NÃO</v>
      </c>
      <c r="BF248" s="245" t="s">
        <v>24</v>
      </c>
      <c r="BG248" s="245" t="s">
        <v>24</v>
      </c>
      <c r="BH248" s="245" t="s">
        <v>24</v>
      </c>
      <c r="BI248" s="250" t="s">
        <v>110</v>
      </c>
      <c r="BJ248" s="250" t="s">
        <v>110</v>
      </c>
      <c r="BK248" s="256">
        <v>45621</v>
      </c>
      <c r="BL248" s="250" t="s">
        <v>110</v>
      </c>
      <c r="BM248" s="250" t="s">
        <v>33</v>
      </c>
      <c r="CI248" s="200"/>
      <c r="CN248" s="200"/>
    </row>
    <row r="249" spans="1:103" s="149" customFormat="1" ht="30" customHeight="1">
      <c r="A249" s="134">
        <v>235</v>
      </c>
      <c r="B249" s="134" t="s">
        <v>99</v>
      </c>
      <c r="C249" s="134">
        <v>1</v>
      </c>
      <c r="D249" s="134" t="s">
        <v>100</v>
      </c>
      <c r="E249" s="134" t="s">
        <v>100</v>
      </c>
      <c r="F249" s="138" t="s">
        <v>1328</v>
      </c>
      <c r="G249" s="149" t="s">
        <v>1</v>
      </c>
      <c r="H249" s="149" t="s">
        <v>2</v>
      </c>
      <c r="I249" s="149" t="s">
        <v>108</v>
      </c>
      <c r="J249" s="152" t="s">
        <v>1329</v>
      </c>
      <c r="K249" s="152" t="s">
        <v>1330</v>
      </c>
      <c r="L249" s="152" t="s">
        <v>1331</v>
      </c>
      <c r="M249" s="134" t="s">
        <v>4</v>
      </c>
      <c r="N249" s="214" t="s">
        <v>5</v>
      </c>
      <c r="O249" s="194">
        <v>45756</v>
      </c>
      <c r="P249" s="144" t="s">
        <v>24</v>
      </c>
      <c r="Q249" s="144" t="s">
        <v>24</v>
      </c>
      <c r="R249" s="144" t="s">
        <v>24</v>
      </c>
      <c r="S249" s="144" t="s">
        <v>24</v>
      </c>
      <c r="T249" s="144" t="s">
        <v>24</v>
      </c>
      <c r="U249" s="144" t="s">
        <v>24</v>
      </c>
      <c r="V249" s="144" t="s">
        <v>24</v>
      </c>
      <c r="W249" s="144" t="s">
        <v>24</v>
      </c>
      <c r="X249" s="144" t="s">
        <v>24</v>
      </c>
      <c r="Y249" s="144" t="s">
        <v>24</v>
      </c>
      <c r="Z249" s="144" t="s">
        <v>24</v>
      </c>
      <c r="AB249" s="152" t="s">
        <v>1329</v>
      </c>
      <c r="AC249" s="152" t="s">
        <v>1330</v>
      </c>
      <c r="AD249" s="152" t="s">
        <v>1331</v>
      </c>
      <c r="AE249" s="149" t="s">
        <v>108</v>
      </c>
      <c r="AF249" s="149" t="s">
        <v>4</v>
      </c>
      <c r="AG249" s="208">
        <v>24391.54</v>
      </c>
      <c r="AH249" s="208">
        <v>54391.54</v>
      </c>
      <c r="AI249" s="232" t="s">
        <v>6</v>
      </c>
      <c r="AJ249" s="138" t="s">
        <v>109</v>
      </c>
      <c r="AK249" s="235">
        <v>125886967</v>
      </c>
      <c r="AL249" s="134" t="s">
        <v>110</v>
      </c>
      <c r="AM249" s="134" t="s">
        <v>110</v>
      </c>
      <c r="AN249" s="134" t="s">
        <v>111</v>
      </c>
      <c r="AO249" s="224"/>
      <c r="AP249" s="152" t="s">
        <v>1332</v>
      </c>
      <c r="AQ249" s="198" t="s">
        <v>110</v>
      </c>
      <c r="AR249" s="198" t="s">
        <v>110</v>
      </c>
      <c r="AS249" s="198" t="s">
        <v>110</v>
      </c>
      <c r="AT249" s="198" t="s">
        <v>110</v>
      </c>
      <c r="AU249" s="194">
        <v>45819</v>
      </c>
      <c r="AV249" s="198" t="s">
        <v>110</v>
      </c>
      <c r="AW249" s="198" t="s">
        <v>110</v>
      </c>
      <c r="AX249" s="194">
        <v>45826</v>
      </c>
      <c r="AY249" s="197">
        <v>45826</v>
      </c>
      <c r="AZ249" s="145" t="s">
        <v>33</v>
      </c>
      <c r="BA249" s="145" t="s">
        <v>113</v>
      </c>
      <c r="BB249" s="149" t="s">
        <v>110</v>
      </c>
      <c r="BC249" s="142">
        <f t="shared" si="9"/>
        <v>70</v>
      </c>
      <c r="BD249" s="134" t="str">
        <f t="shared" si="10"/>
        <v>INDENIZAÇÃO</v>
      </c>
      <c r="BE249" s="134" t="str">
        <f t="shared" si="11"/>
        <v>NÃO</v>
      </c>
      <c r="BF249" s="134" t="s">
        <v>24</v>
      </c>
      <c r="BG249" s="134" t="s">
        <v>24</v>
      </c>
      <c r="BH249" s="134" t="s">
        <v>24</v>
      </c>
      <c r="BI249" s="198" t="s">
        <v>110</v>
      </c>
      <c r="BJ249" s="198" t="s">
        <v>110</v>
      </c>
      <c r="BK249" s="194">
        <v>45859</v>
      </c>
      <c r="BL249" s="149" t="s">
        <v>110</v>
      </c>
      <c r="BM249" s="141" t="s">
        <v>33</v>
      </c>
      <c r="CI249" s="212"/>
      <c r="CJ249" s="171"/>
      <c r="CK249" s="171"/>
      <c r="CL249" s="171"/>
      <c r="CM249" s="171"/>
    </row>
    <row r="250" spans="1:103" s="149" customFormat="1" ht="30" customHeight="1">
      <c r="A250" s="134">
        <v>236</v>
      </c>
      <c r="B250" s="245" t="s">
        <v>99</v>
      </c>
      <c r="C250" s="245">
        <v>1</v>
      </c>
      <c r="D250" s="245" t="s">
        <v>100</v>
      </c>
      <c r="E250" s="245" t="s">
        <v>100</v>
      </c>
      <c r="F250" s="246" t="s">
        <v>1333</v>
      </c>
      <c r="G250" s="149" t="s">
        <v>1334</v>
      </c>
      <c r="H250" s="149" t="s">
        <v>2</v>
      </c>
      <c r="I250" s="149" t="s">
        <v>287</v>
      </c>
      <c r="J250" s="152" t="s">
        <v>1335</v>
      </c>
      <c r="K250" s="152" t="s">
        <v>1336</v>
      </c>
      <c r="L250" s="152" t="s">
        <v>1337</v>
      </c>
      <c r="M250" s="245" t="s">
        <v>4</v>
      </c>
      <c r="N250" s="245" t="s">
        <v>5</v>
      </c>
      <c r="O250" s="256">
        <v>45280</v>
      </c>
      <c r="P250" s="249" t="s">
        <v>24</v>
      </c>
      <c r="Q250" s="249" t="s">
        <v>24</v>
      </c>
      <c r="R250" s="249" t="s">
        <v>24</v>
      </c>
      <c r="S250" s="249" t="s">
        <v>24</v>
      </c>
      <c r="T250" s="249" t="s">
        <v>24</v>
      </c>
      <c r="U250" s="249" t="s">
        <v>24</v>
      </c>
      <c r="V250" s="249" t="s">
        <v>24</v>
      </c>
      <c r="W250" s="249" t="s">
        <v>24</v>
      </c>
      <c r="X250" s="249" t="s">
        <v>24</v>
      </c>
      <c r="Y250" s="249" t="s">
        <v>24</v>
      </c>
      <c r="Z250" s="249" t="s">
        <v>24</v>
      </c>
      <c r="AA250" s="250"/>
      <c r="AB250" s="152" t="s">
        <v>1335</v>
      </c>
      <c r="AC250" s="152" t="s">
        <v>1336</v>
      </c>
      <c r="AD250" s="152" t="s">
        <v>1337</v>
      </c>
      <c r="AE250" s="134" t="s">
        <v>287</v>
      </c>
      <c r="AF250" s="250" t="s">
        <v>4</v>
      </c>
      <c r="AG250" s="208">
        <v>2299.77</v>
      </c>
      <c r="AH250" s="208">
        <f>AG250+30000</f>
        <v>32299.77</v>
      </c>
      <c r="AI250" s="251" t="s">
        <v>6</v>
      </c>
      <c r="AJ250" s="246" t="s">
        <v>109</v>
      </c>
      <c r="AK250" s="257"/>
      <c r="AL250" s="250" t="s">
        <v>110</v>
      </c>
      <c r="AM250" s="250" t="s">
        <v>110</v>
      </c>
      <c r="AN250" s="250" t="s">
        <v>111</v>
      </c>
      <c r="AO250" s="250"/>
      <c r="AP250" s="253" t="s">
        <v>1338</v>
      </c>
      <c r="AQ250" s="250" t="s">
        <v>110</v>
      </c>
      <c r="AR250" s="250" t="s">
        <v>110</v>
      </c>
      <c r="AS250" s="250" t="s">
        <v>110</v>
      </c>
      <c r="AT250" s="250" t="s">
        <v>110</v>
      </c>
      <c r="AU250" s="256">
        <v>45538</v>
      </c>
      <c r="AV250" s="250" t="s">
        <v>110</v>
      </c>
      <c r="AW250" s="250" t="s">
        <v>110</v>
      </c>
      <c r="AX250" s="249">
        <v>45546</v>
      </c>
      <c r="AY250" s="249">
        <v>45546</v>
      </c>
      <c r="AZ250" s="245" t="s">
        <v>360</v>
      </c>
      <c r="BA250" s="245" t="s">
        <v>1</v>
      </c>
      <c r="BB250" s="250" t="s">
        <v>110</v>
      </c>
      <c r="BC250" s="142">
        <f t="shared" si="9"/>
        <v>266</v>
      </c>
      <c r="BD250" s="134" t="str">
        <f t="shared" si="10"/>
        <v>INDENIZAÇÃO</v>
      </c>
      <c r="BE250" s="134" t="str">
        <f t="shared" si="11"/>
        <v>NÃO</v>
      </c>
      <c r="BF250" s="245" t="s">
        <v>24</v>
      </c>
      <c r="BG250" s="245" t="s">
        <v>24</v>
      </c>
      <c r="BH250" s="245" t="s">
        <v>24</v>
      </c>
      <c r="BI250" s="250" t="s">
        <v>110</v>
      </c>
      <c r="BJ250" s="250" t="s">
        <v>110</v>
      </c>
      <c r="BK250" s="256">
        <v>45621</v>
      </c>
      <c r="BL250" s="250" t="s">
        <v>110</v>
      </c>
      <c r="BM250" s="250" t="s">
        <v>33</v>
      </c>
      <c r="BN250" s="152"/>
      <c r="BO250" s="152"/>
      <c r="BP250" s="152"/>
      <c r="BQ250" s="152"/>
      <c r="BR250" s="152"/>
      <c r="BS250" s="152"/>
      <c r="BT250" s="152"/>
      <c r="BU250" s="152"/>
      <c r="BV250" s="152"/>
      <c r="BW250" s="152"/>
      <c r="BX250" s="152"/>
      <c r="BY250" s="152"/>
      <c r="BZ250" s="152"/>
      <c r="CA250" s="152"/>
      <c r="CB250" s="152"/>
      <c r="CC250" s="152"/>
      <c r="CD250" s="152"/>
      <c r="CE250" s="152"/>
      <c r="CF250" s="152"/>
      <c r="CG250" s="152"/>
      <c r="CH250" s="152"/>
      <c r="CI250" s="296"/>
      <c r="CJ250" s="299"/>
      <c r="CK250" s="299"/>
      <c r="CL250" s="299"/>
      <c r="CM250" s="299"/>
      <c r="CN250" s="152"/>
      <c r="CO250" s="152"/>
      <c r="CP250" s="152"/>
      <c r="CQ250" s="152"/>
      <c r="CR250" s="152"/>
      <c r="CS250" s="152"/>
      <c r="CT250" s="152"/>
      <c r="CU250" s="152"/>
      <c r="CV250" s="152"/>
      <c r="CW250" s="152"/>
      <c r="CX250" s="152"/>
      <c r="CY250" s="152"/>
    </row>
    <row r="251" spans="1:103" s="149" customFormat="1" ht="30" customHeight="1">
      <c r="A251" s="134">
        <v>237</v>
      </c>
      <c r="B251" s="134" t="s">
        <v>99</v>
      </c>
      <c r="C251" s="134">
        <v>1</v>
      </c>
      <c r="D251" s="134" t="s">
        <v>100</v>
      </c>
      <c r="E251" s="134" t="s">
        <v>100</v>
      </c>
      <c r="F251" s="138" t="s">
        <v>1339</v>
      </c>
      <c r="G251" s="149" t="s">
        <v>1</v>
      </c>
      <c r="H251" s="149" t="s">
        <v>2</v>
      </c>
      <c r="I251" s="149" t="s">
        <v>108</v>
      </c>
      <c r="J251" s="152" t="s">
        <v>1340</v>
      </c>
      <c r="K251" s="152" t="s">
        <v>1341</v>
      </c>
      <c r="L251" s="152" t="s">
        <v>1342</v>
      </c>
      <c r="M251" s="134" t="s">
        <v>4</v>
      </c>
      <c r="N251" s="214" t="s">
        <v>5</v>
      </c>
      <c r="O251" s="194">
        <v>45280</v>
      </c>
      <c r="P251" s="144" t="s">
        <v>24</v>
      </c>
      <c r="Q251" s="144" t="s">
        <v>24</v>
      </c>
      <c r="R251" s="144" t="s">
        <v>24</v>
      </c>
      <c r="S251" s="144" t="s">
        <v>24</v>
      </c>
      <c r="T251" s="144" t="s">
        <v>24</v>
      </c>
      <c r="U251" s="144" t="s">
        <v>24</v>
      </c>
      <c r="V251" s="144" t="s">
        <v>24</v>
      </c>
      <c r="W251" s="144" t="s">
        <v>24</v>
      </c>
      <c r="X251" s="144" t="s">
        <v>24</v>
      </c>
      <c r="Y251" s="144" t="s">
        <v>24</v>
      </c>
      <c r="Z251" s="144" t="s">
        <v>24</v>
      </c>
      <c r="AB251" s="152" t="s">
        <v>1340</v>
      </c>
      <c r="AC251" s="152" t="s">
        <v>1341</v>
      </c>
      <c r="AD251" s="152" t="s">
        <v>1342</v>
      </c>
      <c r="AE251" s="149" t="s">
        <v>108</v>
      </c>
      <c r="AF251" s="149" t="s">
        <v>4</v>
      </c>
      <c r="AG251" s="208">
        <v>9503.3799999999992</v>
      </c>
      <c r="AH251" s="208">
        <v>39503.379999999997</v>
      </c>
      <c r="AI251" s="232" t="s">
        <v>6</v>
      </c>
      <c r="AJ251" s="138" t="s">
        <v>109</v>
      </c>
      <c r="AK251" s="235"/>
      <c r="AL251" s="149" t="s">
        <v>110</v>
      </c>
      <c r="AM251" s="149" t="s">
        <v>110</v>
      </c>
      <c r="AN251" s="149" t="s">
        <v>111</v>
      </c>
      <c r="AP251" s="152" t="s">
        <v>1343</v>
      </c>
      <c r="AQ251" s="149" t="s">
        <v>110</v>
      </c>
      <c r="AR251" s="149" t="s">
        <v>110</v>
      </c>
      <c r="AS251" s="149" t="s">
        <v>110</v>
      </c>
      <c r="AT251" s="149" t="s">
        <v>110</v>
      </c>
      <c r="AU251" s="194">
        <v>45373</v>
      </c>
      <c r="AV251" s="149" t="s">
        <v>110</v>
      </c>
      <c r="AW251" s="149" t="s">
        <v>110</v>
      </c>
      <c r="AX251" s="194">
        <v>45383</v>
      </c>
      <c r="AY251" s="197">
        <v>45383</v>
      </c>
      <c r="AZ251" s="197" t="s">
        <v>33</v>
      </c>
      <c r="BA251" s="145" t="s">
        <v>113</v>
      </c>
      <c r="BB251" s="149" t="s">
        <v>110</v>
      </c>
      <c r="BC251" s="142">
        <f t="shared" si="9"/>
        <v>103</v>
      </c>
      <c r="BD251" s="134" t="str">
        <f t="shared" si="10"/>
        <v>INDENIZAÇÃO</v>
      </c>
      <c r="BE251" s="134" t="str">
        <f t="shared" si="11"/>
        <v>NÃO</v>
      </c>
      <c r="BF251" s="134" t="s">
        <v>24</v>
      </c>
      <c r="BG251" s="134" t="s">
        <v>24</v>
      </c>
      <c r="BH251" s="134" t="s">
        <v>24</v>
      </c>
      <c r="BI251" s="149" t="s">
        <v>110</v>
      </c>
      <c r="BJ251" s="149" t="s">
        <v>110</v>
      </c>
      <c r="BK251" s="194">
        <v>45510</v>
      </c>
      <c r="BL251" s="149" t="s">
        <v>110</v>
      </c>
      <c r="BM251" s="145" t="s">
        <v>33</v>
      </c>
      <c r="BN251" s="199"/>
      <c r="BO251" s="199"/>
      <c r="BP251" s="199"/>
      <c r="BQ251" s="199"/>
      <c r="BR251" s="199"/>
      <c r="BS251" s="199"/>
      <c r="BT251" s="199"/>
      <c r="BU251" s="199"/>
      <c r="BV251" s="199"/>
      <c r="BW251" s="199"/>
      <c r="BX251" s="199"/>
      <c r="BY251" s="199"/>
      <c r="BZ251" s="199"/>
      <c r="CA251" s="199"/>
      <c r="CB251" s="199"/>
      <c r="CC251" s="199"/>
      <c r="CD251" s="199"/>
      <c r="CE251" s="199"/>
      <c r="CF251" s="199"/>
      <c r="CG251" s="199"/>
      <c r="CH251" s="199"/>
      <c r="CI251" s="294"/>
      <c r="CJ251" s="291"/>
      <c r="CK251" s="291"/>
      <c r="CL251" s="291"/>
      <c r="CM251" s="291"/>
      <c r="CN251" s="199"/>
      <c r="CO251" s="199"/>
      <c r="CP251" s="199"/>
      <c r="CQ251" s="199"/>
      <c r="CR251" s="199"/>
      <c r="CS251" s="199"/>
      <c r="CT251" s="199"/>
      <c r="CU251" s="199"/>
      <c r="CV251" s="199"/>
      <c r="CW251" s="199"/>
      <c r="CX251" s="199"/>
      <c r="CY251" s="199"/>
    </row>
    <row r="252" spans="1:103" s="149" customFormat="1" ht="30" customHeight="1">
      <c r="A252" s="134">
        <v>238</v>
      </c>
      <c r="B252" s="134" t="s">
        <v>99</v>
      </c>
      <c r="C252" s="134">
        <v>1</v>
      </c>
      <c r="D252" s="134" t="s">
        <v>100</v>
      </c>
      <c r="E252" s="134" t="s">
        <v>100</v>
      </c>
      <c r="F252" s="138" t="s">
        <v>1344</v>
      </c>
      <c r="G252" s="149" t="s">
        <v>1</v>
      </c>
      <c r="H252" s="149" t="s">
        <v>2</v>
      </c>
      <c r="I252" s="149" t="s">
        <v>108</v>
      </c>
      <c r="J252" s="152" t="s">
        <v>1345</v>
      </c>
      <c r="K252" s="152" t="s">
        <v>1346</v>
      </c>
      <c r="L252" s="152" t="s">
        <v>1347</v>
      </c>
      <c r="M252" s="134" t="s">
        <v>4</v>
      </c>
      <c r="N252" s="214" t="s">
        <v>5</v>
      </c>
      <c r="O252" s="194">
        <v>45280</v>
      </c>
      <c r="P252" s="144" t="s">
        <v>24</v>
      </c>
      <c r="Q252" s="144" t="s">
        <v>24</v>
      </c>
      <c r="R252" s="144" t="s">
        <v>24</v>
      </c>
      <c r="S252" s="144" t="s">
        <v>24</v>
      </c>
      <c r="T252" s="144" t="s">
        <v>24</v>
      </c>
      <c r="U252" s="144" t="s">
        <v>24</v>
      </c>
      <c r="V252" s="144" t="s">
        <v>24</v>
      </c>
      <c r="W252" s="144" t="s">
        <v>24</v>
      </c>
      <c r="X252" s="144" t="s">
        <v>24</v>
      </c>
      <c r="Y252" s="144" t="s">
        <v>24</v>
      </c>
      <c r="Z252" s="144" t="s">
        <v>24</v>
      </c>
      <c r="AB252" s="152" t="s">
        <v>1345</v>
      </c>
      <c r="AC252" s="152" t="s">
        <v>1346</v>
      </c>
      <c r="AD252" s="152" t="s">
        <v>1347</v>
      </c>
      <c r="AE252" s="149" t="s">
        <v>108</v>
      </c>
      <c r="AF252" s="149" t="s">
        <v>4</v>
      </c>
      <c r="AG252" s="208">
        <v>17531.48</v>
      </c>
      <c r="AH252" s="208">
        <v>47531.48</v>
      </c>
      <c r="AI252" s="232" t="s">
        <v>6</v>
      </c>
      <c r="AJ252" s="138" t="s">
        <v>109</v>
      </c>
      <c r="AK252" s="235"/>
      <c r="AL252" s="149" t="s">
        <v>110</v>
      </c>
      <c r="AM252" s="149" t="s">
        <v>110</v>
      </c>
      <c r="AN252" s="149" t="s">
        <v>111</v>
      </c>
      <c r="AP252" s="152" t="s">
        <v>1348</v>
      </c>
      <c r="AQ252" s="149" t="s">
        <v>110</v>
      </c>
      <c r="AR252" s="149" t="s">
        <v>110</v>
      </c>
      <c r="AS252" s="149" t="s">
        <v>110</v>
      </c>
      <c r="AT252" s="149" t="s">
        <v>110</v>
      </c>
      <c r="AU252" s="194">
        <v>45373</v>
      </c>
      <c r="AV252" s="149" t="s">
        <v>110</v>
      </c>
      <c r="AW252" s="149" t="s">
        <v>110</v>
      </c>
      <c r="AX252" s="194">
        <v>45383</v>
      </c>
      <c r="AY252" s="197">
        <v>45383</v>
      </c>
      <c r="AZ252" s="197" t="s">
        <v>33</v>
      </c>
      <c r="BA252" s="145" t="s">
        <v>113</v>
      </c>
      <c r="BB252" s="149" t="s">
        <v>110</v>
      </c>
      <c r="BC252" s="142">
        <f t="shared" si="9"/>
        <v>103</v>
      </c>
      <c r="BD252" s="134" t="str">
        <f t="shared" si="10"/>
        <v>INDENIZAÇÃO</v>
      </c>
      <c r="BE252" s="134" t="str">
        <f t="shared" si="11"/>
        <v>NÃO</v>
      </c>
      <c r="BF252" s="134" t="s">
        <v>24</v>
      </c>
      <c r="BG252" s="134" t="s">
        <v>24</v>
      </c>
      <c r="BH252" s="134" t="s">
        <v>24</v>
      </c>
      <c r="BI252" s="149" t="s">
        <v>110</v>
      </c>
      <c r="BJ252" s="149" t="s">
        <v>110</v>
      </c>
      <c r="BK252" s="194">
        <v>45510</v>
      </c>
      <c r="BL252" s="149" t="s">
        <v>110</v>
      </c>
      <c r="BM252" s="145" t="s">
        <v>33</v>
      </c>
      <c r="BN252" s="199"/>
      <c r="BO252" s="199"/>
      <c r="BP252" s="199"/>
      <c r="BQ252" s="199"/>
      <c r="BR252" s="199"/>
      <c r="BS252" s="199"/>
      <c r="BT252" s="199"/>
      <c r="BU252" s="199"/>
      <c r="BV252" s="199"/>
      <c r="BW252" s="199"/>
      <c r="BX252" s="199"/>
      <c r="BY252" s="199"/>
      <c r="BZ252" s="199"/>
      <c r="CA252" s="199"/>
      <c r="CB252" s="199"/>
      <c r="CC252" s="199"/>
      <c r="CD252" s="199"/>
      <c r="CE252" s="199"/>
      <c r="CF252" s="199"/>
      <c r="CG252" s="199"/>
      <c r="CH252" s="199"/>
      <c r="CI252" s="295"/>
      <c r="CJ252" s="298"/>
      <c r="CK252" s="298"/>
      <c r="CL252" s="298"/>
      <c r="CM252" s="298"/>
      <c r="CN252" s="199"/>
      <c r="CO252" s="199"/>
      <c r="CP252" s="199"/>
      <c r="CQ252" s="199"/>
      <c r="CR252" s="199"/>
      <c r="CS252" s="199"/>
      <c r="CT252" s="199"/>
      <c r="CU252" s="199"/>
      <c r="CV252" s="199"/>
      <c r="CW252" s="199"/>
      <c r="CX252" s="199"/>
      <c r="CY252" s="199"/>
    </row>
    <row r="253" spans="1:103" s="149" customFormat="1" ht="30" customHeight="1">
      <c r="A253" s="134">
        <v>239</v>
      </c>
      <c r="B253" s="134" t="s">
        <v>99</v>
      </c>
      <c r="C253" s="134">
        <v>1</v>
      </c>
      <c r="D253" s="134" t="s">
        <v>100</v>
      </c>
      <c r="E253" s="134" t="s">
        <v>100</v>
      </c>
      <c r="F253" s="138" t="s">
        <v>1349</v>
      </c>
      <c r="G253" s="149" t="s">
        <v>1</v>
      </c>
      <c r="H253" s="149" t="s">
        <v>2</v>
      </c>
      <c r="I253" s="149" t="s">
        <v>108</v>
      </c>
      <c r="J253" s="152" t="s">
        <v>1350</v>
      </c>
      <c r="K253" s="152" t="s">
        <v>1351</v>
      </c>
      <c r="L253" s="152" t="s">
        <v>1352</v>
      </c>
      <c r="M253" s="134" t="s">
        <v>4</v>
      </c>
      <c r="N253" s="214" t="s">
        <v>5</v>
      </c>
      <c r="O253" s="194">
        <v>45280</v>
      </c>
      <c r="P253" s="144" t="s">
        <v>24</v>
      </c>
      <c r="Q253" s="144" t="s">
        <v>24</v>
      </c>
      <c r="R253" s="144" t="s">
        <v>24</v>
      </c>
      <c r="S253" s="144" t="s">
        <v>24</v>
      </c>
      <c r="T253" s="144" t="s">
        <v>24</v>
      </c>
      <c r="U253" s="144" t="s">
        <v>24</v>
      </c>
      <c r="V253" s="144" t="s">
        <v>24</v>
      </c>
      <c r="W253" s="144" t="s">
        <v>24</v>
      </c>
      <c r="X253" s="144" t="s">
        <v>24</v>
      </c>
      <c r="Y253" s="144" t="s">
        <v>24</v>
      </c>
      <c r="Z253" s="144" t="s">
        <v>24</v>
      </c>
      <c r="AB253" s="152" t="s">
        <v>1350</v>
      </c>
      <c r="AC253" s="152" t="s">
        <v>1351</v>
      </c>
      <c r="AD253" s="152" t="s">
        <v>1352</v>
      </c>
      <c r="AE253" s="149" t="s">
        <v>108</v>
      </c>
      <c r="AF253" s="149" t="s">
        <v>4</v>
      </c>
      <c r="AG253" s="208">
        <v>3034.92</v>
      </c>
      <c r="AH253" s="208">
        <v>33034.92</v>
      </c>
      <c r="AI253" s="214" t="s">
        <v>6</v>
      </c>
      <c r="AJ253" s="312" t="s">
        <v>109</v>
      </c>
      <c r="AK253" s="214"/>
      <c r="AL253" s="149" t="s">
        <v>110</v>
      </c>
      <c r="AM253" s="149" t="s">
        <v>110</v>
      </c>
      <c r="AN253" s="149" t="s">
        <v>111</v>
      </c>
      <c r="AP253" s="152" t="s">
        <v>1353</v>
      </c>
      <c r="AQ253" s="149" t="s">
        <v>110</v>
      </c>
      <c r="AR253" s="149" t="s">
        <v>110</v>
      </c>
      <c r="AS253" s="149" t="s">
        <v>110</v>
      </c>
      <c r="AT253" s="149" t="s">
        <v>110</v>
      </c>
      <c r="AU253" s="194">
        <v>45373</v>
      </c>
      <c r="AV253" s="149" t="s">
        <v>110</v>
      </c>
      <c r="AW253" s="149" t="s">
        <v>110</v>
      </c>
      <c r="AX253" s="194">
        <v>45383</v>
      </c>
      <c r="AY253" s="197">
        <v>45383</v>
      </c>
      <c r="AZ253" s="197" t="s">
        <v>33</v>
      </c>
      <c r="BA253" s="145" t="s">
        <v>113</v>
      </c>
      <c r="BB253" s="149" t="s">
        <v>110</v>
      </c>
      <c r="BC253" s="142">
        <f t="shared" si="9"/>
        <v>103</v>
      </c>
      <c r="BD253" s="134" t="str">
        <f t="shared" si="10"/>
        <v>INDENIZAÇÃO</v>
      </c>
      <c r="BE253" s="134" t="str">
        <f t="shared" si="11"/>
        <v>NÃO</v>
      </c>
      <c r="BF253" s="134" t="s">
        <v>24</v>
      </c>
      <c r="BG253" s="134" t="s">
        <v>24</v>
      </c>
      <c r="BH253" s="134" t="s">
        <v>24</v>
      </c>
      <c r="BI253" s="149" t="s">
        <v>110</v>
      </c>
      <c r="BJ253" s="149" t="s">
        <v>110</v>
      </c>
      <c r="BK253" s="194">
        <v>45510</v>
      </c>
      <c r="BL253" s="149" t="s">
        <v>110</v>
      </c>
      <c r="BM253" s="145" t="s">
        <v>33</v>
      </c>
      <c r="BN253" s="199"/>
      <c r="BO253" s="199"/>
      <c r="BP253" s="199"/>
      <c r="BQ253" s="199"/>
      <c r="BR253" s="199"/>
      <c r="BS253" s="199"/>
      <c r="BT253" s="199"/>
      <c r="BU253" s="199"/>
      <c r="BV253" s="199"/>
      <c r="BW253" s="199"/>
      <c r="BX253" s="199"/>
      <c r="BY253" s="199"/>
      <c r="BZ253" s="199"/>
      <c r="CA253" s="199"/>
      <c r="CB253" s="199"/>
      <c r="CC253" s="199"/>
      <c r="CD253" s="199"/>
      <c r="CE253" s="199"/>
      <c r="CF253" s="199"/>
      <c r="CG253" s="199"/>
      <c r="CH253" s="199"/>
      <c r="CI253" s="293"/>
      <c r="CJ253" s="297"/>
      <c r="CK253" s="297"/>
      <c r="CL253" s="297"/>
      <c r="CM253" s="297"/>
      <c r="CN253" s="199"/>
      <c r="CO253" s="199"/>
      <c r="CP253" s="199"/>
      <c r="CQ253" s="199"/>
      <c r="CR253" s="199"/>
      <c r="CS253" s="199"/>
      <c r="CT253" s="199"/>
      <c r="CU253" s="199"/>
      <c r="CV253" s="199"/>
      <c r="CW253" s="199"/>
      <c r="CX253" s="199"/>
      <c r="CY253" s="199"/>
    </row>
    <row r="254" spans="1:103" s="149" customFormat="1" ht="30" customHeight="1">
      <c r="A254" s="134">
        <v>240</v>
      </c>
      <c r="B254" s="245" t="s">
        <v>99</v>
      </c>
      <c r="C254" s="245">
        <v>1</v>
      </c>
      <c r="D254" s="245" t="s">
        <v>100</v>
      </c>
      <c r="E254" s="245" t="s">
        <v>100</v>
      </c>
      <c r="F254" s="246" t="s">
        <v>1354</v>
      </c>
      <c r="G254" s="149" t="s">
        <v>1</v>
      </c>
      <c r="H254" s="149" t="s">
        <v>2</v>
      </c>
      <c r="I254" s="149" t="s">
        <v>108</v>
      </c>
      <c r="J254" s="152" t="s">
        <v>1355</v>
      </c>
      <c r="K254" s="152" t="s">
        <v>1356</v>
      </c>
      <c r="L254" s="152" t="s">
        <v>1357</v>
      </c>
      <c r="M254" s="245" t="s">
        <v>4</v>
      </c>
      <c r="N254" s="245" t="s">
        <v>5</v>
      </c>
      <c r="O254" s="256">
        <v>45268</v>
      </c>
      <c r="P254" s="249" t="s">
        <v>24</v>
      </c>
      <c r="Q254" s="249" t="s">
        <v>24</v>
      </c>
      <c r="R254" s="249" t="s">
        <v>24</v>
      </c>
      <c r="S254" s="249" t="s">
        <v>24</v>
      </c>
      <c r="T254" s="249" t="s">
        <v>24</v>
      </c>
      <c r="U254" s="249" t="s">
        <v>24</v>
      </c>
      <c r="V254" s="249" t="s">
        <v>24</v>
      </c>
      <c r="W254" s="249" t="s">
        <v>24</v>
      </c>
      <c r="X254" s="249" t="s">
        <v>24</v>
      </c>
      <c r="Y254" s="249" t="s">
        <v>24</v>
      </c>
      <c r="Z254" s="249" t="s">
        <v>24</v>
      </c>
      <c r="AA254" s="250"/>
      <c r="AB254" s="152" t="s">
        <v>1358</v>
      </c>
      <c r="AC254" s="152" t="s">
        <v>1356</v>
      </c>
      <c r="AD254" s="152" t="s">
        <v>1357</v>
      </c>
      <c r="AE254" s="149" t="s">
        <v>108</v>
      </c>
      <c r="AF254" s="250" t="s">
        <v>4</v>
      </c>
      <c r="AG254" s="208">
        <v>32689.45</v>
      </c>
      <c r="AH254" s="208">
        <v>60000</v>
      </c>
      <c r="AI254" s="251" t="s">
        <v>6</v>
      </c>
      <c r="AJ254" s="246" t="s">
        <v>109</v>
      </c>
      <c r="AK254" s="257"/>
      <c r="AL254" s="250" t="s">
        <v>110</v>
      </c>
      <c r="AM254" s="250" t="s">
        <v>110</v>
      </c>
      <c r="AN254" s="250" t="s">
        <v>111</v>
      </c>
      <c r="AO254" s="250"/>
      <c r="AP254" s="253" t="s">
        <v>1359</v>
      </c>
      <c r="AQ254" s="250" t="s">
        <v>110</v>
      </c>
      <c r="AR254" s="250" t="s">
        <v>110</v>
      </c>
      <c r="AS254" s="250" t="s">
        <v>110</v>
      </c>
      <c r="AT254" s="250" t="s">
        <v>110</v>
      </c>
      <c r="AU254" s="256">
        <v>45373</v>
      </c>
      <c r="AV254" s="250" t="s">
        <v>110</v>
      </c>
      <c r="AW254" s="250" t="s">
        <v>110</v>
      </c>
      <c r="AX254" s="256">
        <v>45383</v>
      </c>
      <c r="AY254" s="249">
        <v>45383</v>
      </c>
      <c r="AZ254" s="245" t="s">
        <v>360</v>
      </c>
      <c r="BA254" s="245" t="s">
        <v>1</v>
      </c>
      <c r="BB254" s="250" t="s">
        <v>110</v>
      </c>
      <c r="BC254" s="142">
        <f t="shared" si="9"/>
        <v>115</v>
      </c>
      <c r="BD254" s="134" t="str">
        <f t="shared" si="10"/>
        <v>INDENIZAÇÃO</v>
      </c>
      <c r="BE254" s="134" t="str">
        <f t="shared" si="11"/>
        <v>NÃO</v>
      </c>
      <c r="BF254" s="245" t="s">
        <v>24</v>
      </c>
      <c r="BG254" s="245" t="s">
        <v>24</v>
      </c>
      <c r="BH254" s="245" t="s">
        <v>24</v>
      </c>
      <c r="BI254" s="250" t="s">
        <v>110</v>
      </c>
      <c r="BJ254" s="250" t="s">
        <v>110</v>
      </c>
      <c r="BK254" s="256">
        <v>45510</v>
      </c>
      <c r="BL254" s="250" t="s">
        <v>110</v>
      </c>
      <c r="BM254" s="250" t="s">
        <v>33</v>
      </c>
      <c r="BN254" s="199"/>
      <c r="BO254" s="199"/>
      <c r="BP254" s="199"/>
      <c r="BQ254" s="199"/>
      <c r="BR254" s="199"/>
      <c r="BS254" s="199"/>
      <c r="BT254" s="199"/>
      <c r="BU254" s="199"/>
      <c r="BV254" s="199"/>
      <c r="BW254" s="199"/>
      <c r="BX254" s="199"/>
      <c r="BY254" s="199"/>
      <c r="BZ254" s="199"/>
      <c r="CA254" s="199"/>
      <c r="CB254" s="199"/>
      <c r="CC254" s="199"/>
      <c r="CD254" s="199"/>
      <c r="CE254" s="199"/>
      <c r="CF254" s="199"/>
      <c r="CG254" s="199"/>
      <c r="CH254" s="199"/>
      <c r="CI254" s="293"/>
      <c r="CJ254" s="297"/>
      <c r="CK254" s="297"/>
      <c r="CL254" s="297"/>
      <c r="CM254" s="297"/>
      <c r="CN254" s="199"/>
      <c r="CO254" s="199"/>
      <c r="CP254" s="199"/>
      <c r="CQ254" s="199"/>
      <c r="CR254" s="199"/>
      <c r="CS254" s="199"/>
      <c r="CT254" s="199"/>
      <c r="CU254" s="199"/>
      <c r="CV254" s="199"/>
      <c r="CW254" s="199"/>
      <c r="CX254" s="199"/>
      <c r="CY254" s="199"/>
    </row>
    <row r="255" spans="1:103" s="149" customFormat="1" ht="30" customHeight="1">
      <c r="A255" s="134">
        <v>241</v>
      </c>
      <c r="B255" s="134" t="s">
        <v>99</v>
      </c>
      <c r="C255" s="134">
        <v>1</v>
      </c>
      <c r="D255" s="134" t="s">
        <v>100</v>
      </c>
      <c r="E255" s="134" t="s">
        <v>100</v>
      </c>
      <c r="F255" s="138" t="s">
        <v>1360</v>
      </c>
      <c r="G255" s="149" t="s">
        <v>1</v>
      </c>
      <c r="H255" s="149" t="s">
        <v>2</v>
      </c>
      <c r="I255" s="149" t="s">
        <v>108</v>
      </c>
      <c r="J255" s="152" t="s">
        <v>1361</v>
      </c>
      <c r="K255" s="152" t="s">
        <v>1362</v>
      </c>
      <c r="L255" s="152" t="s">
        <v>1363</v>
      </c>
      <c r="M255" s="134" t="s">
        <v>4</v>
      </c>
      <c r="N255" s="214" t="s">
        <v>5</v>
      </c>
      <c r="O255" s="194">
        <v>45280</v>
      </c>
      <c r="P255" s="144" t="s">
        <v>24</v>
      </c>
      <c r="Q255" s="144" t="s">
        <v>24</v>
      </c>
      <c r="R255" s="144" t="s">
        <v>24</v>
      </c>
      <c r="S255" s="144" t="s">
        <v>24</v>
      </c>
      <c r="T255" s="144" t="s">
        <v>24</v>
      </c>
      <c r="U255" s="144" t="s">
        <v>24</v>
      </c>
      <c r="V255" s="144" t="s">
        <v>24</v>
      </c>
      <c r="W255" s="144" t="s">
        <v>24</v>
      </c>
      <c r="X255" s="144" t="s">
        <v>24</v>
      </c>
      <c r="Y255" s="144" t="s">
        <v>24</v>
      </c>
      <c r="Z255" s="144" t="s">
        <v>24</v>
      </c>
      <c r="AB255" s="152" t="s">
        <v>1361</v>
      </c>
      <c r="AC255" s="152" t="s">
        <v>1362</v>
      </c>
      <c r="AD255" s="152" t="s">
        <v>1363</v>
      </c>
      <c r="AE255" s="149" t="s">
        <v>108</v>
      </c>
      <c r="AF255" s="149" t="s">
        <v>4</v>
      </c>
      <c r="AG255" s="208">
        <v>3212.91</v>
      </c>
      <c r="AH255" s="208">
        <v>33212.910000000003</v>
      </c>
      <c r="AI255" s="232" t="s">
        <v>6</v>
      </c>
      <c r="AJ255" s="138" t="s">
        <v>109</v>
      </c>
      <c r="AK255" s="235"/>
      <c r="AL255" s="149" t="s">
        <v>110</v>
      </c>
      <c r="AM255" s="198" t="s">
        <v>110</v>
      </c>
      <c r="AN255" s="198" t="s">
        <v>111</v>
      </c>
      <c r="AP255" s="152" t="s">
        <v>1364</v>
      </c>
      <c r="AQ255" s="149" t="s">
        <v>110</v>
      </c>
      <c r="AR255" s="149" t="s">
        <v>110</v>
      </c>
      <c r="AS255" s="149" t="s">
        <v>110</v>
      </c>
      <c r="AT255" s="149" t="s">
        <v>110</v>
      </c>
      <c r="AU255" s="194">
        <v>45373</v>
      </c>
      <c r="AV255" s="149" t="s">
        <v>110</v>
      </c>
      <c r="AW255" s="149" t="s">
        <v>110</v>
      </c>
      <c r="AX255" s="194">
        <v>45383</v>
      </c>
      <c r="AY255" s="197">
        <v>45383</v>
      </c>
      <c r="AZ255" s="197" t="s">
        <v>33</v>
      </c>
      <c r="BA255" s="145" t="s">
        <v>113</v>
      </c>
      <c r="BB255" s="149" t="s">
        <v>110</v>
      </c>
      <c r="BC255" s="142">
        <f t="shared" si="9"/>
        <v>103</v>
      </c>
      <c r="BD255" s="134" t="str">
        <f t="shared" si="10"/>
        <v>INDENIZAÇÃO</v>
      </c>
      <c r="BE255" s="134" t="str">
        <f t="shared" si="11"/>
        <v>NÃO</v>
      </c>
      <c r="BF255" s="134" t="s">
        <v>24</v>
      </c>
      <c r="BG255" s="134" t="s">
        <v>24</v>
      </c>
      <c r="BH255" s="134" t="s">
        <v>24</v>
      </c>
      <c r="BI255" s="149" t="s">
        <v>110</v>
      </c>
      <c r="BJ255" s="149" t="s">
        <v>110</v>
      </c>
      <c r="BK255" s="194">
        <v>45510</v>
      </c>
      <c r="BL255" s="149" t="s">
        <v>110</v>
      </c>
      <c r="BM255" s="145" t="s">
        <v>33</v>
      </c>
      <c r="CI255" s="200"/>
      <c r="CN255" s="200"/>
    </row>
    <row r="256" spans="1:103" s="149" customFormat="1" ht="30" customHeight="1">
      <c r="A256" s="134">
        <v>242</v>
      </c>
      <c r="B256" s="134" t="s">
        <v>99</v>
      </c>
      <c r="C256" s="134">
        <v>1</v>
      </c>
      <c r="D256" s="134" t="s">
        <v>100</v>
      </c>
      <c r="E256" s="134" t="s">
        <v>100</v>
      </c>
      <c r="F256" s="138" t="s">
        <v>1365</v>
      </c>
      <c r="G256" s="149" t="s">
        <v>1</v>
      </c>
      <c r="H256" s="149" t="s">
        <v>2</v>
      </c>
      <c r="I256" s="149" t="s">
        <v>108</v>
      </c>
      <c r="J256" s="152" t="s">
        <v>1366</v>
      </c>
      <c r="K256" s="152" t="s">
        <v>1367</v>
      </c>
      <c r="L256" s="152" t="s">
        <v>1368</v>
      </c>
      <c r="M256" s="134" t="s">
        <v>4</v>
      </c>
      <c r="N256" s="214" t="s">
        <v>5</v>
      </c>
      <c r="O256" s="194">
        <v>45280</v>
      </c>
      <c r="P256" s="144" t="s">
        <v>24</v>
      </c>
      <c r="Q256" s="144" t="s">
        <v>24</v>
      </c>
      <c r="R256" s="144" t="s">
        <v>24</v>
      </c>
      <c r="S256" s="144" t="s">
        <v>24</v>
      </c>
      <c r="T256" s="144" t="s">
        <v>24</v>
      </c>
      <c r="U256" s="144" t="s">
        <v>24</v>
      </c>
      <c r="V256" s="144" t="s">
        <v>24</v>
      </c>
      <c r="W256" s="144" t="s">
        <v>24</v>
      </c>
      <c r="X256" s="144" t="s">
        <v>24</v>
      </c>
      <c r="Y256" s="144" t="s">
        <v>24</v>
      </c>
      <c r="Z256" s="144" t="s">
        <v>24</v>
      </c>
      <c r="AB256" s="152" t="s">
        <v>1366</v>
      </c>
      <c r="AC256" s="152" t="s">
        <v>1367</v>
      </c>
      <c r="AD256" s="152" t="s">
        <v>1368</v>
      </c>
      <c r="AE256" s="149" t="s">
        <v>108</v>
      </c>
      <c r="AF256" s="149" t="s">
        <v>4</v>
      </c>
      <c r="AG256" s="208">
        <v>9177</v>
      </c>
      <c r="AH256" s="208">
        <v>39177</v>
      </c>
      <c r="AI256" s="232" t="s">
        <v>6</v>
      </c>
      <c r="AJ256" s="138" t="s">
        <v>109</v>
      </c>
      <c r="AK256" s="235"/>
      <c r="AL256" s="149" t="s">
        <v>110</v>
      </c>
      <c r="AM256" s="198" t="s">
        <v>110</v>
      </c>
      <c r="AN256" s="198" t="s">
        <v>111</v>
      </c>
      <c r="AP256" s="152" t="s">
        <v>1369</v>
      </c>
      <c r="AQ256" s="198" t="s">
        <v>110</v>
      </c>
      <c r="AR256" s="149" t="s">
        <v>110</v>
      </c>
      <c r="AS256" s="149" t="s">
        <v>110</v>
      </c>
      <c r="AT256" s="149" t="s">
        <v>110</v>
      </c>
      <c r="AU256" s="194">
        <v>45373</v>
      </c>
      <c r="AV256" s="149" t="s">
        <v>110</v>
      </c>
      <c r="AW256" s="149" t="s">
        <v>110</v>
      </c>
      <c r="AX256" s="194">
        <v>45384</v>
      </c>
      <c r="AY256" s="197">
        <v>45384</v>
      </c>
      <c r="AZ256" s="197" t="s">
        <v>33</v>
      </c>
      <c r="BA256" s="145" t="s">
        <v>113</v>
      </c>
      <c r="BB256" s="149" t="s">
        <v>110</v>
      </c>
      <c r="BC256" s="142">
        <f t="shared" si="9"/>
        <v>104</v>
      </c>
      <c r="BD256" s="134" t="str">
        <f t="shared" si="10"/>
        <v>INDENIZAÇÃO</v>
      </c>
      <c r="BE256" s="134" t="str">
        <f t="shared" si="11"/>
        <v>NÃO</v>
      </c>
      <c r="BF256" s="134" t="s">
        <v>24</v>
      </c>
      <c r="BG256" s="134" t="s">
        <v>24</v>
      </c>
      <c r="BH256" s="134" t="s">
        <v>24</v>
      </c>
      <c r="BI256" s="149" t="s">
        <v>110</v>
      </c>
      <c r="BJ256" s="149" t="s">
        <v>110</v>
      </c>
      <c r="BK256" s="194">
        <v>45510</v>
      </c>
      <c r="BL256" s="149" t="s">
        <v>110</v>
      </c>
      <c r="BM256" s="145" t="s">
        <v>33</v>
      </c>
      <c r="CI256" s="200"/>
    </row>
    <row r="257" spans="1:103" s="149" customFormat="1" ht="30" customHeight="1">
      <c r="A257" s="134">
        <v>243</v>
      </c>
      <c r="B257" s="245" t="s">
        <v>99</v>
      </c>
      <c r="C257" s="245">
        <v>1</v>
      </c>
      <c r="D257" s="245" t="s">
        <v>100</v>
      </c>
      <c r="E257" s="245" t="s">
        <v>100</v>
      </c>
      <c r="F257" s="246" t="s">
        <v>1370</v>
      </c>
      <c r="G257" s="149" t="s">
        <v>344</v>
      </c>
      <c r="H257" s="149" t="s">
        <v>2</v>
      </c>
      <c r="I257" s="149" t="s">
        <v>287</v>
      </c>
      <c r="J257" s="152" t="s">
        <v>1371</v>
      </c>
      <c r="K257" s="152" t="s">
        <v>1372</v>
      </c>
      <c r="L257" s="152" t="s">
        <v>1373</v>
      </c>
      <c r="M257" s="245" t="s">
        <v>4</v>
      </c>
      <c r="N257" s="245" t="s">
        <v>5</v>
      </c>
      <c r="O257" s="256">
        <v>45280</v>
      </c>
      <c r="P257" s="249" t="s">
        <v>24</v>
      </c>
      <c r="Q257" s="249" t="s">
        <v>24</v>
      </c>
      <c r="R257" s="249" t="s">
        <v>24</v>
      </c>
      <c r="S257" s="249" t="s">
        <v>24</v>
      </c>
      <c r="T257" s="249" t="s">
        <v>24</v>
      </c>
      <c r="U257" s="249" t="s">
        <v>24</v>
      </c>
      <c r="V257" s="249" t="s">
        <v>24</v>
      </c>
      <c r="W257" s="249" t="s">
        <v>24</v>
      </c>
      <c r="X257" s="249" t="s">
        <v>24</v>
      </c>
      <c r="Y257" s="249" t="s">
        <v>24</v>
      </c>
      <c r="Z257" s="249" t="s">
        <v>24</v>
      </c>
      <c r="AA257" s="250"/>
      <c r="AB257" s="152" t="s">
        <v>1371</v>
      </c>
      <c r="AC257" s="152" t="s">
        <v>1372</v>
      </c>
      <c r="AD257" s="152" t="s">
        <v>1373</v>
      </c>
      <c r="AE257" s="134" t="s">
        <v>287</v>
      </c>
      <c r="AF257" s="250" t="s">
        <v>4</v>
      </c>
      <c r="AG257" s="208">
        <v>9028.23</v>
      </c>
      <c r="AH257" s="208">
        <v>39028.230000000003</v>
      </c>
      <c r="AI257" s="251" t="s">
        <v>6</v>
      </c>
      <c r="AJ257" s="246" t="s">
        <v>109</v>
      </c>
      <c r="AK257" s="257"/>
      <c r="AL257" s="250" t="s">
        <v>110</v>
      </c>
      <c r="AM257" s="250" t="s">
        <v>110</v>
      </c>
      <c r="AN257" s="250" t="s">
        <v>111</v>
      </c>
      <c r="AO257" s="250" t="s">
        <v>1374</v>
      </c>
      <c r="AP257" s="253" t="s">
        <v>1375</v>
      </c>
      <c r="AQ257" s="250" t="s">
        <v>110</v>
      </c>
      <c r="AR257" s="250" t="s">
        <v>110</v>
      </c>
      <c r="AS257" s="250" t="s">
        <v>110</v>
      </c>
      <c r="AT257" s="250" t="s">
        <v>110</v>
      </c>
      <c r="AU257" s="256">
        <v>45540</v>
      </c>
      <c r="AV257" s="250" t="s">
        <v>110</v>
      </c>
      <c r="AW257" s="250" t="s">
        <v>110</v>
      </c>
      <c r="AX257" s="249">
        <v>45546</v>
      </c>
      <c r="AY257" s="249">
        <v>45546</v>
      </c>
      <c r="AZ257" s="245" t="s">
        <v>360</v>
      </c>
      <c r="BA257" s="245" t="s">
        <v>1</v>
      </c>
      <c r="BB257" s="250" t="s">
        <v>110</v>
      </c>
      <c r="BC257" s="142">
        <f t="shared" si="9"/>
        <v>266</v>
      </c>
      <c r="BD257" s="134" t="str">
        <f t="shared" si="10"/>
        <v>INDENIZAÇÃO</v>
      </c>
      <c r="BE257" s="134" t="str">
        <f t="shared" si="11"/>
        <v>NÃO</v>
      </c>
      <c r="BF257" s="245" t="s">
        <v>24</v>
      </c>
      <c r="BG257" s="245" t="s">
        <v>24</v>
      </c>
      <c r="BH257" s="245" t="s">
        <v>24</v>
      </c>
      <c r="BI257" s="250" t="s">
        <v>110</v>
      </c>
      <c r="BJ257" s="250" t="s">
        <v>110</v>
      </c>
      <c r="BK257" s="256">
        <v>45621</v>
      </c>
      <c r="BL257" s="250" t="s">
        <v>110</v>
      </c>
      <c r="BM257" s="250" t="s">
        <v>33</v>
      </c>
      <c r="BN257" s="199"/>
      <c r="BO257" s="199"/>
      <c r="BP257" s="199"/>
      <c r="BQ257" s="199"/>
      <c r="BR257" s="199"/>
      <c r="BS257" s="199"/>
      <c r="BT257" s="199"/>
      <c r="BU257" s="199"/>
      <c r="BV257" s="199"/>
      <c r="BW257" s="199"/>
      <c r="BX257" s="199"/>
      <c r="BY257" s="199"/>
      <c r="BZ257" s="199"/>
      <c r="CA257" s="199"/>
      <c r="CB257" s="199"/>
      <c r="CC257" s="199"/>
      <c r="CD257" s="199"/>
      <c r="CE257" s="199"/>
      <c r="CF257" s="199"/>
      <c r="CG257" s="199"/>
      <c r="CH257" s="199"/>
      <c r="CI257" s="281"/>
      <c r="CJ257" s="199"/>
      <c r="CK257" s="199"/>
      <c r="CL257" s="199"/>
      <c r="CM257" s="199"/>
      <c r="CN257" s="199"/>
      <c r="CO257" s="199"/>
      <c r="CP257" s="199"/>
      <c r="CQ257" s="199"/>
      <c r="CR257" s="199"/>
      <c r="CS257" s="199"/>
      <c r="CT257" s="199"/>
      <c r="CU257" s="199"/>
      <c r="CV257" s="199"/>
      <c r="CW257" s="199"/>
      <c r="CX257" s="199"/>
      <c r="CY257" s="199"/>
    </row>
    <row r="258" spans="1:103" s="149" customFormat="1" ht="30" customHeight="1">
      <c r="A258" s="134">
        <v>244</v>
      </c>
      <c r="B258" s="134" t="s">
        <v>99</v>
      </c>
      <c r="C258" s="134">
        <v>1</v>
      </c>
      <c r="D258" s="134" t="s">
        <v>100</v>
      </c>
      <c r="E258" s="134" t="s">
        <v>100</v>
      </c>
      <c r="F258" s="138" t="s">
        <v>1376</v>
      </c>
      <c r="G258" s="149" t="s">
        <v>344</v>
      </c>
      <c r="H258" s="149" t="s">
        <v>2</v>
      </c>
      <c r="I258" s="149" t="s">
        <v>287</v>
      </c>
      <c r="J258" s="152" t="s">
        <v>1377</v>
      </c>
      <c r="K258" s="152" t="s">
        <v>1378</v>
      </c>
      <c r="L258" s="152" t="s">
        <v>1379</v>
      </c>
      <c r="M258" s="134" t="s">
        <v>4</v>
      </c>
      <c r="N258" s="214" t="s">
        <v>5</v>
      </c>
      <c r="O258" s="194">
        <v>45280</v>
      </c>
      <c r="P258" s="144" t="s">
        <v>24</v>
      </c>
      <c r="Q258" s="144" t="s">
        <v>24</v>
      </c>
      <c r="R258" s="144" t="s">
        <v>24</v>
      </c>
      <c r="S258" s="144" t="s">
        <v>24</v>
      </c>
      <c r="T258" s="144" t="s">
        <v>24</v>
      </c>
      <c r="U258" s="144" t="s">
        <v>24</v>
      </c>
      <c r="V258" s="144" t="s">
        <v>24</v>
      </c>
      <c r="W258" s="144" t="s">
        <v>24</v>
      </c>
      <c r="X258" s="144" t="s">
        <v>24</v>
      </c>
      <c r="Y258" s="144" t="s">
        <v>24</v>
      </c>
      <c r="Z258" s="144" t="s">
        <v>24</v>
      </c>
      <c r="AB258" s="152" t="s">
        <v>1377</v>
      </c>
      <c r="AC258" s="152" t="s">
        <v>1378</v>
      </c>
      <c r="AD258" s="152" t="s">
        <v>1379</v>
      </c>
      <c r="AE258" s="134" t="s">
        <v>287</v>
      </c>
      <c r="AF258" s="149" t="s">
        <v>4</v>
      </c>
      <c r="AG258" s="208">
        <v>16504.330000000002</v>
      </c>
      <c r="AH258" s="208">
        <f>AG258+30000</f>
        <v>46504.33</v>
      </c>
      <c r="AI258" s="232" t="s">
        <v>6</v>
      </c>
      <c r="AJ258" s="138" t="s">
        <v>109</v>
      </c>
      <c r="AK258" s="235"/>
      <c r="AL258" s="149" t="s">
        <v>110</v>
      </c>
      <c r="AM258" s="149" t="s">
        <v>110</v>
      </c>
      <c r="AN258" s="149" t="s">
        <v>111</v>
      </c>
      <c r="AP258" s="152" t="s">
        <v>1380</v>
      </c>
      <c r="AQ258" s="149" t="s">
        <v>110</v>
      </c>
      <c r="AR258" s="149" t="s">
        <v>110</v>
      </c>
      <c r="AS258" s="198" t="s">
        <v>110</v>
      </c>
      <c r="AT258" s="198" t="s">
        <v>110</v>
      </c>
      <c r="AU258" s="194">
        <v>45587</v>
      </c>
      <c r="AV258" s="198" t="s">
        <v>110</v>
      </c>
      <c r="AW258" s="198" t="s">
        <v>110</v>
      </c>
      <c r="AX258" s="194">
        <v>45608</v>
      </c>
      <c r="AY258" s="197">
        <v>45608</v>
      </c>
      <c r="AZ258" s="197" t="s">
        <v>33</v>
      </c>
      <c r="BA258" s="145" t="s">
        <v>113</v>
      </c>
      <c r="BB258" s="149" t="s">
        <v>110</v>
      </c>
      <c r="BC258" s="142">
        <f t="shared" si="9"/>
        <v>328</v>
      </c>
      <c r="BD258" s="134" t="str">
        <f t="shared" si="10"/>
        <v>INDENIZAÇÃO</v>
      </c>
      <c r="BE258" s="134" t="str">
        <f t="shared" si="11"/>
        <v>NÃO</v>
      </c>
      <c r="BF258" s="134" t="s">
        <v>24</v>
      </c>
      <c r="BG258" s="134" t="s">
        <v>24</v>
      </c>
      <c r="BH258" s="134" t="s">
        <v>24</v>
      </c>
      <c r="BI258" s="198" t="s">
        <v>110</v>
      </c>
      <c r="BJ258" s="198" t="s">
        <v>110</v>
      </c>
      <c r="BK258" s="194">
        <v>45677</v>
      </c>
      <c r="BL258" s="198" t="s">
        <v>110</v>
      </c>
      <c r="BM258" s="197" t="s">
        <v>33</v>
      </c>
      <c r="CI258" s="200"/>
    </row>
    <row r="259" spans="1:103" s="149" customFormat="1" ht="30" customHeight="1">
      <c r="A259" s="134">
        <v>245</v>
      </c>
      <c r="B259" s="134" t="s">
        <v>99</v>
      </c>
      <c r="C259" s="134">
        <v>1</v>
      </c>
      <c r="D259" s="134" t="s">
        <v>100</v>
      </c>
      <c r="E259" s="134" t="s">
        <v>100</v>
      </c>
      <c r="F259" s="138" t="s">
        <v>1381</v>
      </c>
      <c r="G259" s="149" t="s">
        <v>1</v>
      </c>
      <c r="H259" s="149" t="s">
        <v>2</v>
      </c>
      <c r="I259" s="149" t="s">
        <v>108</v>
      </c>
      <c r="J259" s="152" t="s">
        <v>1382</v>
      </c>
      <c r="K259" s="152" t="s">
        <v>1383</v>
      </c>
      <c r="L259" s="152" t="s">
        <v>1384</v>
      </c>
      <c r="M259" s="134" t="s">
        <v>4</v>
      </c>
      <c r="N259" s="214" t="s">
        <v>5</v>
      </c>
      <c r="O259" s="194">
        <v>45280</v>
      </c>
      <c r="P259" s="144" t="s">
        <v>24</v>
      </c>
      <c r="Q259" s="144" t="s">
        <v>24</v>
      </c>
      <c r="R259" s="144" t="s">
        <v>24</v>
      </c>
      <c r="S259" s="144" t="s">
        <v>24</v>
      </c>
      <c r="T259" s="144" t="s">
        <v>24</v>
      </c>
      <c r="U259" s="144" t="s">
        <v>24</v>
      </c>
      <c r="V259" s="144" t="s">
        <v>24</v>
      </c>
      <c r="W259" s="144" t="s">
        <v>24</v>
      </c>
      <c r="X259" s="144" t="s">
        <v>24</v>
      </c>
      <c r="Y259" s="144" t="s">
        <v>24</v>
      </c>
      <c r="Z259" s="144" t="s">
        <v>24</v>
      </c>
      <c r="AB259" s="152" t="s">
        <v>1382</v>
      </c>
      <c r="AC259" s="152" t="s">
        <v>1383</v>
      </c>
      <c r="AD259" s="152" t="s">
        <v>1384</v>
      </c>
      <c r="AE259" s="149" t="s">
        <v>108</v>
      </c>
      <c r="AF259" s="149" t="s">
        <v>4</v>
      </c>
      <c r="AG259" s="208">
        <v>26870.43</v>
      </c>
      <c r="AH259" s="208">
        <v>56870.43</v>
      </c>
      <c r="AI259" s="232" t="s">
        <v>6</v>
      </c>
      <c r="AJ259" s="138" t="s">
        <v>109</v>
      </c>
      <c r="AK259" s="235"/>
      <c r="AL259" s="149" t="s">
        <v>110</v>
      </c>
      <c r="AM259" s="149" t="s">
        <v>110</v>
      </c>
      <c r="AN259" s="149" t="s">
        <v>111</v>
      </c>
      <c r="AP259" s="152" t="s">
        <v>1385</v>
      </c>
      <c r="AQ259" s="149" t="s">
        <v>110</v>
      </c>
      <c r="AR259" s="149" t="s">
        <v>110</v>
      </c>
      <c r="AS259" s="149" t="s">
        <v>110</v>
      </c>
      <c r="AT259" s="149" t="s">
        <v>110</v>
      </c>
      <c r="AU259" s="194">
        <v>45373</v>
      </c>
      <c r="AV259" s="149" t="s">
        <v>110</v>
      </c>
      <c r="AW259" s="149" t="s">
        <v>110</v>
      </c>
      <c r="AX259" s="194">
        <v>45384</v>
      </c>
      <c r="AY259" s="197">
        <v>45384</v>
      </c>
      <c r="AZ259" s="197" t="s">
        <v>33</v>
      </c>
      <c r="BA259" s="145" t="s">
        <v>113</v>
      </c>
      <c r="BB259" s="149" t="s">
        <v>110</v>
      </c>
      <c r="BC259" s="142">
        <f t="shared" si="9"/>
        <v>104</v>
      </c>
      <c r="BD259" s="134" t="str">
        <f t="shared" si="10"/>
        <v>INDENIZAÇÃO</v>
      </c>
      <c r="BE259" s="134" t="str">
        <f t="shared" si="11"/>
        <v>NÃO</v>
      </c>
      <c r="BF259" s="134" t="s">
        <v>24</v>
      </c>
      <c r="BG259" s="134" t="s">
        <v>24</v>
      </c>
      <c r="BH259" s="134" t="s">
        <v>24</v>
      </c>
      <c r="BI259" s="149" t="s">
        <v>110</v>
      </c>
      <c r="BJ259" s="149" t="s">
        <v>110</v>
      </c>
      <c r="BK259" s="194">
        <v>45510</v>
      </c>
      <c r="BL259" s="149" t="s">
        <v>110</v>
      </c>
      <c r="BM259" s="145" t="s">
        <v>33</v>
      </c>
      <c r="CI259" s="200"/>
    </row>
    <row r="260" spans="1:103" s="149" customFormat="1" ht="30" customHeight="1">
      <c r="A260" s="134">
        <v>246</v>
      </c>
      <c r="B260" s="134" t="s">
        <v>99</v>
      </c>
      <c r="C260" s="134">
        <v>1</v>
      </c>
      <c r="D260" s="134" t="s">
        <v>100</v>
      </c>
      <c r="E260" s="134" t="s">
        <v>100</v>
      </c>
      <c r="F260" s="138" t="s">
        <v>1386</v>
      </c>
      <c r="G260" s="149" t="s">
        <v>1</v>
      </c>
      <c r="H260" s="149" t="s">
        <v>2</v>
      </c>
      <c r="I260" s="149" t="s">
        <v>108</v>
      </c>
      <c r="J260" s="152" t="s">
        <v>1387</v>
      </c>
      <c r="K260" s="152" t="s">
        <v>1388</v>
      </c>
      <c r="L260" s="152" t="s">
        <v>1389</v>
      </c>
      <c r="M260" s="134" t="s">
        <v>4</v>
      </c>
      <c r="N260" s="214" t="s">
        <v>5</v>
      </c>
      <c r="O260" s="194">
        <v>45209</v>
      </c>
      <c r="P260" s="144" t="s">
        <v>24</v>
      </c>
      <c r="Q260" s="144" t="s">
        <v>24</v>
      </c>
      <c r="R260" s="144" t="s">
        <v>24</v>
      </c>
      <c r="S260" s="144" t="s">
        <v>24</v>
      </c>
      <c r="T260" s="144" t="s">
        <v>24</v>
      </c>
      <c r="U260" s="144" t="s">
        <v>24</v>
      </c>
      <c r="V260" s="144" t="s">
        <v>24</v>
      </c>
      <c r="W260" s="144" t="s">
        <v>24</v>
      </c>
      <c r="X260" s="144" t="s">
        <v>24</v>
      </c>
      <c r="Y260" s="144" t="s">
        <v>24</v>
      </c>
      <c r="Z260" s="144" t="s">
        <v>24</v>
      </c>
      <c r="AB260" s="152" t="s">
        <v>1387</v>
      </c>
      <c r="AC260" s="152" t="s">
        <v>1388</v>
      </c>
      <c r="AD260" s="152" t="s">
        <v>1389</v>
      </c>
      <c r="AE260" s="149" t="s">
        <v>108</v>
      </c>
      <c r="AF260" s="149" t="s">
        <v>4</v>
      </c>
      <c r="AG260" s="208">
        <v>51179.7</v>
      </c>
      <c r="AH260" s="208">
        <v>60000</v>
      </c>
      <c r="AI260" s="214" t="s">
        <v>6</v>
      </c>
      <c r="AJ260" s="160" t="s">
        <v>109</v>
      </c>
      <c r="AK260" s="239"/>
      <c r="AL260" s="171" t="s">
        <v>110</v>
      </c>
      <c r="AM260" s="171" t="s">
        <v>110</v>
      </c>
      <c r="AN260" s="171" t="s">
        <v>111</v>
      </c>
      <c r="AO260" s="198"/>
      <c r="AP260" s="291" t="s">
        <v>1390</v>
      </c>
      <c r="AQ260" s="292" t="s">
        <v>110</v>
      </c>
      <c r="AR260" s="292" t="s">
        <v>110</v>
      </c>
      <c r="AS260" s="292" t="s">
        <v>110</v>
      </c>
      <c r="AT260" s="292" t="s">
        <v>110</v>
      </c>
      <c r="AU260" s="202">
        <v>45495</v>
      </c>
      <c r="AV260" s="292" t="s">
        <v>110</v>
      </c>
      <c r="AW260" s="292" t="s">
        <v>110</v>
      </c>
      <c r="AX260" s="202">
        <v>45499</v>
      </c>
      <c r="AY260" s="197">
        <v>45499</v>
      </c>
      <c r="AZ260" s="145" t="s">
        <v>33</v>
      </c>
      <c r="BA260" s="145" t="s">
        <v>113</v>
      </c>
      <c r="BB260" s="149" t="s">
        <v>110</v>
      </c>
      <c r="BC260" s="142">
        <f t="shared" si="9"/>
        <v>290</v>
      </c>
      <c r="BD260" s="134" t="str">
        <f t="shared" si="10"/>
        <v>INDENIZAÇÃO</v>
      </c>
      <c r="BE260" s="134" t="str">
        <f t="shared" si="11"/>
        <v>NÃO</v>
      </c>
      <c r="BF260" s="170" t="s">
        <v>24</v>
      </c>
      <c r="BG260" s="170" t="s">
        <v>24</v>
      </c>
      <c r="BH260" s="170" t="s">
        <v>24</v>
      </c>
      <c r="BI260" s="292" t="s">
        <v>110</v>
      </c>
      <c r="BJ260" s="292" t="s">
        <v>110</v>
      </c>
      <c r="BK260" s="202">
        <v>45559</v>
      </c>
      <c r="BL260" s="292" t="s">
        <v>110</v>
      </c>
      <c r="BM260" s="145" t="s">
        <v>33</v>
      </c>
      <c r="BN260" s="134"/>
      <c r="BO260" s="134"/>
      <c r="BP260" s="134"/>
      <c r="BQ260" s="134"/>
      <c r="BR260" s="134"/>
      <c r="BS260" s="134"/>
      <c r="BT260" s="134"/>
      <c r="BU260" s="134"/>
      <c r="BV260" s="134"/>
      <c r="BW260" s="134"/>
      <c r="BX260" s="134"/>
      <c r="BY260" s="134"/>
      <c r="BZ260" s="134"/>
      <c r="CA260" s="134"/>
      <c r="CB260" s="134"/>
      <c r="CC260" s="134"/>
      <c r="CD260" s="134"/>
      <c r="CE260" s="134"/>
      <c r="CF260" s="134"/>
      <c r="CG260" s="134"/>
      <c r="CH260" s="134"/>
      <c r="CI260" s="211"/>
      <c r="CJ260" s="134"/>
      <c r="CK260" s="134"/>
      <c r="CL260" s="134"/>
      <c r="CM260" s="134"/>
      <c r="CN260" s="134"/>
      <c r="CO260" s="134"/>
      <c r="CP260" s="134"/>
      <c r="CQ260" s="134"/>
      <c r="CR260" s="134"/>
      <c r="CS260" s="134"/>
      <c r="CT260" s="134"/>
      <c r="CU260" s="134"/>
      <c r="CV260" s="134"/>
      <c r="CW260" s="134"/>
      <c r="CX260" s="134"/>
      <c r="CY260" s="134"/>
    </row>
    <row r="261" spans="1:103" s="149" customFormat="1" ht="30" customHeight="1">
      <c r="A261" s="134">
        <v>247</v>
      </c>
      <c r="B261" s="245" t="s">
        <v>99</v>
      </c>
      <c r="C261" s="245">
        <v>1</v>
      </c>
      <c r="D261" s="245" t="s">
        <v>100</v>
      </c>
      <c r="E261" s="245" t="s">
        <v>100</v>
      </c>
      <c r="F261" s="246" t="s">
        <v>1391</v>
      </c>
      <c r="G261" s="149" t="s">
        <v>1</v>
      </c>
      <c r="H261" s="149" t="s">
        <v>2</v>
      </c>
      <c r="I261" s="149" t="s">
        <v>108</v>
      </c>
      <c r="J261" s="152" t="s">
        <v>1392</v>
      </c>
      <c r="K261" s="152" t="s">
        <v>1393</v>
      </c>
      <c r="L261" s="152" t="s">
        <v>1394</v>
      </c>
      <c r="M261" s="245" t="s">
        <v>4</v>
      </c>
      <c r="N261" s="245" t="s">
        <v>5</v>
      </c>
      <c r="O261" s="256">
        <v>45525</v>
      </c>
      <c r="P261" s="249" t="s">
        <v>24</v>
      </c>
      <c r="Q261" s="249" t="s">
        <v>24</v>
      </c>
      <c r="R261" s="249" t="s">
        <v>24</v>
      </c>
      <c r="S261" s="249" t="s">
        <v>24</v>
      </c>
      <c r="T261" s="249" t="s">
        <v>24</v>
      </c>
      <c r="U261" s="249" t="s">
        <v>24</v>
      </c>
      <c r="V261" s="249" t="s">
        <v>24</v>
      </c>
      <c r="W261" s="249" t="s">
        <v>24</v>
      </c>
      <c r="X261" s="249" t="s">
        <v>24</v>
      </c>
      <c r="Y261" s="249" t="s">
        <v>24</v>
      </c>
      <c r="Z261" s="249" t="s">
        <v>24</v>
      </c>
      <c r="AA261" s="250"/>
      <c r="AB261" s="152" t="s">
        <v>1392</v>
      </c>
      <c r="AC261" s="152" t="s">
        <v>1393</v>
      </c>
      <c r="AD261" s="152" t="s">
        <v>1394</v>
      </c>
      <c r="AE261" s="149" t="s">
        <v>108</v>
      </c>
      <c r="AF261" s="250" t="s">
        <v>4</v>
      </c>
      <c r="AG261" s="208">
        <v>16806.38</v>
      </c>
      <c r="AH261" s="208">
        <f>AG261+30000</f>
        <v>46806.380000000005</v>
      </c>
      <c r="AI261" s="245" t="s">
        <v>6</v>
      </c>
      <c r="AJ261" s="246" t="s">
        <v>109</v>
      </c>
      <c r="AK261" s="245"/>
      <c r="AL261" s="250" t="s">
        <v>110</v>
      </c>
      <c r="AM261" s="250" t="s">
        <v>110</v>
      </c>
      <c r="AN261" s="250" t="s">
        <v>111</v>
      </c>
      <c r="AO261" s="250"/>
      <c r="AP261" s="253" t="s">
        <v>1395</v>
      </c>
      <c r="AQ261" s="250" t="s">
        <v>110</v>
      </c>
      <c r="AR261" s="250" t="s">
        <v>110</v>
      </c>
      <c r="AS261" s="250" t="s">
        <v>110</v>
      </c>
      <c r="AT261" s="250" t="s">
        <v>110</v>
      </c>
      <c r="AU261" s="256">
        <v>45601</v>
      </c>
      <c r="AV261" s="250" t="s">
        <v>110</v>
      </c>
      <c r="AW261" s="250" t="s">
        <v>110</v>
      </c>
      <c r="AX261" s="256">
        <v>45728</v>
      </c>
      <c r="AY261" s="197">
        <v>45728</v>
      </c>
      <c r="AZ261" s="245" t="s">
        <v>360</v>
      </c>
      <c r="BA261" s="245" t="s">
        <v>1</v>
      </c>
      <c r="BB261" s="250" t="s">
        <v>110</v>
      </c>
      <c r="BC261" s="142">
        <f t="shared" si="9"/>
        <v>203</v>
      </c>
      <c r="BD261" s="134" t="str">
        <f t="shared" si="10"/>
        <v>INDENIZAÇÃO</v>
      </c>
      <c r="BE261" s="134" t="str">
        <f t="shared" si="11"/>
        <v>NÃO</v>
      </c>
      <c r="BF261" s="250" t="s">
        <v>24</v>
      </c>
      <c r="BG261" s="250" t="s">
        <v>24</v>
      </c>
      <c r="BH261" s="250" t="s">
        <v>24</v>
      </c>
      <c r="BI261" s="250" t="s">
        <v>110</v>
      </c>
      <c r="BJ261" s="250" t="s">
        <v>110</v>
      </c>
      <c r="BK261" s="248">
        <v>45783</v>
      </c>
      <c r="BL261" s="250" t="s">
        <v>110</v>
      </c>
      <c r="BM261" s="250" t="s">
        <v>33</v>
      </c>
      <c r="BN261" s="134"/>
      <c r="BO261" s="134"/>
      <c r="BP261" s="134"/>
      <c r="BQ261" s="134"/>
      <c r="BR261" s="134"/>
      <c r="BS261" s="134"/>
      <c r="BT261" s="134"/>
      <c r="BU261" s="134"/>
      <c r="BV261" s="134"/>
      <c r="BW261" s="134"/>
      <c r="BX261" s="134"/>
      <c r="BY261" s="134"/>
      <c r="BZ261" s="134"/>
      <c r="CA261" s="134"/>
      <c r="CB261" s="134"/>
      <c r="CC261" s="134"/>
      <c r="CD261" s="134"/>
      <c r="CE261" s="134"/>
      <c r="CF261" s="134"/>
      <c r="CG261" s="134"/>
      <c r="CH261" s="134"/>
      <c r="CI261" s="211"/>
      <c r="CJ261" s="134"/>
      <c r="CK261" s="134"/>
      <c r="CL261" s="134"/>
      <c r="CM261" s="134"/>
      <c r="CN261" s="134"/>
      <c r="CO261" s="134"/>
      <c r="CP261" s="134"/>
      <c r="CQ261" s="134"/>
      <c r="CR261" s="134"/>
      <c r="CS261" s="134"/>
      <c r="CT261" s="134"/>
      <c r="CU261" s="134"/>
      <c r="CV261" s="134"/>
      <c r="CW261" s="134"/>
      <c r="CX261" s="134"/>
      <c r="CY261" s="134"/>
    </row>
    <row r="262" spans="1:103" s="149" customFormat="1" ht="30" customHeight="1">
      <c r="A262" s="134">
        <v>248</v>
      </c>
      <c r="B262" s="134" t="s">
        <v>99</v>
      </c>
      <c r="C262" s="134">
        <v>1</v>
      </c>
      <c r="D262" s="134" t="s">
        <v>100</v>
      </c>
      <c r="E262" s="134" t="s">
        <v>100</v>
      </c>
      <c r="F262" s="138" t="s">
        <v>1396</v>
      </c>
      <c r="G262" s="149" t="s">
        <v>1</v>
      </c>
      <c r="H262" s="149" t="s">
        <v>2</v>
      </c>
      <c r="I262" s="149" t="s">
        <v>108</v>
      </c>
      <c r="J262" s="152" t="s">
        <v>1397</v>
      </c>
      <c r="K262" s="152" t="s">
        <v>1398</v>
      </c>
      <c r="L262" s="152" t="s">
        <v>1399</v>
      </c>
      <c r="M262" s="134" t="s">
        <v>4</v>
      </c>
      <c r="N262" s="214" t="s">
        <v>5</v>
      </c>
      <c r="O262" s="194">
        <v>45280</v>
      </c>
      <c r="P262" s="144" t="s">
        <v>24</v>
      </c>
      <c r="Q262" s="144" t="s">
        <v>24</v>
      </c>
      <c r="R262" s="144" t="s">
        <v>24</v>
      </c>
      <c r="S262" s="144" t="s">
        <v>24</v>
      </c>
      <c r="T262" s="144" t="s">
        <v>24</v>
      </c>
      <c r="U262" s="144" t="s">
        <v>24</v>
      </c>
      <c r="V262" s="144" t="s">
        <v>24</v>
      </c>
      <c r="W262" s="144" t="s">
        <v>24</v>
      </c>
      <c r="X262" s="144" t="s">
        <v>24</v>
      </c>
      <c r="Y262" s="144" t="s">
        <v>24</v>
      </c>
      <c r="Z262" s="144" t="s">
        <v>24</v>
      </c>
      <c r="AB262" s="152" t="s">
        <v>1397</v>
      </c>
      <c r="AC262" s="152" t="s">
        <v>1398</v>
      </c>
      <c r="AD262" s="152" t="s">
        <v>1399</v>
      </c>
      <c r="AE262" s="149" t="s">
        <v>108</v>
      </c>
      <c r="AF262" s="149" t="s">
        <v>4</v>
      </c>
      <c r="AG262" s="208">
        <v>20864.310000000001</v>
      </c>
      <c r="AH262" s="208">
        <v>50864.31</v>
      </c>
      <c r="AI262" s="214" t="s">
        <v>6</v>
      </c>
      <c r="AJ262" s="138" t="s">
        <v>109</v>
      </c>
      <c r="AK262" s="214"/>
      <c r="AL262" s="149" t="s">
        <v>110</v>
      </c>
      <c r="AM262" s="149" t="s">
        <v>110</v>
      </c>
      <c r="AN262" s="149" t="s">
        <v>111</v>
      </c>
      <c r="AP262" s="152" t="s">
        <v>1400</v>
      </c>
      <c r="AQ262" s="149" t="s">
        <v>110</v>
      </c>
      <c r="AR262" s="149" t="s">
        <v>110</v>
      </c>
      <c r="AS262" s="149" t="s">
        <v>110</v>
      </c>
      <c r="AT262" s="149" t="s">
        <v>110</v>
      </c>
      <c r="AU262" s="194">
        <v>45373</v>
      </c>
      <c r="AV262" s="149" t="s">
        <v>110</v>
      </c>
      <c r="AW262" s="149" t="s">
        <v>110</v>
      </c>
      <c r="AX262" s="194">
        <v>45385</v>
      </c>
      <c r="AY262" s="197">
        <v>45385</v>
      </c>
      <c r="AZ262" s="197" t="s">
        <v>33</v>
      </c>
      <c r="BA262" s="145" t="s">
        <v>113</v>
      </c>
      <c r="BB262" s="149" t="s">
        <v>110</v>
      </c>
      <c r="BC262" s="142">
        <f t="shared" si="9"/>
        <v>105</v>
      </c>
      <c r="BD262" s="134" t="str">
        <f t="shared" si="10"/>
        <v>INDENIZAÇÃO</v>
      </c>
      <c r="BE262" s="134" t="str">
        <f t="shared" si="11"/>
        <v>NÃO</v>
      </c>
      <c r="BF262" s="134" t="s">
        <v>24</v>
      </c>
      <c r="BG262" s="134" t="s">
        <v>24</v>
      </c>
      <c r="BH262" s="134" t="s">
        <v>24</v>
      </c>
      <c r="BI262" s="149" t="s">
        <v>110</v>
      </c>
      <c r="BJ262" s="149" t="s">
        <v>110</v>
      </c>
      <c r="BK262" s="194">
        <v>45510</v>
      </c>
      <c r="BL262" s="149" t="s">
        <v>110</v>
      </c>
      <c r="BM262" s="145" t="s">
        <v>33</v>
      </c>
      <c r="BN262" s="134"/>
      <c r="BO262" s="134"/>
      <c r="BP262" s="134"/>
      <c r="BQ262" s="134"/>
      <c r="BR262" s="134"/>
      <c r="BS262" s="134"/>
      <c r="BT262" s="134"/>
      <c r="BU262" s="134"/>
      <c r="BV262" s="134"/>
      <c r="BW262" s="134"/>
      <c r="BX262" s="134"/>
      <c r="BY262" s="134"/>
      <c r="BZ262" s="134"/>
      <c r="CA262" s="134"/>
      <c r="CB262" s="134"/>
      <c r="CC262" s="134"/>
      <c r="CD262" s="134"/>
      <c r="CE262" s="134"/>
      <c r="CF262" s="134"/>
      <c r="CG262" s="134"/>
      <c r="CH262" s="134"/>
      <c r="CI262" s="211"/>
      <c r="CJ262" s="134"/>
      <c r="CK262" s="134"/>
      <c r="CL262" s="134"/>
      <c r="CM262" s="134"/>
      <c r="CN262" s="134"/>
      <c r="CO262" s="134"/>
      <c r="CP262" s="134"/>
      <c r="CQ262" s="134"/>
      <c r="CR262" s="134"/>
      <c r="CS262" s="134"/>
      <c r="CT262" s="134"/>
      <c r="CU262" s="134"/>
      <c r="CV262" s="134"/>
      <c r="CW262" s="134"/>
      <c r="CX262" s="134"/>
      <c r="CY262" s="134"/>
    </row>
    <row r="263" spans="1:103" s="149" customFormat="1" ht="30" customHeight="1">
      <c r="A263" s="134">
        <v>249</v>
      </c>
      <c r="B263" s="245" t="s">
        <v>99</v>
      </c>
      <c r="C263" s="245">
        <v>1</v>
      </c>
      <c r="D263" s="245" t="s">
        <v>100</v>
      </c>
      <c r="E263" s="245" t="s">
        <v>100</v>
      </c>
      <c r="F263" s="246" t="s">
        <v>1401</v>
      </c>
      <c r="G263" s="149" t="s">
        <v>1</v>
      </c>
      <c r="H263" s="149" t="s">
        <v>2</v>
      </c>
      <c r="I263" s="149" t="s">
        <v>108</v>
      </c>
      <c r="J263" s="152" t="s">
        <v>1402</v>
      </c>
      <c r="K263" s="152" t="s">
        <v>1403</v>
      </c>
      <c r="L263" s="152" t="s">
        <v>1404</v>
      </c>
      <c r="M263" s="245" t="s">
        <v>4</v>
      </c>
      <c r="N263" s="245" t="s">
        <v>5</v>
      </c>
      <c r="O263" s="256">
        <v>45299</v>
      </c>
      <c r="P263" s="249" t="s">
        <v>24</v>
      </c>
      <c r="Q263" s="249" t="s">
        <v>24</v>
      </c>
      <c r="R263" s="249" t="s">
        <v>24</v>
      </c>
      <c r="S263" s="249" t="s">
        <v>24</v>
      </c>
      <c r="T263" s="249" t="s">
        <v>24</v>
      </c>
      <c r="U263" s="249" t="s">
        <v>24</v>
      </c>
      <c r="V263" s="249" t="s">
        <v>24</v>
      </c>
      <c r="W263" s="249" t="s">
        <v>24</v>
      </c>
      <c r="X263" s="249" t="s">
        <v>24</v>
      </c>
      <c r="Y263" s="249" t="s">
        <v>24</v>
      </c>
      <c r="Z263" s="249" t="s">
        <v>24</v>
      </c>
      <c r="AA263" s="250"/>
      <c r="AB263" s="152" t="s">
        <v>1405</v>
      </c>
      <c r="AC263" s="152" t="s">
        <v>1403</v>
      </c>
      <c r="AD263" s="152" t="s">
        <v>1404</v>
      </c>
      <c r="AE263" s="149" t="s">
        <v>108</v>
      </c>
      <c r="AF263" s="250" t="s">
        <v>4</v>
      </c>
      <c r="AG263" s="208">
        <v>8327.6</v>
      </c>
      <c r="AH263" s="208">
        <v>38327.599999999999</v>
      </c>
      <c r="AI263" s="245" t="s">
        <v>6</v>
      </c>
      <c r="AJ263" s="246" t="s">
        <v>109</v>
      </c>
      <c r="AK263" s="245"/>
      <c r="AL263" s="250" t="s">
        <v>110</v>
      </c>
      <c r="AM263" s="250" t="s">
        <v>110</v>
      </c>
      <c r="AN263" s="250" t="s">
        <v>111</v>
      </c>
      <c r="AO263" s="250"/>
      <c r="AP263" s="253" t="s">
        <v>1406</v>
      </c>
      <c r="AQ263" s="250" t="s">
        <v>110</v>
      </c>
      <c r="AR263" s="250" t="s">
        <v>110</v>
      </c>
      <c r="AS263" s="250" t="s">
        <v>110</v>
      </c>
      <c r="AT263" s="250" t="s">
        <v>110</v>
      </c>
      <c r="AU263" s="256">
        <v>45373</v>
      </c>
      <c r="AV263" s="250" t="s">
        <v>110</v>
      </c>
      <c r="AW263" s="250" t="s">
        <v>110</v>
      </c>
      <c r="AX263" s="256">
        <v>45384</v>
      </c>
      <c r="AY263" s="249">
        <v>45384</v>
      </c>
      <c r="AZ263" s="245" t="s">
        <v>360</v>
      </c>
      <c r="BA263" s="245" t="s">
        <v>1</v>
      </c>
      <c r="BB263" s="250" t="s">
        <v>110</v>
      </c>
      <c r="BC263" s="142">
        <f t="shared" si="9"/>
        <v>85</v>
      </c>
      <c r="BD263" s="134" t="str">
        <f t="shared" si="10"/>
        <v>INDENIZAÇÃO</v>
      </c>
      <c r="BE263" s="134" t="str">
        <f t="shared" si="11"/>
        <v>NÃO</v>
      </c>
      <c r="BF263" s="245" t="s">
        <v>24</v>
      </c>
      <c r="BG263" s="245" t="s">
        <v>24</v>
      </c>
      <c r="BH263" s="245" t="s">
        <v>24</v>
      </c>
      <c r="BI263" s="250" t="s">
        <v>110</v>
      </c>
      <c r="BJ263" s="250" t="s">
        <v>110</v>
      </c>
      <c r="BK263" s="256">
        <v>45510</v>
      </c>
      <c r="BL263" s="250" t="s">
        <v>110</v>
      </c>
      <c r="BM263" s="250" t="s">
        <v>33</v>
      </c>
      <c r="BN263" s="134"/>
      <c r="BO263" s="134"/>
      <c r="BP263" s="134"/>
      <c r="BQ263" s="134"/>
      <c r="BR263" s="134"/>
      <c r="BS263" s="134"/>
      <c r="BT263" s="134"/>
      <c r="BU263" s="134"/>
      <c r="BV263" s="134"/>
      <c r="BW263" s="134"/>
      <c r="BX263" s="134"/>
      <c r="BY263" s="134"/>
      <c r="BZ263" s="134"/>
      <c r="CA263" s="134"/>
      <c r="CB263" s="134"/>
      <c r="CC263" s="134"/>
      <c r="CD263" s="134"/>
      <c r="CE263" s="134"/>
      <c r="CF263" s="134"/>
      <c r="CG263" s="134"/>
      <c r="CH263" s="134"/>
      <c r="CI263" s="211"/>
      <c r="CJ263" s="134"/>
      <c r="CK263" s="134"/>
      <c r="CL263" s="134"/>
      <c r="CM263" s="134"/>
      <c r="CN263" s="134"/>
      <c r="CO263" s="134"/>
      <c r="CP263" s="134"/>
      <c r="CQ263" s="134"/>
      <c r="CR263" s="134"/>
      <c r="CS263" s="134"/>
      <c r="CT263" s="134"/>
      <c r="CU263" s="134"/>
      <c r="CV263" s="134"/>
      <c r="CW263" s="134"/>
      <c r="CX263" s="134"/>
      <c r="CY263" s="134"/>
    </row>
    <row r="264" spans="1:103" s="149" customFormat="1" ht="30" customHeight="1">
      <c r="A264" s="134">
        <v>250</v>
      </c>
      <c r="B264" s="134" t="s">
        <v>99</v>
      </c>
      <c r="C264" s="134">
        <v>1</v>
      </c>
      <c r="D264" s="134" t="s">
        <v>100</v>
      </c>
      <c r="E264" s="134" t="s">
        <v>100</v>
      </c>
      <c r="F264" s="138" t="s">
        <v>1407</v>
      </c>
      <c r="G264" s="149" t="s">
        <v>1</v>
      </c>
      <c r="H264" s="149" t="s">
        <v>2</v>
      </c>
      <c r="I264" s="149" t="s">
        <v>108</v>
      </c>
      <c r="J264" s="152" t="s">
        <v>1408</v>
      </c>
      <c r="K264" s="152" t="s">
        <v>1409</v>
      </c>
      <c r="L264" s="152" t="s">
        <v>1410</v>
      </c>
      <c r="M264" s="134" t="s">
        <v>4</v>
      </c>
      <c r="N264" s="214" t="s">
        <v>14</v>
      </c>
      <c r="O264" s="194">
        <v>45356</v>
      </c>
      <c r="P264" s="144">
        <v>45246</v>
      </c>
      <c r="Q264" s="138" t="s">
        <v>283</v>
      </c>
      <c r="R264" s="144" t="s">
        <v>110</v>
      </c>
      <c r="S264" s="144" t="s">
        <v>110</v>
      </c>
      <c r="T264" s="144"/>
      <c r="U264" s="144"/>
      <c r="V264" s="144"/>
      <c r="W264" s="144"/>
      <c r="X264" s="144"/>
      <c r="Y264" s="144"/>
      <c r="Z264" s="144"/>
      <c r="AB264" s="152" t="s">
        <v>1408</v>
      </c>
      <c r="AC264" s="152" t="s">
        <v>1409</v>
      </c>
      <c r="AD264" s="152" t="s">
        <v>1410</v>
      </c>
      <c r="AE264" s="149" t="s">
        <v>108</v>
      </c>
      <c r="AG264" s="208" t="s">
        <v>371</v>
      </c>
      <c r="AH264" s="208" t="s">
        <v>371</v>
      </c>
      <c r="AI264" s="214" t="s">
        <v>371</v>
      </c>
      <c r="AJ264" s="214" t="s">
        <v>371</v>
      </c>
      <c r="AK264" s="214"/>
      <c r="AP264" s="152"/>
      <c r="BC264" s="142" t="str">
        <f t="shared" si="9"/>
        <v/>
      </c>
      <c r="BD264" s="134" t="str">
        <f t="shared" si="10"/>
        <v>INDENIZAÇÃO</v>
      </c>
      <c r="BE264" s="134" t="str">
        <f t="shared" si="11"/>
        <v>NÃO</v>
      </c>
      <c r="BG264" s="194"/>
      <c r="BH264" s="194"/>
      <c r="CI264" s="200"/>
    </row>
    <row r="265" spans="1:103" s="149" customFormat="1" ht="30" customHeight="1">
      <c r="A265" s="134">
        <v>251</v>
      </c>
      <c r="B265" s="134" t="s">
        <v>99</v>
      </c>
      <c r="C265" s="134">
        <v>1</v>
      </c>
      <c r="D265" s="134" t="s">
        <v>100</v>
      </c>
      <c r="E265" s="134" t="s">
        <v>100</v>
      </c>
      <c r="F265" s="138" t="s">
        <v>1411</v>
      </c>
      <c r="G265" s="149" t="s">
        <v>1</v>
      </c>
      <c r="H265" s="149" t="s">
        <v>2</v>
      </c>
      <c r="I265" s="149" t="s">
        <v>108</v>
      </c>
      <c r="J265" s="152" t="s">
        <v>1412</v>
      </c>
      <c r="K265" s="152" t="s">
        <v>1413</v>
      </c>
      <c r="L265" s="152" t="s">
        <v>1414</v>
      </c>
      <c r="M265" s="134" t="s">
        <v>4</v>
      </c>
      <c r="N265" s="214" t="s">
        <v>5</v>
      </c>
      <c r="O265" s="194">
        <v>45268</v>
      </c>
      <c r="P265" s="144" t="s">
        <v>24</v>
      </c>
      <c r="Q265" s="144" t="s">
        <v>24</v>
      </c>
      <c r="R265" s="144" t="s">
        <v>24</v>
      </c>
      <c r="S265" s="144" t="s">
        <v>24</v>
      </c>
      <c r="T265" s="144" t="s">
        <v>24</v>
      </c>
      <c r="U265" s="144" t="s">
        <v>24</v>
      </c>
      <c r="V265" s="144" t="s">
        <v>24</v>
      </c>
      <c r="W265" s="144" t="s">
        <v>24</v>
      </c>
      <c r="X265" s="144" t="s">
        <v>24</v>
      </c>
      <c r="Y265" s="144" t="s">
        <v>24</v>
      </c>
      <c r="Z265" s="144" t="s">
        <v>24</v>
      </c>
      <c r="AB265" s="152" t="s">
        <v>1412</v>
      </c>
      <c r="AC265" s="152" t="s">
        <v>1413</v>
      </c>
      <c r="AD265" s="152" t="s">
        <v>1414</v>
      </c>
      <c r="AE265" s="149" t="s">
        <v>108</v>
      </c>
      <c r="AF265" s="149" t="s">
        <v>4</v>
      </c>
      <c r="AG265" s="208">
        <v>62697.18</v>
      </c>
      <c r="AH265" s="208">
        <v>62697.18</v>
      </c>
      <c r="AI265" s="214" t="s">
        <v>6</v>
      </c>
      <c r="AJ265" s="138" t="s">
        <v>109</v>
      </c>
      <c r="AK265" s="214"/>
      <c r="AL265" s="149" t="s">
        <v>110</v>
      </c>
      <c r="AM265" s="198" t="s">
        <v>110</v>
      </c>
      <c r="AN265" s="198" t="s">
        <v>111</v>
      </c>
      <c r="AP265" s="152" t="s">
        <v>1415</v>
      </c>
      <c r="AQ265" s="149" t="s">
        <v>110</v>
      </c>
      <c r="AR265" s="149" t="s">
        <v>110</v>
      </c>
      <c r="AS265" s="149" t="s">
        <v>110</v>
      </c>
      <c r="AT265" s="149" t="s">
        <v>110</v>
      </c>
      <c r="AU265" s="194">
        <v>45441</v>
      </c>
      <c r="AV265" s="149" t="s">
        <v>110</v>
      </c>
      <c r="AW265" s="149" t="s">
        <v>110</v>
      </c>
      <c r="AX265" s="194">
        <v>45450</v>
      </c>
      <c r="AY265" s="217">
        <v>45450</v>
      </c>
      <c r="AZ265" s="217" t="s">
        <v>33</v>
      </c>
      <c r="BA265" s="145" t="s">
        <v>113</v>
      </c>
      <c r="BB265" s="149" t="s">
        <v>110</v>
      </c>
      <c r="BC265" s="142">
        <f t="shared" si="9"/>
        <v>182</v>
      </c>
      <c r="BD265" s="134" t="str">
        <f t="shared" si="10"/>
        <v>INDENIZAÇÃO</v>
      </c>
      <c r="BE265" s="134" t="str">
        <f t="shared" si="11"/>
        <v>NÃO</v>
      </c>
      <c r="BF265" s="134" t="s">
        <v>24</v>
      </c>
      <c r="BG265" s="134" t="s">
        <v>24</v>
      </c>
      <c r="BH265" s="134" t="s">
        <v>24</v>
      </c>
      <c r="BI265" s="198" t="s">
        <v>110</v>
      </c>
      <c r="BJ265" s="198" t="s">
        <v>110</v>
      </c>
      <c r="BK265" s="144">
        <v>45545</v>
      </c>
      <c r="BL265" s="198" t="s">
        <v>110</v>
      </c>
      <c r="BM265" s="145" t="s">
        <v>33</v>
      </c>
      <c r="CI265" s="200"/>
    </row>
    <row r="266" spans="1:103" s="149" customFormat="1" ht="30" customHeight="1">
      <c r="A266" s="134">
        <v>252</v>
      </c>
      <c r="B266" s="134" t="s">
        <v>99</v>
      </c>
      <c r="C266" s="134">
        <v>1</v>
      </c>
      <c r="D266" s="134" t="s">
        <v>100</v>
      </c>
      <c r="E266" s="134" t="s">
        <v>100</v>
      </c>
      <c r="F266" s="138" t="s">
        <v>1416</v>
      </c>
      <c r="G266" s="149" t="s">
        <v>1</v>
      </c>
      <c r="H266" s="149" t="s">
        <v>2</v>
      </c>
      <c r="I266" s="149" t="s">
        <v>108</v>
      </c>
      <c r="J266" s="152" t="s">
        <v>1417</v>
      </c>
      <c r="K266" s="152" t="s">
        <v>1418</v>
      </c>
      <c r="L266" s="152" t="s">
        <v>1419</v>
      </c>
      <c r="M266" s="134" t="s">
        <v>4</v>
      </c>
      <c r="N266" s="214" t="s">
        <v>5</v>
      </c>
      <c r="O266" s="194">
        <v>45268</v>
      </c>
      <c r="P266" s="144" t="s">
        <v>24</v>
      </c>
      <c r="Q266" s="144" t="s">
        <v>24</v>
      </c>
      <c r="R266" s="144" t="s">
        <v>24</v>
      </c>
      <c r="S266" s="144" t="s">
        <v>24</v>
      </c>
      <c r="T266" s="144" t="s">
        <v>24</v>
      </c>
      <c r="U266" s="144" t="s">
        <v>24</v>
      </c>
      <c r="V266" s="144" t="s">
        <v>24</v>
      </c>
      <c r="W266" s="144" t="s">
        <v>24</v>
      </c>
      <c r="X266" s="144" t="s">
        <v>24</v>
      </c>
      <c r="Y266" s="144" t="s">
        <v>24</v>
      </c>
      <c r="Z266" s="144" t="s">
        <v>24</v>
      </c>
      <c r="AB266" s="152" t="s">
        <v>1417</v>
      </c>
      <c r="AC266" s="152" t="s">
        <v>1418</v>
      </c>
      <c r="AD266" s="152" t="s">
        <v>1419</v>
      </c>
      <c r="AE266" s="149" t="s">
        <v>108</v>
      </c>
      <c r="AF266" s="149" t="s">
        <v>4</v>
      </c>
      <c r="AG266" s="208">
        <v>61787.83</v>
      </c>
      <c r="AH266" s="208">
        <v>61787.83</v>
      </c>
      <c r="AI266" s="214" t="s">
        <v>6</v>
      </c>
      <c r="AJ266" s="138" t="s">
        <v>109</v>
      </c>
      <c r="AK266" s="214"/>
      <c r="AL266" s="149" t="s">
        <v>110</v>
      </c>
      <c r="AM266" s="149" t="s">
        <v>110</v>
      </c>
      <c r="AN266" s="149" t="s">
        <v>111</v>
      </c>
      <c r="AP266" s="152" t="s">
        <v>1420</v>
      </c>
      <c r="AQ266" s="149" t="s">
        <v>110</v>
      </c>
      <c r="AR266" s="149" t="s">
        <v>110</v>
      </c>
      <c r="AS266" s="149" t="s">
        <v>110</v>
      </c>
      <c r="AT266" s="149" t="s">
        <v>110</v>
      </c>
      <c r="AU266" s="194">
        <v>45397</v>
      </c>
      <c r="AV266" s="149" t="s">
        <v>110</v>
      </c>
      <c r="AW266" s="149" t="s">
        <v>110</v>
      </c>
      <c r="AX266" s="194">
        <v>45406</v>
      </c>
      <c r="AY266" s="197">
        <v>45406</v>
      </c>
      <c r="AZ266" s="145" t="s">
        <v>33</v>
      </c>
      <c r="BA266" s="145" t="s">
        <v>113</v>
      </c>
      <c r="BB266" s="149" t="s">
        <v>110</v>
      </c>
      <c r="BC266" s="142">
        <f t="shared" si="9"/>
        <v>138</v>
      </c>
      <c r="BD266" s="134" t="str">
        <f t="shared" si="10"/>
        <v>INDENIZAÇÃO</v>
      </c>
      <c r="BE266" s="134" t="str">
        <f t="shared" si="11"/>
        <v>NÃO</v>
      </c>
      <c r="BF266" s="134" t="s">
        <v>24</v>
      </c>
      <c r="BG266" s="134" t="s">
        <v>24</v>
      </c>
      <c r="BH266" s="134" t="s">
        <v>24</v>
      </c>
      <c r="BI266" s="198" t="s">
        <v>110</v>
      </c>
      <c r="BJ266" s="198" t="s">
        <v>110</v>
      </c>
      <c r="BK266" s="144">
        <v>45545</v>
      </c>
      <c r="BL266" s="198" t="s">
        <v>110</v>
      </c>
      <c r="BM266" s="145" t="s">
        <v>33</v>
      </c>
      <c r="CI266" s="200"/>
    </row>
    <row r="267" spans="1:103" s="149" customFormat="1" ht="30" customHeight="1">
      <c r="A267" s="134">
        <v>253</v>
      </c>
      <c r="B267" s="134" t="s">
        <v>99</v>
      </c>
      <c r="C267" s="134">
        <v>1</v>
      </c>
      <c r="D267" s="134" t="s">
        <v>100</v>
      </c>
      <c r="E267" s="134" t="s">
        <v>100</v>
      </c>
      <c r="F267" s="138" t="s">
        <v>1421</v>
      </c>
      <c r="G267" s="149" t="s">
        <v>1</v>
      </c>
      <c r="H267" s="149" t="s">
        <v>2</v>
      </c>
      <c r="I267" s="149" t="s">
        <v>108</v>
      </c>
      <c r="J267" s="152" t="s">
        <v>1422</v>
      </c>
      <c r="K267" s="152" t="s">
        <v>1423</v>
      </c>
      <c r="L267" s="152" t="s">
        <v>1424</v>
      </c>
      <c r="M267" s="134" t="s">
        <v>4</v>
      </c>
      <c r="N267" s="214" t="s">
        <v>5</v>
      </c>
      <c r="O267" s="194">
        <v>45268</v>
      </c>
      <c r="P267" s="144" t="s">
        <v>24</v>
      </c>
      <c r="Q267" s="144" t="s">
        <v>24</v>
      </c>
      <c r="R267" s="144" t="s">
        <v>24</v>
      </c>
      <c r="S267" s="144" t="s">
        <v>24</v>
      </c>
      <c r="T267" s="144" t="s">
        <v>24</v>
      </c>
      <c r="U267" s="144" t="s">
        <v>24</v>
      </c>
      <c r="V267" s="144" t="s">
        <v>24</v>
      </c>
      <c r="W267" s="144" t="s">
        <v>24</v>
      </c>
      <c r="X267" s="144" t="s">
        <v>24</v>
      </c>
      <c r="Y267" s="144" t="s">
        <v>24</v>
      </c>
      <c r="Z267" s="144" t="s">
        <v>24</v>
      </c>
      <c r="AB267" s="152" t="s">
        <v>1422</v>
      </c>
      <c r="AC267" s="152" t="s">
        <v>1423</v>
      </c>
      <c r="AD267" s="152" t="s">
        <v>1424</v>
      </c>
      <c r="AE267" s="149" t="s">
        <v>108</v>
      </c>
      <c r="AF267" s="149" t="s">
        <v>4</v>
      </c>
      <c r="AG267" s="208">
        <v>7296.85</v>
      </c>
      <c r="AH267" s="208">
        <v>37296.85</v>
      </c>
      <c r="AI267" s="214" t="s">
        <v>6</v>
      </c>
      <c r="AJ267" s="138" t="s">
        <v>109</v>
      </c>
      <c r="AK267" s="214"/>
      <c r="AL267" s="149" t="s">
        <v>110</v>
      </c>
      <c r="AM267" s="198" t="s">
        <v>110</v>
      </c>
      <c r="AN267" s="198" t="s">
        <v>111</v>
      </c>
      <c r="AP267" s="152" t="s">
        <v>1425</v>
      </c>
      <c r="AQ267" s="149" t="s">
        <v>110</v>
      </c>
      <c r="AR267" s="149" t="s">
        <v>110</v>
      </c>
      <c r="AS267" s="149" t="s">
        <v>110</v>
      </c>
      <c r="AT267" s="149" t="s">
        <v>110</v>
      </c>
      <c r="AU267" s="194">
        <v>45373</v>
      </c>
      <c r="AV267" s="149" t="s">
        <v>110</v>
      </c>
      <c r="AW267" s="149" t="s">
        <v>110</v>
      </c>
      <c r="AX267" s="194">
        <v>45460</v>
      </c>
      <c r="AY267" s="197">
        <v>45460</v>
      </c>
      <c r="AZ267" s="145" t="s">
        <v>33</v>
      </c>
      <c r="BA267" s="145" t="s">
        <v>113</v>
      </c>
      <c r="BB267" s="149" t="s">
        <v>110</v>
      </c>
      <c r="BC267" s="142">
        <f t="shared" si="9"/>
        <v>192</v>
      </c>
      <c r="BD267" s="134" t="str">
        <f t="shared" si="10"/>
        <v>INDENIZAÇÃO</v>
      </c>
      <c r="BE267" s="134" t="str">
        <f t="shared" si="11"/>
        <v>NÃO</v>
      </c>
      <c r="BF267" s="134" t="s">
        <v>24</v>
      </c>
      <c r="BG267" s="134" t="s">
        <v>24</v>
      </c>
      <c r="BH267" s="134" t="s">
        <v>24</v>
      </c>
      <c r="BI267" s="198" t="s">
        <v>110</v>
      </c>
      <c r="BJ267" s="198" t="s">
        <v>110</v>
      </c>
      <c r="BK267" s="144">
        <v>45545</v>
      </c>
      <c r="BL267" s="198" t="s">
        <v>110</v>
      </c>
      <c r="BM267" s="145" t="s">
        <v>33</v>
      </c>
      <c r="CI267" s="200"/>
    </row>
    <row r="268" spans="1:103" s="149" customFormat="1" ht="30" customHeight="1">
      <c r="A268" s="134">
        <v>254</v>
      </c>
      <c r="B268" s="134" t="s">
        <v>99</v>
      </c>
      <c r="C268" s="134">
        <v>1</v>
      </c>
      <c r="D268" s="134" t="s">
        <v>100</v>
      </c>
      <c r="E268" s="134" t="s">
        <v>100</v>
      </c>
      <c r="F268" s="138" t="s">
        <v>1426</v>
      </c>
      <c r="G268" s="149" t="s">
        <v>344</v>
      </c>
      <c r="H268" s="149" t="s">
        <v>2</v>
      </c>
      <c r="I268" s="149" t="s">
        <v>287</v>
      </c>
      <c r="J268" s="152" t="s">
        <v>1427</v>
      </c>
      <c r="K268" s="152" t="s">
        <v>1428</v>
      </c>
      <c r="L268" s="152" t="s">
        <v>1429</v>
      </c>
      <c r="M268" s="134" t="s">
        <v>4</v>
      </c>
      <c r="N268" s="134" t="s">
        <v>5</v>
      </c>
      <c r="O268" s="194">
        <v>45280</v>
      </c>
      <c r="P268" s="144" t="s">
        <v>24</v>
      </c>
      <c r="Q268" s="144" t="s">
        <v>24</v>
      </c>
      <c r="R268" s="144" t="s">
        <v>24</v>
      </c>
      <c r="S268" s="144" t="s">
        <v>24</v>
      </c>
      <c r="T268" s="144" t="s">
        <v>24</v>
      </c>
      <c r="U268" s="144" t="s">
        <v>24</v>
      </c>
      <c r="V268" s="144" t="s">
        <v>24</v>
      </c>
      <c r="W268" s="144" t="s">
        <v>24</v>
      </c>
      <c r="X268" s="144" t="s">
        <v>24</v>
      </c>
      <c r="Y268" s="144" t="s">
        <v>24</v>
      </c>
      <c r="Z268" s="144" t="s">
        <v>24</v>
      </c>
      <c r="AB268" s="152" t="s">
        <v>1427</v>
      </c>
      <c r="AC268" s="152" t="s">
        <v>1428</v>
      </c>
      <c r="AD268" s="152" t="s">
        <v>1429</v>
      </c>
      <c r="AE268" s="134" t="s">
        <v>287</v>
      </c>
      <c r="AF268" s="149" t="s">
        <v>4</v>
      </c>
      <c r="AG268" s="208">
        <v>14111.08</v>
      </c>
      <c r="AH268" s="208">
        <f>AG268+30000</f>
        <v>44111.08</v>
      </c>
      <c r="AI268" s="214" t="s">
        <v>6</v>
      </c>
      <c r="AJ268" s="138" t="s">
        <v>109</v>
      </c>
      <c r="AK268" s="214"/>
      <c r="AL268" s="149" t="s">
        <v>110</v>
      </c>
      <c r="AM268" s="149" t="s">
        <v>110</v>
      </c>
      <c r="AN268" s="149" t="s">
        <v>111</v>
      </c>
      <c r="AO268" s="149" t="s">
        <v>1430</v>
      </c>
      <c r="AP268" s="152" t="s">
        <v>1431</v>
      </c>
      <c r="AQ268" s="149" t="s">
        <v>110</v>
      </c>
      <c r="AR268" s="149" t="s">
        <v>110</v>
      </c>
      <c r="AS268" s="149" t="s">
        <v>110</v>
      </c>
      <c r="AT268" s="149" t="s">
        <v>110</v>
      </c>
      <c r="AU268" s="194">
        <v>45558</v>
      </c>
      <c r="AV268" s="149" t="s">
        <v>110</v>
      </c>
      <c r="AW268" s="149" t="s">
        <v>110</v>
      </c>
      <c r="AX268" s="194">
        <v>45562</v>
      </c>
      <c r="AY268" s="197">
        <v>45562</v>
      </c>
      <c r="AZ268" s="145" t="s">
        <v>33</v>
      </c>
      <c r="BA268" s="145" t="s">
        <v>113</v>
      </c>
      <c r="BB268" s="149" t="s">
        <v>110</v>
      </c>
      <c r="BC268" s="142">
        <f t="shared" si="9"/>
        <v>282</v>
      </c>
      <c r="BD268" s="134" t="str">
        <f t="shared" si="10"/>
        <v>INDENIZAÇÃO</v>
      </c>
      <c r="BE268" s="134" t="str">
        <f t="shared" si="11"/>
        <v>NÃO</v>
      </c>
      <c r="BF268" s="149" t="s">
        <v>24</v>
      </c>
      <c r="BG268" s="149" t="s">
        <v>24</v>
      </c>
      <c r="BH268" s="149" t="s">
        <v>24</v>
      </c>
      <c r="BI268" s="198" t="s">
        <v>110</v>
      </c>
      <c r="BJ268" s="198" t="s">
        <v>110</v>
      </c>
      <c r="BK268" s="194">
        <v>45621</v>
      </c>
      <c r="BL268" s="198" t="s">
        <v>110</v>
      </c>
      <c r="BM268" s="145" t="s">
        <v>33</v>
      </c>
      <c r="CI268" s="200"/>
    </row>
    <row r="269" spans="1:103" s="149" customFormat="1" ht="30" customHeight="1">
      <c r="A269" s="134">
        <v>255</v>
      </c>
      <c r="B269" s="245" t="s">
        <v>99</v>
      </c>
      <c r="C269" s="245">
        <v>1</v>
      </c>
      <c r="D269" s="245" t="s">
        <v>100</v>
      </c>
      <c r="E269" s="245" t="s">
        <v>100</v>
      </c>
      <c r="F269" s="246" t="s">
        <v>1432</v>
      </c>
      <c r="G269" s="149" t="s">
        <v>1</v>
      </c>
      <c r="H269" s="149" t="s">
        <v>2</v>
      </c>
      <c r="I269" s="149" t="s">
        <v>108</v>
      </c>
      <c r="J269" s="152" t="s">
        <v>1433</v>
      </c>
      <c r="K269" s="152" t="s">
        <v>1434</v>
      </c>
      <c r="L269" s="152" t="s">
        <v>1435</v>
      </c>
      <c r="M269" s="245" t="s">
        <v>4</v>
      </c>
      <c r="N269" s="245" t="s">
        <v>5</v>
      </c>
      <c r="O269" s="256">
        <v>45455</v>
      </c>
      <c r="P269" s="249" t="s">
        <v>24</v>
      </c>
      <c r="Q269" s="249" t="s">
        <v>24</v>
      </c>
      <c r="R269" s="249" t="s">
        <v>24</v>
      </c>
      <c r="S269" s="249" t="s">
        <v>24</v>
      </c>
      <c r="T269" s="249" t="s">
        <v>24</v>
      </c>
      <c r="U269" s="249" t="s">
        <v>24</v>
      </c>
      <c r="V269" s="249" t="s">
        <v>24</v>
      </c>
      <c r="W269" s="249" t="s">
        <v>24</v>
      </c>
      <c r="X269" s="249" t="s">
        <v>24</v>
      </c>
      <c r="Y269" s="249" t="s">
        <v>24</v>
      </c>
      <c r="Z269" s="249" t="s">
        <v>24</v>
      </c>
      <c r="AA269" s="250"/>
      <c r="AB269" s="152" t="s">
        <v>1433</v>
      </c>
      <c r="AC269" s="152" t="s">
        <v>1434</v>
      </c>
      <c r="AD269" s="152" t="s">
        <v>1435</v>
      </c>
      <c r="AE269" s="149" t="s">
        <v>108</v>
      </c>
      <c r="AF269" s="250" t="s">
        <v>4</v>
      </c>
      <c r="AG269" s="208">
        <v>40709.64</v>
      </c>
      <c r="AH269" s="208">
        <v>60000</v>
      </c>
      <c r="AI269" s="245" t="s">
        <v>6</v>
      </c>
      <c r="AJ269" s="246" t="s">
        <v>109</v>
      </c>
      <c r="AK269" s="245"/>
      <c r="AL269" s="250" t="s">
        <v>110</v>
      </c>
      <c r="AM269" s="250" t="s">
        <v>110</v>
      </c>
      <c r="AN269" s="250" t="s">
        <v>111</v>
      </c>
      <c r="AO269" s="250"/>
      <c r="AP269" s="253" t="s">
        <v>1436</v>
      </c>
      <c r="AQ269" s="250" t="s">
        <v>110</v>
      </c>
      <c r="AR269" s="250" t="s">
        <v>110</v>
      </c>
      <c r="AS269" s="250" t="s">
        <v>110</v>
      </c>
      <c r="AT269" s="250" t="s">
        <v>110</v>
      </c>
      <c r="AU269" s="256">
        <v>45525</v>
      </c>
      <c r="AV269" s="250" t="s">
        <v>110</v>
      </c>
      <c r="AW269" s="250" t="s">
        <v>110</v>
      </c>
      <c r="AX269" s="256">
        <v>45531</v>
      </c>
      <c r="AY269" s="249">
        <v>45531</v>
      </c>
      <c r="AZ269" s="245" t="s">
        <v>360</v>
      </c>
      <c r="BA269" s="245" t="s">
        <v>1</v>
      </c>
      <c r="BB269" s="250" t="s">
        <v>110</v>
      </c>
      <c r="BC269" s="142">
        <f t="shared" si="9"/>
        <v>76</v>
      </c>
      <c r="BD269" s="134" t="str">
        <f t="shared" si="10"/>
        <v>INDENIZAÇÃO</v>
      </c>
      <c r="BE269" s="134" t="str">
        <f t="shared" si="11"/>
        <v>NÃO</v>
      </c>
      <c r="BF269" s="245" t="s">
        <v>24</v>
      </c>
      <c r="BG269" s="245" t="s">
        <v>24</v>
      </c>
      <c r="BH269" s="245" t="s">
        <v>24</v>
      </c>
      <c r="BI269" s="250" t="s">
        <v>110</v>
      </c>
      <c r="BJ269" s="250" t="s">
        <v>110</v>
      </c>
      <c r="BK269" s="256">
        <v>45559</v>
      </c>
      <c r="BL269" s="250" t="s">
        <v>110</v>
      </c>
      <c r="BM269" s="250" t="s">
        <v>33</v>
      </c>
      <c r="CI269" s="200"/>
    </row>
    <row r="270" spans="1:103" s="149" customFormat="1" ht="30" customHeight="1">
      <c r="A270" s="134">
        <v>256</v>
      </c>
      <c r="B270" s="245" t="s">
        <v>99</v>
      </c>
      <c r="C270" s="245">
        <v>1</v>
      </c>
      <c r="D270" s="245" t="s">
        <v>100</v>
      </c>
      <c r="E270" s="245" t="s">
        <v>100</v>
      </c>
      <c r="F270" s="246" t="s">
        <v>1437</v>
      </c>
      <c r="G270" s="149" t="s">
        <v>1</v>
      </c>
      <c r="H270" s="149" t="s">
        <v>2</v>
      </c>
      <c r="I270" s="149" t="s">
        <v>108</v>
      </c>
      <c r="J270" s="152" t="s">
        <v>1438</v>
      </c>
      <c r="K270" s="152" t="s">
        <v>1439</v>
      </c>
      <c r="L270" s="152" t="s">
        <v>1440</v>
      </c>
      <c r="M270" s="245" t="s">
        <v>4</v>
      </c>
      <c r="N270" s="245" t="s">
        <v>5</v>
      </c>
      <c r="O270" s="256">
        <v>45341</v>
      </c>
      <c r="P270" s="249" t="s">
        <v>24</v>
      </c>
      <c r="Q270" s="249" t="s">
        <v>24</v>
      </c>
      <c r="R270" s="249" t="s">
        <v>24</v>
      </c>
      <c r="S270" s="249" t="s">
        <v>24</v>
      </c>
      <c r="T270" s="249" t="s">
        <v>24</v>
      </c>
      <c r="U270" s="249" t="s">
        <v>24</v>
      </c>
      <c r="V270" s="249" t="s">
        <v>24</v>
      </c>
      <c r="W270" s="249" t="s">
        <v>24</v>
      </c>
      <c r="X270" s="249" t="s">
        <v>24</v>
      </c>
      <c r="Y270" s="249" t="s">
        <v>24</v>
      </c>
      <c r="Z270" s="249" t="s">
        <v>24</v>
      </c>
      <c r="AA270" s="250"/>
      <c r="AB270" s="152" t="s">
        <v>1438</v>
      </c>
      <c r="AC270" s="152" t="s">
        <v>1439</v>
      </c>
      <c r="AD270" s="152" t="s">
        <v>1440</v>
      </c>
      <c r="AE270" s="149" t="s">
        <v>108</v>
      </c>
      <c r="AF270" s="250" t="s">
        <v>4</v>
      </c>
      <c r="AG270" s="208">
        <v>106973.12</v>
      </c>
      <c r="AH270" s="208">
        <v>106973.12</v>
      </c>
      <c r="AI270" s="245" t="s">
        <v>6</v>
      </c>
      <c r="AJ270" s="246" t="s">
        <v>109</v>
      </c>
      <c r="AK270" s="245"/>
      <c r="AL270" s="250" t="s">
        <v>110</v>
      </c>
      <c r="AM270" s="250" t="s">
        <v>110</v>
      </c>
      <c r="AN270" s="250" t="s">
        <v>111</v>
      </c>
      <c r="AO270" s="250"/>
      <c r="AP270" s="253" t="s">
        <v>1441</v>
      </c>
      <c r="AQ270" s="250" t="s">
        <v>110</v>
      </c>
      <c r="AR270" s="250" t="s">
        <v>110</v>
      </c>
      <c r="AS270" s="250" t="s">
        <v>110</v>
      </c>
      <c r="AT270" s="250" t="s">
        <v>110</v>
      </c>
      <c r="AU270" s="256">
        <v>45397</v>
      </c>
      <c r="AV270" s="250" t="s">
        <v>110</v>
      </c>
      <c r="AW270" s="250" t="s">
        <v>110</v>
      </c>
      <c r="AX270" s="256">
        <v>45406</v>
      </c>
      <c r="AY270" s="249">
        <v>45406</v>
      </c>
      <c r="AZ270" s="245" t="s">
        <v>360</v>
      </c>
      <c r="BA270" s="245" t="s">
        <v>1</v>
      </c>
      <c r="BB270" s="250" t="s">
        <v>110</v>
      </c>
      <c r="BC270" s="142">
        <f t="shared" si="9"/>
        <v>65</v>
      </c>
      <c r="BD270" s="134" t="str">
        <f t="shared" si="10"/>
        <v>INDENIZAÇÃO</v>
      </c>
      <c r="BE270" s="134" t="str">
        <f t="shared" si="11"/>
        <v>NÃO</v>
      </c>
      <c r="BF270" s="245" t="s">
        <v>24</v>
      </c>
      <c r="BG270" s="245" t="s">
        <v>24</v>
      </c>
      <c r="BH270" s="245" t="s">
        <v>24</v>
      </c>
      <c r="BI270" s="250" t="s">
        <v>110</v>
      </c>
      <c r="BJ270" s="250" t="s">
        <v>110</v>
      </c>
      <c r="BK270" s="249">
        <v>45545</v>
      </c>
      <c r="BL270" s="250" t="s">
        <v>110</v>
      </c>
      <c r="BM270" s="250" t="s">
        <v>33</v>
      </c>
      <c r="CI270" s="200"/>
    </row>
    <row r="271" spans="1:103" s="149" customFormat="1" ht="30" customHeight="1">
      <c r="A271" s="134">
        <v>257</v>
      </c>
      <c r="B271" s="134" t="s">
        <v>99</v>
      </c>
      <c r="C271" s="134">
        <v>1</v>
      </c>
      <c r="D271" s="134" t="s">
        <v>100</v>
      </c>
      <c r="E271" s="134" t="s">
        <v>100</v>
      </c>
      <c r="F271" s="138" t="s">
        <v>1442</v>
      </c>
      <c r="G271" s="149" t="s">
        <v>1</v>
      </c>
      <c r="H271" s="149" t="s">
        <v>2</v>
      </c>
      <c r="I271" s="149" t="s">
        <v>387</v>
      </c>
      <c r="J271" s="152" t="s">
        <v>1443</v>
      </c>
      <c r="K271" s="152" t="s">
        <v>1444</v>
      </c>
      <c r="L271" s="152" t="s">
        <v>1445</v>
      </c>
      <c r="M271" s="134" t="s">
        <v>4</v>
      </c>
      <c r="N271" s="214" t="s">
        <v>14</v>
      </c>
      <c r="O271" s="194">
        <v>45852</v>
      </c>
      <c r="P271" s="197" t="s">
        <v>17</v>
      </c>
      <c r="Q271" s="264" t="s">
        <v>283</v>
      </c>
      <c r="R271" s="197"/>
      <c r="S271" s="197"/>
      <c r="T271" s="197"/>
      <c r="U271" s="197"/>
      <c r="V271" s="197"/>
      <c r="W271" s="197"/>
      <c r="X271" s="197"/>
      <c r="Y271" s="197"/>
      <c r="Z271" s="197"/>
      <c r="AB271" s="152" t="s">
        <v>1446</v>
      </c>
      <c r="AC271" s="152" t="s">
        <v>1447</v>
      </c>
      <c r="AD271" s="152" t="s">
        <v>1448</v>
      </c>
      <c r="AE271" s="134" t="s">
        <v>287</v>
      </c>
      <c r="AF271" s="149" t="s">
        <v>4</v>
      </c>
      <c r="AG271" s="208" t="s">
        <v>24</v>
      </c>
      <c r="AH271" s="208" t="s">
        <v>24</v>
      </c>
      <c r="AI271" s="214" t="s">
        <v>467</v>
      </c>
      <c r="AJ271" s="214" t="s">
        <v>24</v>
      </c>
      <c r="AK271" s="214" t="s">
        <v>24</v>
      </c>
      <c r="AL271" s="214" t="s">
        <v>24</v>
      </c>
      <c r="AM271" s="214" t="s">
        <v>24</v>
      </c>
      <c r="AN271" s="214" t="s">
        <v>24</v>
      </c>
      <c r="AO271" s="214" t="s">
        <v>1449</v>
      </c>
      <c r="AP271" s="214" t="s">
        <v>24</v>
      </c>
      <c r="AQ271" s="214" t="s">
        <v>24</v>
      </c>
      <c r="AR271" s="214" t="s">
        <v>24</v>
      </c>
      <c r="AS271" s="214" t="s">
        <v>24</v>
      </c>
      <c r="AT271" s="214" t="s">
        <v>24</v>
      </c>
      <c r="AU271" s="214" t="s">
        <v>24</v>
      </c>
      <c r="AV271" s="214" t="s">
        <v>24</v>
      </c>
      <c r="AW271" s="214" t="s">
        <v>24</v>
      </c>
      <c r="AX271" s="214" t="s">
        <v>24</v>
      </c>
      <c r="AY271" s="214" t="s">
        <v>24</v>
      </c>
      <c r="AZ271" s="145" t="s">
        <v>33</v>
      </c>
      <c r="BA271" s="145" t="s">
        <v>113</v>
      </c>
      <c r="BB271" s="250" t="s">
        <v>110</v>
      </c>
      <c r="BC271" s="142" t="e">
        <f t="shared" si="9"/>
        <v>#VALUE!</v>
      </c>
      <c r="BD271" s="134" t="str">
        <f t="shared" si="10"/>
        <v>INDENIZAÇÃO</v>
      </c>
      <c r="BE271" s="134" t="str">
        <f t="shared" si="11"/>
        <v>NÃO</v>
      </c>
      <c r="BF271" s="214" t="s">
        <v>24</v>
      </c>
      <c r="BG271" s="214" t="s">
        <v>24</v>
      </c>
      <c r="BH271" s="214" t="s">
        <v>24</v>
      </c>
      <c r="BI271" s="214" t="s">
        <v>24</v>
      </c>
      <c r="BJ271" s="214" t="s">
        <v>24</v>
      </c>
      <c r="BK271" s="214" t="s">
        <v>24</v>
      </c>
      <c r="BL271" s="214" t="s">
        <v>24</v>
      </c>
      <c r="BM271" s="250" t="s">
        <v>110</v>
      </c>
      <c r="CI271" s="200"/>
    </row>
    <row r="272" spans="1:103" s="149" customFormat="1" ht="30" customHeight="1">
      <c r="A272" s="134">
        <v>258</v>
      </c>
      <c r="B272" s="134" t="s">
        <v>99</v>
      </c>
      <c r="C272" s="134">
        <v>1</v>
      </c>
      <c r="D272" s="134" t="s">
        <v>100</v>
      </c>
      <c r="E272" s="134" t="s">
        <v>100</v>
      </c>
      <c r="F272" s="138" t="s">
        <v>1450</v>
      </c>
      <c r="G272" s="149" t="s">
        <v>344</v>
      </c>
      <c r="H272" s="149" t="s">
        <v>2</v>
      </c>
      <c r="I272" s="149" t="s">
        <v>287</v>
      </c>
      <c r="J272" s="152" t="s">
        <v>1446</v>
      </c>
      <c r="K272" s="152" t="s">
        <v>1447</v>
      </c>
      <c r="L272" s="152" t="s">
        <v>1448</v>
      </c>
      <c r="M272" s="134" t="s">
        <v>4</v>
      </c>
      <c r="N272" s="214" t="s">
        <v>5</v>
      </c>
      <c r="O272" s="194">
        <v>45852</v>
      </c>
      <c r="P272" s="144" t="s">
        <v>24</v>
      </c>
      <c r="Q272" s="144" t="s">
        <v>24</v>
      </c>
      <c r="R272" s="144" t="s">
        <v>24</v>
      </c>
      <c r="S272" s="144" t="s">
        <v>24</v>
      </c>
      <c r="T272" s="144" t="s">
        <v>24</v>
      </c>
      <c r="U272" s="144" t="s">
        <v>24</v>
      </c>
      <c r="V272" s="144" t="s">
        <v>24</v>
      </c>
      <c r="W272" s="144" t="s">
        <v>24</v>
      </c>
      <c r="X272" s="144" t="s">
        <v>24</v>
      </c>
      <c r="Y272" s="144" t="s">
        <v>24</v>
      </c>
      <c r="Z272" s="144" t="s">
        <v>24</v>
      </c>
      <c r="AB272" s="152" t="s">
        <v>1446</v>
      </c>
      <c r="AC272" s="152" t="s">
        <v>1447</v>
      </c>
      <c r="AD272" s="152" t="s">
        <v>1448</v>
      </c>
      <c r="AE272" s="134" t="s">
        <v>287</v>
      </c>
      <c r="AF272" s="149" t="s">
        <v>4</v>
      </c>
      <c r="AG272" s="208">
        <v>30045.21</v>
      </c>
      <c r="AH272" s="208">
        <v>60000</v>
      </c>
      <c r="AI272" s="214" t="s">
        <v>6</v>
      </c>
      <c r="AJ272" s="138" t="s">
        <v>109</v>
      </c>
      <c r="AK272" s="214">
        <v>110306818</v>
      </c>
      <c r="AL272" s="149" t="s">
        <v>110</v>
      </c>
      <c r="AM272" s="149" t="s">
        <v>110</v>
      </c>
      <c r="AN272" s="149" t="s">
        <v>111</v>
      </c>
      <c r="AP272" s="152" t="s">
        <v>1451</v>
      </c>
      <c r="AQ272" s="198" t="s">
        <v>110</v>
      </c>
      <c r="AR272" s="198" t="s">
        <v>110</v>
      </c>
      <c r="AS272" s="198" t="s">
        <v>110</v>
      </c>
      <c r="AT272" s="198" t="s">
        <v>110</v>
      </c>
      <c r="AU272" s="161">
        <v>45890</v>
      </c>
      <c r="AV272" s="198" t="s">
        <v>110</v>
      </c>
      <c r="AW272" s="198" t="s">
        <v>110</v>
      </c>
      <c r="AX272" s="161">
        <v>45902</v>
      </c>
      <c r="AY272" s="140">
        <v>45902</v>
      </c>
      <c r="AZ272" s="140" t="s">
        <v>33</v>
      </c>
      <c r="BA272" s="141" t="s">
        <v>113</v>
      </c>
      <c r="BB272" s="149" t="s">
        <v>110</v>
      </c>
      <c r="BC272" s="142">
        <f t="shared" si="9"/>
        <v>50</v>
      </c>
      <c r="BD272" s="134" t="str">
        <f t="shared" si="10"/>
        <v>INDENIZAÇÃO</v>
      </c>
      <c r="BE272" s="134" t="str">
        <f t="shared" si="11"/>
        <v>NÃO</v>
      </c>
      <c r="BF272" s="149" t="s">
        <v>24</v>
      </c>
      <c r="BG272" s="149" t="s">
        <v>24</v>
      </c>
      <c r="BH272" s="149" t="s">
        <v>24</v>
      </c>
      <c r="BI272" s="198" t="s">
        <v>110</v>
      </c>
      <c r="BJ272" s="198" t="s">
        <v>110</v>
      </c>
      <c r="BK272" s="161">
        <v>45923</v>
      </c>
      <c r="BL272" s="198" t="s">
        <v>110</v>
      </c>
      <c r="BM272" s="145" t="s">
        <v>33</v>
      </c>
      <c r="CI272" s="200"/>
    </row>
    <row r="273" spans="1:92" s="149" customFormat="1" ht="30" customHeight="1">
      <c r="A273" s="134">
        <v>259</v>
      </c>
      <c r="B273" s="134" t="s">
        <v>99</v>
      </c>
      <c r="C273" s="134">
        <v>1</v>
      </c>
      <c r="D273" s="134" t="s">
        <v>100</v>
      </c>
      <c r="E273" s="134" t="s">
        <v>100</v>
      </c>
      <c r="F273" s="138" t="s">
        <v>1452</v>
      </c>
      <c r="G273" s="149" t="s">
        <v>1</v>
      </c>
      <c r="H273" s="149" t="s">
        <v>2</v>
      </c>
      <c r="I273" s="149" t="s">
        <v>108</v>
      </c>
      <c r="J273" s="152" t="s">
        <v>1453</v>
      </c>
      <c r="K273" s="152" t="s">
        <v>1454</v>
      </c>
      <c r="L273" s="152" t="s">
        <v>1455</v>
      </c>
      <c r="M273" s="134" t="s">
        <v>4</v>
      </c>
      <c r="N273" s="214" t="s">
        <v>5</v>
      </c>
      <c r="O273" s="194">
        <v>45756</v>
      </c>
      <c r="P273" s="144" t="s">
        <v>24</v>
      </c>
      <c r="Q273" s="144" t="s">
        <v>24</v>
      </c>
      <c r="R273" s="144" t="s">
        <v>24</v>
      </c>
      <c r="S273" s="144" t="s">
        <v>24</v>
      </c>
      <c r="T273" s="144" t="s">
        <v>24</v>
      </c>
      <c r="U273" s="144" t="s">
        <v>24</v>
      </c>
      <c r="V273" s="144" t="s">
        <v>24</v>
      </c>
      <c r="W273" s="144" t="s">
        <v>24</v>
      </c>
      <c r="X273" s="144" t="s">
        <v>24</v>
      </c>
      <c r="Y273" s="144" t="s">
        <v>24</v>
      </c>
      <c r="Z273" s="144" t="s">
        <v>24</v>
      </c>
      <c r="AB273" s="152" t="s">
        <v>1453</v>
      </c>
      <c r="AC273" s="152" t="s">
        <v>1454</v>
      </c>
      <c r="AD273" s="152" t="s">
        <v>1455</v>
      </c>
      <c r="AE273" s="149" t="s">
        <v>108</v>
      </c>
      <c r="AF273" s="149" t="s">
        <v>4</v>
      </c>
      <c r="AG273" s="208">
        <v>16833.96</v>
      </c>
      <c r="AH273" s="208">
        <v>46833.96</v>
      </c>
      <c r="AI273" s="214" t="s">
        <v>6</v>
      </c>
      <c r="AJ273" s="138" t="s">
        <v>109</v>
      </c>
      <c r="AK273" s="214">
        <v>110306937</v>
      </c>
      <c r="AL273" s="134" t="s">
        <v>110</v>
      </c>
      <c r="AM273" s="134" t="s">
        <v>110</v>
      </c>
      <c r="AN273" s="134" t="s">
        <v>111</v>
      </c>
      <c r="AP273" s="152" t="s">
        <v>1456</v>
      </c>
      <c r="AQ273" s="198" t="s">
        <v>110</v>
      </c>
      <c r="AR273" s="149" t="s">
        <v>110</v>
      </c>
      <c r="AS273" s="198" t="s">
        <v>110</v>
      </c>
      <c r="AT273" s="198" t="s">
        <v>110</v>
      </c>
      <c r="AU273" s="194">
        <v>45806</v>
      </c>
      <c r="AV273" s="198" t="s">
        <v>110</v>
      </c>
      <c r="AW273" s="198" t="s">
        <v>110</v>
      </c>
      <c r="AX273" s="194">
        <v>45812</v>
      </c>
      <c r="AY273" s="197">
        <v>45812</v>
      </c>
      <c r="AZ273" s="145" t="s">
        <v>33</v>
      </c>
      <c r="BA273" s="145" t="s">
        <v>113</v>
      </c>
      <c r="BB273" s="149" t="s">
        <v>110</v>
      </c>
      <c r="BC273" s="142">
        <f t="shared" si="9"/>
        <v>56</v>
      </c>
      <c r="BD273" s="134" t="str">
        <f t="shared" si="10"/>
        <v>INDENIZAÇÃO</v>
      </c>
      <c r="BE273" s="134" t="str">
        <f t="shared" si="11"/>
        <v>NÃO</v>
      </c>
      <c r="BF273" s="134" t="s">
        <v>24</v>
      </c>
      <c r="BG273" s="134" t="s">
        <v>24</v>
      </c>
      <c r="BH273" s="134" t="s">
        <v>24</v>
      </c>
      <c r="BI273" s="198" t="s">
        <v>110</v>
      </c>
      <c r="BJ273" s="198" t="s">
        <v>110</v>
      </c>
      <c r="BK273" s="194">
        <v>45859</v>
      </c>
      <c r="BL273" s="149" t="s">
        <v>110</v>
      </c>
      <c r="BM273" s="141" t="s">
        <v>33</v>
      </c>
      <c r="CI273" s="200"/>
    </row>
    <row r="274" spans="1:92" s="149" customFormat="1" ht="30" customHeight="1">
      <c r="A274" s="134">
        <v>260</v>
      </c>
      <c r="B274" s="134" t="s">
        <v>99</v>
      </c>
      <c r="C274" s="134">
        <v>1</v>
      </c>
      <c r="D274" s="134" t="s">
        <v>100</v>
      </c>
      <c r="E274" s="134" t="s">
        <v>100</v>
      </c>
      <c r="F274" s="138" t="s">
        <v>1457</v>
      </c>
      <c r="G274" s="149" t="s">
        <v>344</v>
      </c>
      <c r="H274" s="149" t="s">
        <v>2</v>
      </c>
      <c r="I274" s="149" t="s">
        <v>287</v>
      </c>
      <c r="J274" s="152" t="s">
        <v>1458</v>
      </c>
      <c r="K274" s="152" t="s">
        <v>1459</v>
      </c>
      <c r="L274" s="152" t="s">
        <v>1460</v>
      </c>
      <c r="M274" s="134" t="s">
        <v>4</v>
      </c>
      <c r="N274" s="214"/>
      <c r="O274" s="194"/>
      <c r="P274" s="144"/>
      <c r="Q274" s="263"/>
      <c r="R274" s="144"/>
      <c r="S274" s="144"/>
      <c r="T274" s="144"/>
      <c r="U274" s="144"/>
      <c r="V274" s="144"/>
      <c r="W274" s="144"/>
      <c r="X274" s="144"/>
      <c r="Y274" s="144"/>
      <c r="Z274" s="144"/>
      <c r="AB274" s="152" t="s">
        <v>1458</v>
      </c>
      <c r="AC274" s="152" t="s">
        <v>1459</v>
      </c>
      <c r="AD274" s="152" t="s">
        <v>1460</v>
      </c>
      <c r="AE274" s="134" t="s">
        <v>287</v>
      </c>
      <c r="AG274" s="208"/>
      <c r="AH274" s="208"/>
      <c r="AI274" s="232"/>
      <c r="AJ274" s="214"/>
      <c r="AK274" s="214"/>
      <c r="AP274" s="152"/>
      <c r="BC274" s="142" t="str">
        <f t="shared" si="9"/>
        <v/>
      </c>
      <c r="BD274" s="134" t="str">
        <f t="shared" si="10"/>
        <v>INDENIZAÇÃO</v>
      </c>
      <c r="BE274" s="134" t="str">
        <f t="shared" si="11"/>
        <v>NÃO</v>
      </c>
      <c r="BG274" s="194"/>
      <c r="BH274" s="194"/>
      <c r="CI274" s="200"/>
    </row>
    <row r="275" spans="1:92" s="149" customFormat="1" ht="30" customHeight="1">
      <c r="A275" s="134">
        <v>261</v>
      </c>
      <c r="B275" s="134" t="s">
        <v>99</v>
      </c>
      <c r="C275" s="134">
        <v>1</v>
      </c>
      <c r="D275" s="134" t="s">
        <v>100</v>
      </c>
      <c r="E275" s="134" t="s">
        <v>100</v>
      </c>
      <c r="F275" s="138" t="s">
        <v>1461</v>
      </c>
      <c r="G275" s="149" t="s">
        <v>344</v>
      </c>
      <c r="H275" s="149" t="s">
        <v>2</v>
      </c>
      <c r="I275" s="149" t="s">
        <v>287</v>
      </c>
      <c r="J275" s="152" t="s">
        <v>1458</v>
      </c>
      <c r="K275" s="152" t="s">
        <v>1462</v>
      </c>
      <c r="L275" s="152" t="s">
        <v>1463</v>
      </c>
      <c r="M275" s="134" t="s">
        <v>4</v>
      </c>
      <c r="N275" s="214"/>
      <c r="O275" s="194"/>
      <c r="P275" s="144"/>
      <c r="Q275" s="263"/>
      <c r="R275" s="144"/>
      <c r="S275" s="144"/>
      <c r="T275" s="144"/>
      <c r="U275" s="144"/>
      <c r="V275" s="144"/>
      <c r="W275" s="144"/>
      <c r="X275" s="144"/>
      <c r="Y275" s="144"/>
      <c r="Z275" s="144"/>
      <c r="AB275" s="152" t="s">
        <v>1458</v>
      </c>
      <c r="AC275" s="152" t="s">
        <v>1459</v>
      </c>
      <c r="AD275" s="152" t="s">
        <v>1460</v>
      </c>
      <c r="AE275" s="134" t="s">
        <v>287</v>
      </c>
      <c r="AG275" s="208"/>
      <c r="AH275" s="208"/>
      <c r="AI275" s="214"/>
      <c r="AJ275" s="239"/>
      <c r="AK275" s="214"/>
      <c r="AP275" s="152"/>
      <c r="BC275" s="142" t="str">
        <f t="shared" si="9"/>
        <v/>
      </c>
      <c r="BD275" s="134" t="str">
        <f t="shared" si="10"/>
        <v>INDENIZAÇÃO</v>
      </c>
      <c r="BE275" s="134" t="str">
        <f t="shared" si="11"/>
        <v>NÃO</v>
      </c>
      <c r="BG275" s="194"/>
      <c r="BH275" s="194"/>
      <c r="CI275" s="200"/>
    </row>
    <row r="276" spans="1:92" s="149" customFormat="1" ht="30" customHeight="1">
      <c r="A276" s="134">
        <v>262</v>
      </c>
      <c r="B276" s="134" t="s">
        <v>99</v>
      </c>
      <c r="C276" s="134">
        <v>1</v>
      </c>
      <c r="D276" s="134" t="s">
        <v>100</v>
      </c>
      <c r="E276" s="134" t="s">
        <v>100</v>
      </c>
      <c r="F276" s="138" t="s">
        <v>1464</v>
      </c>
      <c r="G276" s="149" t="s">
        <v>344</v>
      </c>
      <c r="H276" s="149" t="s">
        <v>2</v>
      </c>
      <c r="I276" s="149" t="s">
        <v>287</v>
      </c>
      <c r="J276" s="152" t="s">
        <v>1458</v>
      </c>
      <c r="K276" s="152" t="s">
        <v>1465</v>
      </c>
      <c r="L276" s="152" t="s">
        <v>1463</v>
      </c>
      <c r="M276" s="134" t="s">
        <v>4</v>
      </c>
      <c r="N276" s="214"/>
      <c r="O276" s="194"/>
      <c r="P276" s="144"/>
      <c r="Q276" s="263"/>
      <c r="R276" s="144"/>
      <c r="S276" s="144"/>
      <c r="T276" s="144"/>
      <c r="U276" s="144"/>
      <c r="V276" s="144"/>
      <c r="W276" s="144"/>
      <c r="X276" s="144"/>
      <c r="Y276" s="144"/>
      <c r="Z276" s="144"/>
      <c r="AB276" s="152" t="s">
        <v>1458</v>
      </c>
      <c r="AC276" s="152" t="s">
        <v>1459</v>
      </c>
      <c r="AD276" s="152" t="s">
        <v>1460</v>
      </c>
      <c r="AE276" s="134" t="s">
        <v>287</v>
      </c>
      <c r="AG276" s="208"/>
      <c r="AH276" s="208"/>
      <c r="AI276" s="214"/>
      <c r="AJ276" s="214"/>
      <c r="AK276" s="214"/>
      <c r="AP276" s="152"/>
      <c r="BC276" s="142" t="str">
        <f t="shared" si="9"/>
        <v/>
      </c>
      <c r="BD276" s="134" t="str">
        <f t="shared" si="10"/>
        <v>INDENIZAÇÃO</v>
      </c>
      <c r="BE276" s="134" t="str">
        <f t="shared" si="11"/>
        <v>NÃO</v>
      </c>
      <c r="BG276" s="194"/>
      <c r="BH276" s="194"/>
      <c r="CI276" s="200"/>
    </row>
    <row r="277" spans="1:92" s="149" customFormat="1" ht="30" customHeight="1">
      <c r="A277" s="134">
        <v>263</v>
      </c>
      <c r="B277" s="134" t="s">
        <v>99</v>
      </c>
      <c r="C277" s="134">
        <v>1</v>
      </c>
      <c r="D277" s="134" t="s">
        <v>100</v>
      </c>
      <c r="E277" s="134" t="s">
        <v>100</v>
      </c>
      <c r="F277" s="138" t="s">
        <v>1466</v>
      </c>
      <c r="G277" s="149" t="s">
        <v>344</v>
      </c>
      <c r="H277" s="149" t="s">
        <v>2</v>
      </c>
      <c r="I277" s="149" t="s">
        <v>287</v>
      </c>
      <c r="J277" s="152" t="s">
        <v>1458</v>
      </c>
      <c r="K277" s="152" t="s">
        <v>1465</v>
      </c>
      <c r="L277" s="152" t="s">
        <v>1463</v>
      </c>
      <c r="M277" s="134" t="s">
        <v>4</v>
      </c>
      <c r="N277" s="214"/>
      <c r="O277" s="194"/>
      <c r="P277" s="144"/>
      <c r="Q277" s="263"/>
      <c r="R277" s="144"/>
      <c r="S277" s="144"/>
      <c r="T277" s="144"/>
      <c r="U277" s="144"/>
      <c r="V277" s="144"/>
      <c r="W277" s="144"/>
      <c r="X277" s="144"/>
      <c r="Y277" s="144"/>
      <c r="Z277" s="144"/>
      <c r="AB277" s="152" t="s">
        <v>1458</v>
      </c>
      <c r="AC277" s="152" t="s">
        <v>1459</v>
      </c>
      <c r="AD277" s="152" t="s">
        <v>1460</v>
      </c>
      <c r="AE277" s="134" t="s">
        <v>287</v>
      </c>
      <c r="AG277" s="208"/>
      <c r="AH277" s="208"/>
      <c r="AI277" s="214"/>
      <c r="AJ277" s="214"/>
      <c r="AK277" s="214"/>
      <c r="AP277" s="152"/>
      <c r="BC277" s="142" t="str">
        <f t="shared" si="9"/>
        <v/>
      </c>
      <c r="BD277" s="134" t="str">
        <f t="shared" si="10"/>
        <v>INDENIZAÇÃO</v>
      </c>
      <c r="BE277" s="134" t="str">
        <f t="shared" si="11"/>
        <v>NÃO</v>
      </c>
      <c r="BG277" s="194"/>
      <c r="BH277" s="194"/>
      <c r="CI277" s="200"/>
    </row>
    <row r="278" spans="1:92" s="149" customFormat="1" ht="30" customHeight="1">
      <c r="A278" s="134">
        <v>264</v>
      </c>
      <c r="B278" s="134" t="s">
        <v>99</v>
      </c>
      <c r="C278" s="134">
        <v>1</v>
      </c>
      <c r="D278" s="134" t="s">
        <v>100</v>
      </c>
      <c r="E278" s="134" t="s">
        <v>100</v>
      </c>
      <c r="F278" s="138" t="s">
        <v>1467</v>
      </c>
      <c r="G278" s="149" t="s">
        <v>344</v>
      </c>
      <c r="H278" s="149" t="s">
        <v>2</v>
      </c>
      <c r="I278" s="149" t="s">
        <v>287</v>
      </c>
      <c r="J278" s="152" t="s">
        <v>1458</v>
      </c>
      <c r="K278" s="152" t="s">
        <v>1465</v>
      </c>
      <c r="L278" s="152" t="s">
        <v>1463</v>
      </c>
      <c r="M278" s="134" t="s">
        <v>4</v>
      </c>
      <c r="N278" s="214"/>
      <c r="O278" s="194"/>
      <c r="P278" s="144"/>
      <c r="Q278" s="263"/>
      <c r="R278" s="144"/>
      <c r="S278" s="144"/>
      <c r="T278" s="144"/>
      <c r="U278" s="144"/>
      <c r="V278" s="144"/>
      <c r="W278" s="144"/>
      <c r="X278" s="144"/>
      <c r="Y278" s="144"/>
      <c r="Z278" s="144"/>
      <c r="AB278" s="152" t="s">
        <v>1458</v>
      </c>
      <c r="AC278" s="152" t="s">
        <v>1459</v>
      </c>
      <c r="AD278" s="152" t="s">
        <v>1460</v>
      </c>
      <c r="AE278" s="134" t="s">
        <v>287</v>
      </c>
      <c r="AG278" s="208"/>
      <c r="AH278" s="208"/>
      <c r="AI278" s="214"/>
      <c r="AJ278" s="214"/>
      <c r="AK278" s="214"/>
      <c r="AP278" s="152"/>
      <c r="BC278" s="142" t="str">
        <f t="shared" si="9"/>
        <v/>
      </c>
      <c r="BD278" s="134" t="str">
        <f t="shared" si="10"/>
        <v>INDENIZAÇÃO</v>
      </c>
      <c r="BE278" s="134" t="str">
        <f t="shared" si="11"/>
        <v>NÃO</v>
      </c>
      <c r="BG278" s="194"/>
      <c r="BH278" s="194"/>
      <c r="CI278" s="210"/>
      <c r="CJ278" s="201"/>
      <c r="CK278" s="201"/>
      <c r="CL278" s="201"/>
      <c r="CM278" s="201"/>
    </row>
    <row r="279" spans="1:92" s="149" customFormat="1" ht="30" customHeight="1">
      <c r="A279" s="134">
        <v>265</v>
      </c>
      <c r="B279" s="134" t="s">
        <v>99</v>
      </c>
      <c r="C279" s="134">
        <v>1</v>
      </c>
      <c r="D279" s="134" t="s">
        <v>100</v>
      </c>
      <c r="E279" s="134" t="s">
        <v>100</v>
      </c>
      <c r="F279" s="138" t="s">
        <v>1468</v>
      </c>
      <c r="G279" s="149" t="s">
        <v>1</v>
      </c>
      <c r="H279" s="149" t="s">
        <v>2</v>
      </c>
      <c r="I279" s="149" t="s">
        <v>108</v>
      </c>
      <c r="J279" s="152" t="s">
        <v>1469</v>
      </c>
      <c r="K279" s="152" t="s">
        <v>1470</v>
      </c>
      <c r="L279" s="152" t="s">
        <v>1471</v>
      </c>
      <c r="M279" s="134" t="s">
        <v>4</v>
      </c>
      <c r="N279" s="214" t="s">
        <v>371</v>
      </c>
      <c r="O279" s="194"/>
      <c r="P279" s="144"/>
      <c r="Q279" s="263"/>
      <c r="R279" s="144"/>
      <c r="S279" s="144"/>
      <c r="T279" s="144"/>
      <c r="U279" s="144"/>
      <c r="V279" s="144"/>
      <c r="W279" s="144"/>
      <c r="X279" s="144"/>
      <c r="Y279" s="144"/>
      <c r="Z279" s="144"/>
      <c r="AB279" s="152" t="s">
        <v>1469</v>
      </c>
      <c r="AC279" s="152" t="s">
        <v>1470</v>
      </c>
      <c r="AD279" s="152" t="s">
        <v>1471</v>
      </c>
      <c r="AE279" s="149" t="s">
        <v>108</v>
      </c>
      <c r="AG279" s="208" t="s">
        <v>371</v>
      </c>
      <c r="AH279" s="208" t="s">
        <v>371</v>
      </c>
      <c r="AI279" s="214" t="s">
        <v>371</v>
      </c>
      <c r="AJ279" s="214" t="s">
        <v>371</v>
      </c>
      <c r="AK279" s="214"/>
      <c r="AP279" s="152"/>
      <c r="BC279" s="142" t="str">
        <f t="shared" si="9"/>
        <v/>
      </c>
      <c r="BD279" s="134" t="str">
        <f t="shared" si="10"/>
        <v>INDENIZAÇÃO</v>
      </c>
      <c r="BE279" s="134" t="str">
        <f t="shared" si="11"/>
        <v>NÃO</v>
      </c>
      <c r="BG279" s="194"/>
      <c r="BH279" s="194"/>
      <c r="CI279" s="200"/>
      <c r="CN279" s="200"/>
    </row>
    <row r="280" spans="1:92" s="149" customFormat="1" ht="30" customHeight="1">
      <c r="A280" s="134">
        <v>266</v>
      </c>
      <c r="B280" s="134" t="s">
        <v>99</v>
      </c>
      <c r="C280" s="134">
        <v>1</v>
      </c>
      <c r="D280" s="134" t="s">
        <v>100</v>
      </c>
      <c r="E280" s="134" t="s">
        <v>100</v>
      </c>
      <c r="F280" s="138" t="s">
        <v>1472</v>
      </c>
      <c r="G280" s="149" t="s">
        <v>344</v>
      </c>
      <c r="H280" s="149" t="s">
        <v>2</v>
      </c>
      <c r="I280" s="149" t="s">
        <v>287</v>
      </c>
      <c r="J280" s="152" t="s">
        <v>1473</v>
      </c>
      <c r="K280" s="152" t="s">
        <v>1474</v>
      </c>
      <c r="L280" s="152" t="s">
        <v>1475</v>
      </c>
      <c r="M280" s="134" t="s">
        <v>4</v>
      </c>
      <c r="N280" s="214"/>
      <c r="O280" s="194"/>
      <c r="P280" s="144"/>
      <c r="Q280" s="263"/>
      <c r="R280" s="144"/>
      <c r="S280" s="144"/>
      <c r="T280" s="144"/>
      <c r="U280" s="144"/>
      <c r="V280" s="144"/>
      <c r="W280" s="144"/>
      <c r="X280" s="144"/>
      <c r="Y280" s="144"/>
      <c r="Z280" s="144"/>
      <c r="AB280" s="152" t="s">
        <v>1473</v>
      </c>
      <c r="AC280" s="152" t="s">
        <v>1474</v>
      </c>
      <c r="AD280" s="152" t="s">
        <v>1475</v>
      </c>
      <c r="AE280" s="134" t="s">
        <v>287</v>
      </c>
      <c r="AG280" s="208"/>
      <c r="AH280" s="208"/>
      <c r="AI280" s="214"/>
      <c r="AJ280" s="214"/>
      <c r="AK280" s="214"/>
      <c r="AP280" s="152"/>
      <c r="BC280" s="142" t="str">
        <f t="shared" si="9"/>
        <v/>
      </c>
      <c r="BD280" s="134" t="str">
        <f t="shared" si="10"/>
        <v>INDENIZAÇÃO</v>
      </c>
      <c r="BE280" s="134" t="str">
        <f t="shared" si="11"/>
        <v>NÃO</v>
      </c>
      <c r="BG280" s="194"/>
      <c r="BH280" s="194"/>
      <c r="CI280" s="200"/>
      <c r="CN280" s="200"/>
    </row>
    <row r="281" spans="1:92" s="149" customFormat="1" ht="30" customHeight="1">
      <c r="A281" s="134">
        <v>267</v>
      </c>
      <c r="B281" s="134" t="s">
        <v>99</v>
      </c>
      <c r="C281" s="134">
        <v>1</v>
      </c>
      <c r="D281" s="134" t="s">
        <v>100</v>
      </c>
      <c r="E281" s="134" t="s">
        <v>100</v>
      </c>
      <c r="F281" s="138" t="s">
        <v>1476</v>
      </c>
      <c r="G281" s="149" t="s">
        <v>1</v>
      </c>
      <c r="H281" s="149" t="s">
        <v>2</v>
      </c>
      <c r="I281" s="149" t="s">
        <v>108</v>
      </c>
      <c r="J281" s="152" t="s">
        <v>1477</v>
      </c>
      <c r="K281" s="152" t="s">
        <v>1478</v>
      </c>
      <c r="L281" s="152" t="s">
        <v>1479</v>
      </c>
      <c r="M281" s="134" t="s">
        <v>4</v>
      </c>
      <c r="N281" s="214" t="s">
        <v>371</v>
      </c>
      <c r="O281" s="194"/>
      <c r="P281" s="144"/>
      <c r="Q281" s="263"/>
      <c r="R281" s="144"/>
      <c r="S281" s="144"/>
      <c r="T281" s="144"/>
      <c r="U281" s="144"/>
      <c r="V281" s="144"/>
      <c r="W281" s="144"/>
      <c r="X281" s="144"/>
      <c r="Y281" s="144"/>
      <c r="Z281" s="144"/>
      <c r="AB281" s="152" t="s">
        <v>1477</v>
      </c>
      <c r="AC281" s="152" t="s">
        <v>1478</v>
      </c>
      <c r="AD281" s="152" t="s">
        <v>1479</v>
      </c>
      <c r="AE281" s="149" t="s">
        <v>108</v>
      </c>
      <c r="AG281" s="208" t="s">
        <v>371</v>
      </c>
      <c r="AH281" s="208" t="s">
        <v>371</v>
      </c>
      <c r="AI281" s="214" t="s">
        <v>371</v>
      </c>
      <c r="AJ281" s="214" t="s">
        <v>371</v>
      </c>
      <c r="AK281" s="214"/>
      <c r="AP281" s="152"/>
      <c r="BC281" s="142" t="str">
        <f t="shared" si="9"/>
        <v/>
      </c>
      <c r="BD281" s="134" t="str">
        <f t="shared" si="10"/>
        <v>INDENIZAÇÃO</v>
      </c>
      <c r="BE281" s="134" t="str">
        <f t="shared" si="11"/>
        <v>NÃO</v>
      </c>
      <c r="BG281" s="194"/>
      <c r="BH281" s="194"/>
      <c r="CI281" s="212"/>
      <c r="CJ281" s="171"/>
      <c r="CK281" s="171"/>
      <c r="CL281" s="171"/>
      <c r="CM281" s="171"/>
    </row>
    <row r="282" spans="1:92" s="149" customFormat="1" ht="30" customHeight="1">
      <c r="A282" s="134">
        <v>268</v>
      </c>
      <c r="B282" s="134" t="s">
        <v>99</v>
      </c>
      <c r="C282" s="134">
        <v>1</v>
      </c>
      <c r="D282" s="134" t="s">
        <v>100</v>
      </c>
      <c r="E282" s="134" t="s">
        <v>100</v>
      </c>
      <c r="F282" s="138" t="s">
        <v>1480</v>
      </c>
      <c r="G282" s="149" t="s">
        <v>158</v>
      </c>
      <c r="H282" s="149" t="s">
        <v>158</v>
      </c>
      <c r="I282" s="149" t="s">
        <v>158</v>
      </c>
      <c r="J282" s="152" t="s">
        <v>1481</v>
      </c>
      <c r="K282" s="152" t="s">
        <v>158</v>
      </c>
      <c r="L282" s="152" t="s">
        <v>158</v>
      </c>
      <c r="M282" s="134"/>
      <c r="N282" s="214"/>
      <c r="O282" s="194"/>
      <c r="P282" s="144"/>
      <c r="Q282" s="263"/>
      <c r="R282" s="144"/>
      <c r="S282" s="144"/>
      <c r="T282" s="144"/>
      <c r="U282" s="144"/>
      <c r="V282" s="144"/>
      <c r="W282" s="144"/>
      <c r="X282" s="144"/>
      <c r="Y282" s="144"/>
      <c r="Z282" s="144"/>
      <c r="AB282" s="152"/>
      <c r="AC282" s="152"/>
      <c r="AD282" s="152"/>
      <c r="AE282" s="214"/>
      <c r="AG282" s="208"/>
      <c r="AH282" s="208"/>
      <c r="AI282" s="214"/>
      <c r="AJ282" s="238"/>
      <c r="AK282" s="214"/>
      <c r="AP282" s="152"/>
      <c r="BC282" s="142" t="str">
        <f t="shared" si="9"/>
        <v/>
      </c>
      <c r="BD282" s="134" t="str">
        <f t="shared" si="10"/>
        <v>INDENIZAÇÃO</v>
      </c>
      <c r="BE282" s="134" t="str">
        <f t="shared" si="11"/>
        <v>NÃO</v>
      </c>
      <c r="BG282" s="194"/>
      <c r="BH282" s="194"/>
      <c r="CI282" s="200"/>
    </row>
    <row r="283" spans="1:92" s="149" customFormat="1" ht="30" customHeight="1">
      <c r="A283" s="134">
        <v>269</v>
      </c>
      <c r="B283" s="134" t="s">
        <v>99</v>
      </c>
      <c r="C283" s="134">
        <v>1</v>
      </c>
      <c r="D283" s="134" t="s">
        <v>100</v>
      </c>
      <c r="E283" s="134" t="s">
        <v>100</v>
      </c>
      <c r="F283" s="138" t="s">
        <v>1482</v>
      </c>
      <c r="G283" s="149" t="s">
        <v>158</v>
      </c>
      <c r="H283" s="149" t="s">
        <v>158</v>
      </c>
      <c r="I283" s="149" t="s">
        <v>158</v>
      </c>
      <c r="J283" s="152" t="s">
        <v>1483</v>
      </c>
      <c r="K283" s="152" t="s">
        <v>158</v>
      </c>
      <c r="L283" s="152" t="s">
        <v>158</v>
      </c>
      <c r="M283" s="134"/>
      <c r="N283" s="214"/>
      <c r="O283" s="194"/>
      <c r="P283" s="144"/>
      <c r="Q283" s="263"/>
      <c r="R283" s="144"/>
      <c r="S283" s="144"/>
      <c r="T283" s="144"/>
      <c r="U283" s="144"/>
      <c r="V283" s="144"/>
      <c r="W283" s="144"/>
      <c r="X283" s="144"/>
      <c r="Y283" s="144"/>
      <c r="Z283" s="144"/>
      <c r="AB283" s="152"/>
      <c r="AC283" s="152"/>
      <c r="AD283" s="152"/>
      <c r="AE283" s="214"/>
      <c r="AG283" s="208"/>
      <c r="AH283" s="208"/>
      <c r="AI283" s="232"/>
      <c r="AJ283" s="214"/>
      <c r="AK283" s="235"/>
      <c r="AP283" s="152"/>
      <c r="BC283" s="142" t="str">
        <f t="shared" si="9"/>
        <v/>
      </c>
      <c r="BD283" s="134" t="str">
        <f t="shared" si="10"/>
        <v>INDENIZAÇÃO</v>
      </c>
      <c r="BE283" s="134" t="str">
        <f t="shared" si="11"/>
        <v>NÃO</v>
      </c>
      <c r="BG283" s="194"/>
      <c r="BH283" s="194"/>
      <c r="CI283" s="200"/>
    </row>
    <row r="284" spans="1:92" ht="30" customHeight="1">
      <c r="A284" s="134">
        <v>270</v>
      </c>
      <c r="B284" s="134" t="s">
        <v>99</v>
      </c>
      <c r="C284" s="134">
        <v>1</v>
      </c>
      <c r="D284" s="134" t="s">
        <v>100</v>
      </c>
      <c r="E284" s="134" t="s">
        <v>100</v>
      </c>
      <c r="F284" s="138" t="s">
        <v>1484</v>
      </c>
      <c r="G284" s="149" t="s">
        <v>429</v>
      </c>
      <c r="H284" s="149" t="s">
        <v>430</v>
      </c>
      <c r="I284" s="149" t="s">
        <v>287</v>
      </c>
      <c r="J284" s="152" t="s">
        <v>1485</v>
      </c>
      <c r="K284" s="152" t="s">
        <v>1486</v>
      </c>
      <c r="L284" s="152" t="s">
        <v>1487</v>
      </c>
      <c r="M284" s="134" t="s">
        <v>4</v>
      </c>
      <c r="N284" s="214" t="s">
        <v>5</v>
      </c>
      <c r="O284" s="194">
        <v>45784</v>
      </c>
      <c r="P284" s="144" t="s">
        <v>24</v>
      </c>
      <c r="Q284" s="144" t="s">
        <v>24</v>
      </c>
      <c r="R284" s="144" t="s">
        <v>24</v>
      </c>
      <c r="S284" s="144" t="s">
        <v>24</v>
      </c>
      <c r="T284" s="144" t="s">
        <v>24</v>
      </c>
      <c r="U284" s="144" t="s">
        <v>24</v>
      </c>
      <c r="V284" s="144" t="s">
        <v>24</v>
      </c>
      <c r="W284" s="144" t="s">
        <v>24</v>
      </c>
      <c r="X284" s="144" t="s">
        <v>24</v>
      </c>
      <c r="Y284" s="144" t="s">
        <v>24</v>
      </c>
      <c r="Z284" s="144" t="s">
        <v>24</v>
      </c>
      <c r="AA284" s="149"/>
      <c r="AB284" s="152" t="s">
        <v>1485</v>
      </c>
      <c r="AC284" s="152" t="s">
        <v>1486</v>
      </c>
      <c r="AD284" s="152" t="s">
        <v>1487</v>
      </c>
      <c r="AE284" s="134" t="s">
        <v>287</v>
      </c>
      <c r="AF284" s="149" t="s">
        <v>4</v>
      </c>
      <c r="AG284" s="208">
        <v>114889.41</v>
      </c>
      <c r="AH284" s="208">
        <v>114889.41</v>
      </c>
      <c r="AI284" s="232" t="s">
        <v>6</v>
      </c>
      <c r="AJ284" s="138" t="s">
        <v>109</v>
      </c>
      <c r="AK284" s="235">
        <v>102595169</v>
      </c>
      <c r="AL284" s="149" t="s">
        <v>110</v>
      </c>
      <c r="AM284" s="149" t="s">
        <v>110</v>
      </c>
      <c r="AN284" s="149" t="s">
        <v>111</v>
      </c>
      <c r="AO284" s="149" t="s">
        <v>1488</v>
      </c>
      <c r="AP284" s="152" t="s">
        <v>1489</v>
      </c>
      <c r="AQ284" s="149" t="s">
        <v>110</v>
      </c>
      <c r="AR284" s="149" t="s">
        <v>110</v>
      </c>
      <c r="AS284" s="198" t="s">
        <v>110</v>
      </c>
      <c r="AT284" s="198" t="s">
        <v>110</v>
      </c>
      <c r="AU284" s="161">
        <v>45890</v>
      </c>
      <c r="AV284" s="198" t="s">
        <v>110</v>
      </c>
      <c r="AW284" s="198" t="s">
        <v>110</v>
      </c>
      <c r="AX284" s="161">
        <v>45902</v>
      </c>
      <c r="AY284" s="140">
        <v>45902</v>
      </c>
      <c r="AZ284" s="140" t="s">
        <v>33</v>
      </c>
      <c r="BA284" s="141" t="s">
        <v>113</v>
      </c>
      <c r="BB284" s="149" t="s">
        <v>110</v>
      </c>
      <c r="BC284" s="142">
        <f t="shared" si="9"/>
        <v>118</v>
      </c>
      <c r="BD284" s="134" t="str">
        <f t="shared" si="10"/>
        <v>INDENIZAÇÃO</v>
      </c>
      <c r="BE284" s="134" t="str">
        <f t="shared" si="11"/>
        <v>NÃO</v>
      </c>
      <c r="BF284" s="149" t="s">
        <v>24</v>
      </c>
      <c r="BG284" s="149" t="s">
        <v>24</v>
      </c>
      <c r="BH284" s="149" t="s">
        <v>24</v>
      </c>
      <c r="BI284" s="198" t="s">
        <v>110</v>
      </c>
      <c r="BJ284" s="198" t="s">
        <v>110</v>
      </c>
      <c r="BK284" s="161">
        <v>45923</v>
      </c>
      <c r="BL284" s="198" t="s">
        <v>110</v>
      </c>
      <c r="BM284" s="145" t="s">
        <v>33</v>
      </c>
      <c r="BN284" s="149"/>
      <c r="BO284" s="149"/>
      <c r="BP284" s="149"/>
      <c r="BQ284" s="149"/>
      <c r="BR284" s="149"/>
      <c r="BS284" s="149"/>
      <c r="BT284" s="149"/>
      <c r="BU284" s="149"/>
      <c r="BV284" s="149"/>
      <c r="BW284" s="149"/>
      <c r="BX284" s="149"/>
      <c r="BY284" s="149"/>
      <c r="BZ284" s="149"/>
      <c r="CA284" s="149"/>
      <c r="CB284" s="149"/>
      <c r="CC284" s="149"/>
      <c r="CD284" s="149"/>
      <c r="CE284" s="149"/>
      <c r="CF284" s="149"/>
      <c r="CG284" s="149"/>
      <c r="CH284" s="149"/>
    </row>
    <row r="285" spans="1:92" ht="30" customHeight="1">
      <c r="A285" s="134">
        <v>271</v>
      </c>
      <c r="B285" s="245" t="s">
        <v>99</v>
      </c>
      <c r="C285" s="245">
        <v>1</v>
      </c>
      <c r="D285" s="245" t="s">
        <v>100</v>
      </c>
      <c r="E285" s="245" t="s">
        <v>100</v>
      </c>
      <c r="F285" s="246" t="s">
        <v>1490</v>
      </c>
      <c r="G285" s="149" t="s">
        <v>1</v>
      </c>
      <c r="H285" s="149" t="s">
        <v>2</v>
      </c>
      <c r="I285" s="149" t="s">
        <v>108</v>
      </c>
      <c r="J285" s="152" t="s">
        <v>1491</v>
      </c>
      <c r="K285" s="152" t="s">
        <v>1492</v>
      </c>
      <c r="L285" s="152" t="s">
        <v>1493</v>
      </c>
      <c r="M285" s="245" t="s">
        <v>4</v>
      </c>
      <c r="N285" s="245" t="s">
        <v>5</v>
      </c>
      <c r="O285" s="256">
        <v>45572</v>
      </c>
      <c r="P285" s="249" t="s">
        <v>24</v>
      </c>
      <c r="Q285" s="249" t="s">
        <v>24</v>
      </c>
      <c r="R285" s="249" t="s">
        <v>24</v>
      </c>
      <c r="S285" s="249" t="s">
        <v>24</v>
      </c>
      <c r="T285" s="249" t="s">
        <v>24</v>
      </c>
      <c r="U285" s="249" t="s">
        <v>24</v>
      </c>
      <c r="V285" s="249" t="s">
        <v>24</v>
      </c>
      <c r="W285" s="249" t="s">
        <v>24</v>
      </c>
      <c r="X285" s="249" t="s">
        <v>24</v>
      </c>
      <c r="Y285" s="249" t="s">
        <v>24</v>
      </c>
      <c r="Z285" s="249" t="s">
        <v>24</v>
      </c>
      <c r="AA285" s="250"/>
      <c r="AB285" s="152" t="s">
        <v>1491</v>
      </c>
      <c r="AC285" s="152" t="s">
        <v>1492</v>
      </c>
      <c r="AD285" s="152" t="s">
        <v>1493</v>
      </c>
      <c r="AE285" s="149" t="s">
        <v>108</v>
      </c>
      <c r="AF285" s="250" t="s">
        <v>4</v>
      </c>
      <c r="AG285" s="208">
        <v>53289.5</v>
      </c>
      <c r="AH285" s="208">
        <v>60000</v>
      </c>
      <c r="AI285" s="251" t="s">
        <v>6</v>
      </c>
      <c r="AJ285" s="246" t="s">
        <v>109</v>
      </c>
      <c r="AK285" s="252" t="s">
        <v>110</v>
      </c>
      <c r="AL285" s="250" t="s">
        <v>110</v>
      </c>
      <c r="AM285" s="250" t="s">
        <v>110</v>
      </c>
      <c r="AN285" s="250" t="s">
        <v>111</v>
      </c>
      <c r="AO285" s="250"/>
      <c r="AP285" s="253" t="s">
        <v>1494</v>
      </c>
      <c r="AQ285" s="250" t="s">
        <v>110</v>
      </c>
      <c r="AR285" s="250" t="s">
        <v>110</v>
      </c>
      <c r="AS285" s="250" t="s">
        <v>110</v>
      </c>
      <c r="AT285" s="250" t="s">
        <v>110</v>
      </c>
      <c r="AU285" s="256">
        <v>45614</v>
      </c>
      <c r="AV285" s="250" t="s">
        <v>110</v>
      </c>
      <c r="AW285" s="250" t="s">
        <v>110</v>
      </c>
      <c r="AX285" s="256">
        <v>45621</v>
      </c>
      <c r="AY285" s="249">
        <v>45621</v>
      </c>
      <c r="AZ285" s="245" t="s">
        <v>360</v>
      </c>
      <c r="BA285" s="245" t="s">
        <v>1</v>
      </c>
      <c r="BB285" s="250" t="s">
        <v>110</v>
      </c>
      <c r="BC285" s="142">
        <f t="shared" ref="BC285:BC315" si="12">IF(AY285-KD285=0,"",AY285-O285)</f>
        <v>49</v>
      </c>
      <c r="BD285" s="134" t="str">
        <f t="shared" ref="BD285:BD339" si="13">IF(AND(AI285&lt;&gt;"SIM",AI285="UH"),"AA","INDENIZAÇÃO")</f>
        <v>INDENIZAÇÃO</v>
      </c>
      <c r="BE285" s="134" t="str">
        <f t="shared" si="11"/>
        <v>NÃO</v>
      </c>
      <c r="BF285" s="245" t="s">
        <v>24</v>
      </c>
      <c r="BG285" s="245" t="s">
        <v>24</v>
      </c>
      <c r="BH285" s="245" t="s">
        <v>24</v>
      </c>
      <c r="BI285" s="250" t="s">
        <v>110</v>
      </c>
      <c r="BJ285" s="250" t="s">
        <v>110</v>
      </c>
      <c r="BK285" s="256">
        <v>45677</v>
      </c>
      <c r="BL285" s="250" t="s">
        <v>110</v>
      </c>
      <c r="BM285" s="249" t="s">
        <v>33</v>
      </c>
      <c r="BN285" s="149"/>
      <c r="BO285" s="149"/>
      <c r="BP285" s="149"/>
      <c r="BQ285" s="149"/>
      <c r="BR285" s="149"/>
      <c r="BS285" s="149"/>
      <c r="BT285" s="149"/>
      <c r="BU285" s="149"/>
      <c r="BV285" s="149"/>
      <c r="BW285" s="149"/>
      <c r="BX285" s="149"/>
      <c r="BY285" s="149"/>
      <c r="BZ285" s="149"/>
      <c r="CA285" s="149"/>
      <c r="CB285" s="149"/>
      <c r="CC285" s="149"/>
      <c r="CD285" s="149"/>
      <c r="CE285" s="149"/>
      <c r="CF285" s="149"/>
      <c r="CG285" s="149"/>
      <c r="CH285" s="149"/>
    </row>
    <row r="286" spans="1:92" ht="30" customHeight="1">
      <c r="A286" s="134">
        <v>272</v>
      </c>
      <c r="B286" s="134" t="s">
        <v>99</v>
      </c>
      <c r="C286" s="134">
        <v>1</v>
      </c>
      <c r="D286" s="134" t="s">
        <v>100</v>
      </c>
      <c r="E286" s="134" t="s">
        <v>100</v>
      </c>
      <c r="F286" s="138" t="s">
        <v>1495</v>
      </c>
      <c r="G286" s="149" t="s">
        <v>1334</v>
      </c>
      <c r="H286" s="149" t="s">
        <v>2</v>
      </c>
      <c r="I286" s="149" t="s">
        <v>287</v>
      </c>
      <c r="J286" s="152" t="s">
        <v>1496</v>
      </c>
      <c r="K286" s="152" t="s">
        <v>1497</v>
      </c>
      <c r="L286" s="152" t="s">
        <v>1498</v>
      </c>
      <c r="M286" s="134" t="s">
        <v>4</v>
      </c>
      <c r="N286" s="214" t="s">
        <v>467</v>
      </c>
      <c r="O286" s="194">
        <v>46192</v>
      </c>
      <c r="P286" s="144" t="s">
        <v>24</v>
      </c>
      <c r="Q286" s="144" t="s">
        <v>24</v>
      </c>
      <c r="R286" s="144" t="s">
        <v>24</v>
      </c>
      <c r="S286" s="144" t="s">
        <v>24</v>
      </c>
      <c r="T286" s="144" t="s">
        <v>24</v>
      </c>
      <c r="U286" s="144" t="s">
        <v>24</v>
      </c>
      <c r="V286" s="144" t="s">
        <v>24</v>
      </c>
      <c r="W286" s="144" t="s">
        <v>24</v>
      </c>
      <c r="X286" s="144" t="s">
        <v>24</v>
      </c>
      <c r="Y286" s="144" t="s">
        <v>24</v>
      </c>
      <c r="Z286" s="144" t="s">
        <v>24</v>
      </c>
      <c r="AA286" s="149" t="s">
        <v>1499</v>
      </c>
      <c r="AB286" s="152" t="s">
        <v>1496</v>
      </c>
      <c r="AC286" s="152" t="s">
        <v>1497</v>
      </c>
      <c r="AD286" s="152" t="s">
        <v>1498</v>
      </c>
      <c r="AE286" s="134" t="s">
        <v>287</v>
      </c>
      <c r="AF286" s="149" t="s">
        <v>4</v>
      </c>
      <c r="AG286" s="208" t="s">
        <v>100</v>
      </c>
      <c r="AH286" s="208" t="s">
        <v>100</v>
      </c>
      <c r="AI286" s="149" t="s">
        <v>1499</v>
      </c>
      <c r="AJ286" s="138" t="s">
        <v>109</v>
      </c>
      <c r="AK286" s="214" t="s">
        <v>24</v>
      </c>
      <c r="AL286" s="214" t="s">
        <v>24</v>
      </c>
      <c r="AM286" s="214" t="s">
        <v>24</v>
      </c>
      <c r="AN286" s="214" t="s">
        <v>24</v>
      </c>
      <c r="AO286" s="149" t="s">
        <v>1499</v>
      </c>
      <c r="AP286" s="152" t="s">
        <v>24</v>
      </c>
      <c r="AQ286" s="149" t="s">
        <v>24</v>
      </c>
      <c r="AR286" s="149" t="s">
        <v>24</v>
      </c>
      <c r="AS286" s="149" t="s">
        <v>24</v>
      </c>
      <c r="AT286" s="149" t="s">
        <v>24</v>
      </c>
      <c r="AU286" s="149" t="s">
        <v>24</v>
      </c>
      <c r="AV286" s="149" t="s">
        <v>24</v>
      </c>
      <c r="AW286" s="149" t="s">
        <v>24</v>
      </c>
      <c r="AX286" s="149" t="s">
        <v>24</v>
      </c>
      <c r="AY286" s="149" t="s">
        <v>24</v>
      </c>
      <c r="AZ286" s="145" t="s">
        <v>33</v>
      </c>
      <c r="BA286" s="145"/>
      <c r="BB286" s="149"/>
      <c r="BC286" s="142" t="e">
        <f t="shared" si="12"/>
        <v>#VALUE!</v>
      </c>
      <c r="BD286" s="134" t="str">
        <f t="shared" si="13"/>
        <v>INDENIZAÇÃO</v>
      </c>
      <c r="BE286" s="134" t="str">
        <f t="shared" si="11"/>
        <v>NÃO</v>
      </c>
      <c r="BF286" s="149"/>
      <c r="BG286" s="194"/>
      <c r="BH286" s="194"/>
      <c r="BI286" s="149"/>
      <c r="BJ286" s="149"/>
      <c r="BK286" s="149"/>
      <c r="BL286" s="149"/>
      <c r="BM286" s="149"/>
      <c r="BN286" s="149"/>
      <c r="BO286" s="149"/>
      <c r="BP286" s="149"/>
      <c r="BQ286" s="149"/>
      <c r="BR286" s="149"/>
      <c r="BS286" s="149"/>
      <c r="BT286" s="149"/>
      <c r="BU286" s="149"/>
      <c r="BV286" s="149"/>
      <c r="BW286" s="149"/>
      <c r="BX286" s="149"/>
      <c r="BY286" s="149"/>
      <c r="BZ286" s="149"/>
      <c r="CA286" s="149"/>
      <c r="CB286" s="149"/>
      <c r="CC286" s="149"/>
      <c r="CD286" s="149"/>
      <c r="CE286" s="149"/>
      <c r="CF286" s="149"/>
      <c r="CG286" s="149"/>
      <c r="CH286" s="149"/>
    </row>
    <row r="287" spans="1:92" ht="30" customHeight="1">
      <c r="A287" s="134">
        <v>273</v>
      </c>
      <c r="B287" s="134" t="s">
        <v>99</v>
      </c>
      <c r="C287" s="134">
        <v>1</v>
      </c>
      <c r="D287" s="134" t="s">
        <v>100</v>
      </c>
      <c r="E287" s="134" t="s">
        <v>100</v>
      </c>
      <c r="F287" s="138" t="s">
        <v>1500</v>
      </c>
      <c r="G287" s="149" t="s">
        <v>1</v>
      </c>
      <c r="H287" s="149" t="s">
        <v>2</v>
      </c>
      <c r="I287" s="149" t="s">
        <v>108</v>
      </c>
      <c r="J287" s="152" t="s">
        <v>1501</v>
      </c>
      <c r="K287" s="152" t="s">
        <v>1502</v>
      </c>
      <c r="L287" s="152" t="s">
        <v>1503</v>
      </c>
      <c r="M287" s="134" t="s">
        <v>4</v>
      </c>
      <c r="N287" s="134" t="s">
        <v>5</v>
      </c>
      <c r="O287" s="194">
        <v>46191</v>
      </c>
      <c r="P287" s="144" t="s">
        <v>24</v>
      </c>
      <c r="Q287" s="144" t="s">
        <v>24</v>
      </c>
      <c r="R287" s="144" t="s">
        <v>24</v>
      </c>
      <c r="S287" s="144" t="s">
        <v>24</v>
      </c>
      <c r="T287" s="144" t="s">
        <v>24</v>
      </c>
      <c r="U287" s="144" t="s">
        <v>24</v>
      </c>
      <c r="V287" s="144" t="s">
        <v>24</v>
      </c>
      <c r="W287" s="144" t="s">
        <v>24</v>
      </c>
      <c r="X287" s="144" t="s">
        <v>24</v>
      </c>
      <c r="Y287" s="144" t="s">
        <v>24</v>
      </c>
      <c r="Z287" s="144" t="s">
        <v>24</v>
      </c>
      <c r="AA287" s="149"/>
      <c r="AB287" s="152" t="s">
        <v>1501</v>
      </c>
      <c r="AC287" s="152" t="s">
        <v>1502</v>
      </c>
      <c r="AD287" s="152" t="s">
        <v>1503</v>
      </c>
      <c r="AE287" s="149" t="s">
        <v>108</v>
      </c>
      <c r="AF287" s="149" t="s">
        <v>4</v>
      </c>
      <c r="AG287" s="208">
        <v>31135.39</v>
      </c>
      <c r="AH287" s="208">
        <v>60000</v>
      </c>
      <c r="AI287" s="214" t="s">
        <v>6</v>
      </c>
      <c r="AJ287" s="138" t="s">
        <v>109</v>
      </c>
      <c r="AK287" s="325">
        <v>156945711</v>
      </c>
      <c r="AL287" s="272" t="s">
        <v>1504</v>
      </c>
      <c r="AM287" s="149"/>
      <c r="AN287" s="149"/>
      <c r="AO287" s="149"/>
      <c r="AP287" s="152"/>
      <c r="AQ287" s="149"/>
      <c r="AR287" s="149"/>
      <c r="AS287" s="149"/>
      <c r="AT287" s="149"/>
      <c r="AU287" s="149"/>
      <c r="AV287" s="149"/>
      <c r="AW287" s="149"/>
      <c r="AX287" s="149"/>
      <c r="AY287" s="149"/>
      <c r="AZ287" s="149"/>
      <c r="BA287" s="149"/>
      <c r="BB287" s="149"/>
      <c r="BC287" s="142" t="str">
        <f t="shared" si="12"/>
        <v/>
      </c>
      <c r="BD287" s="134" t="str">
        <f t="shared" si="13"/>
        <v>INDENIZAÇÃO</v>
      </c>
      <c r="BE287" s="134" t="e">
        <f>IF(AND(AY287&lt;&gt;"AGUARDANDO",AY287&lt;&gt;"",#REF!="AUXÍLIO ALUGUEL ATÉ INDENIZAÇÃO"),"SIM","NÃO")</f>
        <v>#REF!</v>
      </c>
      <c r="BF287" s="149"/>
      <c r="BG287" s="194"/>
      <c r="BH287" s="194"/>
      <c r="BI287" s="149"/>
      <c r="BJ287" s="149"/>
      <c r="BK287" s="149"/>
      <c r="BL287" s="149"/>
      <c r="BM287" s="149"/>
      <c r="BN287" s="149"/>
      <c r="BO287" s="149"/>
      <c r="BP287" s="149"/>
      <c r="BQ287" s="149"/>
      <c r="BR287" s="149"/>
      <c r="BS287" s="149"/>
      <c r="BT287" s="149"/>
      <c r="BU287" s="149"/>
      <c r="BV287" s="149"/>
      <c r="BW287" s="149"/>
      <c r="BX287" s="149"/>
      <c r="BY287" s="149"/>
      <c r="BZ287" s="149"/>
      <c r="CA287" s="149"/>
      <c r="CB287" s="149"/>
      <c r="CC287" s="149"/>
      <c r="CD287" s="149"/>
      <c r="CE287" s="149"/>
      <c r="CF287" s="149"/>
      <c r="CG287" s="149"/>
      <c r="CH287" s="149"/>
    </row>
    <row r="288" spans="1:92" ht="30" customHeight="1">
      <c r="A288" s="134">
        <v>274</v>
      </c>
      <c r="B288" s="134" t="s">
        <v>99</v>
      </c>
      <c r="C288" s="134">
        <v>1</v>
      </c>
      <c r="D288" s="134" t="s">
        <v>100</v>
      </c>
      <c r="E288" s="134" t="s">
        <v>100</v>
      </c>
      <c r="F288" s="138" t="s">
        <v>1505</v>
      </c>
      <c r="G288" s="149" t="s">
        <v>1</v>
      </c>
      <c r="H288" s="149" t="s">
        <v>2</v>
      </c>
      <c r="I288" s="149" t="s">
        <v>108</v>
      </c>
      <c r="J288" s="152" t="s">
        <v>1506</v>
      </c>
      <c r="K288" s="152" t="s">
        <v>1507</v>
      </c>
      <c r="L288" s="152" t="s">
        <v>1508</v>
      </c>
      <c r="M288" s="134" t="s">
        <v>4</v>
      </c>
      <c r="N288" s="134" t="s">
        <v>5</v>
      </c>
      <c r="O288" s="194">
        <v>46191</v>
      </c>
      <c r="P288" s="144" t="s">
        <v>24</v>
      </c>
      <c r="Q288" s="144" t="s">
        <v>24</v>
      </c>
      <c r="R288" s="144" t="s">
        <v>24</v>
      </c>
      <c r="S288" s="144" t="s">
        <v>24</v>
      </c>
      <c r="T288" s="144" t="s">
        <v>24</v>
      </c>
      <c r="U288" s="144" t="s">
        <v>24</v>
      </c>
      <c r="V288" s="144" t="s">
        <v>24</v>
      </c>
      <c r="W288" s="144" t="s">
        <v>24</v>
      </c>
      <c r="X288" s="144" t="s">
        <v>24</v>
      </c>
      <c r="Y288" s="144" t="s">
        <v>24</v>
      </c>
      <c r="Z288" s="144" t="s">
        <v>24</v>
      </c>
      <c r="AA288" s="149"/>
      <c r="AB288" s="152" t="s">
        <v>1506</v>
      </c>
      <c r="AC288" s="152" t="s">
        <v>1507</v>
      </c>
      <c r="AD288" s="152" t="s">
        <v>1508</v>
      </c>
      <c r="AE288" s="149" t="s">
        <v>108</v>
      </c>
      <c r="AF288" s="149" t="s">
        <v>4</v>
      </c>
      <c r="AG288" s="208">
        <v>31466.54</v>
      </c>
      <c r="AH288" s="208">
        <v>60000</v>
      </c>
      <c r="AI288" s="214" t="s">
        <v>6</v>
      </c>
      <c r="AJ288" s="138" t="s">
        <v>109</v>
      </c>
      <c r="AK288" s="325">
        <v>156946515</v>
      </c>
      <c r="AL288" s="272" t="s">
        <v>1509</v>
      </c>
      <c r="AM288" s="149"/>
      <c r="AN288" s="149"/>
      <c r="AO288" s="149"/>
      <c r="AP288" s="152"/>
      <c r="AQ288" s="149"/>
      <c r="AR288" s="149"/>
      <c r="AS288" s="149"/>
      <c r="AT288" s="149"/>
      <c r="AU288" s="149"/>
      <c r="AV288" s="149"/>
      <c r="AW288" s="149"/>
      <c r="AX288" s="149"/>
      <c r="AY288" s="149"/>
      <c r="AZ288" s="149"/>
      <c r="BA288" s="149"/>
      <c r="BB288" s="149"/>
      <c r="BC288" s="142" t="str">
        <f t="shared" si="12"/>
        <v/>
      </c>
      <c r="BD288" s="134" t="str">
        <f t="shared" si="13"/>
        <v>INDENIZAÇÃO</v>
      </c>
      <c r="BE288" s="134" t="str">
        <f t="shared" ref="BE288:BE334" si="14">IF(AND(AY288&lt;&gt;"AGUARDANDO",AY288&lt;&gt;"",N288="AUXÍLIO ALUGUEL ATÉ INDENIZAÇÃO"),"SIM","NÃO")</f>
        <v>NÃO</v>
      </c>
      <c r="BF288" s="149"/>
      <c r="BG288" s="194"/>
      <c r="BH288" s="194"/>
      <c r="BI288" s="149"/>
      <c r="BJ288" s="149"/>
      <c r="BK288" s="149"/>
      <c r="BL288" s="149"/>
      <c r="BM288" s="149"/>
      <c r="BN288" s="149"/>
      <c r="BO288" s="149"/>
      <c r="BP288" s="149"/>
      <c r="BQ288" s="149"/>
      <c r="BR288" s="149"/>
      <c r="BS288" s="149"/>
      <c r="BT288" s="149"/>
      <c r="BU288" s="149"/>
      <c r="BV288" s="149"/>
      <c r="BW288" s="149"/>
      <c r="BX288" s="149"/>
      <c r="BY288" s="149"/>
      <c r="BZ288" s="149"/>
      <c r="CA288" s="149"/>
      <c r="CB288" s="149"/>
      <c r="CC288" s="149"/>
      <c r="CD288" s="149"/>
      <c r="CE288" s="149"/>
      <c r="CF288" s="149"/>
      <c r="CG288" s="149"/>
      <c r="CH288" s="149"/>
    </row>
    <row r="289" spans="1:91" ht="30" customHeight="1">
      <c r="A289" s="134">
        <v>275</v>
      </c>
      <c r="B289" s="134" t="s">
        <v>99</v>
      </c>
      <c r="C289" s="134">
        <v>1</v>
      </c>
      <c r="D289" s="134" t="s">
        <v>100</v>
      </c>
      <c r="E289" s="134" t="s">
        <v>100</v>
      </c>
      <c r="F289" s="138" t="s">
        <v>1510</v>
      </c>
      <c r="G289" s="149" t="s">
        <v>1</v>
      </c>
      <c r="H289" s="149" t="s">
        <v>2</v>
      </c>
      <c r="I289" s="149" t="s">
        <v>108</v>
      </c>
      <c r="J289" s="152" t="s">
        <v>1496</v>
      </c>
      <c r="K289" s="152" t="s">
        <v>1497</v>
      </c>
      <c r="L289" s="152" t="s">
        <v>1498</v>
      </c>
      <c r="M289" s="134" t="s">
        <v>4</v>
      </c>
      <c r="N289" s="134" t="s">
        <v>5</v>
      </c>
      <c r="O289" s="194">
        <v>46191</v>
      </c>
      <c r="P289" s="144" t="s">
        <v>24</v>
      </c>
      <c r="Q289" s="144" t="s">
        <v>24</v>
      </c>
      <c r="R289" s="144" t="s">
        <v>24</v>
      </c>
      <c r="S289" s="144" t="s">
        <v>24</v>
      </c>
      <c r="T289" s="144" t="s">
        <v>24</v>
      </c>
      <c r="U289" s="144" t="s">
        <v>24</v>
      </c>
      <c r="V289" s="144" t="s">
        <v>24</v>
      </c>
      <c r="W289" s="144" t="s">
        <v>24</v>
      </c>
      <c r="X289" s="144" t="s">
        <v>24</v>
      </c>
      <c r="Y289" s="144" t="s">
        <v>24</v>
      </c>
      <c r="Z289" s="144" t="s">
        <v>24</v>
      </c>
      <c r="AA289" s="149"/>
      <c r="AB289" s="152" t="s">
        <v>1496</v>
      </c>
      <c r="AC289" s="152" t="s">
        <v>1497</v>
      </c>
      <c r="AD289" s="152" t="s">
        <v>1498</v>
      </c>
      <c r="AE289" s="149" t="s">
        <v>108</v>
      </c>
      <c r="AF289" s="149" t="s">
        <v>4</v>
      </c>
      <c r="AG289" s="208">
        <v>31449.02</v>
      </c>
      <c r="AH289" s="208">
        <v>60000</v>
      </c>
      <c r="AI289" s="214" t="s">
        <v>6</v>
      </c>
      <c r="AJ289" s="138" t="s">
        <v>109</v>
      </c>
      <c r="AK289" s="325">
        <v>156946627</v>
      </c>
      <c r="AL289" s="272" t="s">
        <v>1511</v>
      </c>
      <c r="AM289" s="149"/>
      <c r="AN289" s="149"/>
      <c r="AO289" s="149"/>
      <c r="AP289" s="152"/>
      <c r="AQ289" s="149"/>
      <c r="AR289" s="149"/>
      <c r="AS289" s="149"/>
      <c r="AT289" s="149"/>
      <c r="AU289" s="149"/>
      <c r="AV289" s="149"/>
      <c r="AW289" s="149"/>
      <c r="AX289" s="149"/>
      <c r="AY289" s="149"/>
      <c r="AZ289" s="149"/>
      <c r="BA289" s="149"/>
      <c r="BB289" s="149"/>
      <c r="BC289" s="142" t="str">
        <f t="shared" si="12"/>
        <v/>
      </c>
      <c r="BD289" s="134" t="str">
        <f t="shared" si="13"/>
        <v>INDENIZAÇÃO</v>
      </c>
      <c r="BE289" s="134" t="str">
        <f t="shared" si="14"/>
        <v>NÃO</v>
      </c>
      <c r="BF289" s="149"/>
      <c r="BG289" s="194"/>
      <c r="BH289" s="194"/>
      <c r="BI289" s="149"/>
      <c r="BJ289" s="149"/>
      <c r="BK289" s="149"/>
      <c r="BL289" s="149"/>
      <c r="BM289" s="149"/>
      <c r="BN289" s="149"/>
      <c r="BO289" s="149"/>
      <c r="BP289" s="149"/>
      <c r="BQ289" s="149"/>
      <c r="BR289" s="149"/>
      <c r="BS289" s="149"/>
      <c r="BT289" s="149"/>
      <c r="BU289" s="149"/>
      <c r="BV289" s="149"/>
      <c r="BW289" s="149"/>
      <c r="BX289" s="149"/>
      <c r="BY289" s="149"/>
      <c r="BZ289" s="149"/>
      <c r="CA289" s="149"/>
      <c r="CB289" s="149"/>
      <c r="CC289" s="149"/>
      <c r="CD289" s="149"/>
      <c r="CE289" s="149"/>
      <c r="CF289" s="149"/>
      <c r="CG289" s="149"/>
      <c r="CH289" s="149"/>
    </row>
    <row r="290" spans="1:91" ht="30" customHeight="1">
      <c r="A290" s="134">
        <v>276</v>
      </c>
      <c r="B290" s="134" t="s">
        <v>99</v>
      </c>
      <c r="C290" s="134">
        <v>1</v>
      </c>
      <c r="D290" s="134" t="s">
        <v>100</v>
      </c>
      <c r="E290" s="134" t="s">
        <v>100</v>
      </c>
      <c r="F290" s="138" t="s">
        <v>1512</v>
      </c>
      <c r="G290" s="149" t="s">
        <v>1</v>
      </c>
      <c r="H290" s="149" t="s">
        <v>2</v>
      </c>
      <c r="I290" s="149" t="s">
        <v>108</v>
      </c>
      <c r="J290" s="152" t="s">
        <v>1513</v>
      </c>
      <c r="K290" s="152" t="s">
        <v>1514</v>
      </c>
      <c r="L290" s="152" t="s">
        <v>1515</v>
      </c>
      <c r="M290" s="134" t="s">
        <v>4</v>
      </c>
      <c r="N290" s="214" t="s">
        <v>371</v>
      </c>
      <c r="O290" s="194"/>
      <c r="P290" s="144"/>
      <c r="Q290" s="263"/>
      <c r="R290" s="144"/>
      <c r="S290" s="144"/>
      <c r="T290" s="144"/>
      <c r="U290" s="144"/>
      <c r="V290" s="144"/>
      <c r="W290" s="144"/>
      <c r="X290" s="144"/>
      <c r="Y290" s="144"/>
      <c r="Z290" s="144"/>
      <c r="AA290" s="149"/>
      <c r="AB290" s="152" t="s">
        <v>1513</v>
      </c>
      <c r="AC290" s="152" t="s">
        <v>1514</v>
      </c>
      <c r="AD290" s="152" t="s">
        <v>1515</v>
      </c>
      <c r="AE290" s="149" t="s">
        <v>108</v>
      </c>
      <c r="AF290" s="149"/>
      <c r="AG290" s="208" t="s">
        <v>371</v>
      </c>
      <c r="AH290" s="208" t="s">
        <v>371</v>
      </c>
      <c r="AI290" s="214" t="s">
        <v>371</v>
      </c>
      <c r="AJ290" s="239" t="s">
        <v>371</v>
      </c>
      <c r="AK290" s="239"/>
      <c r="AL290" s="171"/>
      <c r="AM290" s="171"/>
      <c r="AN290" s="171"/>
      <c r="AO290" s="149"/>
      <c r="AP290" s="203"/>
      <c r="AQ290" s="171"/>
      <c r="AR290" s="171"/>
      <c r="AS290" s="171"/>
      <c r="AT290" s="171"/>
      <c r="AU290" s="171"/>
      <c r="AV290" s="171"/>
      <c r="AW290" s="171"/>
      <c r="AX290" s="171"/>
      <c r="AY290" s="171"/>
      <c r="AZ290" s="149"/>
      <c r="BA290" s="149"/>
      <c r="BB290" s="149"/>
      <c r="BC290" s="142" t="str">
        <f t="shared" si="12"/>
        <v/>
      </c>
      <c r="BD290" s="134" t="str">
        <f t="shared" si="13"/>
        <v>INDENIZAÇÃO</v>
      </c>
      <c r="BE290" s="134" t="str">
        <f t="shared" si="14"/>
        <v>NÃO</v>
      </c>
      <c r="BF290" s="171"/>
      <c r="BG290" s="202"/>
      <c r="BH290" s="202"/>
      <c r="BI290" s="171"/>
      <c r="BJ290" s="171"/>
      <c r="BK290" s="171"/>
      <c r="BL290" s="171"/>
      <c r="BM290" s="149"/>
      <c r="BN290" s="149"/>
      <c r="BO290" s="149"/>
      <c r="BP290" s="149"/>
      <c r="BQ290" s="149"/>
      <c r="BR290" s="149"/>
      <c r="BS290" s="149"/>
      <c r="BT290" s="149"/>
      <c r="BU290" s="149"/>
      <c r="BV290" s="149"/>
      <c r="BW290" s="149"/>
      <c r="BX290" s="149"/>
      <c r="BY290" s="149"/>
      <c r="BZ290" s="149"/>
      <c r="CA290" s="149"/>
      <c r="CB290" s="149"/>
      <c r="CC290" s="149"/>
      <c r="CD290" s="149"/>
      <c r="CE290" s="149"/>
      <c r="CF290" s="149"/>
      <c r="CG290" s="149"/>
      <c r="CH290" s="149"/>
    </row>
    <row r="291" spans="1:91" ht="30" customHeight="1">
      <c r="A291" s="134">
        <v>277</v>
      </c>
      <c r="B291" s="134" t="s">
        <v>99</v>
      </c>
      <c r="C291" s="134">
        <v>1</v>
      </c>
      <c r="D291" s="134" t="s">
        <v>100</v>
      </c>
      <c r="E291" s="134" t="s">
        <v>100</v>
      </c>
      <c r="F291" s="138" t="s">
        <v>1516</v>
      </c>
      <c r="G291" s="149" t="s">
        <v>1</v>
      </c>
      <c r="H291" s="149" t="s">
        <v>1517</v>
      </c>
      <c r="I291" s="149" t="s">
        <v>108</v>
      </c>
      <c r="J291" s="152" t="s">
        <v>1518</v>
      </c>
      <c r="K291" s="152" t="s">
        <v>1519</v>
      </c>
      <c r="L291" s="152" t="s">
        <v>1520</v>
      </c>
      <c r="M291" s="134" t="s">
        <v>4</v>
      </c>
      <c r="N291" s="214" t="s">
        <v>371</v>
      </c>
      <c r="O291" s="194"/>
      <c r="P291" s="144"/>
      <c r="Q291" s="263"/>
      <c r="R291" s="144"/>
      <c r="S291" s="144"/>
      <c r="T291" s="144"/>
      <c r="U291" s="144"/>
      <c r="V291" s="144"/>
      <c r="W291" s="144"/>
      <c r="X291" s="144"/>
      <c r="Y291" s="144"/>
      <c r="Z291" s="144"/>
      <c r="AA291" s="149"/>
      <c r="AB291" s="152" t="s">
        <v>1518</v>
      </c>
      <c r="AC291" s="152" t="s">
        <v>1519</v>
      </c>
      <c r="AD291" s="152" t="s">
        <v>1520</v>
      </c>
      <c r="AE291" s="149" t="s">
        <v>108</v>
      </c>
      <c r="AF291" s="149"/>
      <c r="AG291" s="208" t="s">
        <v>371</v>
      </c>
      <c r="AH291" s="208" t="s">
        <v>371</v>
      </c>
      <c r="AI291" s="232" t="s">
        <v>371</v>
      </c>
      <c r="AJ291" s="214" t="s">
        <v>371</v>
      </c>
      <c r="AK291" s="214"/>
      <c r="AL291" s="149"/>
      <c r="AM291" s="149"/>
      <c r="AN291" s="149"/>
      <c r="AO291" s="149"/>
      <c r="AP291" s="152"/>
      <c r="AQ291" s="149"/>
      <c r="AR291" s="149"/>
      <c r="AS291" s="149"/>
      <c r="AT291" s="149"/>
      <c r="AU291" s="149"/>
      <c r="AV291" s="149"/>
      <c r="AW291" s="149"/>
      <c r="AX291" s="149"/>
      <c r="AY291" s="149"/>
      <c r="AZ291" s="149"/>
      <c r="BA291" s="149"/>
      <c r="BB291" s="149"/>
      <c r="BC291" s="142" t="str">
        <f t="shared" si="12"/>
        <v/>
      </c>
      <c r="BD291" s="134" t="str">
        <f t="shared" si="13"/>
        <v>INDENIZAÇÃO</v>
      </c>
      <c r="BE291" s="134" t="str">
        <f t="shared" si="14"/>
        <v>NÃO</v>
      </c>
      <c r="BF291" s="149"/>
      <c r="BG291" s="194"/>
      <c r="BH291" s="194"/>
      <c r="BI291" s="149"/>
      <c r="BJ291" s="149"/>
      <c r="BK291" s="149"/>
      <c r="BL291" s="149"/>
      <c r="BM291" s="149"/>
      <c r="BN291" s="149"/>
      <c r="BO291" s="149"/>
      <c r="BP291" s="149"/>
      <c r="BQ291" s="149"/>
      <c r="BR291" s="149"/>
      <c r="BS291" s="149"/>
      <c r="BT291" s="149"/>
      <c r="BU291" s="149"/>
      <c r="BV291" s="149"/>
      <c r="BW291" s="149"/>
      <c r="BX291" s="149"/>
      <c r="BY291" s="149"/>
      <c r="BZ291" s="149"/>
      <c r="CA291" s="149"/>
      <c r="CB291" s="149"/>
      <c r="CC291" s="149"/>
      <c r="CD291" s="149"/>
      <c r="CE291" s="149"/>
      <c r="CF291" s="149"/>
      <c r="CG291" s="149"/>
      <c r="CH291" s="149"/>
      <c r="CI291" s="200"/>
      <c r="CJ291" s="149"/>
      <c r="CK291" s="149"/>
      <c r="CL291" s="149"/>
      <c r="CM291" s="149"/>
    </row>
    <row r="292" spans="1:91" ht="30" customHeight="1">
      <c r="A292" s="134">
        <v>278</v>
      </c>
      <c r="B292" s="134" t="s">
        <v>99</v>
      </c>
      <c r="C292" s="134">
        <v>1</v>
      </c>
      <c r="D292" s="134" t="s">
        <v>100</v>
      </c>
      <c r="E292" s="134" t="s">
        <v>100</v>
      </c>
      <c r="F292" s="138" t="s">
        <v>1521</v>
      </c>
      <c r="G292" s="149" t="s">
        <v>10</v>
      </c>
      <c r="H292" s="149" t="s">
        <v>2</v>
      </c>
      <c r="I292" s="149" t="s">
        <v>287</v>
      </c>
      <c r="J292" s="152" t="s">
        <v>1522</v>
      </c>
      <c r="K292" s="152" t="s">
        <v>1523</v>
      </c>
      <c r="L292" s="152" t="s">
        <v>1524</v>
      </c>
      <c r="M292" s="134" t="s">
        <v>4</v>
      </c>
      <c r="N292" s="214" t="s">
        <v>371</v>
      </c>
      <c r="O292" s="194"/>
      <c r="P292" s="144"/>
      <c r="Q292" s="263"/>
      <c r="R292" s="144"/>
      <c r="S292" s="144"/>
      <c r="T292" s="144"/>
      <c r="U292" s="144"/>
      <c r="V292" s="144"/>
      <c r="W292" s="144"/>
      <c r="X292" s="144"/>
      <c r="Y292" s="144"/>
      <c r="Z292" s="144"/>
      <c r="AA292" s="149"/>
      <c r="AB292" s="152" t="s">
        <v>1522</v>
      </c>
      <c r="AC292" s="152" t="s">
        <v>1523</v>
      </c>
      <c r="AD292" s="152" t="s">
        <v>1524</v>
      </c>
      <c r="AE292" s="134" t="s">
        <v>287</v>
      </c>
      <c r="AF292" s="149"/>
      <c r="AG292" s="208" t="s">
        <v>371</v>
      </c>
      <c r="AH292" s="208" t="s">
        <v>371</v>
      </c>
      <c r="AI292" s="214" t="s">
        <v>371</v>
      </c>
      <c r="AJ292" s="214" t="s">
        <v>371</v>
      </c>
      <c r="AK292" s="214"/>
      <c r="AL292" s="149"/>
      <c r="AM292" s="149"/>
      <c r="AN292" s="149"/>
      <c r="AO292" s="149"/>
      <c r="AP292" s="152"/>
      <c r="AQ292" s="149"/>
      <c r="AR292" s="149"/>
      <c r="AS292" s="149"/>
      <c r="AT292" s="149"/>
      <c r="AU292" s="149"/>
      <c r="AV292" s="149"/>
      <c r="AW292" s="149"/>
      <c r="AX292" s="149"/>
      <c r="AY292" s="149"/>
      <c r="AZ292" s="149"/>
      <c r="BA292" s="149"/>
      <c r="BB292" s="149"/>
      <c r="BC292" s="142" t="str">
        <f t="shared" si="12"/>
        <v/>
      </c>
      <c r="BD292" s="134" t="str">
        <f t="shared" si="13"/>
        <v>INDENIZAÇÃO</v>
      </c>
      <c r="BE292" s="134" t="str">
        <f t="shared" si="14"/>
        <v>NÃO</v>
      </c>
      <c r="BF292" s="149"/>
      <c r="BG292" s="194"/>
      <c r="BH292" s="194"/>
      <c r="BI292" s="149"/>
      <c r="BJ292" s="149"/>
      <c r="BK292" s="149"/>
      <c r="BL292" s="149"/>
      <c r="BM292" s="149"/>
      <c r="BN292" s="149"/>
      <c r="BO292" s="149"/>
      <c r="BP292" s="149"/>
      <c r="BQ292" s="149"/>
      <c r="BR292" s="149"/>
      <c r="BS292" s="149"/>
      <c r="BT292" s="149"/>
      <c r="BU292" s="149"/>
      <c r="BV292" s="149"/>
      <c r="BW292" s="149"/>
      <c r="BX292" s="149"/>
      <c r="BY292" s="149"/>
      <c r="BZ292" s="149"/>
      <c r="CA292" s="149"/>
      <c r="CB292" s="149"/>
      <c r="CC292" s="149"/>
      <c r="CD292" s="149"/>
      <c r="CE292" s="149"/>
      <c r="CF292" s="149"/>
      <c r="CG292" s="149"/>
      <c r="CH292" s="149"/>
    </row>
    <row r="293" spans="1:91" ht="30" customHeight="1">
      <c r="A293" s="134">
        <v>279</v>
      </c>
      <c r="B293" s="134" t="s">
        <v>99</v>
      </c>
      <c r="C293" s="134">
        <v>1</v>
      </c>
      <c r="D293" s="134" t="s">
        <v>100</v>
      </c>
      <c r="E293" s="134" t="s">
        <v>100</v>
      </c>
      <c r="F293" s="138" t="s">
        <v>1525</v>
      </c>
      <c r="G293" s="149" t="s">
        <v>26</v>
      </c>
      <c r="H293" s="149" t="s">
        <v>2</v>
      </c>
      <c r="I293" s="149" t="s">
        <v>287</v>
      </c>
      <c r="J293" s="152" t="s">
        <v>1526</v>
      </c>
      <c r="K293" s="152" t="s">
        <v>1527</v>
      </c>
      <c r="L293" s="152" t="s">
        <v>1528</v>
      </c>
      <c r="M293" s="134" t="s">
        <v>4</v>
      </c>
      <c r="N293" s="214" t="s">
        <v>371</v>
      </c>
      <c r="O293" s="194"/>
      <c r="P293" s="144"/>
      <c r="Q293" s="263"/>
      <c r="R293" s="144"/>
      <c r="S293" s="144"/>
      <c r="T293" s="144"/>
      <c r="U293" s="144"/>
      <c r="V293" s="144"/>
      <c r="W293" s="144"/>
      <c r="X293" s="144"/>
      <c r="Y293" s="144"/>
      <c r="Z293" s="144"/>
      <c r="AA293" s="149"/>
      <c r="AB293" s="152" t="s">
        <v>1526</v>
      </c>
      <c r="AC293" s="152" t="s">
        <v>1527</v>
      </c>
      <c r="AD293" s="152" t="s">
        <v>1528</v>
      </c>
      <c r="AE293" s="134" t="s">
        <v>287</v>
      </c>
      <c r="AF293" s="149"/>
      <c r="AG293" s="208" t="s">
        <v>371</v>
      </c>
      <c r="AH293" s="208" t="s">
        <v>371</v>
      </c>
      <c r="AI293" s="214" t="s">
        <v>371</v>
      </c>
      <c r="AJ293" s="238" t="s">
        <v>371</v>
      </c>
      <c r="AK293" s="214"/>
      <c r="AL293" s="149"/>
      <c r="AM293" s="149"/>
      <c r="AN293" s="149"/>
      <c r="AO293" s="149"/>
      <c r="AP293" s="152"/>
      <c r="AQ293" s="149"/>
      <c r="AR293" s="149"/>
      <c r="AS293" s="149"/>
      <c r="AT293" s="149"/>
      <c r="AU293" s="149"/>
      <c r="AV293" s="149"/>
      <c r="AW293" s="149"/>
      <c r="AX293" s="149"/>
      <c r="AY293" s="149"/>
      <c r="AZ293" s="149"/>
      <c r="BA293" s="149"/>
      <c r="BB293" s="149"/>
      <c r="BC293" s="142" t="str">
        <f t="shared" si="12"/>
        <v/>
      </c>
      <c r="BD293" s="134" t="str">
        <f t="shared" si="13"/>
        <v>INDENIZAÇÃO</v>
      </c>
      <c r="BE293" s="134" t="str">
        <f t="shared" si="14"/>
        <v>NÃO</v>
      </c>
      <c r="BF293" s="149"/>
      <c r="BG293" s="194"/>
      <c r="BH293" s="194"/>
      <c r="BI293" s="149"/>
      <c r="BJ293" s="149"/>
      <c r="BK293" s="149"/>
      <c r="BL293" s="149"/>
      <c r="BM293" s="149"/>
      <c r="BN293" s="149"/>
      <c r="BO293" s="149"/>
      <c r="BP293" s="149"/>
      <c r="BQ293" s="149"/>
      <c r="BR293" s="149"/>
      <c r="BS293" s="149"/>
      <c r="BT293" s="149"/>
      <c r="BU293" s="149"/>
      <c r="BV293" s="149"/>
      <c r="BW293" s="149"/>
      <c r="BX293" s="149"/>
      <c r="BY293" s="149"/>
      <c r="BZ293" s="149"/>
      <c r="CA293" s="149"/>
      <c r="CB293" s="149"/>
      <c r="CC293" s="149"/>
      <c r="CD293" s="149"/>
      <c r="CE293" s="149"/>
      <c r="CF293" s="149"/>
      <c r="CG293" s="149"/>
      <c r="CH293" s="149"/>
    </row>
    <row r="294" spans="1:91" ht="30" customHeight="1">
      <c r="A294" s="134">
        <v>280</v>
      </c>
      <c r="B294" s="134" t="s">
        <v>99</v>
      </c>
      <c r="C294" s="134">
        <v>1</v>
      </c>
      <c r="D294" s="134" t="s">
        <v>100</v>
      </c>
      <c r="E294" s="134" t="s">
        <v>100</v>
      </c>
      <c r="F294" s="138" t="s">
        <v>1529</v>
      </c>
      <c r="G294" s="149" t="s">
        <v>1</v>
      </c>
      <c r="H294" s="149" t="s">
        <v>2</v>
      </c>
      <c r="I294" s="149" t="s">
        <v>108</v>
      </c>
      <c r="J294" s="152" t="s">
        <v>1530</v>
      </c>
      <c r="K294" s="152" t="s">
        <v>1531</v>
      </c>
      <c r="L294" s="152" t="s">
        <v>1532</v>
      </c>
      <c r="M294" s="134" t="s">
        <v>4</v>
      </c>
      <c r="N294" s="214" t="s">
        <v>5</v>
      </c>
      <c r="O294" s="194">
        <v>45702</v>
      </c>
      <c r="P294" s="144" t="s">
        <v>24</v>
      </c>
      <c r="Q294" s="144" t="s">
        <v>24</v>
      </c>
      <c r="R294" s="144" t="s">
        <v>24</v>
      </c>
      <c r="S294" s="144" t="s">
        <v>24</v>
      </c>
      <c r="T294" s="144" t="s">
        <v>24</v>
      </c>
      <c r="U294" s="144" t="s">
        <v>24</v>
      </c>
      <c r="V294" s="144" t="s">
        <v>24</v>
      </c>
      <c r="W294" s="144" t="s">
        <v>24</v>
      </c>
      <c r="X294" s="144" t="s">
        <v>24</v>
      </c>
      <c r="Y294" s="144" t="s">
        <v>24</v>
      </c>
      <c r="Z294" s="144" t="s">
        <v>24</v>
      </c>
      <c r="AA294" s="149"/>
      <c r="AB294" s="152" t="s">
        <v>1530</v>
      </c>
      <c r="AC294" s="152" t="s">
        <v>1531</v>
      </c>
      <c r="AD294" s="152" t="s">
        <v>1532</v>
      </c>
      <c r="AE294" s="149" t="s">
        <v>108</v>
      </c>
      <c r="AF294" s="149" t="s">
        <v>4</v>
      </c>
      <c r="AG294" s="208">
        <v>114488.2</v>
      </c>
      <c r="AH294" s="208">
        <v>114488.2</v>
      </c>
      <c r="AI294" s="232" t="s">
        <v>6</v>
      </c>
      <c r="AJ294" s="138" t="s">
        <v>109</v>
      </c>
      <c r="AK294" s="235">
        <v>116608676</v>
      </c>
      <c r="AL294" s="149" t="s">
        <v>110</v>
      </c>
      <c r="AM294" s="149" t="s">
        <v>110</v>
      </c>
      <c r="AN294" s="149" t="s">
        <v>111</v>
      </c>
      <c r="AO294" s="149"/>
      <c r="AP294" s="152" t="s">
        <v>1533</v>
      </c>
      <c r="AQ294" s="149" t="s">
        <v>110</v>
      </c>
      <c r="AR294" s="149" t="s">
        <v>110</v>
      </c>
      <c r="AS294" s="149" t="s">
        <v>110</v>
      </c>
      <c r="AT294" s="198" t="s">
        <v>110</v>
      </c>
      <c r="AU294" s="194">
        <v>45806</v>
      </c>
      <c r="AV294" s="198" t="s">
        <v>110</v>
      </c>
      <c r="AW294" s="198" t="s">
        <v>110</v>
      </c>
      <c r="AX294" s="194">
        <v>45819</v>
      </c>
      <c r="AY294" s="197">
        <v>45819</v>
      </c>
      <c r="AZ294" s="145" t="s">
        <v>33</v>
      </c>
      <c r="BA294" s="145" t="s">
        <v>113</v>
      </c>
      <c r="BB294" s="149" t="s">
        <v>110</v>
      </c>
      <c r="BC294" s="142">
        <f t="shared" si="12"/>
        <v>117</v>
      </c>
      <c r="BD294" s="134" t="str">
        <f t="shared" si="13"/>
        <v>INDENIZAÇÃO</v>
      </c>
      <c r="BE294" s="134" t="str">
        <f t="shared" si="14"/>
        <v>NÃO</v>
      </c>
      <c r="BF294" s="149" t="s">
        <v>24</v>
      </c>
      <c r="BG294" s="149" t="s">
        <v>24</v>
      </c>
      <c r="BH294" s="149" t="s">
        <v>24</v>
      </c>
      <c r="BI294" s="198" t="s">
        <v>110</v>
      </c>
      <c r="BJ294" s="198" t="s">
        <v>110</v>
      </c>
      <c r="BK294" s="194">
        <v>45859</v>
      </c>
      <c r="BL294" s="149" t="s">
        <v>110</v>
      </c>
      <c r="BM294" s="141" t="s">
        <v>33</v>
      </c>
      <c r="BN294" s="149"/>
      <c r="BO294" s="149"/>
      <c r="BP294" s="149"/>
      <c r="BQ294" s="149"/>
      <c r="BR294" s="149"/>
      <c r="BS294" s="149"/>
      <c r="BT294" s="149"/>
      <c r="BU294" s="149"/>
      <c r="BV294" s="149"/>
      <c r="BW294" s="149"/>
      <c r="BX294" s="149"/>
      <c r="BY294" s="149"/>
      <c r="BZ294" s="149"/>
      <c r="CA294" s="149"/>
      <c r="CB294" s="149"/>
      <c r="CC294" s="149"/>
      <c r="CD294" s="149"/>
      <c r="CE294" s="149"/>
      <c r="CF294" s="149"/>
      <c r="CG294" s="149"/>
      <c r="CH294" s="149"/>
    </row>
    <row r="295" spans="1:91" ht="30" customHeight="1">
      <c r="A295" s="134">
        <v>281</v>
      </c>
      <c r="B295" s="134" t="s">
        <v>99</v>
      </c>
      <c r="C295" s="134">
        <v>1</v>
      </c>
      <c r="D295" s="134" t="s">
        <v>100</v>
      </c>
      <c r="E295" s="134" t="s">
        <v>100</v>
      </c>
      <c r="F295" s="138" t="s">
        <v>1534</v>
      </c>
      <c r="G295" s="149" t="s">
        <v>10</v>
      </c>
      <c r="H295" s="149" t="s">
        <v>2</v>
      </c>
      <c r="I295" s="149" t="s">
        <v>287</v>
      </c>
      <c r="J295" s="152" t="s">
        <v>1535</v>
      </c>
      <c r="K295" s="152" t="s">
        <v>1536</v>
      </c>
      <c r="L295" s="152" t="s">
        <v>1537</v>
      </c>
      <c r="M295" s="134" t="s">
        <v>4</v>
      </c>
      <c r="N295" s="214" t="s">
        <v>5</v>
      </c>
      <c r="O295" s="194">
        <v>45546</v>
      </c>
      <c r="P295" s="144" t="s">
        <v>24</v>
      </c>
      <c r="Q295" s="144" t="s">
        <v>24</v>
      </c>
      <c r="R295" s="144" t="s">
        <v>24</v>
      </c>
      <c r="S295" s="144" t="s">
        <v>24</v>
      </c>
      <c r="T295" s="144" t="s">
        <v>24</v>
      </c>
      <c r="U295" s="144" t="s">
        <v>24</v>
      </c>
      <c r="V295" s="144" t="s">
        <v>24</v>
      </c>
      <c r="W295" s="144" t="s">
        <v>24</v>
      </c>
      <c r="X295" s="144" t="s">
        <v>24</v>
      </c>
      <c r="Y295" s="144" t="s">
        <v>24</v>
      </c>
      <c r="Z295" s="144" t="s">
        <v>24</v>
      </c>
      <c r="AA295" s="149"/>
      <c r="AB295" s="152" t="s">
        <v>1535</v>
      </c>
      <c r="AC295" s="152" t="s">
        <v>1536</v>
      </c>
      <c r="AD295" s="152" t="s">
        <v>1537</v>
      </c>
      <c r="AE295" s="134" t="s">
        <v>287</v>
      </c>
      <c r="AF295" s="149" t="s">
        <v>4</v>
      </c>
      <c r="AG295" s="208">
        <v>4335.71</v>
      </c>
      <c r="AH295" s="208">
        <f>AG295+30000</f>
        <v>34335.71</v>
      </c>
      <c r="AI295" s="232" t="s">
        <v>6</v>
      </c>
      <c r="AJ295" s="138" t="s">
        <v>109</v>
      </c>
      <c r="AK295" s="235"/>
      <c r="AL295" s="149" t="s">
        <v>110</v>
      </c>
      <c r="AM295" s="149" t="s">
        <v>110</v>
      </c>
      <c r="AN295" s="149" t="s">
        <v>111</v>
      </c>
      <c r="AO295" s="149"/>
      <c r="AP295" s="152" t="s">
        <v>1538</v>
      </c>
      <c r="AQ295" s="149" t="s">
        <v>110</v>
      </c>
      <c r="AR295" s="149" t="s">
        <v>110</v>
      </c>
      <c r="AS295" s="198" t="s">
        <v>110</v>
      </c>
      <c r="AT295" s="198" t="s">
        <v>110</v>
      </c>
      <c r="AU295" s="194">
        <v>45587</v>
      </c>
      <c r="AV295" s="198" t="s">
        <v>110</v>
      </c>
      <c r="AW295" s="198" t="s">
        <v>110</v>
      </c>
      <c r="AX295" s="194">
        <v>45600</v>
      </c>
      <c r="AY295" s="197">
        <v>45600</v>
      </c>
      <c r="AZ295" s="197" t="s">
        <v>33</v>
      </c>
      <c r="BA295" s="145" t="s">
        <v>113</v>
      </c>
      <c r="BB295" s="149" t="s">
        <v>110</v>
      </c>
      <c r="BC295" s="142">
        <f t="shared" si="12"/>
        <v>54</v>
      </c>
      <c r="BD295" s="134" t="str">
        <f t="shared" si="13"/>
        <v>INDENIZAÇÃO</v>
      </c>
      <c r="BE295" s="134" t="str">
        <f t="shared" si="14"/>
        <v>NÃO</v>
      </c>
      <c r="BF295" s="134" t="s">
        <v>24</v>
      </c>
      <c r="BG295" s="134" t="s">
        <v>24</v>
      </c>
      <c r="BH295" s="134" t="s">
        <v>24</v>
      </c>
      <c r="BI295" s="198" t="s">
        <v>110</v>
      </c>
      <c r="BJ295" s="198" t="s">
        <v>110</v>
      </c>
      <c r="BK295" s="194">
        <v>45621</v>
      </c>
      <c r="BL295" s="198" t="s">
        <v>110</v>
      </c>
      <c r="BM295" s="145" t="s">
        <v>33</v>
      </c>
      <c r="BN295" s="149"/>
      <c r="BO295" s="149"/>
      <c r="BP295" s="149"/>
      <c r="BQ295" s="149"/>
      <c r="BR295" s="149"/>
      <c r="BS295" s="149"/>
      <c r="BT295" s="149"/>
      <c r="BU295" s="149"/>
      <c r="BV295" s="149"/>
      <c r="BW295" s="149"/>
      <c r="BX295" s="149"/>
      <c r="BY295" s="149"/>
      <c r="BZ295" s="149"/>
      <c r="CA295" s="149"/>
      <c r="CB295" s="149"/>
      <c r="CC295" s="149"/>
      <c r="CD295" s="149"/>
      <c r="CE295" s="149"/>
      <c r="CF295" s="149"/>
      <c r="CG295" s="149"/>
      <c r="CH295" s="149"/>
      <c r="CI295" s="200"/>
      <c r="CJ295" s="149"/>
      <c r="CK295" s="149"/>
      <c r="CL295" s="149"/>
      <c r="CM295" s="149"/>
    </row>
    <row r="296" spans="1:91" ht="30" customHeight="1">
      <c r="A296" s="134">
        <v>282</v>
      </c>
      <c r="B296" s="134" t="s">
        <v>99</v>
      </c>
      <c r="C296" s="134">
        <v>1</v>
      </c>
      <c r="D296" s="134" t="s">
        <v>100</v>
      </c>
      <c r="E296" s="134" t="s">
        <v>100</v>
      </c>
      <c r="F296" s="138" t="s">
        <v>1539</v>
      </c>
      <c r="G296" s="149" t="s">
        <v>1</v>
      </c>
      <c r="H296" s="149" t="s">
        <v>2</v>
      </c>
      <c r="I296" s="149" t="s">
        <v>108</v>
      </c>
      <c r="J296" s="152" t="s">
        <v>1540</v>
      </c>
      <c r="K296" s="152" t="s">
        <v>1541</v>
      </c>
      <c r="L296" s="152" t="s">
        <v>1542</v>
      </c>
      <c r="M296" s="134" t="s">
        <v>4</v>
      </c>
      <c r="N296" s="214" t="s">
        <v>5</v>
      </c>
      <c r="O296" s="194">
        <v>45280</v>
      </c>
      <c r="P296" s="144" t="s">
        <v>24</v>
      </c>
      <c r="Q296" s="144" t="s">
        <v>24</v>
      </c>
      <c r="R296" s="144" t="s">
        <v>24</v>
      </c>
      <c r="S296" s="144" t="s">
        <v>24</v>
      </c>
      <c r="T296" s="144" t="s">
        <v>24</v>
      </c>
      <c r="U296" s="144" t="s">
        <v>24</v>
      </c>
      <c r="V296" s="144" t="s">
        <v>24</v>
      </c>
      <c r="W296" s="144" t="s">
        <v>24</v>
      </c>
      <c r="X296" s="144" t="s">
        <v>24</v>
      </c>
      <c r="Y296" s="144" t="s">
        <v>24</v>
      </c>
      <c r="Z296" s="144" t="s">
        <v>24</v>
      </c>
      <c r="AA296" s="149"/>
      <c r="AB296" s="152" t="s">
        <v>1540</v>
      </c>
      <c r="AC296" s="152" t="s">
        <v>1541</v>
      </c>
      <c r="AD296" s="152" t="s">
        <v>1542</v>
      </c>
      <c r="AE296" s="149" t="s">
        <v>108</v>
      </c>
      <c r="AF296" s="149" t="s">
        <v>4</v>
      </c>
      <c r="AG296" s="208">
        <v>58003.95</v>
      </c>
      <c r="AH296" s="208">
        <v>60000</v>
      </c>
      <c r="AI296" s="232" t="s">
        <v>6</v>
      </c>
      <c r="AJ296" s="138" t="s">
        <v>109</v>
      </c>
      <c r="AK296" s="235"/>
      <c r="AL296" s="149" t="s">
        <v>110</v>
      </c>
      <c r="AM296" s="149" t="s">
        <v>110</v>
      </c>
      <c r="AN296" s="149" t="s">
        <v>111</v>
      </c>
      <c r="AO296" s="149"/>
      <c r="AP296" s="152" t="s">
        <v>1543</v>
      </c>
      <c r="AQ296" s="149" t="s">
        <v>110</v>
      </c>
      <c r="AR296" s="149" t="s">
        <v>110</v>
      </c>
      <c r="AS296" s="149" t="s">
        <v>110</v>
      </c>
      <c r="AT296" s="149" t="s">
        <v>110</v>
      </c>
      <c r="AU296" s="194">
        <v>45373</v>
      </c>
      <c r="AV296" s="149" t="s">
        <v>110</v>
      </c>
      <c r="AW296" s="149" t="s">
        <v>110</v>
      </c>
      <c r="AX296" s="194">
        <v>45384</v>
      </c>
      <c r="AY296" s="197">
        <v>45384</v>
      </c>
      <c r="AZ296" s="197" t="s">
        <v>33</v>
      </c>
      <c r="BA296" s="145" t="s">
        <v>113</v>
      </c>
      <c r="BB296" s="149" t="s">
        <v>110</v>
      </c>
      <c r="BC296" s="142">
        <f t="shared" si="12"/>
        <v>104</v>
      </c>
      <c r="BD296" s="134" t="str">
        <f t="shared" si="13"/>
        <v>INDENIZAÇÃO</v>
      </c>
      <c r="BE296" s="134" t="str">
        <f t="shared" si="14"/>
        <v>NÃO</v>
      </c>
      <c r="BF296" s="134" t="s">
        <v>24</v>
      </c>
      <c r="BG296" s="134" t="s">
        <v>24</v>
      </c>
      <c r="BH296" s="134" t="s">
        <v>24</v>
      </c>
      <c r="BI296" s="149" t="s">
        <v>110</v>
      </c>
      <c r="BJ296" s="149" t="s">
        <v>110</v>
      </c>
      <c r="BK296" s="194">
        <v>45510</v>
      </c>
      <c r="BL296" s="149" t="s">
        <v>110</v>
      </c>
      <c r="BM296" s="145" t="s">
        <v>33</v>
      </c>
      <c r="BN296" s="149"/>
      <c r="BO296" s="149"/>
      <c r="BP296" s="149"/>
      <c r="BQ296" s="149"/>
      <c r="BR296" s="149"/>
      <c r="BS296" s="149"/>
      <c r="BT296" s="149"/>
      <c r="BU296" s="149"/>
      <c r="BV296" s="149"/>
      <c r="BW296" s="149"/>
      <c r="BX296" s="149"/>
      <c r="BY296" s="149"/>
      <c r="BZ296" s="149"/>
      <c r="CA296" s="149"/>
      <c r="CB296" s="149"/>
      <c r="CC296" s="149"/>
      <c r="CD296" s="149"/>
      <c r="CE296" s="149"/>
      <c r="CF296" s="149"/>
      <c r="CG296" s="149"/>
      <c r="CH296" s="149"/>
      <c r="CI296" s="200"/>
      <c r="CJ296" s="149"/>
      <c r="CK296" s="149"/>
      <c r="CL296" s="149"/>
      <c r="CM296" s="149"/>
    </row>
    <row r="297" spans="1:91" ht="30" customHeight="1">
      <c r="A297" s="134">
        <v>283</v>
      </c>
      <c r="B297" s="134" t="s">
        <v>99</v>
      </c>
      <c r="C297" s="134">
        <v>1</v>
      </c>
      <c r="D297" s="134" t="s">
        <v>100</v>
      </c>
      <c r="E297" s="134" t="s">
        <v>100</v>
      </c>
      <c r="F297" s="138" t="s">
        <v>1544</v>
      </c>
      <c r="G297" s="149" t="s">
        <v>1</v>
      </c>
      <c r="H297" s="149" t="s">
        <v>2</v>
      </c>
      <c r="I297" s="149" t="s">
        <v>108</v>
      </c>
      <c r="J297" s="152" t="s">
        <v>1545</v>
      </c>
      <c r="K297" s="152" t="s">
        <v>1546</v>
      </c>
      <c r="L297" s="152" t="s">
        <v>1547</v>
      </c>
      <c r="M297" s="134" t="s">
        <v>4</v>
      </c>
      <c r="N297" s="214" t="s">
        <v>5</v>
      </c>
      <c r="O297" s="194">
        <v>45756</v>
      </c>
      <c r="P297" s="144" t="s">
        <v>24</v>
      </c>
      <c r="Q297" s="144" t="s">
        <v>24</v>
      </c>
      <c r="R297" s="144" t="s">
        <v>24</v>
      </c>
      <c r="S297" s="144" t="s">
        <v>24</v>
      </c>
      <c r="T297" s="144" t="s">
        <v>24</v>
      </c>
      <c r="U297" s="144" t="s">
        <v>24</v>
      </c>
      <c r="V297" s="144" t="s">
        <v>24</v>
      </c>
      <c r="W297" s="144" t="s">
        <v>24</v>
      </c>
      <c r="X297" s="144" t="s">
        <v>24</v>
      </c>
      <c r="Y297" s="144" t="s">
        <v>24</v>
      </c>
      <c r="Z297" s="144" t="s">
        <v>24</v>
      </c>
      <c r="AA297" s="149"/>
      <c r="AB297" s="152" t="s">
        <v>1545</v>
      </c>
      <c r="AC297" s="152" t="s">
        <v>1546</v>
      </c>
      <c r="AD297" s="152" t="s">
        <v>1547</v>
      </c>
      <c r="AE297" s="149" t="s">
        <v>108</v>
      </c>
      <c r="AF297" s="149" t="s">
        <v>4</v>
      </c>
      <c r="AG297" s="208">
        <v>18850.150000000001</v>
      </c>
      <c r="AH297" s="208">
        <v>48850.15</v>
      </c>
      <c r="AI297" s="232" t="s">
        <v>6</v>
      </c>
      <c r="AJ297" s="138" t="s">
        <v>109</v>
      </c>
      <c r="AK297" s="235">
        <v>95001169</v>
      </c>
      <c r="AL297" s="134" t="s">
        <v>110</v>
      </c>
      <c r="AM297" s="134" t="s">
        <v>110</v>
      </c>
      <c r="AN297" s="134" t="s">
        <v>111</v>
      </c>
      <c r="AO297" s="149"/>
      <c r="AP297" s="152" t="s">
        <v>1548</v>
      </c>
      <c r="AQ297" s="149" t="s">
        <v>110</v>
      </c>
      <c r="AR297" s="149" t="s">
        <v>110</v>
      </c>
      <c r="AS297" s="198" t="s">
        <v>110</v>
      </c>
      <c r="AT297" s="198" t="s">
        <v>110</v>
      </c>
      <c r="AU297" s="194">
        <v>45806</v>
      </c>
      <c r="AV297" s="198" t="s">
        <v>110</v>
      </c>
      <c r="AW297" s="198" t="s">
        <v>110</v>
      </c>
      <c r="AX297" s="194">
        <v>45812</v>
      </c>
      <c r="AY297" s="197">
        <v>45812</v>
      </c>
      <c r="AZ297" s="145" t="s">
        <v>33</v>
      </c>
      <c r="BA297" s="145" t="s">
        <v>113</v>
      </c>
      <c r="BB297" s="149" t="s">
        <v>110</v>
      </c>
      <c r="BC297" s="142">
        <f t="shared" si="12"/>
        <v>56</v>
      </c>
      <c r="BD297" s="134" t="str">
        <f t="shared" si="13"/>
        <v>INDENIZAÇÃO</v>
      </c>
      <c r="BE297" s="134" t="str">
        <f t="shared" si="14"/>
        <v>NÃO</v>
      </c>
      <c r="BF297" s="134" t="s">
        <v>24</v>
      </c>
      <c r="BG297" s="134" t="s">
        <v>24</v>
      </c>
      <c r="BH297" s="134" t="s">
        <v>24</v>
      </c>
      <c r="BI297" s="198" t="s">
        <v>110</v>
      </c>
      <c r="BJ297" s="198" t="s">
        <v>110</v>
      </c>
      <c r="BK297" s="194">
        <v>45859</v>
      </c>
      <c r="BL297" s="149" t="s">
        <v>110</v>
      </c>
      <c r="BM297" s="141" t="s">
        <v>33</v>
      </c>
      <c r="BN297" s="149"/>
      <c r="BO297" s="149"/>
      <c r="BP297" s="149"/>
      <c r="BQ297" s="149"/>
      <c r="BR297" s="149"/>
      <c r="BS297" s="149"/>
      <c r="BT297" s="149"/>
      <c r="BU297" s="149"/>
      <c r="BV297" s="149"/>
      <c r="BW297" s="149"/>
      <c r="BX297" s="149"/>
      <c r="BY297" s="149"/>
      <c r="BZ297" s="149"/>
      <c r="CA297" s="149"/>
      <c r="CB297" s="149"/>
      <c r="CC297" s="149"/>
      <c r="CD297" s="149"/>
      <c r="CE297" s="149"/>
      <c r="CF297" s="149"/>
      <c r="CG297" s="149"/>
      <c r="CH297" s="149"/>
      <c r="CI297" s="200"/>
      <c r="CJ297" s="149"/>
      <c r="CK297" s="149"/>
      <c r="CL297" s="149"/>
      <c r="CM297" s="149"/>
    </row>
    <row r="298" spans="1:91" ht="30" customHeight="1">
      <c r="A298" s="134">
        <v>284</v>
      </c>
      <c r="B298" s="134" t="s">
        <v>99</v>
      </c>
      <c r="C298" s="134">
        <v>1</v>
      </c>
      <c r="D298" s="134" t="s">
        <v>100</v>
      </c>
      <c r="E298" s="134" t="s">
        <v>100</v>
      </c>
      <c r="F298" s="138" t="s">
        <v>1549</v>
      </c>
      <c r="G298" s="149" t="s">
        <v>1</v>
      </c>
      <c r="H298" s="149" t="s">
        <v>2</v>
      </c>
      <c r="I298" s="149" t="s">
        <v>108</v>
      </c>
      <c r="J298" s="152" t="s">
        <v>1550</v>
      </c>
      <c r="K298" s="152" t="s">
        <v>1551</v>
      </c>
      <c r="L298" s="152" t="s">
        <v>1552</v>
      </c>
      <c r="M298" s="134" t="s">
        <v>4</v>
      </c>
      <c r="N298" s="214" t="s">
        <v>5</v>
      </c>
      <c r="O298" s="194">
        <v>45299</v>
      </c>
      <c r="P298" s="144" t="s">
        <v>24</v>
      </c>
      <c r="Q298" s="144" t="s">
        <v>24</v>
      </c>
      <c r="R298" s="144" t="s">
        <v>24</v>
      </c>
      <c r="S298" s="144" t="s">
        <v>24</v>
      </c>
      <c r="T298" s="144" t="s">
        <v>24</v>
      </c>
      <c r="U298" s="144" t="s">
        <v>24</v>
      </c>
      <c r="V298" s="144" t="s">
        <v>24</v>
      </c>
      <c r="W298" s="144" t="s">
        <v>24</v>
      </c>
      <c r="X298" s="144" t="s">
        <v>24</v>
      </c>
      <c r="Y298" s="144" t="s">
        <v>24</v>
      </c>
      <c r="Z298" s="144" t="s">
        <v>24</v>
      </c>
      <c r="AA298" s="149"/>
      <c r="AB298" s="152" t="s">
        <v>1550</v>
      </c>
      <c r="AC298" s="152" t="s">
        <v>1551</v>
      </c>
      <c r="AD298" s="152" t="s">
        <v>1552</v>
      </c>
      <c r="AE298" s="149" t="s">
        <v>108</v>
      </c>
      <c r="AF298" s="149" t="s">
        <v>4</v>
      </c>
      <c r="AG298" s="208">
        <v>9980.2000000000007</v>
      </c>
      <c r="AH298" s="208">
        <f>AG298+30000</f>
        <v>39980.199999999997</v>
      </c>
      <c r="AI298" s="232" t="s">
        <v>6</v>
      </c>
      <c r="AJ298" s="138" t="s">
        <v>109</v>
      </c>
      <c r="AK298" s="235"/>
      <c r="AL298" s="149" t="s">
        <v>110</v>
      </c>
      <c r="AM298" s="149" t="s">
        <v>110</v>
      </c>
      <c r="AN298" s="149" t="s">
        <v>111</v>
      </c>
      <c r="AO298" s="149"/>
      <c r="AP298" s="152" t="s">
        <v>1553</v>
      </c>
      <c r="AQ298" s="149" t="s">
        <v>110</v>
      </c>
      <c r="AR298" s="149" t="s">
        <v>110</v>
      </c>
      <c r="AS298" s="149" t="s">
        <v>110</v>
      </c>
      <c r="AT298" s="149" t="s">
        <v>110</v>
      </c>
      <c r="AU298" s="194">
        <v>45373</v>
      </c>
      <c r="AV298" s="149" t="s">
        <v>110</v>
      </c>
      <c r="AW298" s="149" t="s">
        <v>110</v>
      </c>
      <c r="AX298" s="194">
        <v>45384</v>
      </c>
      <c r="AY298" s="197">
        <v>45384</v>
      </c>
      <c r="AZ298" s="197" t="s">
        <v>33</v>
      </c>
      <c r="BA298" s="145" t="s">
        <v>113</v>
      </c>
      <c r="BB298" s="149" t="s">
        <v>110</v>
      </c>
      <c r="BC298" s="142">
        <f t="shared" si="12"/>
        <v>85</v>
      </c>
      <c r="BD298" s="134" t="str">
        <f t="shared" si="13"/>
        <v>INDENIZAÇÃO</v>
      </c>
      <c r="BE298" s="134" t="str">
        <f t="shared" si="14"/>
        <v>NÃO</v>
      </c>
      <c r="BF298" s="134" t="s">
        <v>24</v>
      </c>
      <c r="BG298" s="134" t="s">
        <v>24</v>
      </c>
      <c r="BH298" s="134" t="s">
        <v>24</v>
      </c>
      <c r="BI298" s="149" t="s">
        <v>110</v>
      </c>
      <c r="BJ298" s="149" t="s">
        <v>110</v>
      </c>
      <c r="BK298" s="194">
        <v>45510</v>
      </c>
      <c r="BL298" s="149" t="s">
        <v>110</v>
      </c>
      <c r="BM298" s="145" t="s">
        <v>33</v>
      </c>
      <c r="BN298" s="149"/>
      <c r="BO298" s="149"/>
      <c r="BP298" s="149"/>
      <c r="BQ298" s="149"/>
      <c r="BR298" s="149"/>
      <c r="BS298" s="149"/>
      <c r="BT298" s="149"/>
      <c r="BU298" s="149"/>
      <c r="BV298" s="149"/>
      <c r="BW298" s="149"/>
      <c r="BX298" s="149"/>
      <c r="BY298" s="149"/>
      <c r="BZ298" s="149"/>
      <c r="CA298" s="149"/>
      <c r="CB298" s="149"/>
      <c r="CC298" s="149"/>
      <c r="CD298" s="149"/>
      <c r="CE298" s="149"/>
      <c r="CF298" s="149"/>
      <c r="CG298" s="149"/>
      <c r="CH298" s="149"/>
      <c r="CI298" s="200"/>
      <c r="CJ298" s="149"/>
      <c r="CK298" s="149"/>
      <c r="CL298" s="149"/>
      <c r="CM298" s="149"/>
    </row>
    <row r="299" spans="1:91" ht="30" customHeight="1">
      <c r="A299" s="134">
        <v>285</v>
      </c>
      <c r="B299" s="134" t="s">
        <v>99</v>
      </c>
      <c r="C299" s="134">
        <v>1</v>
      </c>
      <c r="D299" s="134" t="s">
        <v>100</v>
      </c>
      <c r="E299" s="134" t="s">
        <v>100</v>
      </c>
      <c r="F299" s="138" t="s">
        <v>1554</v>
      </c>
      <c r="G299" s="149" t="s">
        <v>344</v>
      </c>
      <c r="H299" s="149" t="s">
        <v>103</v>
      </c>
      <c r="I299" s="149" t="s">
        <v>287</v>
      </c>
      <c r="J299" s="152" t="s">
        <v>1555</v>
      </c>
      <c r="K299" s="152" t="s">
        <v>1556</v>
      </c>
      <c r="L299" s="152" t="s">
        <v>1557</v>
      </c>
      <c r="M299" s="134" t="s">
        <v>4</v>
      </c>
      <c r="N299" s="214" t="s">
        <v>5</v>
      </c>
      <c r="O299" s="194">
        <v>45702</v>
      </c>
      <c r="P299" s="144" t="s">
        <v>24</v>
      </c>
      <c r="Q299" s="144" t="s">
        <v>24</v>
      </c>
      <c r="R299" s="144" t="s">
        <v>24</v>
      </c>
      <c r="S299" s="144" t="s">
        <v>24</v>
      </c>
      <c r="T299" s="144" t="s">
        <v>24</v>
      </c>
      <c r="U299" s="144" t="s">
        <v>24</v>
      </c>
      <c r="V299" s="144" t="s">
        <v>24</v>
      </c>
      <c r="W299" s="144" t="s">
        <v>24</v>
      </c>
      <c r="X299" s="144" t="s">
        <v>24</v>
      </c>
      <c r="Y299" s="144" t="s">
        <v>24</v>
      </c>
      <c r="Z299" s="144" t="s">
        <v>24</v>
      </c>
      <c r="AA299" s="149"/>
      <c r="AB299" s="152" t="s">
        <v>1555</v>
      </c>
      <c r="AC299" s="152" t="s">
        <v>1556</v>
      </c>
      <c r="AD299" s="152" t="s">
        <v>1557</v>
      </c>
      <c r="AE299" s="134" t="s">
        <v>287</v>
      </c>
      <c r="AF299" s="149" t="s">
        <v>4</v>
      </c>
      <c r="AG299" s="208">
        <v>16485.37</v>
      </c>
      <c r="AH299" s="208">
        <v>46485.37</v>
      </c>
      <c r="AI299" s="232" t="s">
        <v>6</v>
      </c>
      <c r="AJ299" s="138" t="s">
        <v>109</v>
      </c>
      <c r="AK299" s="235">
        <v>95001315</v>
      </c>
      <c r="AL299" s="149" t="s">
        <v>110</v>
      </c>
      <c r="AM299" s="149" t="s">
        <v>110</v>
      </c>
      <c r="AN299" s="149" t="s">
        <v>111</v>
      </c>
      <c r="AO299" s="224" t="s">
        <v>1558</v>
      </c>
      <c r="AP299" s="152" t="s">
        <v>1559</v>
      </c>
      <c r="AQ299" s="149" t="s">
        <v>110</v>
      </c>
      <c r="AR299" s="149" t="s">
        <v>110</v>
      </c>
      <c r="AS299" s="198" t="s">
        <v>110</v>
      </c>
      <c r="AT299" s="198" t="s">
        <v>110</v>
      </c>
      <c r="AU299" s="194">
        <v>45806</v>
      </c>
      <c r="AV299" s="198" t="s">
        <v>110</v>
      </c>
      <c r="AW299" s="198" t="s">
        <v>110</v>
      </c>
      <c r="AX299" s="194">
        <v>45812</v>
      </c>
      <c r="AY299" s="197">
        <v>45812</v>
      </c>
      <c r="AZ299" s="145" t="s">
        <v>33</v>
      </c>
      <c r="BA299" s="145" t="s">
        <v>113</v>
      </c>
      <c r="BB299" s="149" t="s">
        <v>110</v>
      </c>
      <c r="BC299" s="142">
        <f t="shared" si="12"/>
        <v>110</v>
      </c>
      <c r="BD299" s="134" t="str">
        <f t="shared" si="13"/>
        <v>INDENIZAÇÃO</v>
      </c>
      <c r="BE299" s="134" t="str">
        <f t="shared" si="14"/>
        <v>NÃO</v>
      </c>
      <c r="BF299" s="134" t="s">
        <v>24</v>
      </c>
      <c r="BG299" s="134" t="s">
        <v>24</v>
      </c>
      <c r="BH299" s="134" t="s">
        <v>24</v>
      </c>
      <c r="BI299" s="198" t="s">
        <v>110</v>
      </c>
      <c r="BJ299" s="198" t="s">
        <v>110</v>
      </c>
      <c r="BK299" s="194">
        <v>45859</v>
      </c>
      <c r="BL299" s="149" t="s">
        <v>110</v>
      </c>
      <c r="BM299" s="141" t="s">
        <v>33</v>
      </c>
      <c r="BN299" s="149"/>
      <c r="BO299" s="149"/>
      <c r="BP299" s="149"/>
      <c r="BQ299" s="149"/>
      <c r="BR299" s="149"/>
      <c r="BS299" s="149"/>
      <c r="BT299" s="149"/>
      <c r="BU299" s="149"/>
      <c r="BV299" s="149"/>
      <c r="BW299" s="149"/>
      <c r="BX299" s="149"/>
      <c r="BY299" s="149"/>
      <c r="BZ299" s="149"/>
      <c r="CA299" s="149"/>
      <c r="CB299" s="149"/>
      <c r="CC299" s="149"/>
      <c r="CD299" s="149"/>
      <c r="CE299" s="149"/>
      <c r="CF299" s="149"/>
      <c r="CG299" s="149"/>
      <c r="CH299" s="149"/>
      <c r="CI299" s="200"/>
      <c r="CJ299" s="149"/>
      <c r="CK299" s="149"/>
      <c r="CL299" s="149"/>
      <c r="CM299" s="149"/>
    </row>
    <row r="300" spans="1:91" ht="30" customHeight="1">
      <c r="A300" s="134">
        <v>286</v>
      </c>
      <c r="B300" s="245" t="s">
        <v>99</v>
      </c>
      <c r="C300" s="245">
        <v>1</v>
      </c>
      <c r="D300" s="245" t="s">
        <v>100</v>
      </c>
      <c r="E300" s="245" t="s">
        <v>100</v>
      </c>
      <c r="F300" s="246" t="s">
        <v>1560</v>
      </c>
      <c r="G300" s="149" t="s">
        <v>344</v>
      </c>
      <c r="H300" s="149" t="s">
        <v>103</v>
      </c>
      <c r="I300" s="149" t="s">
        <v>287</v>
      </c>
      <c r="J300" s="152" t="s">
        <v>1561</v>
      </c>
      <c r="K300" s="152" t="s">
        <v>1562</v>
      </c>
      <c r="L300" s="152" t="s">
        <v>1563</v>
      </c>
      <c r="M300" s="245" t="s">
        <v>4</v>
      </c>
      <c r="N300" s="245" t="s">
        <v>5</v>
      </c>
      <c r="O300" s="256">
        <v>45455</v>
      </c>
      <c r="P300" s="249" t="s">
        <v>24</v>
      </c>
      <c r="Q300" s="249" t="s">
        <v>24</v>
      </c>
      <c r="R300" s="249" t="s">
        <v>24</v>
      </c>
      <c r="S300" s="249" t="s">
        <v>24</v>
      </c>
      <c r="T300" s="249" t="s">
        <v>24</v>
      </c>
      <c r="U300" s="249" t="s">
        <v>24</v>
      </c>
      <c r="V300" s="249" t="s">
        <v>24</v>
      </c>
      <c r="W300" s="249" t="s">
        <v>24</v>
      </c>
      <c r="X300" s="249" t="s">
        <v>24</v>
      </c>
      <c r="Y300" s="249" t="s">
        <v>24</v>
      </c>
      <c r="Z300" s="249" t="s">
        <v>24</v>
      </c>
      <c r="AA300" s="250"/>
      <c r="AB300" s="152" t="s">
        <v>1561</v>
      </c>
      <c r="AC300" s="152" t="s">
        <v>1562</v>
      </c>
      <c r="AD300" s="152" t="s">
        <v>1563</v>
      </c>
      <c r="AE300" s="134" t="s">
        <v>287</v>
      </c>
      <c r="AF300" s="250" t="s">
        <v>4</v>
      </c>
      <c r="AG300" s="208">
        <v>11633.01</v>
      </c>
      <c r="AH300" s="208">
        <f>AG300+30000</f>
        <v>41633.01</v>
      </c>
      <c r="AI300" s="245" t="s">
        <v>6</v>
      </c>
      <c r="AJ300" s="314" t="s">
        <v>109</v>
      </c>
      <c r="AK300" s="245"/>
      <c r="AL300" s="250" t="s">
        <v>110</v>
      </c>
      <c r="AM300" s="250" t="s">
        <v>110</v>
      </c>
      <c r="AN300" s="250" t="s">
        <v>111</v>
      </c>
      <c r="AO300" s="250"/>
      <c r="AP300" s="253" t="s">
        <v>1564</v>
      </c>
      <c r="AQ300" s="250" t="s">
        <v>110</v>
      </c>
      <c r="AR300" s="250" t="s">
        <v>110</v>
      </c>
      <c r="AS300" s="250" t="s">
        <v>110</v>
      </c>
      <c r="AT300" s="250" t="s">
        <v>110</v>
      </c>
      <c r="AU300" s="256">
        <v>45573</v>
      </c>
      <c r="AV300" s="250" t="s">
        <v>110</v>
      </c>
      <c r="AW300" s="250" t="s">
        <v>110</v>
      </c>
      <c r="AX300" s="256">
        <v>45582</v>
      </c>
      <c r="AY300" s="249">
        <v>45582</v>
      </c>
      <c r="AZ300" s="245" t="s">
        <v>360</v>
      </c>
      <c r="BA300" s="245" t="s">
        <v>1</v>
      </c>
      <c r="BB300" s="250" t="s">
        <v>110</v>
      </c>
      <c r="BC300" s="142">
        <f t="shared" si="12"/>
        <v>127</v>
      </c>
      <c r="BD300" s="134" t="str">
        <f t="shared" si="13"/>
        <v>INDENIZAÇÃO</v>
      </c>
      <c r="BE300" s="134" t="str">
        <f t="shared" si="14"/>
        <v>NÃO</v>
      </c>
      <c r="BF300" s="245" t="s">
        <v>24</v>
      </c>
      <c r="BG300" s="245" t="s">
        <v>24</v>
      </c>
      <c r="BH300" s="245" t="s">
        <v>24</v>
      </c>
      <c r="BI300" s="250" t="s">
        <v>110</v>
      </c>
      <c r="BJ300" s="250" t="s">
        <v>110</v>
      </c>
      <c r="BK300" s="256">
        <v>45621</v>
      </c>
      <c r="BL300" s="250" t="s">
        <v>110</v>
      </c>
      <c r="BM300" s="250" t="s">
        <v>33</v>
      </c>
      <c r="BN300" s="149"/>
      <c r="BO300" s="149"/>
      <c r="BP300" s="149"/>
      <c r="BQ300" s="149"/>
      <c r="BR300" s="149"/>
      <c r="BS300" s="149"/>
      <c r="BT300" s="149"/>
      <c r="BU300" s="149"/>
      <c r="BV300" s="149"/>
      <c r="BW300" s="149"/>
      <c r="BX300" s="149"/>
      <c r="BY300" s="149"/>
      <c r="BZ300" s="149"/>
      <c r="CA300" s="149"/>
      <c r="CB300" s="149"/>
      <c r="CC300" s="149"/>
      <c r="CD300" s="149"/>
      <c r="CE300" s="149"/>
      <c r="CF300" s="149"/>
      <c r="CG300" s="149"/>
      <c r="CH300" s="149"/>
      <c r="CI300" s="200"/>
      <c r="CJ300" s="149"/>
      <c r="CK300" s="149"/>
      <c r="CL300" s="149"/>
      <c r="CM300" s="149"/>
    </row>
    <row r="301" spans="1:91" ht="30" customHeight="1">
      <c r="A301" s="134">
        <v>287</v>
      </c>
      <c r="B301" s="134" t="s">
        <v>99</v>
      </c>
      <c r="C301" s="134">
        <v>1</v>
      </c>
      <c r="D301" s="134" t="s">
        <v>100</v>
      </c>
      <c r="E301" s="134" t="s">
        <v>100</v>
      </c>
      <c r="F301" s="138" t="s">
        <v>1565</v>
      </c>
      <c r="G301" s="149" t="s">
        <v>1</v>
      </c>
      <c r="H301" s="149" t="s">
        <v>2</v>
      </c>
      <c r="I301" s="149" t="s">
        <v>108</v>
      </c>
      <c r="J301" s="152" t="s">
        <v>1566</v>
      </c>
      <c r="K301" s="152" t="s">
        <v>1567</v>
      </c>
      <c r="L301" s="152" t="s">
        <v>1568</v>
      </c>
      <c r="M301" s="134" t="s">
        <v>4</v>
      </c>
      <c r="N301" s="214" t="s">
        <v>467</v>
      </c>
      <c r="O301" s="194">
        <v>45856</v>
      </c>
      <c r="P301" s="144" t="s">
        <v>24</v>
      </c>
      <c r="Q301" s="144" t="s">
        <v>24</v>
      </c>
      <c r="R301" s="144" t="s">
        <v>24</v>
      </c>
      <c r="S301" s="144" t="s">
        <v>24</v>
      </c>
      <c r="T301" s="144" t="s">
        <v>24</v>
      </c>
      <c r="U301" s="144" t="s">
        <v>24</v>
      </c>
      <c r="V301" s="144" t="s">
        <v>24</v>
      </c>
      <c r="W301" s="144" t="s">
        <v>24</v>
      </c>
      <c r="X301" s="144" t="s">
        <v>24</v>
      </c>
      <c r="Y301" s="144" t="s">
        <v>24</v>
      </c>
      <c r="Z301" s="144" t="s">
        <v>24</v>
      </c>
      <c r="AA301" s="149" t="s">
        <v>1569</v>
      </c>
      <c r="AB301" s="152" t="s">
        <v>1566</v>
      </c>
      <c r="AC301" s="152" t="s">
        <v>1570</v>
      </c>
      <c r="AD301" s="152" t="s">
        <v>1568</v>
      </c>
      <c r="AE301" s="149" t="s">
        <v>108</v>
      </c>
      <c r="AF301" s="149" t="s">
        <v>4</v>
      </c>
      <c r="AG301" s="208">
        <v>0</v>
      </c>
      <c r="AH301" s="208">
        <v>0</v>
      </c>
      <c r="AI301" s="234" t="s">
        <v>1569</v>
      </c>
      <c r="AJ301" s="214" t="s">
        <v>24</v>
      </c>
      <c r="AK301" s="235" t="s">
        <v>24</v>
      </c>
      <c r="AL301" s="214" t="s">
        <v>24</v>
      </c>
      <c r="AM301" s="214" t="s">
        <v>24</v>
      </c>
      <c r="AN301" s="214" t="s">
        <v>24</v>
      </c>
      <c r="AO301" s="149" t="s">
        <v>1569</v>
      </c>
      <c r="AP301" s="214" t="s">
        <v>24</v>
      </c>
      <c r="AQ301" s="214" t="s">
        <v>24</v>
      </c>
      <c r="AR301" s="214" t="s">
        <v>24</v>
      </c>
      <c r="AS301" s="214" t="s">
        <v>24</v>
      </c>
      <c r="AT301" s="214" t="s">
        <v>24</v>
      </c>
      <c r="AU301" s="214" t="s">
        <v>24</v>
      </c>
      <c r="AV301" s="214" t="s">
        <v>24</v>
      </c>
      <c r="AW301" s="214" t="s">
        <v>24</v>
      </c>
      <c r="AX301" s="214" t="s">
        <v>24</v>
      </c>
      <c r="AY301" s="214" t="s">
        <v>24</v>
      </c>
      <c r="AZ301" s="145" t="s">
        <v>33</v>
      </c>
      <c r="BA301" s="145" t="s">
        <v>113</v>
      </c>
      <c r="BB301" s="250" t="s">
        <v>110</v>
      </c>
      <c r="BC301" s="142" t="e">
        <f t="shared" si="12"/>
        <v>#VALUE!</v>
      </c>
      <c r="BD301" s="134" t="str">
        <f t="shared" si="13"/>
        <v>INDENIZAÇÃO</v>
      </c>
      <c r="BE301" s="134" t="str">
        <f t="shared" si="14"/>
        <v>NÃO</v>
      </c>
      <c r="BF301" s="214" t="s">
        <v>24</v>
      </c>
      <c r="BG301" s="214" t="s">
        <v>24</v>
      </c>
      <c r="BH301" s="214" t="s">
        <v>24</v>
      </c>
      <c r="BI301" s="214" t="s">
        <v>24</v>
      </c>
      <c r="BJ301" s="214" t="s">
        <v>24</v>
      </c>
      <c r="BK301" s="214" t="s">
        <v>24</v>
      </c>
      <c r="BL301" s="214" t="s">
        <v>24</v>
      </c>
      <c r="BM301" s="145" t="s">
        <v>110</v>
      </c>
      <c r="BN301" s="149"/>
      <c r="BO301" s="149"/>
      <c r="BP301" s="149"/>
      <c r="BQ301" s="149"/>
      <c r="BR301" s="149"/>
      <c r="BS301" s="149"/>
      <c r="BT301" s="149"/>
      <c r="BU301" s="149"/>
      <c r="BV301" s="149"/>
      <c r="BW301" s="149"/>
      <c r="BX301" s="149"/>
      <c r="BY301" s="149"/>
      <c r="BZ301" s="149"/>
      <c r="CA301" s="149"/>
      <c r="CB301" s="149"/>
      <c r="CC301" s="149"/>
      <c r="CD301" s="149"/>
      <c r="CE301" s="149"/>
      <c r="CF301" s="149"/>
      <c r="CG301" s="149"/>
      <c r="CH301" s="149"/>
      <c r="CI301" s="200"/>
      <c r="CJ301" s="149"/>
      <c r="CK301" s="149"/>
      <c r="CL301" s="149"/>
      <c r="CM301" s="149"/>
    </row>
    <row r="302" spans="1:91" ht="30" customHeight="1">
      <c r="A302" s="134">
        <v>288</v>
      </c>
      <c r="B302" s="134" t="s">
        <v>99</v>
      </c>
      <c r="C302" s="134">
        <v>1</v>
      </c>
      <c r="D302" s="134" t="s">
        <v>100</v>
      </c>
      <c r="E302" s="134" t="s">
        <v>100</v>
      </c>
      <c r="F302" s="138" t="s">
        <v>1571</v>
      </c>
      <c r="G302" s="149" t="s">
        <v>1</v>
      </c>
      <c r="H302" s="149" t="s">
        <v>2</v>
      </c>
      <c r="I302" s="149" t="s">
        <v>387</v>
      </c>
      <c r="J302" s="152" t="s">
        <v>1572</v>
      </c>
      <c r="K302" s="152" t="s">
        <v>1573</v>
      </c>
      <c r="L302" s="152" t="s">
        <v>1574</v>
      </c>
      <c r="M302" s="134" t="s">
        <v>4</v>
      </c>
      <c r="N302" s="134" t="s">
        <v>14</v>
      </c>
      <c r="O302" s="194">
        <v>45856</v>
      </c>
      <c r="P302" s="144" t="s">
        <v>24</v>
      </c>
      <c r="Q302" s="144" t="s">
        <v>24</v>
      </c>
      <c r="R302" s="144" t="s">
        <v>24</v>
      </c>
      <c r="S302" s="144" t="s">
        <v>24</v>
      </c>
      <c r="T302" s="144" t="s">
        <v>24</v>
      </c>
      <c r="U302" s="144" t="s">
        <v>24</v>
      </c>
      <c r="V302" s="144" t="s">
        <v>24</v>
      </c>
      <c r="W302" s="144" t="s">
        <v>24</v>
      </c>
      <c r="X302" s="144" t="s">
        <v>24</v>
      </c>
      <c r="Y302" s="144" t="s">
        <v>24</v>
      </c>
      <c r="Z302" s="144" t="s">
        <v>24</v>
      </c>
      <c r="AA302" s="149"/>
      <c r="AB302" s="152" t="s">
        <v>1566</v>
      </c>
      <c r="AC302" s="152" t="s">
        <v>1567</v>
      </c>
      <c r="AD302" s="152" t="s">
        <v>1568</v>
      </c>
      <c r="AE302" s="134" t="s">
        <v>287</v>
      </c>
      <c r="AF302" s="149" t="s">
        <v>4</v>
      </c>
      <c r="AG302" s="208">
        <v>35033.160000000003</v>
      </c>
      <c r="AH302" s="208">
        <v>35033.160000000003</v>
      </c>
      <c r="AI302" s="232" t="s">
        <v>6</v>
      </c>
      <c r="AJ302" s="138" t="s">
        <v>109</v>
      </c>
      <c r="AK302" s="235">
        <v>130628307</v>
      </c>
      <c r="AL302" s="149" t="s">
        <v>110</v>
      </c>
      <c r="AM302" s="149" t="s">
        <v>110</v>
      </c>
      <c r="AN302" s="149" t="s">
        <v>111</v>
      </c>
      <c r="AO302" s="272"/>
      <c r="AP302" s="152" t="s">
        <v>1575</v>
      </c>
      <c r="AQ302" s="198" t="s">
        <v>110</v>
      </c>
      <c r="AR302" s="198" t="s">
        <v>110</v>
      </c>
      <c r="AS302" s="198" t="s">
        <v>110</v>
      </c>
      <c r="AT302" s="198" t="s">
        <v>110</v>
      </c>
      <c r="AU302" s="194">
        <v>45908</v>
      </c>
      <c r="AV302" s="198" t="s">
        <v>110</v>
      </c>
      <c r="AW302" s="198" t="s">
        <v>110</v>
      </c>
      <c r="AX302" s="194">
        <v>45952</v>
      </c>
      <c r="AY302" s="197">
        <v>45952</v>
      </c>
      <c r="AZ302" s="145" t="s">
        <v>33</v>
      </c>
      <c r="BA302" s="141" t="s">
        <v>113</v>
      </c>
      <c r="BB302" s="149" t="s">
        <v>110</v>
      </c>
      <c r="BC302" s="142">
        <f t="shared" si="12"/>
        <v>96</v>
      </c>
      <c r="BD302" s="134" t="str">
        <f t="shared" si="13"/>
        <v>INDENIZAÇÃO</v>
      </c>
      <c r="BE302" s="134" t="str">
        <f t="shared" si="14"/>
        <v>NÃO</v>
      </c>
      <c r="BF302" s="134" t="s">
        <v>24</v>
      </c>
      <c r="BG302" s="134" t="s">
        <v>24</v>
      </c>
      <c r="BH302" s="134" t="s">
        <v>24</v>
      </c>
      <c r="BI302" s="145" t="s">
        <v>189</v>
      </c>
      <c r="BJ302" s="145"/>
      <c r="BK302" s="145"/>
      <c r="BL302" s="145"/>
      <c r="BM302" s="145"/>
      <c r="BN302" s="149"/>
      <c r="BO302" s="149"/>
      <c r="BP302" s="149"/>
      <c r="BQ302" s="149"/>
      <c r="BR302" s="149"/>
      <c r="BS302" s="149"/>
      <c r="BT302" s="149"/>
      <c r="BU302" s="149"/>
      <c r="BV302" s="149"/>
      <c r="BW302" s="149"/>
      <c r="BX302" s="149"/>
      <c r="BY302" s="149"/>
      <c r="BZ302" s="149"/>
      <c r="CA302" s="149"/>
      <c r="CB302" s="149"/>
      <c r="CC302" s="149"/>
      <c r="CD302" s="149"/>
      <c r="CE302" s="149"/>
      <c r="CF302" s="149"/>
      <c r="CG302" s="149"/>
      <c r="CH302" s="149"/>
      <c r="CI302" s="200"/>
      <c r="CJ302" s="149"/>
      <c r="CK302" s="149"/>
      <c r="CL302" s="149"/>
      <c r="CM302" s="149"/>
    </row>
    <row r="303" spans="1:91" ht="30" customHeight="1">
      <c r="A303" s="134">
        <v>289</v>
      </c>
      <c r="B303" s="134" t="s">
        <v>99</v>
      </c>
      <c r="C303" s="143">
        <v>2</v>
      </c>
      <c r="D303" s="134" t="s">
        <v>100</v>
      </c>
      <c r="E303" s="134" t="s">
        <v>100</v>
      </c>
      <c r="F303" s="152" t="s">
        <v>1576</v>
      </c>
      <c r="G303" s="149" t="s">
        <v>102</v>
      </c>
      <c r="H303" s="149" t="s">
        <v>103</v>
      </c>
      <c r="I303" s="149" t="s">
        <v>104</v>
      </c>
      <c r="J303" s="152" t="s">
        <v>1577</v>
      </c>
      <c r="K303" s="152" t="s">
        <v>1578</v>
      </c>
      <c r="L303" s="152" t="s">
        <v>1579</v>
      </c>
      <c r="M303" s="149" t="s">
        <v>4</v>
      </c>
      <c r="N303" s="149" t="s">
        <v>5</v>
      </c>
      <c r="O303" s="194">
        <v>46141</v>
      </c>
      <c r="P303" s="139" t="s">
        <v>24</v>
      </c>
      <c r="Q303" s="139" t="s">
        <v>24</v>
      </c>
      <c r="R303" s="139" t="s">
        <v>24</v>
      </c>
      <c r="S303" s="139" t="s">
        <v>24</v>
      </c>
      <c r="T303" s="139" t="s">
        <v>24</v>
      </c>
      <c r="U303" s="139" t="s">
        <v>24</v>
      </c>
      <c r="V303" s="139" t="s">
        <v>24</v>
      </c>
      <c r="W303" s="139" t="s">
        <v>24</v>
      </c>
      <c r="X303" s="139" t="s">
        <v>24</v>
      </c>
      <c r="Y303" s="139" t="s">
        <v>24</v>
      </c>
      <c r="Z303" s="139" t="s">
        <v>24</v>
      </c>
      <c r="AA303" s="149"/>
      <c r="AB303" s="152" t="s">
        <v>1580</v>
      </c>
      <c r="AC303" s="152" t="s">
        <v>1578</v>
      </c>
      <c r="AD303" s="152" t="s">
        <v>1579</v>
      </c>
      <c r="AE303" s="149" t="s">
        <v>108</v>
      </c>
      <c r="AF303" s="149" t="s">
        <v>4</v>
      </c>
      <c r="AG303" s="208">
        <v>32597.07</v>
      </c>
      <c r="AH303" s="208">
        <v>60000</v>
      </c>
      <c r="AI303" s="234" t="s">
        <v>6</v>
      </c>
      <c r="AJ303" s="138" t="s">
        <v>301</v>
      </c>
      <c r="AK303" s="200">
        <v>153151461</v>
      </c>
      <c r="AL303" s="134" t="s">
        <v>110</v>
      </c>
      <c r="AM303" s="134" t="s">
        <v>110</v>
      </c>
      <c r="AN303" s="273" t="s">
        <v>111</v>
      </c>
      <c r="AO303" s="224"/>
      <c r="AP303" s="152" t="s">
        <v>1581</v>
      </c>
      <c r="AQ303" s="198" t="s">
        <v>110</v>
      </c>
      <c r="AR303" s="198" t="s">
        <v>110</v>
      </c>
      <c r="AS303" s="198" t="s">
        <v>110</v>
      </c>
      <c r="AT303" s="198" t="s">
        <v>110</v>
      </c>
      <c r="AU303" s="194">
        <v>46195</v>
      </c>
      <c r="AV303" s="198" t="s">
        <v>110</v>
      </c>
      <c r="AW303" s="198" t="s">
        <v>110</v>
      </c>
      <c r="AX303" s="194">
        <v>46199</v>
      </c>
      <c r="AY303" s="197">
        <v>46199</v>
      </c>
      <c r="AZ303" s="145" t="s">
        <v>33</v>
      </c>
      <c r="BA303" s="145" t="s">
        <v>113</v>
      </c>
      <c r="BB303" s="149" t="s">
        <v>110</v>
      </c>
      <c r="BC303" s="142">
        <f t="shared" si="12"/>
        <v>58</v>
      </c>
      <c r="BD303" s="134" t="str">
        <f t="shared" si="13"/>
        <v>INDENIZAÇÃO</v>
      </c>
      <c r="BE303" s="134" t="str">
        <f t="shared" si="14"/>
        <v>NÃO</v>
      </c>
      <c r="BF303" s="149" t="s">
        <v>24</v>
      </c>
      <c r="BG303" s="149" t="s">
        <v>24</v>
      </c>
      <c r="BH303" s="149" t="s">
        <v>24</v>
      </c>
      <c r="BI303" s="145" t="s">
        <v>189</v>
      </c>
      <c r="BJ303" s="145"/>
      <c r="BK303" s="145"/>
      <c r="BL303" s="145"/>
      <c r="BM303" s="145"/>
      <c r="BN303" s="276"/>
      <c r="BO303" s="276"/>
      <c r="BP303" s="149"/>
      <c r="BQ303" s="149"/>
      <c r="BR303" s="149"/>
      <c r="BS303" s="149"/>
      <c r="BT303" s="149"/>
      <c r="BU303" s="149"/>
      <c r="BV303" s="149"/>
      <c r="BW303" s="149"/>
      <c r="BX303" s="149"/>
      <c r="BY303" s="149"/>
      <c r="BZ303" s="149"/>
      <c r="CA303" s="149"/>
      <c r="CB303" s="149"/>
      <c r="CC303" s="149"/>
      <c r="CD303" s="149"/>
      <c r="CE303" s="149"/>
      <c r="CF303" s="149"/>
      <c r="CG303" s="149"/>
      <c r="CH303" s="149"/>
    </row>
    <row r="304" spans="1:91" ht="30" customHeight="1">
      <c r="A304" s="134">
        <v>290</v>
      </c>
      <c r="B304" s="134" t="s">
        <v>99</v>
      </c>
      <c r="C304" s="134">
        <v>1</v>
      </c>
      <c r="D304" s="134" t="s">
        <v>100</v>
      </c>
      <c r="E304" s="134" t="s">
        <v>100</v>
      </c>
      <c r="F304" s="138" t="s">
        <v>1582</v>
      </c>
      <c r="G304" s="149" t="s">
        <v>1</v>
      </c>
      <c r="H304" s="149" t="s">
        <v>2</v>
      </c>
      <c r="I304" s="149" t="s">
        <v>108</v>
      </c>
      <c r="J304" s="152" t="s">
        <v>1583</v>
      </c>
      <c r="K304" s="152" t="s">
        <v>1584</v>
      </c>
      <c r="L304" s="152" t="s">
        <v>1585</v>
      </c>
      <c r="M304" s="134" t="s">
        <v>4</v>
      </c>
      <c r="N304" s="214" t="s">
        <v>5</v>
      </c>
      <c r="O304" s="194">
        <v>45959</v>
      </c>
      <c r="P304" s="144" t="s">
        <v>24</v>
      </c>
      <c r="Q304" s="144" t="s">
        <v>24</v>
      </c>
      <c r="R304" s="144" t="s">
        <v>24</v>
      </c>
      <c r="S304" s="144" t="s">
        <v>24</v>
      </c>
      <c r="T304" s="144" t="s">
        <v>24</v>
      </c>
      <c r="U304" s="144" t="s">
        <v>24</v>
      </c>
      <c r="V304" s="144" t="s">
        <v>24</v>
      </c>
      <c r="W304" s="144" t="s">
        <v>24</v>
      </c>
      <c r="X304" s="144" t="s">
        <v>24</v>
      </c>
      <c r="Y304" s="144" t="s">
        <v>24</v>
      </c>
      <c r="Z304" s="144" t="s">
        <v>24</v>
      </c>
      <c r="AA304" s="149"/>
      <c r="AB304" s="152" t="s">
        <v>1583</v>
      </c>
      <c r="AC304" s="152" t="s">
        <v>1584</v>
      </c>
      <c r="AD304" s="152" t="s">
        <v>1585</v>
      </c>
      <c r="AE304" s="149" t="s">
        <v>108</v>
      </c>
      <c r="AF304" s="149" t="s">
        <v>4</v>
      </c>
      <c r="AG304" s="208">
        <v>92174.05</v>
      </c>
      <c r="AH304" s="208">
        <v>92174.05</v>
      </c>
      <c r="AI304" s="232" t="s">
        <v>6</v>
      </c>
      <c r="AJ304" s="138" t="s">
        <v>109</v>
      </c>
      <c r="AK304" s="235">
        <v>96453147</v>
      </c>
      <c r="AL304" s="198" t="s">
        <v>110</v>
      </c>
      <c r="AM304" s="198" t="s">
        <v>110</v>
      </c>
      <c r="AN304" s="273" t="s">
        <v>111</v>
      </c>
      <c r="AO304" s="149" t="s">
        <v>1586</v>
      </c>
      <c r="AP304" s="152" t="s">
        <v>1587</v>
      </c>
      <c r="AQ304" s="149" t="s">
        <v>110</v>
      </c>
      <c r="AR304" s="149" t="s">
        <v>110</v>
      </c>
      <c r="AS304" s="149" t="s">
        <v>110</v>
      </c>
      <c r="AT304" s="149" t="s">
        <v>110</v>
      </c>
      <c r="AU304" s="144">
        <v>46090</v>
      </c>
      <c r="AV304" s="149" t="s">
        <v>110</v>
      </c>
      <c r="AW304" s="149" t="s">
        <v>110</v>
      </c>
      <c r="AX304" s="274">
        <v>46097</v>
      </c>
      <c r="AY304" s="197">
        <v>46097</v>
      </c>
      <c r="AZ304" s="145" t="s">
        <v>33</v>
      </c>
      <c r="BA304" s="145" t="s">
        <v>113</v>
      </c>
      <c r="BB304" s="198" t="s">
        <v>110</v>
      </c>
      <c r="BC304" s="142">
        <f t="shared" si="12"/>
        <v>138</v>
      </c>
      <c r="BD304" s="134" t="str">
        <f t="shared" si="13"/>
        <v>INDENIZAÇÃO</v>
      </c>
      <c r="BE304" s="134" t="str">
        <f t="shared" si="14"/>
        <v>NÃO</v>
      </c>
      <c r="BF304" s="198" t="s">
        <v>24</v>
      </c>
      <c r="BG304" s="198" t="s">
        <v>24</v>
      </c>
      <c r="BH304" s="198" t="s">
        <v>24</v>
      </c>
      <c r="BI304" s="145" t="s">
        <v>189</v>
      </c>
      <c r="BJ304" s="145"/>
      <c r="BK304" s="279"/>
      <c r="BL304" s="145"/>
      <c r="BM304" s="145"/>
      <c r="BN304" s="149"/>
      <c r="BO304" s="149"/>
      <c r="BP304" s="149"/>
      <c r="BQ304" s="149"/>
      <c r="BR304" s="149"/>
      <c r="BS304" s="149"/>
      <c r="BT304" s="149"/>
      <c r="BU304" s="149"/>
      <c r="BV304" s="149"/>
      <c r="BW304" s="149"/>
      <c r="BX304" s="149"/>
      <c r="BY304" s="149"/>
      <c r="BZ304" s="149"/>
      <c r="CA304" s="149"/>
      <c r="CB304" s="149"/>
      <c r="CC304" s="149"/>
      <c r="CD304" s="149"/>
      <c r="CE304" s="149"/>
      <c r="CF304" s="149"/>
      <c r="CG304" s="149"/>
      <c r="CH304" s="149"/>
    </row>
    <row r="305" spans="1:91" ht="30" customHeight="1">
      <c r="A305" s="134">
        <v>291</v>
      </c>
      <c r="B305" s="134" t="s">
        <v>99</v>
      </c>
      <c r="C305" s="134">
        <v>1</v>
      </c>
      <c r="D305" s="134" t="s">
        <v>100</v>
      </c>
      <c r="E305" s="134" t="s">
        <v>100</v>
      </c>
      <c r="F305" s="138" t="s">
        <v>1588</v>
      </c>
      <c r="G305" s="149" t="s">
        <v>1</v>
      </c>
      <c r="H305" s="149" t="s">
        <v>2</v>
      </c>
      <c r="I305" s="149" t="s">
        <v>387</v>
      </c>
      <c r="J305" s="152" t="s">
        <v>1589</v>
      </c>
      <c r="K305" s="152" t="s">
        <v>1590</v>
      </c>
      <c r="L305" s="152" t="s">
        <v>1591</v>
      </c>
      <c r="M305" s="134" t="s">
        <v>4</v>
      </c>
      <c r="N305" s="134" t="s">
        <v>14</v>
      </c>
      <c r="O305" s="194">
        <v>45652</v>
      </c>
      <c r="P305" s="197" t="s">
        <v>17</v>
      </c>
      <c r="Q305" s="264" t="s">
        <v>283</v>
      </c>
      <c r="R305" s="197"/>
      <c r="S305" s="197"/>
      <c r="T305" s="197"/>
      <c r="U305" s="197"/>
      <c r="V305" s="197"/>
      <c r="W305" s="197"/>
      <c r="X305" s="197"/>
      <c r="Y305" s="197"/>
      <c r="Z305" s="197"/>
      <c r="AA305" s="149"/>
      <c r="AB305" s="152" t="s">
        <v>1592</v>
      </c>
      <c r="AC305" s="152" t="s">
        <v>1593</v>
      </c>
      <c r="AD305" s="152" t="s">
        <v>1594</v>
      </c>
      <c r="AE305" s="134" t="s">
        <v>287</v>
      </c>
      <c r="AF305" s="149" t="s">
        <v>4</v>
      </c>
      <c r="AG305" s="208">
        <v>64785.45</v>
      </c>
      <c r="AH305" s="208">
        <v>64785.45</v>
      </c>
      <c r="AI305" s="214" t="s">
        <v>6</v>
      </c>
      <c r="AJ305" s="312" t="s">
        <v>109</v>
      </c>
      <c r="AK305" s="134">
        <v>105664783</v>
      </c>
      <c r="AL305" s="149" t="s">
        <v>110</v>
      </c>
      <c r="AM305" s="149" t="s">
        <v>110</v>
      </c>
      <c r="AN305" s="149" t="s">
        <v>111</v>
      </c>
      <c r="AO305" s="134" t="s">
        <v>1035</v>
      </c>
      <c r="AP305" s="152" t="s">
        <v>1595</v>
      </c>
      <c r="AQ305" s="198" t="s">
        <v>110</v>
      </c>
      <c r="AR305" s="198" t="s">
        <v>110</v>
      </c>
      <c r="AS305" s="149" t="s">
        <v>110</v>
      </c>
      <c r="AT305" s="198" t="s">
        <v>110</v>
      </c>
      <c r="AU305" s="194">
        <v>45806</v>
      </c>
      <c r="AV305" s="198" t="s">
        <v>110</v>
      </c>
      <c r="AW305" s="198" t="s">
        <v>110</v>
      </c>
      <c r="AX305" s="194">
        <v>45812</v>
      </c>
      <c r="AY305" s="197">
        <v>45812</v>
      </c>
      <c r="AZ305" s="145" t="s">
        <v>33</v>
      </c>
      <c r="BA305" s="145" t="s">
        <v>113</v>
      </c>
      <c r="BB305" s="149" t="s">
        <v>110</v>
      </c>
      <c r="BC305" s="142">
        <f t="shared" si="12"/>
        <v>160</v>
      </c>
      <c r="BD305" s="134" t="str">
        <f t="shared" si="13"/>
        <v>INDENIZAÇÃO</v>
      </c>
      <c r="BE305" s="134" t="str">
        <f t="shared" si="14"/>
        <v>NÃO</v>
      </c>
      <c r="BF305" s="134" t="s">
        <v>24</v>
      </c>
      <c r="BG305" s="134" t="s">
        <v>24</v>
      </c>
      <c r="BH305" s="134" t="s">
        <v>24</v>
      </c>
      <c r="BI305" s="198" t="s">
        <v>110</v>
      </c>
      <c r="BJ305" s="198" t="s">
        <v>110</v>
      </c>
      <c r="BK305" s="194">
        <v>45859</v>
      </c>
      <c r="BL305" s="149" t="s">
        <v>110</v>
      </c>
      <c r="BM305" s="141" t="s">
        <v>33</v>
      </c>
      <c r="BN305" s="149"/>
      <c r="BO305" s="149"/>
      <c r="BP305" s="149"/>
      <c r="BQ305" s="149"/>
      <c r="BR305" s="149"/>
      <c r="BS305" s="149"/>
      <c r="BT305" s="149"/>
      <c r="BU305" s="149"/>
      <c r="BV305" s="149"/>
      <c r="BW305" s="149"/>
      <c r="BX305" s="149"/>
      <c r="BY305" s="149"/>
      <c r="BZ305" s="149"/>
      <c r="CA305" s="149"/>
      <c r="CB305" s="149"/>
      <c r="CC305" s="149"/>
      <c r="CD305" s="149"/>
      <c r="CE305" s="149"/>
      <c r="CF305" s="149"/>
      <c r="CG305" s="149"/>
      <c r="CH305" s="149"/>
      <c r="CI305" s="200"/>
      <c r="CJ305" s="149"/>
      <c r="CK305" s="149"/>
      <c r="CL305" s="149"/>
      <c r="CM305" s="149"/>
    </row>
    <row r="306" spans="1:91" ht="30" customHeight="1">
      <c r="A306" s="134">
        <v>292</v>
      </c>
      <c r="B306" s="245" t="s">
        <v>99</v>
      </c>
      <c r="C306" s="245">
        <v>1</v>
      </c>
      <c r="D306" s="245" t="s">
        <v>100</v>
      </c>
      <c r="E306" s="245" t="s">
        <v>100</v>
      </c>
      <c r="F306" s="246" t="s">
        <v>1596</v>
      </c>
      <c r="G306" s="149" t="s">
        <v>1</v>
      </c>
      <c r="H306" s="149" t="s">
        <v>2</v>
      </c>
      <c r="I306" s="149" t="s">
        <v>387</v>
      </c>
      <c r="J306" s="152" t="s">
        <v>1597</v>
      </c>
      <c r="K306" s="152" t="s">
        <v>1598</v>
      </c>
      <c r="L306" s="152" t="s">
        <v>1599</v>
      </c>
      <c r="M306" s="245" t="s">
        <v>4</v>
      </c>
      <c r="N306" s="245" t="s">
        <v>14</v>
      </c>
      <c r="O306" s="256">
        <v>45455</v>
      </c>
      <c r="P306" s="249" t="s">
        <v>17</v>
      </c>
      <c r="Q306" s="246" t="s">
        <v>283</v>
      </c>
      <c r="R306" s="249"/>
      <c r="S306" s="249"/>
      <c r="T306" s="249"/>
      <c r="U306" s="249"/>
      <c r="V306" s="249"/>
      <c r="W306" s="249"/>
      <c r="X306" s="249"/>
      <c r="Y306" s="249"/>
      <c r="Z306" s="249"/>
      <c r="AA306" s="250"/>
      <c r="AB306" s="152" t="s">
        <v>1600</v>
      </c>
      <c r="AC306" s="152" t="s">
        <v>1601</v>
      </c>
      <c r="AD306" s="152" t="s">
        <v>1602</v>
      </c>
      <c r="AE306" s="134" t="s">
        <v>287</v>
      </c>
      <c r="AF306" s="250" t="s">
        <v>4</v>
      </c>
      <c r="AG306" s="208">
        <v>191631.42</v>
      </c>
      <c r="AH306" s="208">
        <f>AG306</f>
        <v>191631.42</v>
      </c>
      <c r="AI306" s="251" t="s">
        <v>6</v>
      </c>
      <c r="AJ306" s="246" t="s">
        <v>109</v>
      </c>
      <c r="AK306" s="257"/>
      <c r="AL306" s="250" t="s">
        <v>110</v>
      </c>
      <c r="AM306" s="250" t="s">
        <v>110</v>
      </c>
      <c r="AN306" s="250" t="s">
        <v>111</v>
      </c>
      <c r="AO306" s="250"/>
      <c r="AP306" s="253" t="s">
        <v>1603</v>
      </c>
      <c r="AQ306" s="250" t="s">
        <v>110</v>
      </c>
      <c r="AR306" s="250" t="s">
        <v>110</v>
      </c>
      <c r="AS306" s="250" t="s">
        <v>110</v>
      </c>
      <c r="AT306" s="250" t="s">
        <v>110</v>
      </c>
      <c r="AU306" s="256">
        <v>45538</v>
      </c>
      <c r="AV306" s="250" t="s">
        <v>110</v>
      </c>
      <c r="AW306" s="250" t="s">
        <v>110</v>
      </c>
      <c r="AX306" s="256">
        <v>45560</v>
      </c>
      <c r="AY306" s="249">
        <v>45560</v>
      </c>
      <c r="AZ306" s="245" t="s">
        <v>360</v>
      </c>
      <c r="BA306" s="245" t="s">
        <v>1</v>
      </c>
      <c r="BB306" s="250" t="s">
        <v>110</v>
      </c>
      <c r="BC306" s="142">
        <f t="shared" si="12"/>
        <v>105</v>
      </c>
      <c r="BD306" s="134" t="str">
        <f t="shared" si="13"/>
        <v>INDENIZAÇÃO</v>
      </c>
      <c r="BE306" s="134" t="str">
        <f t="shared" si="14"/>
        <v>NÃO</v>
      </c>
      <c r="BF306" s="250" t="s">
        <v>24</v>
      </c>
      <c r="BG306" s="250" t="s">
        <v>24</v>
      </c>
      <c r="BH306" s="250" t="s">
        <v>24</v>
      </c>
      <c r="BI306" s="250" t="s">
        <v>110</v>
      </c>
      <c r="BJ306" s="250" t="s">
        <v>110</v>
      </c>
      <c r="BK306" s="256">
        <v>45621</v>
      </c>
      <c r="BL306" s="250" t="s">
        <v>110</v>
      </c>
      <c r="BM306" s="250" t="s">
        <v>33</v>
      </c>
      <c r="BN306" s="149"/>
      <c r="BO306" s="149"/>
      <c r="BP306" s="149"/>
      <c r="BQ306" s="149"/>
      <c r="BR306" s="149"/>
      <c r="BS306" s="149"/>
      <c r="BT306" s="149"/>
      <c r="BU306" s="149"/>
      <c r="BV306" s="149"/>
      <c r="BW306" s="149"/>
      <c r="BX306" s="149"/>
      <c r="BY306" s="149"/>
      <c r="BZ306" s="149"/>
      <c r="CA306" s="149"/>
      <c r="CB306" s="149"/>
      <c r="CC306" s="149"/>
      <c r="CD306" s="149"/>
      <c r="CE306" s="149"/>
      <c r="CF306" s="149"/>
      <c r="CG306" s="149"/>
      <c r="CH306" s="149"/>
    </row>
    <row r="307" spans="1:91" ht="30" customHeight="1">
      <c r="A307" s="134">
        <v>293</v>
      </c>
      <c r="B307" s="245" t="s">
        <v>99</v>
      </c>
      <c r="C307" s="245">
        <v>1</v>
      </c>
      <c r="D307" s="245" t="s">
        <v>100</v>
      </c>
      <c r="E307" s="245" t="s">
        <v>100</v>
      </c>
      <c r="F307" s="246" t="s">
        <v>1604</v>
      </c>
      <c r="G307" s="149" t="s">
        <v>1</v>
      </c>
      <c r="H307" s="149" t="s">
        <v>2</v>
      </c>
      <c r="I307" s="149" t="s">
        <v>387</v>
      </c>
      <c r="J307" s="152" t="s">
        <v>1605</v>
      </c>
      <c r="K307" s="152" t="s">
        <v>1606</v>
      </c>
      <c r="L307" s="152" t="s">
        <v>1607</v>
      </c>
      <c r="M307" s="245" t="s">
        <v>4</v>
      </c>
      <c r="N307" s="245" t="s">
        <v>14</v>
      </c>
      <c r="O307" s="256">
        <v>45455</v>
      </c>
      <c r="P307" s="249" t="s">
        <v>17</v>
      </c>
      <c r="Q307" s="246" t="s">
        <v>283</v>
      </c>
      <c r="R307" s="249"/>
      <c r="S307" s="249"/>
      <c r="T307" s="249"/>
      <c r="U307" s="249"/>
      <c r="V307" s="249"/>
      <c r="W307" s="249"/>
      <c r="X307" s="249"/>
      <c r="Y307" s="249"/>
      <c r="Z307" s="249"/>
      <c r="AA307" s="250"/>
      <c r="AB307" s="152" t="s">
        <v>1608</v>
      </c>
      <c r="AC307" s="152" t="s">
        <v>1609</v>
      </c>
      <c r="AD307" s="152" t="s">
        <v>1610</v>
      </c>
      <c r="AE307" s="134" t="s">
        <v>287</v>
      </c>
      <c r="AF307" s="250" t="s">
        <v>4</v>
      </c>
      <c r="AG307" s="208">
        <v>127455.59</v>
      </c>
      <c r="AH307" s="208">
        <f>AG307</f>
        <v>127455.59</v>
      </c>
      <c r="AI307" s="245" t="s">
        <v>6</v>
      </c>
      <c r="AJ307" s="314" t="s">
        <v>109</v>
      </c>
      <c r="AK307" s="245"/>
      <c r="AL307" s="250" t="s">
        <v>110</v>
      </c>
      <c r="AM307" s="250" t="s">
        <v>110</v>
      </c>
      <c r="AN307" s="250" t="s">
        <v>111</v>
      </c>
      <c r="AO307" s="250"/>
      <c r="AP307" s="253" t="s">
        <v>1611</v>
      </c>
      <c r="AQ307" s="250" t="s">
        <v>110</v>
      </c>
      <c r="AR307" s="250" t="s">
        <v>110</v>
      </c>
      <c r="AS307" s="250" t="s">
        <v>110</v>
      </c>
      <c r="AT307" s="250" t="s">
        <v>110</v>
      </c>
      <c r="AU307" s="256">
        <v>45601</v>
      </c>
      <c r="AV307" s="250" t="s">
        <v>110</v>
      </c>
      <c r="AW307" s="250" t="s">
        <v>110</v>
      </c>
      <c r="AX307" s="256">
        <v>45617</v>
      </c>
      <c r="AY307" s="249">
        <v>45617</v>
      </c>
      <c r="AZ307" s="245" t="s">
        <v>360</v>
      </c>
      <c r="BA307" s="245" t="s">
        <v>1</v>
      </c>
      <c r="BB307" s="250" t="s">
        <v>110</v>
      </c>
      <c r="BC307" s="142">
        <f t="shared" si="12"/>
        <v>162</v>
      </c>
      <c r="BD307" s="134" t="str">
        <f t="shared" si="13"/>
        <v>INDENIZAÇÃO</v>
      </c>
      <c r="BE307" s="134" t="str">
        <f t="shared" si="14"/>
        <v>NÃO</v>
      </c>
      <c r="BF307" s="245" t="s">
        <v>24</v>
      </c>
      <c r="BG307" s="245" t="s">
        <v>24</v>
      </c>
      <c r="BH307" s="245" t="s">
        <v>24</v>
      </c>
      <c r="BI307" s="250" t="s">
        <v>110</v>
      </c>
      <c r="BJ307" s="250" t="s">
        <v>110</v>
      </c>
      <c r="BK307" s="256">
        <v>45677</v>
      </c>
      <c r="BL307" s="250" t="s">
        <v>110</v>
      </c>
      <c r="BM307" s="249" t="s">
        <v>33</v>
      </c>
      <c r="BN307" s="149"/>
      <c r="BO307" s="149"/>
      <c r="BP307" s="149"/>
      <c r="BQ307" s="149"/>
      <c r="BR307" s="149"/>
      <c r="BS307" s="149"/>
      <c r="BT307" s="149"/>
      <c r="BU307" s="149"/>
      <c r="BV307" s="149"/>
      <c r="BW307" s="149"/>
      <c r="BX307" s="149"/>
      <c r="BY307" s="149"/>
      <c r="BZ307" s="149"/>
      <c r="CA307" s="149"/>
      <c r="CB307" s="149"/>
      <c r="CC307" s="149"/>
      <c r="CD307" s="149"/>
      <c r="CE307" s="149"/>
      <c r="CF307" s="149"/>
      <c r="CG307" s="149"/>
      <c r="CH307" s="149"/>
    </row>
    <row r="308" spans="1:91" ht="30" customHeight="1">
      <c r="A308" s="134">
        <v>294</v>
      </c>
      <c r="B308" s="245" t="s">
        <v>99</v>
      </c>
      <c r="C308" s="245">
        <v>1</v>
      </c>
      <c r="D308" s="245" t="s">
        <v>100</v>
      </c>
      <c r="E308" s="245" t="s">
        <v>100</v>
      </c>
      <c r="F308" s="246" t="s">
        <v>1612</v>
      </c>
      <c r="G308" s="149" t="s">
        <v>1</v>
      </c>
      <c r="H308" s="149" t="s">
        <v>2</v>
      </c>
      <c r="I308" s="149" t="s">
        <v>108</v>
      </c>
      <c r="J308" s="152" t="s">
        <v>1613</v>
      </c>
      <c r="K308" s="152" t="s">
        <v>1614</v>
      </c>
      <c r="L308" s="152" t="s">
        <v>1615</v>
      </c>
      <c r="M308" s="245" t="s">
        <v>4</v>
      </c>
      <c r="N308" s="245" t="s">
        <v>5</v>
      </c>
      <c r="O308" s="256">
        <v>45455</v>
      </c>
      <c r="P308" s="249" t="s">
        <v>24</v>
      </c>
      <c r="Q308" s="249" t="s">
        <v>24</v>
      </c>
      <c r="R308" s="249" t="s">
        <v>24</v>
      </c>
      <c r="S308" s="249" t="s">
        <v>24</v>
      </c>
      <c r="T308" s="249" t="s">
        <v>24</v>
      </c>
      <c r="U308" s="249" t="s">
        <v>24</v>
      </c>
      <c r="V308" s="249" t="s">
        <v>24</v>
      </c>
      <c r="W308" s="249" t="s">
        <v>24</v>
      </c>
      <c r="X308" s="249" t="s">
        <v>24</v>
      </c>
      <c r="Y308" s="249" t="s">
        <v>24</v>
      </c>
      <c r="Z308" s="249" t="s">
        <v>24</v>
      </c>
      <c r="AA308" s="250"/>
      <c r="AB308" s="152" t="s">
        <v>1613</v>
      </c>
      <c r="AC308" s="152" t="s">
        <v>1614</v>
      </c>
      <c r="AD308" s="152" t="s">
        <v>1615</v>
      </c>
      <c r="AE308" s="149" t="s">
        <v>108</v>
      </c>
      <c r="AF308" s="250" t="s">
        <v>4</v>
      </c>
      <c r="AG308" s="208">
        <v>106351.3</v>
      </c>
      <c r="AH308" s="208">
        <v>106351.3</v>
      </c>
      <c r="AI308" s="251" t="s">
        <v>6</v>
      </c>
      <c r="AJ308" s="246" t="s">
        <v>109</v>
      </c>
      <c r="AK308" s="257"/>
      <c r="AL308" s="250" t="s">
        <v>110</v>
      </c>
      <c r="AM308" s="250" t="s">
        <v>110</v>
      </c>
      <c r="AN308" s="250" t="s">
        <v>111</v>
      </c>
      <c r="AO308" s="250"/>
      <c r="AP308" s="253" t="s">
        <v>1616</v>
      </c>
      <c r="AQ308" s="250" t="s">
        <v>110</v>
      </c>
      <c r="AR308" s="250" t="s">
        <v>110</v>
      </c>
      <c r="AS308" s="250" t="s">
        <v>110</v>
      </c>
      <c r="AT308" s="250" t="s">
        <v>110</v>
      </c>
      <c r="AU308" s="256">
        <v>45538</v>
      </c>
      <c r="AV308" s="250" t="s">
        <v>110</v>
      </c>
      <c r="AW308" s="250" t="s">
        <v>110</v>
      </c>
      <c r="AX308" s="249">
        <v>45546</v>
      </c>
      <c r="AY308" s="249">
        <v>45546</v>
      </c>
      <c r="AZ308" s="245" t="s">
        <v>360</v>
      </c>
      <c r="BA308" s="245" t="s">
        <v>1</v>
      </c>
      <c r="BB308" s="250" t="s">
        <v>110</v>
      </c>
      <c r="BC308" s="142">
        <f t="shared" si="12"/>
        <v>91</v>
      </c>
      <c r="BD308" s="134" t="str">
        <f t="shared" si="13"/>
        <v>INDENIZAÇÃO</v>
      </c>
      <c r="BE308" s="134" t="str">
        <f t="shared" si="14"/>
        <v>NÃO</v>
      </c>
      <c r="BF308" s="245" t="s">
        <v>24</v>
      </c>
      <c r="BG308" s="245" t="s">
        <v>24</v>
      </c>
      <c r="BH308" s="245" t="s">
        <v>24</v>
      </c>
      <c r="BI308" s="250" t="s">
        <v>110</v>
      </c>
      <c r="BJ308" s="250" t="s">
        <v>110</v>
      </c>
      <c r="BK308" s="256">
        <v>45621</v>
      </c>
      <c r="BL308" s="250" t="s">
        <v>110</v>
      </c>
      <c r="BM308" s="250" t="s">
        <v>33</v>
      </c>
      <c r="BN308" s="149"/>
      <c r="BO308" s="149"/>
      <c r="BP308" s="149"/>
      <c r="BQ308" s="149"/>
      <c r="BR308" s="149"/>
      <c r="BS308" s="149"/>
      <c r="BT308" s="149"/>
      <c r="BU308" s="149"/>
      <c r="BV308" s="149"/>
      <c r="BW308" s="149"/>
      <c r="BX308" s="149"/>
      <c r="BY308" s="149"/>
      <c r="BZ308" s="149"/>
      <c r="CA308" s="149"/>
      <c r="CB308" s="149"/>
      <c r="CC308" s="149"/>
      <c r="CD308" s="149"/>
      <c r="CE308" s="149"/>
      <c r="CF308" s="149"/>
      <c r="CG308" s="149"/>
      <c r="CH308" s="149"/>
    </row>
    <row r="309" spans="1:91" ht="30" customHeight="1">
      <c r="A309" s="134">
        <v>295</v>
      </c>
      <c r="B309" s="245" t="s">
        <v>99</v>
      </c>
      <c r="C309" s="245">
        <v>1</v>
      </c>
      <c r="D309" s="245" t="s">
        <v>100</v>
      </c>
      <c r="E309" s="245" t="s">
        <v>100</v>
      </c>
      <c r="F309" s="246" t="s">
        <v>1617</v>
      </c>
      <c r="G309" s="149" t="s">
        <v>10</v>
      </c>
      <c r="H309" s="149" t="s">
        <v>1066</v>
      </c>
      <c r="I309" s="149" t="s">
        <v>287</v>
      </c>
      <c r="J309" s="152" t="s">
        <v>1618</v>
      </c>
      <c r="K309" s="152" t="s">
        <v>1619</v>
      </c>
      <c r="L309" s="152" t="s">
        <v>1620</v>
      </c>
      <c r="M309" s="245" t="s">
        <v>4</v>
      </c>
      <c r="N309" s="245" t="s">
        <v>1070</v>
      </c>
      <c r="O309" s="256">
        <v>45455</v>
      </c>
      <c r="P309" s="249" t="s">
        <v>24</v>
      </c>
      <c r="Q309" s="249" t="s">
        <v>24</v>
      </c>
      <c r="R309" s="249" t="s">
        <v>24</v>
      </c>
      <c r="S309" s="249" t="s">
        <v>24</v>
      </c>
      <c r="T309" s="249" t="s">
        <v>24</v>
      </c>
      <c r="U309" s="249" t="s">
        <v>24</v>
      </c>
      <c r="V309" s="249" t="s">
        <v>24</v>
      </c>
      <c r="W309" s="249" t="s">
        <v>24</v>
      </c>
      <c r="X309" s="249" t="s">
        <v>24</v>
      </c>
      <c r="Y309" s="249" t="s">
        <v>24</v>
      </c>
      <c r="Z309" s="249" t="s">
        <v>24</v>
      </c>
      <c r="AA309" s="250"/>
      <c r="AB309" s="152" t="s">
        <v>1618</v>
      </c>
      <c r="AC309" s="152" t="s">
        <v>1619</v>
      </c>
      <c r="AD309" s="152" t="s">
        <v>1620</v>
      </c>
      <c r="AE309" s="134" t="s">
        <v>287</v>
      </c>
      <c r="AF309" s="250" t="s">
        <v>4</v>
      </c>
      <c r="AG309" s="208">
        <v>777.66</v>
      </c>
      <c r="AH309" s="208">
        <f>AG309+30000</f>
        <v>30777.66</v>
      </c>
      <c r="AI309" s="251" t="s">
        <v>6</v>
      </c>
      <c r="AJ309" s="246" t="s">
        <v>109</v>
      </c>
      <c r="AK309" s="257"/>
      <c r="AL309" s="250" t="s">
        <v>110</v>
      </c>
      <c r="AM309" s="250" t="s">
        <v>110</v>
      </c>
      <c r="AN309" s="250" t="s">
        <v>111</v>
      </c>
      <c r="AO309" s="250"/>
      <c r="AP309" s="253" t="s">
        <v>1621</v>
      </c>
      <c r="AQ309" s="250" t="s">
        <v>110</v>
      </c>
      <c r="AR309" s="250" t="s">
        <v>110</v>
      </c>
      <c r="AS309" s="250" t="s">
        <v>110</v>
      </c>
      <c r="AT309" s="250" t="s">
        <v>110</v>
      </c>
      <c r="AU309" s="256">
        <v>45614</v>
      </c>
      <c r="AV309" s="250" t="s">
        <v>110</v>
      </c>
      <c r="AW309" s="250" t="s">
        <v>110</v>
      </c>
      <c r="AX309" s="256">
        <v>45621</v>
      </c>
      <c r="AY309" s="249">
        <v>45621</v>
      </c>
      <c r="AZ309" s="245" t="s">
        <v>360</v>
      </c>
      <c r="BA309" s="245" t="s">
        <v>1</v>
      </c>
      <c r="BB309" s="250" t="s">
        <v>110</v>
      </c>
      <c r="BC309" s="142">
        <f t="shared" si="12"/>
        <v>166</v>
      </c>
      <c r="BD309" s="134" t="str">
        <f t="shared" si="13"/>
        <v>INDENIZAÇÃO</v>
      </c>
      <c r="BE309" s="134" t="str">
        <f t="shared" si="14"/>
        <v>NÃO</v>
      </c>
      <c r="BF309" s="245" t="s">
        <v>24</v>
      </c>
      <c r="BG309" s="245" t="s">
        <v>24</v>
      </c>
      <c r="BH309" s="245" t="s">
        <v>24</v>
      </c>
      <c r="BI309" s="250" t="s">
        <v>110</v>
      </c>
      <c r="BJ309" s="250" t="s">
        <v>110</v>
      </c>
      <c r="BK309" s="256">
        <v>45677</v>
      </c>
      <c r="BL309" s="250" t="s">
        <v>110</v>
      </c>
      <c r="BM309" s="249" t="s">
        <v>33</v>
      </c>
      <c r="BN309" s="149"/>
      <c r="BO309" s="149"/>
      <c r="BP309" s="149"/>
      <c r="BQ309" s="149"/>
      <c r="BR309" s="149"/>
      <c r="BS309" s="149"/>
      <c r="BT309" s="149"/>
      <c r="BU309" s="149"/>
      <c r="BV309" s="149"/>
      <c r="BW309" s="149"/>
      <c r="BX309" s="149"/>
      <c r="BY309" s="149"/>
      <c r="BZ309" s="149"/>
      <c r="CA309" s="149"/>
      <c r="CB309" s="149"/>
      <c r="CC309" s="149"/>
      <c r="CD309" s="149"/>
      <c r="CE309" s="149"/>
      <c r="CF309" s="149"/>
      <c r="CG309" s="149"/>
      <c r="CH309" s="149"/>
    </row>
    <row r="310" spans="1:91" ht="30" customHeight="1">
      <c r="A310" s="134">
        <v>296</v>
      </c>
      <c r="B310" s="134" t="s">
        <v>99</v>
      </c>
      <c r="C310" s="134">
        <v>1</v>
      </c>
      <c r="D310" s="134" t="s">
        <v>100</v>
      </c>
      <c r="E310" s="134" t="s">
        <v>100</v>
      </c>
      <c r="F310" s="138" t="s">
        <v>1622</v>
      </c>
      <c r="G310" s="149" t="s">
        <v>1</v>
      </c>
      <c r="H310" s="149" t="s">
        <v>2</v>
      </c>
      <c r="I310" s="149" t="s">
        <v>108</v>
      </c>
      <c r="J310" s="152" t="s">
        <v>1623</v>
      </c>
      <c r="K310" s="152" t="s">
        <v>1624</v>
      </c>
      <c r="L310" s="152" t="s">
        <v>1625</v>
      </c>
      <c r="M310" s="134" t="s">
        <v>4</v>
      </c>
      <c r="N310" s="214" t="s">
        <v>5</v>
      </c>
      <c r="O310" s="194">
        <v>45280</v>
      </c>
      <c r="P310" s="144" t="s">
        <v>24</v>
      </c>
      <c r="Q310" s="144" t="s">
        <v>24</v>
      </c>
      <c r="R310" s="144" t="s">
        <v>24</v>
      </c>
      <c r="S310" s="144" t="s">
        <v>24</v>
      </c>
      <c r="T310" s="144" t="s">
        <v>24</v>
      </c>
      <c r="U310" s="144" t="s">
        <v>24</v>
      </c>
      <c r="V310" s="144" t="s">
        <v>24</v>
      </c>
      <c r="W310" s="144" t="s">
        <v>24</v>
      </c>
      <c r="X310" s="144" t="s">
        <v>24</v>
      </c>
      <c r="Y310" s="144" t="s">
        <v>24</v>
      </c>
      <c r="Z310" s="144" t="s">
        <v>24</v>
      </c>
      <c r="AA310" s="149"/>
      <c r="AB310" s="152" t="s">
        <v>1623</v>
      </c>
      <c r="AC310" s="152" t="s">
        <v>1624</v>
      </c>
      <c r="AD310" s="152" t="s">
        <v>1625</v>
      </c>
      <c r="AE310" s="149" t="s">
        <v>108</v>
      </c>
      <c r="AF310" s="149" t="s">
        <v>4</v>
      </c>
      <c r="AG310" s="208">
        <v>33870.81</v>
      </c>
      <c r="AH310" s="208">
        <v>60000</v>
      </c>
      <c r="AI310" s="232" t="s">
        <v>6</v>
      </c>
      <c r="AJ310" s="138" t="s">
        <v>109</v>
      </c>
      <c r="AK310" s="235"/>
      <c r="AL310" s="149" t="s">
        <v>110</v>
      </c>
      <c r="AM310" s="149" t="s">
        <v>110</v>
      </c>
      <c r="AN310" s="149" t="s">
        <v>111</v>
      </c>
      <c r="AO310" s="149"/>
      <c r="AP310" s="152" t="s">
        <v>1626</v>
      </c>
      <c r="AQ310" s="149" t="s">
        <v>110</v>
      </c>
      <c r="AR310" s="198" t="s">
        <v>110</v>
      </c>
      <c r="AS310" s="149" t="s">
        <v>110</v>
      </c>
      <c r="AT310" s="149" t="s">
        <v>110</v>
      </c>
      <c r="AU310" s="194">
        <v>45397</v>
      </c>
      <c r="AV310" s="149" t="s">
        <v>110</v>
      </c>
      <c r="AW310" s="149" t="s">
        <v>110</v>
      </c>
      <c r="AX310" s="194">
        <v>45408</v>
      </c>
      <c r="AY310" s="197">
        <v>45408</v>
      </c>
      <c r="AZ310" s="145" t="s">
        <v>33</v>
      </c>
      <c r="BA310" s="145" t="s">
        <v>113</v>
      </c>
      <c r="BB310" s="149" t="s">
        <v>110</v>
      </c>
      <c r="BC310" s="142">
        <f t="shared" si="12"/>
        <v>128</v>
      </c>
      <c r="BD310" s="134" t="str">
        <f t="shared" si="13"/>
        <v>INDENIZAÇÃO</v>
      </c>
      <c r="BE310" s="134" t="str">
        <f t="shared" si="14"/>
        <v>NÃO</v>
      </c>
      <c r="BF310" s="134" t="s">
        <v>24</v>
      </c>
      <c r="BG310" s="134" t="s">
        <v>24</v>
      </c>
      <c r="BH310" s="134" t="s">
        <v>24</v>
      </c>
      <c r="BI310" s="198" t="s">
        <v>110</v>
      </c>
      <c r="BJ310" s="198" t="s">
        <v>110</v>
      </c>
      <c r="BK310" s="144">
        <v>45545</v>
      </c>
      <c r="BL310" s="198" t="s">
        <v>110</v>
      </c>
      <c r="BM310" s="145" t="s">
        <v>33</v>
      </c>
      <c r="BN310" s="149"/>
      <c r="BO310" s="149"/>
      <c r="BP310" s="149"/>
      <c r="BQ310" s="149"/>
      <c r="BR310" s="149"/>
      <c r="BS310" s="149"/>
      <c r="BT310" s="149"/>
      <c r="BU310" s="149"/>
      <c r="BV310" s="149"/>
      <c r="BW310" s="149"/>
      <c r="BX310" s="149"/>
      <c r="BY310" s="149"/>
      <c r="BZ310" s="149"/>
      <c r="CA310" s="149"/>
      <c r="CB310" s="149"/>
      <c r="CC310" s="149"/>
      <c r="CD310" s="149"/>
      <c r="CE310" s="149"/>
      <c r="CF310" s="149"/>
      <c r="CG310" s="149"/>
      <c r="CH310" s="149"/>
    </row>
    <row r="311" spans="1:91" ht="30" customHeight="1">
      <c r="A311" s="134">
        <v>297</v>
      </c>
      <c r="B311" s="134" t="s">
        <v>99</v>
      </c>
      <c r="C311" s="134">
        <v>2</v>
      </c>
      <c r="D311" s="134" t="s">
        <v>100</v>
      </c>
      <c r="E311" s="134" t="s">
        <v>100</v>
      </c>
      <c r="F311" s="152" t="s">
        <v>1627</v>
      </c>
      <c r="G311" s="149" t="s">
        <v>344</v>
      </c>
      <c r="H311" s="149" t="s">
        <v>103</v>
      </c>
      <c r="I311" s="149" t="s">
        <v>587</v>
      </c>
      <c r="J311" s="152" t="s">
        <v>1628</v>
      </c>
      <c r="K311" s="152" t="s">
        <v>1629</v>
      </c>
      <c r="L311" s="152" t="s">
        <v>1630</v>
      </c>
      <c r="M311" s="149" t="s">
        <v>4</v>
      </c>
      <c r="N311" s="149" t="s">
        <v>5</v>
      </c>
      <c r="O311" s="194">
        <v>46140</v>
      </c>
      <c r="P311" s="139" t="s">
        <v>24</v>
      </c>
      <c r="Q311" s="139" t="s">
        <v>24</v>
      </c>
      <c r="R311" s="139" t="s">
        <v>24</v>
      </c>
      <c r="S311" s="139" t="s">
        <v>24</v>
      </c>
      <c r="T311" s="139" t="s">
        <v>24</v>
      </c>
      <c r="U311" s="139" t="s">
        <v>24</v>
      </c>
      <c r="V311" s="139" t="s">
        <v>24</v>
      </c>
      <c r="W311" s="139" t="s">
        <v>24</v>
      </c>
      <c r="X311" s="139" t="s">
        <v>24</v>
      </c>
      <c r="Y311" s="139" t="s">
        <v>24</v>
      </c>
      <c r="Z311" s="139" t="s">
        <v>24</v>
      </c>
      <c r="AA311" s="149"/>
      <c r="AB311" s="152" t="s">
        <v>1628</v>
      </c>
      <c r="AC311" s="152" t="s">
        <v>1629</v>
      </c>
      <c r="AD311" s="152" t="s">
        <v>1630</v>
      </c>
      <c r="AE311" s="134" t="s">
        <v>287</v>
      </c>
      <c r="AF311" s="149" t="s">
        <v>4</v>
      </c>
      <c r="AG311" s="208">
        <v>13520.66</v>
      </c>
      <c r="AH311" s="208">
        <v>43520.66</v>
      </c>
      <c r="AI311" s="149" t="s">
        <v>6</v>
      </c>
      <c r="AJ311" s="160" t="s">
        <v>301</v>
      </c>
      <c r="AK311" s="149">
        <v>153151571</v>
      </c>
      <c r="AL311" s="134" t="s">
        <v>110</v>
      </c>
      <c r="AM311" s="134" t="s">
        <v>110</v>
      </c>
      <c r="AN311" s="273" t="s">
        <v>111</v>
      </c>
      <c r="AO311" s="224"/>
      <c r="AP311" s="152" t="s">
        <v>1631</v>
      </c>
      <c r="AQ311" s="198" t="s">
        <v>110</v>
      </c>
      <c r="AR311" s="198" t="s">
        <v>110</v>
      </c>
      <c r="AS311" s="198" t="s">
        <v>110</v>
      </c>
      <c r="AT311" s="198" t="s">
        <v>110</v>
      </c>
      <c r="AU311" s="194">
        <v>46195</v>
      </c>
      <c r="AV311" s="198" t="s">
        <v>110</v>
      </c>
      <c r="AW311" s="198" t="s">
        <v>110</v>
      </c>
      <c r="AX311" s="194">
        <v>46199</v>
      </c>
      <c r="AY311" s="197">
        <v>46199</v>
      </c>
      <c r="AZ311" s="145" t="s">
        <v>33</v>
      </c>
      <c r="BA311" s="145" t="s">
        <v>113</v>
      </c>
      <c r="BB311" s="149" t="s">
        <v>110</v>
      </c>
      <c r="BC311" s="142">
        <f t="shared" si="12"/>
        <v>59</v>
      </c>
      <c r="BD311" s="134" t="str">
        <f t="shared" si="13"/>
        <v>INDENIZAÇÃO</v>
      </c>
      <c r="BE311" s="134" t="str">
        <f t="shared" si="14"/>
        <v>NÃO</v>
      </c>
      <c r="BF311" s="149" t="s">
        <v>24</v>
      </c>
      <c r="BG311" s="149" t="s">
        <v>24</v>
      </c>
      <c r="BH311" s="149" t="s">
        <v>24</v>
      </c>
      <c r="BI311" s="145" t="s">
        <v>189</v>
      </c>
      <c r="BJ311" s="145"/>
      <c r="BK311" s="145"/>
      <c r="BL311" s="145"/>
      <c r="BM311" s="145"/>
      <c r="BN311" s="276"/>
      <c r="BO311" s="149"/>
      <c r="BP311" s="149"/>
      <c r="BQ311" s="149"/>
      <c r="BR311" s="149"/>
      <c r="BS311" s="149"/>
      <c r="BT311" s="149"/>
      <c r="BU311" s="149"/>
      <c r="BV311" s="149"/>
      <c r="BW311" s="149"/>
      <c r="BX311" s="149"/>
      <c r="BY311" s="149"/>
      <c r="BZ311" s="149"/>
      <c r="CA311" s="149"/>
      <c r="CB311" s="149"/>
      <c r="CC311" s="149"/>
      <c r="CD311" s="149"/>
      <c r="CE311" s="149"/>
      <c r="CF311" s="149"/>
      <c r="CG311" s="149"/>
      <c r="CH311" s="149"/>
      <c r="CI311" s="200"/>
      <c r="CJ311" s="149"/>
      <c r="CK311" s="149"/>
      <c r="CL311" s="149"/>
      <c r="CM311" s="149"/>
    </row>
    <row r="312" spans="1:91" ht="30" customHeight="1">
      <c r="A312" s="134">
        <v>298</v>
      </c>
      <c r="B312" s="134" t="s">
        <v>99</v>
      </c>
      <c r="C312" s="134">
        <v>1</v>
      </c>
      <c r="D312" s="134" t="s">
        <v>100</v>
      </c>
      <c r="E312" s="134" t="s">
        <v>100</v>
      </c>
      <c r="F312" s="138" t="s">
        <v>1632</v>
      </c>
      <c r="G312" s="149" t="s">
        <v>10</v>
      </c>
      <c r="H312" s="149" t="s">
        <v>2</v>
      </c>
      <c r="I312" s="149" t="s">
        <v>287</v>
      </c>
      <c r="J312" s="152" t="s">
        <v>1633</v>
      </c>
      <c r="K312" s="152" t="s">
        <v>1634</v>
      </c>
      <c r="L312" s="152" t="s">
        <v>1635</v>
      </c>
      <c r="M312" s="134" t="s">
        <v>4</v>
      </c>
      <c r="N312" s="214" t="s">
        <v>5</v>
      </c>
      <c r="O312" s="194">
        <v>45471</v>
      </c>
      <c r="P312" s="144" t="s">
        <v>24</v>
      </c>
      <c r="Q312" s="144" t="s">
        <v>24</v>
      </c>
      <c r="R312" s="144" t="s">
        <v>24</v>
      </c>
      <c r="S312" s="144" t="s">
        <v>24</v>
      </c>
      <c r="T312" s="144" t="s">
        <v>24</v>
      </c>
      <c r="U312" s="144" t="s">
        <v>24</v>
      </c>
      <c r="V312" s="144" t="s">
        <v>24</v>
      </c>
      <c r="W312" s="144" t="s">
        <v>24</v>
      </c>
      <c r="X312" s="144" t="s">
        <v>24</v>
      </c>
      <c r="Y312" s="144" t="s">
        <v>24</v>
      </c>
      <c r="Z312" s="144" t="s">
        <v>24</v>
      </c>
      <c r="AA312" s="149"/>
      <c r="AB312" s="152" t="s">
        <v>1633</v>
      </c>
      <c r="AC312" s="152" t="s">
        <v>1634</v>
      </c>
      <c r="AD312" s="152" t="s">
        <v>1635</v>
      </c>
      <c r="AE312" s="134" t="s">
        <v>287</v>
      </c>
      <c r="AF312" s="149" t="s">
        <v>4</v>
      </c>
      <c r="AG312" s="208">
        <v>29533.96</v>
      </c>
      <c r="AH312" s="208">
        <f>AG312+30000</f>
        <v>59533.96</v>
      </c>
      <c r="AI312" s="214" t="s">
        <v>6</v>
      </c>
      <c r="AJ312" s="160" t="s">
        <v>109</v>
      </c>
      <c r="AK312" s="214"/>
      <c r="AL312" s="149" t="s">
        <v>110</v>
      </c>
      <c r="AM312" s="149" t="s">
        <v>110</v>
      </c>
      <c r="AN312" s="149" t="s">
        <v>111</v>
      </c>
      <c r="AO312" s="149" t="s">
        <v>1636</v>
      </c>
      <c r="AP312" s="152" t="s">
        <v>1637</v>
      </c>
      <c r="AQ312" s="149" t="s">
        <v>110</v>
      </c>
      <c r="AR312" s="198" t="s">
        <v>110</v>
      </c>
      <c r="AS312" s="149" t="s">
        <v>110</v>
      </c>
      <c r="AT312" s="149" t="s">
        <v>110</v>
      </c>
      <c r="AU312" s="194">
        <v>45538</v>
      </c>
      <c r="AV312" s="149" t="s">
        <v>110</v>
      </c>
      <c r="AW312" s="149" t="s">
        <v>110</v>
      </c>
      <c r="AX312" s="144">
        <v>45546</v>
      </c>
      <c r="AY312" s="197">
        <v>45546</v>
      </c>
      <c r="AZ312" s="145" t="s">
        <v>33</v>
      </c>
      <c r="BA312" s="145" t="s">
        <v>113</v>
      </c>
      <c r="BB312" s="149" t="s">
        <v>110</v>
      </c>
      <c r="BC312" s="142">
        <f t="shared" si="12"/>
        <v>75</v>
      </c>
      <c r="BD312" s="134" t="str">
        <f t="shared" si="13"/>
        <v>INDENIZAÇÃO</v>
      </c>
      <c r="BE312" s="134" t="str">
        <f t="shared" si="14"/>
        <v>NÃO</v>
      </c>
      <c r="BF312" s="134" t="s">
        <v>24</v>
      </c>
      <c r="BG312" s="134" t="s">
        <v>24</v>
      </c>
      <c r="BH312" s="134" t="s">
        <v>24</v>
      </c>
      <c r="BI312" s="198" t="s">
        <v>110</v>
      </c>
      <c r="BJ312" s="198" t="s">
        <v>110</v>
      </c>
      <c r="BK312" s="194">
        <v>45621</v>
      </c>
      <c r="BL312" s="198" t="s">
        <v>110</v>
      </c>
      <c r="BM312" s="145" t="s">
        <v>33</v>
      </c>
      <c r="BN312" s="149"/>
      <c r="BO312" s="149"/>
      <c r="BP312" s="149"/>
      <c r="BQ312" s="149"/>
      <c r="BR312" s="149"/>
      <c r="BS312" s="149"/>
      <c r="BT312" s="149"/>
      <c r="BU312" s="149"/>
      <c r="BV312" s="149"/>
      <c r="BW312" s="149"/>
      <c r="BX312" s="149"/>
      <c r="BY312" s="149"/>
      <c r="BZ312" s="149"/>
      <c r="CA312" s="149"/>
      <c r="CB312" s="149"/>
      <c r="CC312" s="149"/>
      <c r="CD312" s="149"/>
      <c r="CE312" s="149"/>
      <c r="CF312" s="149"/>
      <c r="CG312" s="149"/>
      <c r="CH312" s="149"/>
    </row>
    <row r="313" spans="1:91" ht="30" customHeight="1">
      <c r="A313" s="134">
        <v>299</v>
      </c>
      <c r="B313" s="245" t="s">
        <v>99</v>
      </c>
      <c r="C313" s="245">
        <v>1</v>
      </c>
      <c r="D313" s="245" t="s">
        <v>100</v>
      </c>
      <c r="E313" s="245" t="s">
        <v>100</v>
      </c>
      <c r="F313" s="247" t="s">
        <v>1638</v>
      </c>
      <c r="G313" s="149" t="s">
        <v>10</v>
      </c>
      <c r="H313" s="149" t="s">
        <v>2</v>
      </c>
      <c r="I313" s="149" t="s">
        <v>287</v>
      </c>
      <c r="J313" s="152" t="s">
        <v>1639</v>
      </c>
      <c r="K313" s="152" t="s">
        <v>1640</v>
      </c>
      <c r="L313" s="152" t="s">
        <v>1641</v>
      </c>
      <c r="M313" s="245" t="s">
        <v>4</v>
      </c>
      <c r="N313" s="245" t="s">
        <v>5</v>
      </c>
      <c r="O313" s="256">
        <v>45614</v>
      </c>
      <c r="P313" s="249" t="s">
        <v>24</v>
      </c>
      <c r="Q313" s="249" t="s">
        <v>24</v>
      </c>
      <c r="R313" s="249" t="s">
        <v>24</v>
      </c>
      <c r="S313" s="249" t="s">
        <v>24</v>
      </c>
      <c r="T313" s="249" t="s">
        <v>24</v>
      </c>
      <c r="U313" s="249" t="s">
        <v>24</v>
      </c>
      <c r="V313" s="249" t="s">
        <v>24</v>
      </c>
      <c r="W313" s="249" t="s">
        <v>24</v>
      </c>
      <c r="X313" s="249" t="s">
        <v>24</v>
      </c>
      <c r="Y313" s="249" t="s">
        <v>24</v>
      </c>
      <c r="Z313" s="249" t="s">
        <v>24</v>
      </c>
      <c r="AA313" s="250"/>
      <c r="AB313" s="152" t="s">
        <v>1639</v>
      </c>
      <c r="AC313" s="152" t="s">
        <v>1640</v>
      </c>
      <c r="AD313" s="152" t="s">
        <v>1641</v>
      </c>
      <c r="AE313" s="134" t="s">
        <v>287</v>
      </c>
      <c r="AF313" s="250" t="s">
        <v>4</v>
      </c>
      <c r="AG313" s="208">
        <v>900.92</v>
      </c>
      <c r="AH313" s="208">
        <v>30900.92</v>
      </c>
      <c r="AI313" s="251" t="s">
        <v>6</v>
      </c>
      <c r="AJ313" s="246" t="s">
        <v>109</v>
      </c>
      <c r="AK313" s="257" t="s">
        <v>100</v>
      </c>
      <c r="AL313" s="245" t="s">
        <v>110</v>
      </c>
      <c r="AM313" s="250" t="s">
        <v>110</v>
      </c>
      <c r="AN313" s="245" t="s">
        <v>111</v>
      </c>
      <c r="AO313" s="250"/>
      <c r="AP313" s="253" t="s">
        <v>1642</v>
      </c>
      <c r="AQ313" s="250" t="s">
        <v>110</v>
      </c>
      <c r="AR313" s="250" t="s">
        <v>110</v>
      </c>
      <c r="AS313" s="250" t="s">
        <v>110</v>
      </c>
      <c r="AT313" s="250" t="s">
        <v>110</v>
      </c>
      <c r="AU313" s="249">
        <v>45750</v>
      </c>
      <c r="AV313" s="250" t="s">
        <v>110</v>
      </c>
      <c r="AW313" s="250" t="s">
        <v>110</v>
      </c>
      <c r="AX313" s="249">
        <v>45756</v>
      </c>
      <c r="AY313" s="254">
        <v>45756</v>
      </c>
      <c r="AZ313" s="245" t="s">
        <v>360</v>
      </c>
      <c r="BA313" s="245" t="s">
        <v>1</v>
      </c>
      <c r="BB313" s="250" t="s">
        <v>110</v>
      </c>
      <c r="BC313" s="142">
        <f t="shared" si="12"/>
        <v>142</v>
      </c>
      <c r="BD313" s="134" t="str">
        <f t="shared" si="13"/>
        <v>INDENIZAÇÃO</v>
      </c>
      <c r="BE313" s="134" t="str">
        <f t="shared" si="14"/>
        <v>NÃO</v>
      </c>
      <c r="BF313" s="250" t="s">
        <v>24</v>
      </c>
      <c r="BG313" s="250" t="s">
        <v>24</v>
      </c>
      <c r="BH313" s="250" t="s">
        <v>24</v>
      </c>
      <c r="BI313" s="250" t="s">
        <v>110</v>
      </c>
      <c r="BJ313" s="250" t="s">
        <v>110</v>
      </c>
      <c r="BK313" s="248">
        <v>45783</v>
      </c>
      <c r="BL313" s="250" t="s">
        <v>110</v>
      </c>
      <c r="BM313" s="250" t="s">
        <v>33</v>
      </c>
      <c r="BN313" s="149"/>
      <c r="BO313" s="149"/>
      <c r="BP313" s="149"/>
      <c r="BQ313" s="149"/>
      <c r="BR313" s="149"/>
      <c r="BS313" s="149"/>
      <c r="BT313" s="149"/>
      <c r="BU313" s="149"/>
      <c r="BV313" s="149"/>
      <c r="BW313" s="149"/>
      <c r="BX313" s="149"/>
      <c r="BY313" s="149"/>
      <c r="BZ313" s="149"/>
      <c r="CA313" s="149"/>
      <c r="CB313" s="149"/>
      <c r="CC313" s="149"/>
      <c r="CD313" s="149"/>
      <c r="CE313" s="149"/>
      <c r="CF313" s="149"/>
      <c r="CG313" s="149"/>
      <c r="CH313" s="149"/>
    </row>
    <row r="314" spans="1:91" ht="30" customHeight="1">
      <c r="A314" s="134">
        <v>300</v>
      </c>
      <c r="B314" s="134" t="s">
        <v>99</v>
      </c>
      <c r="C314" s="134">
        <v>1</v>
      </c>
      <c r="D314" s="134" t="s">
        <v>100</v>
      </c>
      <c r="E314" s="134" t="s">
        <v>100</v>
      </c>
      <c r="F314" s="138" t="s">
        <v>1643</v>
      </c>
      <c r="G314" s="149" t="s">
        <v>1</v>
      </c>
      <c r="H314" s="149" t="s">
        <v>2</v>
      </c>
      <c r="I314" s="149" t="s">
        <v>108</v>
      </c>
      <c r="J314" s="152" t="s">
        <v>1644</v>
      </c>
      <c r="K314" s="152" t="s">
        <v>1645</v>
      </c>
      <c r="L314" s="152" t="s">
        <v>1646</v>
      </c>
      <c r="M314" s="134" t="s">
        <v>4</v>
      </c>
      <c r="N314" s="214" t="s">
        <v>5</v>
      </c>
      <c r="O314" s="194">
        <v>45280</v>
      </c>
      <c r="P314" s="144" t="s">
        <v>24</v>
      </c>
      <c r="Q314" s="144" t="s">
        <v>24</v>
      </c>
      <c r="R314" s="144" t="s">
        <v>24</v>
      </c>
      <c r="S314" s="144" t="s">
        <v>24</v>
      </c>
      <c r="T314" s="144" t="s">
        <v>24</v>
      </c>
      <c r="U314" s="144" t="s">
        <v>24</v>
      </c>
      <c r="V314" s="144" t="s">
        <v>24</v>
      </c>
      <c r="W314" s="144" t="s">
        <v>24</v>
      </c>
      <c r="X314" s="144" t="s">
        <v>24</v>
      </c>
      <c r="Y314" s="144" t="s">
        <v>24</v>
      </c>
      <c r="Z314" s="144" t="s">
        <v>24</v>
      </c>
      <c r="AA314" s="149"/>
      <c r="AB314" s="152" t="s">
        <v>1644</v>
      </c>
      <c r="AC314" s="152" t="s">
        <v>1645</v>
      </c>
      <c r="AD314" s="152" t="s">
        <v>1646</v>
      </c>
      <c r="AE314" s="149" t="s">
        <v>108</v>
      </c>
      <c r="AF314" s="149" t="s">
        <v>4</v>
      </c>
      <c r="AG314" s="208">
        <v>36877.42</v>
      </c>
      <c r="AH314" s="208">
        <v>60000</v>
      </c>
      <c r="AI314" s="214" t="s">
        <v>6</v>
      </c>
      <c r="AJ314" s="160" t="s">
        <v>109</v>
      </c>
      <c r="AK314" s="214"/>
      <c r="AL314" s="149" t="s">
        <v>110</v>
      </c>
      <c r="AM314" s="149" t="s">
        <v>110</v>
      </c>
      <c r="AN314" s="149" t="s">
        <v>111</v>
      </c>
      <c r="AO314" s="149"/>
      <c r="AP314" s="152" t="s">
        <v>1647</v>
      </c>
      <c r="AQ314" s="149" t="s">
        <v>110</v>
      </c>
      <c r="AR314" s="149" t="s">
        <v>110</v>
      </c>
      <c r="AS314" s="149" t="s">
        <v>110</v>
      </c>
      <c r="AT314" s="149" t="s">
        <v>110</v>
      </c>
      <c r="AU314" s="194">
        <v>45373</v>
      </c>
      <c r="AV314" s="149" t="s">
        <v>110</v>
      </c>
      <c r="AW314" s="149" t="s">
        <v>110</v>
      </c>
      <c r="AX314" s="194">
        <v>45393</v>
      </c>
      <c r="AY314" s="197">
        <v>45393</v>
      </c>
      <c r="AZ314" s="197" t="s">
        <v>33</v>
      </c>
      <c r="BA314" s="145" t="s">
        <v>113</v>
      </c>
      <c r="BB314" s="149" t="s">
        <v>110</v>
      </c>
      <c r="BC314" s="142">
        <f t="shared" si="12"/>
        <v>113</v>
      </c>
      <c r="BD314" s="134" t="str">
        <f t="shared" si="13"/>
        <v>INDENIZAÇÃO</v>
      </c>
      <c r="BE314" s="134" t="str">
        <f t="shared" si="14"/>
        <v>NÃO</v>
      </c>
      <c r="BF314" s="134" t="s">
        <v>24</v>
      </c>
      <c r="BG314" s="134" t="s">
        <v>24</v>
      </c>
      <c r="BH314" s="134" t="s">
        <v>24</v>
      </c>
      <c r="BI314" s="198" t="s">
        <v>110</v>
      </c>
      <c r="BJ314" s="198" t="s">
        <v>110</v>
      </c>
      <c r="BK314" s="144">
        <v>45545</v>
      </c>
      <c r="BL314" s="198" t="s">
        <v>110</v>
      </c>
      <c r="BM314" s="145" t="s">
        <v>33</v>
      </c>
      <c r="BN314" s="149"/>
      <c r="BO314" s="149"/>
      <c r="BP314" s="149"/>
      <c r="BQ314" s="149"/>
      <c r="BR314" s="149"/>
      <c r="BS314" s="149"/>
      <c r="BT314" s="149"/>
      <c r="BU314" s="149"/>
      <c r="BV314" s="149"/>
      <c r="BW314" s="149"/>
      <c r="BX314" s="149"/>
      <c r="BY314" s="149"/>
      <c r="BZ314" s="149"/>
      <c r="CA314" s="149"/>
      <c r="CB314" s="149"/>
      <c r="CC314" s="149"/>
      <c r="CD314" s="149"/>
      <c r="CE314" s="149"/>
      <c r="CF314" s="149"/>
      <c r="CG314" s="149"/>
      <c r="CH314" s="149"/>
      <c r="CI314" s="200"/>
      <c r="CJ314" s="149"/>
      <c r="CK314" s="149"/>
      <c r="CL314" s="149"/>
      <c r="CM314" s="149"/>
    </row>
    <row r="315" spans="1:91" ht="30" customHeight="1">
      <c r="A315" s="134">
        <v>301</v>
      </c>
      <c r="B315" s="134" t="s">
        <v>99</v>
      </c>
      <c r="C315" s="134">
        <v>1</v>
      </c>
      <c r="D315" s="134" t="s">
        <v>100</v>
      </c>
      <c r="E315" s="134" t="s">
        <v>100</v>
      </c>
      <c r="F315" s="138" t="s">
        <v>1648</v>
      </c>
      <c r="G315" s="149" t="s">
        <v>1</v>
      </c>
      <c r="H315" s="149" t="s">
        <v>2</v>
      </c>
      <c r="I315" s="149" t="s">
        <v>108</v>
      </c>
      <c r="J315" s="152" t="s">
        <v>1649</v>
      </c>
      <c r="K315" s="152" t="s">
        <v>1650</v>
      </c>
      <c r="L315" s="152" t="s">
        <v>1651</v>
      </c>
      <c r="M315" s="134" t="s">
        <v>4</v>
      </c>
      <c r="N315" s="214" t="s">
        <v>5</v>
      </c>
      <c r="O315" s="194">
        <v>45280</v>
      </c>
      <c r="P315" s="144" t="s">
        <v>24</v>
      </c>
      <c r="Q315" s="144" t="s">
        <v>24</v>
      </c>
      <c r="R315" s="144" t="s">
        <v>24</v>
      </c>
      <c r="S315" s="144" t="s">
        <v>24</v>
      </c>
      <c r="T315" s="144" t="s">
        <v>24</v>
      </c>
      <c r="U315" s="144" t="s">
        <v>24</v>
      </c>
      <c r="V315" s="144" t="s">
        <v>24</v>
      </c>
      <c r="W315" s="144" t="s">
        <v>24</v>
      </c>
      <c r="X315" s="144" t="s">
        <v>24</v>
      </c>
      <c r="Y315" s="144" t="s">
        <v>24</v>
      </c>
      <c r="Z315" s="144" t="s">
        <v>24</v>
      </c>
      <c r="AA315" s="149"/>
      <c r="AB315" s="152" t="s">
        <v>1649</v>
      </c>
      <c r="AC315" s="152" t="s">
        <v>1650</v>
      </c>
      <c r="AD315" s="152" t="s">
        <v>1651</v>
      </c>
      <c r="AE315" s="149" t="s">
        <v>108</v>
      </c>
      <c r="AF315" s="149" t="s">
        <v>4</v>
      </c>
      <c r="AG315" s="208">
        <v>54948.09</v>
      </c>
      <c r="AH315" s="208">
        <v>60000</v>
      </c>
      <c r="AI315" s="214" t="s">
        <v>6</v>
      </c>
      <c r="AJ315" s="138" t="s">
        <v>109</v>
      </c>
      <c r="AK315" s="214"/>
      <c r="AL315" s="149" t="s">
        <v>110</v>
      </c>
      <c r="AM315" s="149" t="s">
        <v>110</v>
      </c>
      <c r="AN315" s="149" t="s">
        <v>111</v>
      </c>
      <c r="AO315" s="149"/>
      <c r="AP315" s="152" t="s">
        <v>1652</v>
      </c>
      <c r="AQ315" s="149" t="s">
        <v>110</v>
      </c>
      <c r="AR315" s="149" t="s">
        <v>110</v>
      </c>
      <c r="AS315" s="149" t="s">
        <v>110</v>
      </c>
      <c r="AT315" s="149" t="s">
        <v>110</v>
      </c>
      <c r="AU315" s="194">
        <v>45373</v>
      </c>
      <c r="AV315" s="149" t="s">
        <v>110</v>
      </c>
      <c r="AW315" s="149" t="s">
        <v>110</v>
      </c>
      <c r="AX315" s="194">
        <v>45384</v>
      </c>
      <c r="AY315" s="197">
        <v>45384</v>
      </c>
      <c r="AZ315" s="197" t="s">
        <v>33</v>
      </c>
      <c r="BA315" s="145" t="s">
        <v>113</v>
      </c>
      <c r="BB315" s="149" t="s">
        <v>110</v>
      </c>
      <c r="BC315" s="142">
        <f t="shared" si="12"/>
        <v>104</v>
      </c>
      <c r="BD315" s="134" t="str">
        <f t="shared" si="13"/>
        <v>INDENIZAÇÃO</v>
      </c>
      <c r="BE315" s="134" t="str">
        <f t="shared" si="14"/>
        <v>NÃO</v>
      </c>
      <c r="BF315" s="134" t="s">
        <v>24</v>
      </c>
      <c r="BG315" s="134" t="s">
        <v>24</v>
      </c>
      <c r="BH315" s="134" t="s">
        <v>24</v>
      </c>
      <c r="BI315" s="149" t="s">
        <v>110</v>
      </c>
      <c r="BJ315" s="149" t="s">
        <v>110</v>
      </c>
      <c r="BK315" s="194">
        <v>45510</v>
      </c>
      <c r="BL315" s="149" t="s">
        <v>110</v>
      </c>
      <c r="BM315" s="145" t="s">
        <v>33</v>
      </c>
      <c r="BN315" s="149"/>
      <c r="BO315" s="149"/>
      <c r="BP315" s="149"/>
      <c r="BQ315" s="149"/>
      <c r="BR315" s="149"/>
      <c r="BS315" s="149"/>
      <c r="BT315" s="149"/>
      <c r="BU315" s="149"/>
      <c r="BV315" s="149"/>
      <c r="BW315" s="149"/>
      <c r="BX315" s="149"/>
      <c r="BY315" s="149"/>
      <c r="BZ315" s="149"/>
      <c r="CA315" s="149"/>
      <c r="CB315" s="149"/>
      <c r="CC315" s="149"/>
      <c r="CD315" s="149"/>
      <c r="CE315" s="149"/>
      <c r="CF315" s="149"/>
      <c r="CG315" s="149"/>
      <c r="CH315" s="149"/>
      <c r="CI315" s="200"/>
      <c r="CJ315" s="149"/>
      <c r="CK315" s="149"/>
      <c r="CL315" s="149"/>
      <c r="CM315" s="149"/>
    </row>
    <row r="316" spans="1:91" ht="30" customHeight="1">
      <c r="A316" s="134">
        <v>302</v>
      </c>
      <c r="B316" s="134" t="s">
        <v>99</v>
      </c>
      <c r="C316" s="134">
        <v>1</v>
      </c>
      <c r="D316" s="134" t="s">
        <v>100</v>
      </c>
      <c r="E316" s="134" t="s">
        <v>100</v>
      </c>
      <c r="F316" s="138" t="s">
        <v>1653</v>
      </c>
      <c r="G316" s="149" t="s">
        <v>10</v>
      </c>
      <c r="H316" s="149" t="s">
        <v>2</v>
      </c>
      <c r="I316" s="149" t="s">
        <v>287</v>
      </c>
      <c r="J316" s="152" t="s">
        <v>1654</v>
      </c>
      <c r="K316" s="152" t="s">
        <v>1655</v>
      </c>
      <c r="L316" s="152" t="s">
        <v>1656</v>
      </c>
      <c r="M316" s="134" t="s">
        <v>4</v>
      </c>
      <c r="N316" s="214" t="s">
        <v>467</v>
      </c>
      <c r="O316" s="194">
        <v>45280</v>
      </c>
      <c r="P316" s="144" t="s">
        <v>24</v>
      </c>
      <c r="Q316" s="144" t="s">
        <v>24</v>
      </c>
      <c r="R316" s="144" t="s">
        <v>24</v>
      </c>
      <c r="S316" s="144" t="s">
        <v>24</v>
      </c>
      <c r="T316" s="144" t="s">
        <v>24</v>
      </c>
      <c r="U316" s="144" t="s">
        <v>24</v>
      </c>
      <c r="V316" s="144" t="s">
        <v>24</v>
      </c>
      <c r="W316" s="144" t="s">
        <v>24</v>
      </c>
      <c r="X316" s="144" t="s">
        <v>24</v>
      </c>
      <c r="Y316" s="144" t="s">
        <v>24</v>
      </c>
      <c r="Z316" s="144" t="s">
        <v>24</v>
      </c>
      <c r="AA316" s="149" t="s">
        <v>1657</v>
      </c>
      <c r="AB316" s="152" t="s">
        <v>1654</v>
      </c>
      <c r="AC316" s="152" t="s">
        <v>1655</v>
      </c>
      <c r="AD316" s="152" t="s">
        <v>1656</v>
      </c>
      <c r="AE316" s="134" t="s">
        <v>287</v>
      </c>
      <c r="AF316" s="149" t="s">
        <v>4</v>
      </c>
      <c r="AG316" s="208" t="s">
        <v>100</v>
      </c>
      <c r="AH316" s="208" t="s">
        <v>100</v>
      </c>
      <c r="AI316" s="149" t="s">
        <v>1657</v>
      </c>
      <c r="AJ316" s="138" t="s">
        <v>109</v>
      </c>
      <c r="AK316" s="326" t="s">
        <v>100</v>
      </c>
      <c r="AL316" s="149" t="s">
        <v>24</v>
      </c>
      <c r="AM316" s="149" t="s">
        <v>24</v>
      </c>
      <c r="AN316" s="149" t="s">
        <v>24</v>
      </c>
      <c r="AO316" s="149" t="s">
        <v>1657</v>
      </c>
      <c r="AP316" s="149" t="s">
        <v>24</v>
      </c>
      <c r="AQ316" s="149" t="s">
        <v>24</v>
      </c>
      <c r="AR316" s="149" t="s">
        <v>24</v>
      </c>
      <c r="AS316" s="149" t="s">
        <v>24</v>
      </c>
      <c r="AT316" s="149" t="s">
        <v>24</v>
      </c>
      <c r="AU316" s="149" t="s">
        <v>24</v>
      </c>
      <c r="AV316" s="149" t="s">
        <v>24</v>
      </c>
      <c r="AW316" s="149" t="s">
        <v>24</v>
      </c>
      <c r="AX316" s="149" t="s">
        <v>24</v>
      </c>
      <c r="AY316" s="149" t="s">
        <v>24</v>
      </c>
      <c r="AZ316" s="197" t="s">
        <v>33</v>
      </c>
      <c r="BA316" s="145" t="s">
        <v>113</v>
      </c>
      <c r="BB316" s="149" t="s">
        <v>110</v>
      </c>
      <c r="BC316" s="327" t="s">
        <v>100</v>
      </c>
      <c r="BD316" s="134" t="str">
        <f t="shared" si="13"/>
        <v>INDENIZAÇÃO</v>
      </c>
      <c r="BE316" s="134" t="str">
        <f t="shared" si="14"/>
        <v>NÃO</v>
      </c>
      <c r="BF316" s="134" t="s">
        <v>24</v>
      </c>
      <c r="BG316" s="134" t="s">
        <v>24</v>
      </c>
      <c r="BH316" s="134" t="s">
        <v>24</v>
      </c>
      <c r="BI316" s="134" t="s">
        <v>24</v>
      </c>
      <c r="BJ316" s="134" t="s">
        <v>24</v>
      </c>
      <c r="BK316" s="134" t="s">
        <v>24</v>
      </c>
      <c r="BL316" s="134" t="s">
        <v>24</v>
      </c>
      <c r="BM316" s="145" t="s">
        <v>110</v>
      </c>
      <c r="BN316" s="149"/>
      <c r="BO316" s="149"/>
      <c r="BP316" s="149"/>
      <c r="BQ316" s="149"/>
      <c r="BR316" s="149"/>
      <c r="BS316" s="149"/>
      <c r="BT316" s="149"/>
      <c r="BU316" s="149"/>
      <c r="BV316" s="149"/>
      <c r="BW316" s="149"/>
      <c r="BX316" s="149"/>
      <c r="BY316" s="149"/>
      <c r="BZ316" s="149"/>
      <c r="CA316" s="149"/>
      <c r="CB316" s="149"/>
      <c r="CC316" s="149"/>
      <c r="CD316" s="149"/>
      <c r="CE316" s="149"/>
      <c r="CF316" s="149"/>
      <c r="CG316" s="149"/>
      <c r="CH316" s="149"/>
      <c r="CI316" s="200"/>
      <c r="CJ316" s="149"/>
      <c r="CK316" s="149"/>
      <c r="CL316" s="149"/>
      <c r="CM316" s="149"/>
    </row>
    <row r="317" spans="1:91" ht="30" customHeight="1">
      <c r="A317" s="134">
        <v>303</v>
      </c>
      <c r="B317" s="134" t="s">
        <v>99</v>
      </c>
      <c r="C317" s="134">
        <v>1</v>
      </c>
      <c r="D317" s="134" t="s">
        <v>100</v>
      </c>
      <c r="E317" s="134" t="s">
        <v>100</v>
      </c>
      <c r="F317" s="138" t="s">
        <v>1658</v>
      </c>
      <c r="G317" s="149" t="s">
        <v>1</v>
      </c>
      <c r="H317" s="149" t="s">
        <v>2</v>
      </c>
      <c r="I317" s="149" t="s">
        <v>108</v>
      </c>
      <c r="J317" s="152" t="s">
        <v>1654</v>
      </c>
      <c r="K317" s="152" t="s">
        <v>1655</v>
      </c>
      <c r="L317" s="152" t="s">
        <v>1656</v>
      </c>
      <c r="M317" s="134" t="s">
        <v>4</v>
      </c>
      <c r="N317" s="214" t="s">
        <v>5</v>
      </c>
      <c r="O317" s="194">
        <v>45280</v>
      </c>
      <c r="P317" s="144" t="s">
        <v>24</v>
      </c>
      <c r="Q317" s="144" t="s">
        <v>24</v>
      </c>
      <c r="R317" s="144" t="s">
        <v>24</v>
      </c>
      <c r="S317" s="144" t="s">
        <v>24</v>
      </c>
      <c r="T317" s="144" t="s">
        <v>24</v>
      </c>
      <c r="U317" s="144" t="s">
        <v>24</v>
      </c>
      <c r="V317" s="144" t="s">
        <v>24</v>
      </c>
      <c r="W317" s="144" t="s">
        <v>24</v>
      </c>
      <c r="X317" s="144" t="s">
        <v>24</v>
      </c>
      <c r="Y317" s="144" t="s">
        <v>24</v>
      </c>
      <c r="Z317" s="144" t="s">
        <v>24</v>
      </c>
      <c r="AA317" s="149"/>
      <c r="AB317" s="152" t="s">
        <v>1654</v>
      </c>
      <c r="AC317" s="152" t="s">
        <v>1655</v>
      </c>
      <c r="AD317" s="152" t="s">
        <v>1656</v>
      </c>
      <c r="AE317" s="149" t="s">
        <v>108</v>
      </c>
      <c r="AF317" s="149" t="s">
        <v>4</v>
      </c>
      <c r="AG317" s="208">
        <v>143623</v>
      </c>
      <c r="AH317" s="208">
        <v>143623</v>
      </c>
      <c r="AI317" s="149" t="s">
        <v>6</v>
      </c>
      <c r="AJ317" s="138" t="s">
        <v>109</v>
      </c>
      <c r="AK317" s="326" t="s">
        <v>100</v>
      </c>
      <c r="AL317" s="149" t="s">
        <v>110</v>
      </c>
      <c r="AM317" s="149" t="s">
        <v>110</v>
      </c>
      <c r="AN317" s="149" t="s">
        <v>111</v>
      </c>
      <c r="AO317" s="149"/>
      <c r="AP317" s="152" t="s">
        <v>1659</v>
      </c>
      <c r="AQ317" s="149" t="s">
        <v>110</v>
      </c>
      <c r="AR317" s="149" t="s">
        <v>110</v>
      </c>
      <c r="AS317" s="149" t="s">
        <v>110</v>
      </c>
      <c r="AT317" s="149" t="s">
        <v>110</v>
      </c>
      <c r="AU317" s="194">
        <v>45373</v>
      </c>
      <c r="AV317" s="149" t="s">
        <v>110</v>
      </c>
      <c r="AW317" s="149" t="s">
        <v>110</v>
      </c>
      <c r="AX317" s="194">
        <v>45384</v>
      </c>
      <c r="AY317" s="197">
        <v>45384</v>
      </c>
      <c r="AZ317" s="197" t="s">
        <v>33</v>
      </c>
      <c r="BA317" s="145" t="s">
        <v>113</v>
      </c>
      <c r="BB317" s="149" t="s">
        <v>110</v>
      </c>
      <c r="BC317" s="142">
        <f>IF(AY317-KD317=0,"",AY317-O317)</f>
        <v>104</v>
      </c>
      <c r="BD317" s="134" t="str">
        <f t="shared" si="13"/>
        <v>INDENIZAÇÃO</v>
      </c>
      <c r="BE317" s="134" t="str">
        <f t="shared" si="14"/>
        <v>NÃO</v>
      </c>
      <c r="BF317" s="134" t="s">
        <v>24</v>
      </c>
      <c r="BG317" s="134" t="s">
        <v>24</v>
      </c>
      <c r="BH317" s="134" t="s">
        <v>24</v>
      </c>
      <c r="BI317" s="149" t="s">
        <v>110</v>
      </c>
      <c r="BJ317" s="149" t="s">
        <v>110</v>
      </c>
      <c r="BK317" s="194">
        <v>45510</v>
      </c>
      <c r="BL317" s="149" t="s">
        <v>110</v>
      </c>
      <c r="BM317" s="145" t="s">
        <v>33</v>
      </c>
      <c r="BN317" s="149"/>
      <c r="BO317" s="149"/>
      <c r="BP317" s="149"/>
      <c r="BQ317" s="149"/>
      <c r="BR317" s="149"/>
      <c r="BS317" s="149"/>
      <c r="BT317" s="149"/>
      <c r="BU317" s="149"/>
      <c r="BV317" s="149"/>
      <c r="BW317" s="149"/>
      <c r="BX317" s="149"/>
      <c r="BY317" s="149"/>
      <c r="BZ317" s="149"/>
      <c r="CA317" s="149"/>
      <c r="CB317" s="149"/>
      <c r="CC317" s="149"/>
      <c r="CD317" s="149"/>
      <c r="CE317" s="149"/>
      <c r="CF317" s="149"/>
      <c r="CG317" s="149"/>
      <c r="CH317" s="149"/>
      <c r="CI317" s="200"/>
      <c r="CJ317" s="149"/>
      <c r="CK317" s="149"/>
      <c r="CL317" s="149"/>
      <c r="CM317" s="149"/>
    </row>
    <row r="318" spans="1:91" ht="30" customHeight="1">
      <c r="A318" s="134">
        <v>304</v>
      </c>
      <c r="B318" s="134" t="s">
        <v>99</v>
      </c>
      <c r="C318" s="134">
        <v>1</v>
      </c>
      <c r="D318" s="134" t="s">
        <v>100</v>
      </c>
      <c r="E318" s="134" t="s">
        <v>100</v>
      </c>
      <c r="F318" s="138" t="s">
        <v>1660</v>
      </c>
      <c r="G318" s="149" t="s">
        <v>10</v>
      </c>
      <c r="H318" s="149" t="s">
        <v>2</v>
      </c>
      <c r="I318" s="149" t="s">
        <v>287</v>
      </c>
      <c r="J318" s="152" t="s">
        <v>1654</v>
      </c>
      <c r="K318" s="152" t="s">
        <v>1655</v>
      </c>
      <c r="L318" s="152" t="s">
        <v>1656</v>
      </c>
      <c r="M318" s="134" t="s">
        <v>4</v>
      </c>
      <c r="N318" s="214" t="s">
        <v>467</v>
      </c>
      <c r="O318" s="194">
        <v>45280</v>
      </c>
      <c r="P318" s="144" t="s">
        <v>24</v>
      </c>
      <c r="Q318" s="144" t="s">
        <v>24</v>
      </c>
      <c r="R318" s="144" t="s">
        <v>24</v>
      </c>
      <c r="S318" s="144" t="s">
        <v>24</v>
      </c>
      <c r="T318" s="144" t="s">
        <v>24</v>
      </c>
      <c r="U318" s="144" t="s">
        <v>24</v>
      </c>
      <c r="V318" s="144" t="s">
        <v>24</v>
      </c>
      <c r="W318" s="144" t="s">
        <v>24</v>
      </c>
      <c r="X318" s="144" t="s">
        <v>24</v>
      </c>
      <c r="Y318" s="144" t="s">
        <v>24</v>
      </c>
      <c r="Z318" s="144" t="s">
        <v>24</v>
      </c>
      <c r="AA318" s="149" t="s">
        <v>1657</v>
      </c>
      <c r="AB318" s="152" t="s">
        <v>1654</v>
      </c>
      <c r="AC318" s="152" t="s">
        <v>1655</v>
      </c>
      <c r="AD318" s="152" t="s">
        <v>1656</v>
      </c>
      <c r="AE318" s="134" t="s">
        <v>287</v>
      </c>
      <c r="AF318" s="149" t="s">
        <v>4</v>
      </c>
      <c r="AG318" s="208" t="s">
        <v>100</v>
      </c>
      <c r="AH318" s="208" t="s">
        <v>100</v>
      </c>
      <c r="AI318" s="149" t="s">
        <v>1657</v>
      </c>
      <c r="AJ318" s="138" t="s">
        <v>109</v>
      </c>
      <c r="AK318" s="326" t="s">
        <v>100</v>
      </c>
      <c r="AL318" s="149" t="s">
        <v>24</v>
      </c>
      <c r="AM318" s="149" t="s">
        <v>24</v>
      </c>
      <c r="AN318" s="149" t="s">
        <v>24</v>
      </c>
      <c r="AO318" s="149" t="s">
        <v>1657</v>
      </c>
      <c r="AP318" s="149" t="s">
        <v>24</v>
      </c>
      <c r="AQ318" s="149" t="s">
        <v>24</v>
      </c>
      <c r="AR318" s="149" t="s">
        <v>24</v>
      </c>
      <c r="AS318" s="149" t="s">
        <v>24</v>
      </c>
      <c r="AT318" s="149" t="s">
        <v>24</v>
      </c>
      <c r="AU318" s="149" t="s">
        <v>24</v>
      </c>
      <c r="AV318" s="149" t="s">
        <v>24</v>
      </c>
      <c r="AW318" s="149" t="s">
        <v>24</v>
      </c>
      <c r="AX318" s="149" t="s">
        <v>24</v>
      </c>
      <c r="AY318" s="149" t="s">
        <v>24</v>
      </c>
      <c r="AZ318" s="197" t="s">
        <v>33</v>
      </c>
      <c r="BA318" s="145" t="s">
        <v>113</v>
      </c>
      <c r="BB318" s="149" t="s">
        <v>110</v>
      </c>
      <c r="BC318" s="327" t="s">
        <v>100</v>
      </c>
      <c r="BD318" s="134" t="str">
        <f t="shared" si="13"/>
        <v>INDENIZAÇÃO</v>
      </c>
      <c r="BE318" s="134" t="str">
        <f t="shared" si="14"/>
        <v>NÃO</v>
      </c>
      <c r="BF318" s="134" t="s">
        <v>24</v>
      </c>
      <c r="BG318" s="134" t="s">
        <v>24</v>
      </c>
      <c r="BH318" s="134" t="s">
        <v>24</v>
      </c>
      <c r="BI318" s="134" t="s">
        <v>24</v>
      </c>
      <c r="BJ318" s="134" t="s">
        <v>24</v>
      </c>
      <c r="BK318" s="134" t="s">
        <v>24</v>
      </c>
      <c r="BL318" s="134" t="s">
        <v>24</v>
      </c>
      <c r="BM318" s="145" t="s">
        <v>110</v>
      </c>
      <c r="BN318" s="149"/>
      <c r="BO318" s="149"/>
      <c r="BP318" s="149"/>
      <c r="BQ318" s="149"/>
      <c r="BR318" s="149"/>
      <c r="BS318" s="149"/>
      <c r="BT318" s="149"/>
      <c r="BU318" s="149"/>
      <c r="BV318" s="149"/>
      <c r="BW318" s="149"/>
      <c r="BX318" s="149"/>
      <c r="BY318" s="149"/>
      <c r="BZ318" s="149"/>
      <c r="CA318" s="149"/>
      <c r="CB318" s="149"/>
      <c r="CC318" s="149"/>
      <c r="CD318" s="149"/>
      <c r="CE318" s="149"/>
      <c r="CF318" s="149"/>
      <c r="CG318" s="149"/>
      <c r="CH318" s="149"/>
      <c r="CI318" s="200"/>
      <c r="CJ318" s="149"/>
      <c r="CK318" s="149"/>
      <c r="CL318" s="149"/>
      <c r="CM318" s="149"/>
    </row>
    <row r="319" spans="1:91" ht="30" customHeight="1">
      <c r="A319" s="134">
        <v>305</v>
      </c>
      <c r="B319" s="134" t="s">
        <v>99</v>
      </c>
      <c r="C319" s="134">
        <v>1</v>
      </c>
      <c r="D319" s="134" t="s">
        <v>100</v>
      </c>
      <c r="E319" s="134" t="s">
        <v>100</v>
      </c>
      <c r="F319" s="138" t="s">
        <v>1661</v>
      </c>
      <c r="G319" s="149" t="s">
        <v>1</v>
      </c>
      <c r="H319" s="149" t="s">
        <v>2</v>
      </c>
      <c r="I319" s="149" t="s">
        <v>108</v>
      </c>
      <c r="J319" s="152" t="s">
        <v>1662</v>
      </c>
      <c r="K319" s="152" t="s">
        <v>1663</v>
      </c>
      <c r="L319" s="152" t="s">
        <v>1664</v>
      </c>
      <c r="M319" s="134" t="s">
        <v>4</v>
      </c>
      <c r="N319" s="214" t="s">
        <v>5</v>
      </c>
      <c r="O319" s="194">
        <v>45280</v>
      </c>
      <c r="P319" s="144" t="s">
        <v>24</v>
      </c>
      <c r="Q319" s="144" t="s">
        <v>24</v>
      </c>
      <c r="R319" s="144" t="s">
        <v>24</v>
      </c>
      <c r="S319" s="144" t="s">
        <v>24</v>
      </c>
      <c r="T319" s="144" t="s">
        <v>24</v>
      </c>
      <c r="U319" s="144" t="s">
        <v>24</v>
      </c>
      <c r="V319" s="144" t="s">
        <v>24</v>
      </c>
      <c r="W319" s="144" t="s">
        <v>24</v>
      </c>
      <c r="X319" s="144" t="s">
        <v>24</v>
      </c>
      <c r="Y319" s="144" t="s">
        <v>24</v>
      </c>
      <c r="Z319" s="144" t="s">
        <v>24</v>
      </c>
      <c r="AA319" s="149"/>
      <c r="AB319" s="152" t="s">
        <v>1662</v>
      </c>
      <c r="AC319" s="152" t="s">
        <v>1663</v>
      </c>
      <c r="AD319" s="152" t="s">
        <v>1664</v>
      </c>
      <c r="AE319" s="149" t="s">
        <v>108</v>
      </c>
      <c r="AF319" s="149" t="s">
        <v>4</v>
      </c>
      <c r="AG319" s="208">
        <v>32370.06</v>
      </c>
      <c r="AH319" s="208">
        <v>60000</v>
      </c>
      <c r="AI319" s="214" t="s">
        <v>6</v>
      </c>
      <c r="AJ319" s="138" t="s">
        <v>109</v>
      </c>
      <c r="AK319" s="214"/>
      <c r="AL319" s="149" t="s">
        <v>110</v>
      </c>
      <c r="AM319" s="149" t="s">
        <v>110</v>
      </c>
      <c r="AN319" s="149" t="s">
        <v>111</v>
      </c>
      <c r="AO319" s="149"/>
      <c r="AP319" s="152" t="s">
        <v>1665</v>
      </c>
      <c r="AQ319" s="149" t="s">
        <v>110</v>
      </c>
      <c r="AR319" s="198" t="s">
        <v>110</v>
      </c>
      <c r="AS319" s="149" t="s">
        <v>110</v>
      </c>
      <c r="AT319" s="149" t="s">
        <v>110</v>
      </c>
      <c r="AU319" s="194">
        <v>45373</v>
      </c>
      <c r="AV319" s="149" t="s">
        <v>110</v>
      </c>
      <c r="AW319" s="149" t="s">
        <v>110</v>
      </c>
      <c r="AX319" s="194">
        <v>45384</v>
      </c>
      <c r="AY319" s="197">
        <v>45384</v>
      </c>
      <c r="AZ319" s="197" t="s">
        <v>33</v>
      </c>
      <c r="BA319" s="145" t="s">
        <v>113</v>
      </c>
      <c r="BB319" s="149" t="s">
        <v>110</v>
      </c>
      <c r="BC319" s="142">
        <f t="shared" ref="BC319:BC339" si="15">IF(AY319-KD319=0,"",AY319-O319)</f>
        <v>104</v>
      </c>
      <c r="BD319" s="134" t="str">
        <f t="shared" si="13"/>
        <v>INDENIZAÇÃO</v>
      </c>
      <c r="BE319" s="134" t="str">
        <f t="shared" si="14"/>
        <v>NÃO</v>
      </c>
      <c r="BF319" s="134" t="s">
        <v>24</v>
      </c>
      <c r="BG319" s="134" t="s">
        <v>24</v>
      </c>
      <c r="BH319" s="134" t="s">
        <v>24</v>
      </c>
      <c r="BI319" s="149" t="s">
        <v>110</v>
      </c>
      <c r="BJ319" s="149" t="s">
        <v>110</v>
      </c>
      <c r="BK319" s="194">
        <v>45510</v>
      </c>
      <c r="BL319" s="149" t="s">
        <v>110</v>
      </c>
      <c r="BM319" s="145" t="s">
        <v>33</v>
      </c>
      <c r="BN319" s="149"/>
      <c r="BO319" s="149"/>
      <c r="BP319" s="149"/>
      <c r="BQ319" s="149"/>
      <c r="BR319" s="149"/>
      <c r="BS319" s="149"/>
      <c r="BT319" s="149"/>
      <c r="BU319" s="149"/>
      <c r="BV319" s="149"/>
      <c r="BW319" s="149"/>
      <c r="BX319" s="149"/>
      <c r="BY319" s="149"/>
      <c r="BZ319" s="149"/>
      <c r="CA319" s="149"/>
      <c r="CB319" s="149"/>
      <c r="CC319" s="149"/>
      <c r="CD319" s="149"/>
      <c r="CE319" s="149"/>
      <c r="CF319" s="149"/>
      <c r="CG319" s="149"/>
      <c r="CH319" s="149"/>
      <c r="CI319" s="200"/>
      <c r="CJ319" s="149"/>
      <c r="CK319" s="149"/>
      <c r="CL319" s="149"/>
      <c r="CM319" s="149"/>
    </row>
    <row r="320" spans="1:91" ht="30" customHeight="1">
      <c r="A320" s="134">
        <v>306</v>
      </c>
      <c r="B320" s="134" t="s">
        <v>99</v>
      </c>
      <c r="C320" s="134">
        <v>1</v>
      </c>
      <c r="D320" s="134" t="s">
        <v>100</v>
      </c>
      <c r="E320" s="134" t="s">
        <v>100</v>
      </c>
      <c r="F320" s="138" t="s">
        <v>1666</v>
      </c>
      <c r="G320" s="149" t="s">
        <v>1</v>
      </c>
      <c r="H320" s="149" t="s">
        <v>2</v>
      </c>
      <c r="I320" s="149" t="s">
        <v>108</v>
      </c>
      <c r="J320" s="152" t="s">
        <v>1667</v>
      </c>
      <c r="K320" s="152" t="s">
        <v>1668</v>
      </c>
      <c r="L320" s="152" t="s">
        <v>1669</v>
      </c>
      <c r="M320" s="134" t="s">
        <v>4</v>
      </c>
      <c r="N320" s="214" t="s">
        <v>5</v>
      </c>
      <c r="O320" s="194">
        <v>45280</v>
      </c>
      <c r="P320" s="144" t="s">
        <v>24</v>
      </c>
      <c r="Q320" s="144" t="s">
        <v>24</v>
      </c>
      <c r="R320" s="144" t="s">
        <v>24</v>
      </c>
      <c r="S320" s="144" t="s">
        <v>24</v>
      </c>
      <c r="T320" s="144" t="s">
        <v>24</v>
      </c>
      <c r="U320" s="144" t="s">
        <v>24</v>
      </c>
      <c r="V320" s="144" t="s">
        <v>24</v>
      </c>
      <c r="W320" s="144" t="s">
        <v>24</v>
      </c>
      <c r="X320" s="144" t="s">
        <v>24</v>
      </c>
      <c r="Y320" s="144" t="s">
        <v>24</v>
      </c>
      <c r="Z320" s="144" t="s">
        <v>24</v>
      </c>
      <c r="AA320" s="149"/>
      <c r="AB320" s="152" t="s">
        <v>1667</v>
      </c>
      <c r="AC320" s="152" t="s">
        <v>1668</v>
      </c>
      <c r="AD320" s="152" t="s">
        <v>1669</v>
      </c>
      <c r="AE320" s="149" t="s">
        <v>108</v>
      </c>
      <c r="AF320" s="149" t="s">
        <v>4</v>
      </c>
      <c r="AG320" s="208">
        <v>110082.66</v>
      </c>
      <c r="AH320" s="208">
        <v>110082.66</v>
      </c>
      <c r="AI320" s="214" t="s">
        <v>6</v>
      </c>
      <c r="AJ320" s="138" t="s">
        <v>109</v>
      </c>
      <c r="AK320" s="214"/>
      <c r="AL320" s="149" t="s">
        <v>110</v>
      </c>
      <c r="AM320" s="149" t="s">
        <v>110</v>
      </c>
      <c r="AN320" s="149" t="s">
        <v>111</v>
      </c>
      <c r="AO320" s="149"/>
      <c r="AP320" s="152" t="s">
        <v>1670</v>
      </c>
      <c r="AQ320" s="149" t="s">
        <v>110</v>
      </c>
      <c r="AR320" s="198" t="s">
        <v>110</v>
      </c>
      <c r="AS320" s="198" t="s">
        <v>110</v>
      </c>
      <c r="AT320" s="198" t="s">
        <v>110</v>
      </c>
      <c r="AU320" s="194">
        <v>45495</v>
      </c>
      <c r="AV320" s="198" t="s">
        <v>110</v>
      </c>
      <c r="AW320" s="198" t="s">
        <v>110</v>
      </c>
      <c r="AX320" s="194">
        <v>45504</v>
      </c>
      <c r="AY320" s="197">
        <v>45504</v>
      </c>
      <c r="AZ320" s="145" t="s">
        <v>33</v>
      </c>
      <c r="BA320" s="145" t="s">
        <v>113</v>
      </c>
      <c r="BB320" s="149" t="s">
        <v>110</v>
      </c>
      <c r="BC320" s="142">
        <f t="shared" si="15"/>
        <v>224</v>
      </c>
      <c r="BD320" s="134" t="str">
        <f t="shared" si="13"/>
        <v>INDENIZAÇÃO</v>
      </c>
      <c r="BE320" s="134" t="str">
        <f t="shared" si="14"/>
        <v>NÃO</v>
      </c>
      <c r="BF320" s="134" t="s">
        <v>24</v>
      </c>
      <c r="BG320" s="134" t="s">
        <v>24</v>
      </c>
      <c r="BH320" s="134" t="s">
        <v>24</v>
      </c>
      <c r="BI320" s="198" t="s">
        <v>110</v>
      </c>
      <c r="BJ320" s="198" t="s">
        <v>110</v>
      </c>
      <c r="BK320" s="194">
        <v>45559</v>
      </c>
      <c r="BL320" s="198" t="s">
        <v>110</v>
      </c>
      <c r="BM320" s="145" t="s">
        <v>33</v>
      </c>
      <c r="BN320" s="149"/>
      <c r="BO320" s="149"/>
      <c r="BP320" s="149"/>
      <c r="BQ320" s="149"/>
      <c r="BR320" s="149"/>
      <c r="BS320" s="149"/>
      <c r="BT320" s="149"/>
      <c r="BU320" s="149"/>
      <c r="BV320" s="149"/>
      <c r="BW320" s="149"/>
      <c r="BX320" s="149"/>
      <c r="BY320" s="149"/>
      <c r="BZ320" s="149"/>
      <c r="CA320" s="149"/>
      <c r="CB320" s="149"/>
      <c r="CC320" s="149"/>
      <c r="CD320" s="149"/>
      <c r="CE320" s="149"/>
      <c r="CF320" s="149"/>
      <c r="CG320" s="149"/>
      <c r="CH320" s="149"/>
      <c r="CI320" s="200"/>
      <c r="CJ320" s="149"/>
      <c r="CK320" s="149"/>
      <c r="CL320" s="149"/>
      <c r="CM320" s="149"/>
    </row>
    <row r="321" spans="1:91" ht="30" customHeight="1">
      <c r="A321" s="134">
        <v>307</v>
      </c>
      <c r="B321" s="134" t="s">
        <v>99</v>
      </c>
      <c r="C321" s="134">
        <v>1</v>
      </c>
      <c r="D321" s="134" t="s">
        <v>100</v>
      </c>
      <c r="E321" s="134" t="s">
        <v>100</v>
      </c>
      <c r="F321" s="138" t="s">
        <v>1671</v>
      </c>
      <c r="G321" s="149" t="s">
        <v>1</v>
      </c>
      <c r="H321" s="149" t="s">
        <v>2</v>
      </c>
      <c r="I321" s="149" t="s">
        <v>108</v>
      </c>
      <c r="J321" s="152" t="s">
        <v>1672</v>
      </c>
      <c r="K321" s="152" t="s">
        <v>1673</v>
      </c>
      <c r="L321" s="152" t="s">
        <v>1674</v>
      </c>
      <c r="M321" s="134" t="s">
        <v>4</v>
      </c>
      <c r="N321" s="214" t="s">
        <v>5</v>
      </c>
      <c r="O321" s="194">
        <v>45280</v>
      </c>
      <c r="P321" s="144" t="s">
        <v>24</v>
      </c>
      <c r="Q321" s="144" t="s">
        <v>24</v>
      </c>
      <c r="R321" s="144" t="s">
        <v>24</v>
      </c>
      <c r="S321" s="144" t="s">
        <v>24</v>
      </c>
      <c r="T321" s="144" t="s">
        <v>24</v>
      </c>
      <c r="U321" s="144" t="s">
        <v>24</v>
      </c>
      <c r="V321" s="144" t="s">
        <v>24</v>
      </c>
      <c r="W321" s="144" t="s">
        <v>24</v>
      </c>
      <c r="X321" s="144" t="s">
        <v>24</v>
      </c>
      <c r="Y321" s="144" t="s">
        <v>24</v>
      </c>
      <c r="Z321" s="144" t="s">
        <v>24</v>
      </c>
      <c r="AA321" s="149"/>
      <c r="AB321" s="152" t="s">
        <v>1672</v>
      </c>
      <c r="AC321" s="152" t="s">
        <v>1673</v>
      </c>
      <c r="AD321" s="152" t="s">
        <v>1674</v>
      </c>
      <c r="AE321" s="149" t="s">
        <v>108</v>
      </c>
      <c r="AF321" s="149" t="s">
        <v>4</v>
      </c>
      <c r="AG321" s="208">
        <v>61878.57</v>
      </c>
      <c r="AH321" s="208">
        <v>61878.57</v>
      </c>
      <c r="AI321" s="214" t="s">
        <v>6</v>
      </c>
      <c r="AJ321" s="138" t="s">
        <v>109</v>
      </c>
      <c r="AK321" s="214"/>
      <c r="AL321" s="149" t="s">
        <v>110</v>
      </c>
      <c r="AM321" s="149" t="s">
        <v>110</v>
      </c>
      <c r="AN321" s="149" t="s">
        <v>111</v>
      </c>
      <c r="AO321" s="149"/>
      <c r="AP321" s="152" t="s">
        <v>1675</v>
      </c>
      <c r="AQ321" s="149" t="s">
        <v>110</v>
      </c>
      <c r="AR321" s="198" t="s">
        <v>110</v>
      </c>
      <c r="AS321" s="149" t="s">
        <v>110</v>
      </c>
      <c r="AT321" s="149" t="s">
        <v>110</v>
      </c>
      <c r="AU321" s="194">
        <v>45373</v>
      </c>
      <c r="AV321" s="149" t="s">
        <v>110</v>
      </c>
      <c r="AW321" s="149" t="s">
        <v>110</v>
      </c>
      <c r="AX321" s="194">
        <v>45384</v>
      </c>
      <c r="AY321" s="197">
        <v>45384</v>
      </c>
      <c r="AZ321" s="197" t="s">
        <v>33</v>
      </c>
      <c r="BA321" s="145" t="s">
        <v>113</v>
      </c>
      <c r="BB321" s="149" t="s">
        <v>110</v>
      </c>
      <c r="BC321" s="142">
        <f t="shared" si="15"/>
        <v>104</v>
      </c>
      <c r="BD321" s="134" t="str">
        <f t="shared" si="13"/>
        <v>INDENIZAÇÃO</v>
      </c>
      <c r="BE321" s="134" t="str">
        <f t="shared" si="14"/>
        <v>NÃO</v>
      </c>
      <c r="BF321" s="134" t="s">
        <v>24</v>
      </c>
      <c r="BG321" s="134" t="s">
        <v>24</v>
      </c>
      <c r="BH321" s="134" t="s">
        <v>24</v>
      </c>
      <c r="BI321" s="149" t="s">
        <v>110</v>
      </c>
      <c r="BJ321" s="149" t="s">
        <v>110</v>
      </c>
      <c r="BK321" s="194">
        <v>45510</v>
      </c>
      <c r="BL321" s="149" t="s">
        <v>110</v>
      </c>
      <c r="BM321" s="145" t="s">
        <v>33</v>
      </c>
      <c r="BN321" s="149"/>
      <c r="BO321" s="149"/>
      <c r="BP321" s="149"/>
      <c r="BQ321" s="149"/>
      <c r="BR321" s="149"/>
      <c r="BS321" s="149"/>
      <c r="BT321" s="149"/>
      <c r="BU321" s="149"/>
      <c r="BV321" s="149"/>
      <c r="BW321" s="149"/>
      <c r="BX321" s="149"/>
      <c r="BY321" s="149"/>
      <c r="BZ321" s="149"/>
      <c r="CA321" s="149"/>
      <c r="CB321" s="149"/>
      <c r="CC321" s="149"/>
      <c r="CD321" s="149"/>
      <c r="CE321" s="149"/>
      <c r="CF321" s="149"/>
      <c r="CG321" s="149"/>
      <c r="CH321" s="149"/>
      <c r="CI321" s="200"/>
      <c r="CJ321" s="149"/>
      <c r="CK321" s="149"/>
      <c r="CL321" s="149"/>
      <c r="CM321" s="149"/>
    </row>
    <row r="322" spans="1:91" ht="30" customHeight="1">
      <c r="A322" s="134">
        <v>308</v>
      </c>
      <c r="B322" s="134" t="s">
        <v>99</v>
      </c>
      <c r="C322" s="134">
        <v>1</v>
      </c>
      <c r="D322" s="134" t="s">
        <v>100</v>
      </c>
      <c r="E322" s="134" t="s">
        <v>100</v>
      </c>
      <c r="F322" s="138" t="s">
        <v>1676</v>
      </c>
      <c r="G322" s="149" t="s">
        <v>1</v>
      </c>
      <c r="H322" s="149" t="s">
        <v>2</v>
      </c>
      <c r="I322" s="149" t="s">
        <v>108</v>
      </c>
      <c r="J322" s="152" t="s">
        <v>1677</v>
      </c>
      <c r="K322" s="152" t="s">
        <v>1678</v>
      </c>
      <c r="L322" s="152" t="s">
        <v>1679</v>
      </c>
      <c r="M322" s="134" t="s">
        <v>4</v>
      </c>
      <c r="N322" s="214" t="s">
        <v>14</v>
      </c>
      <c r="O322" s="194">
        <v>45356</v>
      </c>
      <c r="P322" s="144">
        <v>45272</v>
      </c>
      <c r="Q322" s="138" t="s">
        <v>283</v>
      </c>
      <c r="R322" s="144" t="s">
        <v>110</v>
      </c>
      <c r="S322" s="144" t="s">
        <v>110</v>
      </c>
      <c r="T322" s="144"/>
      <c r="U322" s="144"/>
      <c r="V322" s="144"/>
      <c r="W322" s="144"/>
      <c r="X322" s="144"/>
      <c r="Y322" s="144"/>
      <c r="Z322" s="144"/>
      <c r="AA322" s="149"/>
      <c r="AB322" s="152" t="s">
        <v>1677</v>
      </c>
      <c r="AC322" s="152" t="s">
        <v>1678</v>
      </c>
      <c r="AD322" s="152" t="s">
        <v>1679</v>
      </c>
      <c r="AE322" s="149" t="s">
        <v>108</v>
      </c>
      <c r="AF322" s="149"/>
      <c r="AG322" s="208" t="s">
        <v>371</v>
      </c>
      <c r="AH322" s="208" t="s">
        <v>371</v>
      </c>
      <c r="AI322" s="214" t="s">
        <v>371</v>
      </c>
      <c r="AJ322" s="238" t="s">
        <v>371</v>
      </c>
      <c r="AK322" s="214"/>
      <c r="AL322" s="149"/>
      <c r="AM322" s="149"/>
      <c r="AN322" s="149"/>
      <c r="AO322" s="149"/>
      <c r="AP322" s="152"/>
      <c r="AQ322" s="149"/>
      <c r="AR322" s="149"/>
      <c r="AS322" s="149"/>
      <c r="AT322" s="149"/>
      <c r="AU322" s="149"/>
      <c r="AV322" s="149"/>
      <c r="AW322" s="149"/>
      <c r="AX322" s="149"/>
      <c r="AY322" s="149"/>
      <c r="AZ322" s="149"/>
      <c r="BA322" s="149"/>
      <c r="BB322" s="149"/>
      <c r="BC322" s="142" t="str">
        <f t="shared" si="15"/>
        <v/>
      </c>
      <c r="BD322" s="134" t="str">
        <f t="shared" si="13"/>
        <v>INDENIZAÇÃO</v>
      </c>
      <c r="BE322" s="134" t="str">
        <f t="shared" si="14"/>
        <v>NÃO</v>
      </c>
      <c r="BF322" s="149"/>
      <c r="BG322" s="194"/>
      <c r="BH322" s="194"/>
      <c r="BI322" s="149"/>
      <c r="BJ322" s="149"/>
      <c r="BK322" s="149"/>
      <c r="BL322" s="149"/>
      <c r="BM322" s="149"/>
      <c r="BN322" s="149"/>
      <c r="BO322" s="149"/>
      <c r="BP322" s="149"/>
      <c r="BQ322" s="149"/>
      <c r="BR322" s="149"/>
      <c r="BS322" s="149"/>
      <c r="BT322" s="149"/>
      <c r="BU322" s="149"/>
      <c r="BV322" s="149"/>
      <c r="BW322" s="149"/>
      <c r="BX322" s="149"/>
      <c r="BY322" s="149"/>
      <c r="BZ322" s="149"/>
      <c r="CA322" s="149"/>
      <c r="CB322" s="149"/>
      <c r="CC322" s="149"/>
      <c r="CD322" s="149"/>
      <c r="CE322" s="149"/>
      <c r="CF322" s="149"/>
      <c r="CG322" s="149"/>
      <c r="CH322" s="149"/>
      <c r="CI322" s="200"/>
      <c r="CJ322" s="149"/>
      <c r="CK322" s="149"/>
      <c r="CL322" s="149"/>
      <c r="CM322" s="149"/>
    </row>
    <row r="323" spans="1:91" ht="30" customHeight="1">
      <c r="A323" s="134">
        <v>309</v>
      </c>
      <c r="B323" s="134" t="s">
        <v>99</v>
      </c>
      <c r="C323" s="134">
        <v>1</v>
      </c>
      <c r="D323" s="134" t="s">
        <v>100</v>
      </c>
      <c r="E323" s="134" t="s">
        <v>100</v>
      </c>
      <c r="F323" s="138" t="s">
        <v>1680</v>
      </c>
      <c r="G323" s="149" t="s">
        <v>10</v>
      </c>
      <c r="H323" s="149" t="s">
        <v>2</v>
      </c>
      <c r="I323" s="149" t="s">
        <v>287</v>
      </c>
      <c r="J323" s="152" t="s">
        <v>1681</v>
      </c>
      <c r="K323" s="152" t="s">
        <v>1682</v>
      </c>
      <c r="L323" s="152" t="s">
        <v>1683</v>
      </c>
      <c r="M323" s="134" t="s">
        <v>4</v>
      </c>
      <c r="N323" s="214" t="s">
        <v>5</v>
      </c>
      <c r="O323" s="194"/>
      <c r="P323" s="144"/>
      <c r="Q323" s="265"/>
      <c r="R323" s="144"/>
      <c r="S323" s="144"/>
      <c r="T323" s="144"/>
      <c r="U323" s="144"/>
      <c r="V323" s="144"/>
      <c r="W323" s="144"/>
      <c r="X323" s="144"/>
      <c r="Y323" s="144"/>
      <c r="Z323" s="144"/>
      <c r="AA323" s="149"/>
      <c r="AB323" s="152" t="s">
        <v>1681</v>
      </c>
      <c r="AC323" s="152" t="s">
        <v>1682</v>
      </c>
      <c r="AD323" s="152" t="s">
        <v>1683</v>
      </c>
      <c r="AE323" s="134" t="s">
        <v>287</v>
      </c>
      <c r="AF323" s="149"/>
      <c r="AG323" s="208"/>
      <c r="AH323" s="208"/>
      <c r="AI323" s="232"/>
      <c r="AJ323" s="238"/>
      <c r="AK323" s="235"/>
      <c r="AL323" s="149"/>
      <c r="AM323" s="149"/>
      <c r="AN323" s="149"/>
      <c r="AO323" s="149"/>
      <c r="AP323" s="152"/>
      <c r="AQ323" s="149"/>
      <c r="AR323" s="149"/>
      <c r="AS323" s="149"/>
      <c r="AT323" s="149"/>
      <c r="AU323" s="149"/>
      <c r="AV323" s="149"/>
      <c r="AW323" s="149"/>
      <c r="AX323" s="149"/>
      <c r="AY323" s="149"/>
      <c r="AZ323" s="149"/>
      <c r="BA323" s="149"/>
      <c r="BB323" s="149"/>
      <c r="BC323" s="142" t="str">
        <f t="shared" si="15"/>
        <v/>
      </c>
      <c r="BD323" s="134" t="str">
        <f t="shared" si="13"/>
        <v>INDENIZAÇÃO</v>
      </c>
      <c r="BE323" s="134" t="str">
        <f t="shared" si="14"/>
        <v>NÃO</v>
      </c>
      <c r="BF323" s="149"/>
      <c r="BG323" s="194"/>
      <c r="BH323" s="194"/>
      <c r="BI323" s="149"/>
      <c r="BJ323" s="149"/>
      <c r="BK323" s="149"/>
      <c r="BL323" s="149"/>
      <c r="BM323" s="149"/>
      <c r="BN323" s="149"/>
      <c r="BO323" s="149"/>
      <c r="BP323" s="149"/>
      <c r="BQ323" s="149"/>
      <c r="BR323" s="149"/>
      <c r="BS323" s="149"/>
      <c r="BT323" s="149"/>
      <c r="BU323" s="149"/>
      <c r="BV323" s="149"/>
      <c r="BW323" s="149"/>
      <c r="BX323" s="149"/>
      <c r="BY323" s="149"/>
      <c r="BZ323" s="149"/>
      <c r="CA323" s="149"/>
      <c r="CB323" s="149"/>
      <c r="CC323" s="149"/>
      <c r="CD323" s="149"/>
      <c r="CE323" s="149"/>
      <c r="CF323" s="149"/>
      <c r="CG323" s="149"/>
      <c r="CH323" s="149"/>
      <c r="CI323" s="200"/>
      <c r="CJ323" s="149"/>
      <c r="CK323" s="149"/>
      <c r="CL323" s="149"/>
      <c r="CM323" s="149"/>
    </row>
    <row r="324" spans="1:91" ht="30" customHeight="1">
      <c r="A324" s="134">
        <v>310</v>
      </c>
      <c r="B324" s="134" t="s">
        <v>99</v>
      </c>
      <c r="C324" s="134">
        <v>1</v>
      </c>
      <c r="D324" s="134" t="s">
        <v>100</v>
      </c>
      <c r="E324" s="134" t="s">
        <v>100</v>
      </c>
      <c r="F324" s="138" t="s">
        <v>1684</v>
      </c>
      <c r="G324" s="149" t="s">
        <v>1</v>
      </c>
      <c r="H324" s="149" t="s">
        <v>2</v>
      </c>
      <c r="I324" s="149" t="s">
        <v>108</v>
      </c>
      <c r="J324" s="152" t="s">
        <v>1685</v>
      </c>
      <c r="K324" s="152" t="s">
        <v>1682</v>
      </c>
      <c r="L324" s="152" t="s">
        <v>1683</v>
      </c>
      <c r="M324" s="134" t="s">
        <v>4</v>
      </c>
      <c r="N324" s="214" t="s">
        <v>5</v>
      </c>
      <c r="O324" s="194">
        <v>45455</v>
      </c>
      <c r="P324" s="144" t="s">
        <v>24</v>
      </c>
      <c r="Q324" s="144" t="s">
        <v>24</v>
      </c>
      <c r="R324" s="144" t="s">
        <v>24</v>
      </c>
      <c r="S324" s="144" t="s">
        <v>24</v>
      </c>
      <c r="T324" s="144" t="s">
        <v>24</v>
      </c>
      <c r="U324" s="144" t="s">
        <v>24</v>
      </c>
      <c r="V324" s="144" t="s">
        <v>24</v>
      </c>
      <c r="W324" s="144" t="s">
        <v>24</v>
      </c>
      <c r="X324" s="144" t="s">
        <v>24</v>
      </c>
      <c r="Y324" s="144" t="s">
        <v>24</v>
      </c>
      <c r="Z324" s="144" t="s">
        <v>24</v>
      </c>
      <c r="AA324" s="149"/>
      <c r="AB324" s="152" t="s">
        <v>1685</v>
      </c>
      <c r="AC324" s="152" t="s">
        <v>1682</v>
      </c>
      <c r="AD324" s="152" t="s">
        <v>1683</v>
      </c>
      <c r="AE324" s="149" t="s">
        <v>108</v>
      </c>
      <c r="AF324" s="149" t="s">
        <v>4</v>
      </c>
      <c r="AG324" s="208">
        <v>7707.73</v>
      </c>
      <c r="AH324" s="208">
        <f>AG324+30000</f>
        <v>37707.729999999996</v>
      </c>
      <c r="AI324" s="232" t="s">
        <v>6</v>
      </c>
      <c r="AJ324" s="138" t="s">
        <v>109</v>
      </c>
      <c r="AK324" s="235"/>
      <c r="AL324" s="149" t="s">
        <v>110</v>
      </c>
      <c r="AM324" s="149" t="s">
        <v>110</v>
      </c>
      <c r="AN324" s="149" t="s">
        <v>111</v>
      </c>
      <c r="AO324" s="149"/>
      <c r="AP324" s="152" t="s">
        <v>1686</v>
      </c>
      <c r="AQ324" s="198" t="s">
        <v>110</v>
      </c>
      <c r="AR324" s="198" t="s">
        <v>110</v>
      </c>
      <c r="AS324" s="149" t="s">
        <v>110</v>
      </c>
      <c r="AT324" s="149" t="s">
        <v>110</v>
      </c>
      <c r="AU324" s="194">
        <v>45525</v>
      </c>
      <c r="AV324" s="149" t="s">
        <v>110</v>
      </c>
      <c r="AW324" s="149" t="s">
        <v>110</v>
      </c>
      <c r="AX324" s="194">
        <v>45538</v>
      </c>
      <c r="AY324" s="197">
        <v>45538</v>
      </c>
      <c r="AZ324" s="145" t="s">
        <v>33</v>
      </c>
      <c r="BA324" s="145" t="s">
        <v>113</v>
      </c>
      <c r="BB324" s="149" t="s">
        <v>110</v>
      </c>
      <c r="BC324" s="142">
        <f t="shared" si="15"/>
        <v>83</v>
      </c>
      <c r="BD324" s="134" t="str">
        <f t="shared" si="13"/>
        <v>INDENIZAÇÃO</v>
      </c>
      <c r="BE324" s="134" t="str">
        <f t="shared" si="14"/>
        <v>NÃO</v>
      </c>
      <c r="BF324" s="134" t="s">
        <v>24</v>
      </c>
      <c r="BG324" s="134" t="s">
        <v>24</v>
      </c>
      <c r="BH324" s="134" t="s">
        <v>24</v>
      </c>
      <c r="BI324" s="198" t="s">
        <v>110</v>
      </c>
      <c r="BJ324" s="198" t="s">
        <v>110</v>
      </c>
      <c r="BK324" s="194">
        <v>45559</v>
      </c>
      <c r="BL324" s="198" t="s">
        <v>110</v>
      </c>
      <c r="BM324" s="145" t="s">
        <v>33</v>
      </c>
      <c r="BN324" s="149"/>
      <c r="BO324" s="149"/>
      <c r="BP324" s="149"/>
      <c r="BQ324" s="149"/>
      <c r="BR324" s="149"/>
      <c r="BS324" s="149"/>
      <c r="BT324" s="149"/>
      <c r="BU324" s="149"/>
      <c r="BV324" s="149"/>
      <c r="BW324" s="149"/>
      <c r="BX324" s="149"/>
      <c r="BY324" s="149"/>
      <c r="BZ324" s="149"/>
      <c r="CA324" s="149"/>
      <c r="CB324" s="149"/>
      <c r="CC324" s="149"/>
      <c r="CD324" s="149"/>
      <c r="CE324" s="149"/>
      <c r="CF324" s="149"/>
      <c r="CG324" s="149"/>
      <c r="CH324" s="149"/>
      <c r="CI324" s="200"/>
      <c r="CJ324" s="149"/>
      <c r="CK324" s="149"/>
      <c r="CL324" s="149"/>
      <c r="CM324" s="149"/>
    </row>
    <row r="325" spans="1:91" ht="30" customHeight="1">
      <c r="A325" s="134">
        <v>311</v>
      </c>
      <c r="B325" s="134" t="s">
        <v>99</v>
      </c>
      <c r="C325" s="134">
        <v>1</v>
      </c>
      <c r="D325" s="134" t="s">
        <v>100</v>
      </c>
      <c r="E325" s="134" t="s">
        <v>100</v>
      </c>
      <c r="F325" s="138" t="s">
        <v>1687</v>
      </c>
      <c r="G325" s="149" t="s">
        <v>1</v>
      </c>
      <c r="H325" s="149" t="s">
        <v>2</v>
      </c>
      <c r="I325" s="149" t="s">
        <v>108</v>
      </c>
      <c r="J325" s="152" t="s">
        <v>1688</v>
      </c>
      <c r="K325" s="152" t="s">
        <v>1689</v>
      </c>
      <c r="L325" s="152" t="s">
        <v>1690</v>
      </c>
      <c r="M325" s="134" t="s">
        <v>4</v>
      </c>
      <c r="N325" s="214" t="s">
        <v>14</v>
      </c>
      <c r="O325" s="194">
        <v>45356</v>
      </c>
      <c r="P325" s="144">
        <v>45281</v>
      </c>
      <c r="Q325" s="138" t="s">
        <v>283</v>
      </c>
      <c r="R325" s="144" t="s">
        <v>110</v>
      </c>
      <c r="S325" s="144" t="s">
        <v>110</v>
      </c>
      <c r="T325" s="144"/>
      <c r="U325" s="144"/>
      <c r="V325" s="144"/>
      <c r="W325" s="144"/>
      <c r="X325" s="144"/>
      <c r="Y325" s="144"/>
      <c r="Z325" s="144"/>
      <c r="AA325" s="149"/>
      <c r="AB325" s="152" t="s">
        <v>1688</v>
      </c>
      <c r="AC325" s="152" t="s">
        <v>1689</v>
      </c>
      <c r="AD325" s="152" t="s">
        <v>1690</v>
      </c>
      <c r="AE325" s="149" t="s">
        <v>108</v>
      </c>
      <c r="AF325" s="149"/>
      <c r="AG325" s="208" t="s">
        <v>371</v>
      </c>
      <c r="AH325" s="208" t="s">
        <v>371</v>
      </c>
      <c r="AI325" s="232" t="s">
        <v>371</v>
      </c>
      <c r="AJ325" s="214" t="s">
        <v>371</v>
      </c>
      <c r="AK325" s="235"/>
      <c r="AL325" s="149"/>
      <c r="AM325" s="149"/>
      <c r="AN325" s="149"/>
      <c r="AO325" s="149"/>
      <c r="AP325" s="152"/>
      <c r="AQ325" s="149"/>
      <c r="AR325" s="149"/>
      <c r="AS325" s="149"/>
      <c r="AT325" s="149"/>
      <c r="AU325" s="149"/>
      <c r="AV325" s="149"/>
      <c r="AW325" s="149"/>
      <c r="AX325" s="149"/>
      <c r="AY325" s="149"/>
      <c r="AZ325" s="149"/>
      <c r="BA325" s="149"/>
      <c r="BB325" s="149"/>
      <c r="BC325" s="142" t="str">
        <f t="shared" si="15"/>
        <v/>
      </c>
      <c r="BD325" s="134" t="str">
        <f t="shared" si="13"/>
        <v>INDENIZAÇÃO</v>
      </c>
      <c r="BE325" s="134" t="str">
        <f t="shared" si="14"/>
        <v>NÃO</v>
      </c>
      <c r="BF325" s="149"/>
      <c r="BG325" s="194"/>
      <c r="BH325" s="194"/>
      <c r="BI325" s="149"/>
      <c r="BJ325" s="149"/>
      <c r="BK325" s="149"/>
      <c r="BL325" s="149"/>
      <c r="BM325" s="149"/>
      <c r="BN325" s="149"/>
      <c r="BO325" s="149"/>
      <c r="BP325" s="149"/>
      <c r="BQ325" s="149"/>
      <c r="BR325" s="149"/>
      <c r="BS325" s="149"/>
      <c r="BT325" s="149"/>
      <c r="BU325" s="149"/>
      <c r="BV325" s="149"/>
      <c r="BW325" s="149"/>
      <c r="BX325" s="149"/>
      <c r="BY325" s="149"/>
      <c r="BZ325" s="149"/>
      <c r="CA325" s="149"/>
      <c r="CB325" s="149"/>
      <c r="CC325" s="149"/>
      <c r="CD325" s="149"/>
      <c r="CE325" s="149"/>
      <c r="CF325" s="149"/>
      <c r="CG325" s="149"/>
      <c r="CH325" s="149"/>
      <c r="CI325" s="200"/>
      <c r="CJ325" s="149"/>
      <c r="CK325" s="149"/>
      <c r="CL325" s="149"/>
      <c r="CM325" s="149"/>
    </row>
    <row r="326" spans="1:91" ht="30" customHeight="1">
      <c r="A326" s="134">
        <v>312</v>
      </c>
      <c r="B326" s="134" t="s">
        <v>99</v>
      </c>
      <c r="C326" s="134">
        <v>1</v>
      </c>
      <c r="D326" s="134" t="s">
        <v>100</v>
      </c>
      <c r="E326" s="134" t="s">
        <v>100</v>
      </c>
      <c r="F326" s="138" t="s">
        <v>1691</v>
      </c>
      <c r="G326" s="149" t="s">
        <v>1</v>
      </c>
      <c r="H326" s="149" t="s">
        <v>2</v>
      </c>
      <c r="I326" s="149" t="s">
        <v>108</v>
      </c>
      <c r="J326" s="152" t="s">
        <v>1692</v>
      </c>
      <c r="K326" s="152" t="s">
        <v>1693</v>
      </c>
      <c r="L326" s="152" t="s">
        <v>1694</v>
      </c>
      <c r="M326" s="134" t="s">
        <v>4</v>
      </c>
      <c r="N326" s="214"/>
      <c r="O326" s="194"/>
      <c r="P326" s="144"/>
      <c r="Q326" s="263"/>
      <c r="R326" s="144"/>
      <c r="S326" s="144"/>
      <c r="T326" s="144"/>
      <c r="U326" s="144"/>
      <c r="V326" s="144"/>
      <c r="W326" s="144"/>
      <c r="X326" s="144"/>
      <c r="Y326" s="144"/>
      <c r="Z326" s="144"/>
      <c r="AA326" s="149"/>
      <c r="AB326" s="152" t="s">
        <v>1695</v>
      </c>
      <c r="AC326" s="152" t="s">
        <v>1693</v>
      </c>
      <c r="AD326" s="152" t="s">
        <v>1694</v>
      </c>
      <c r="AE326" s="149" t="s">
        <v>108</v>
      </c>
      <c r="AF326" s="149"/>
      <c r="AG326" s="208"/>
      <c r="AH326" s="208"/>
      <c r="AI326" s="232"/>
      <c r="AJ326" s="214"/>
      <c r="AK326" s="235"/>
      <c r="AL326" s="149"/>
      <c r="AM326" s="149"/>
      <c r="AN326" s="149"/>
      <c r="AO326" s="149"/>
      <c r="AP326" s="152"/>
      <c r="AQ326" s="149"/>
      <c r="AR326" s="149"/>
      <c r="AS326" s="149"/>
      <c r="AT326" s="149"/>
      <c r="AU326" s="149"/>
      <c r="AV326" s="149"/>
      <c r="AW326" s="149"/>
      <c r="AX326" s="149"/>
      <c r="AY326" s="149"/>
      <c r="AZ326" s="149"/>
      <c r="BA326" s="149"/>
      <c r="BB326" s="149"/>
      <c r="BC326" s="142" t="str">
        <f t="shared" si="15"/>
        <v/>
      </c>
      <c r="BD326" s="134" t="str">
        <f t="shared" si="13"/>
        <v>INDENIZAÇÃO</v>
      </c>
      <c r="BE326" s="134" t="str">
        <f t="shared" si="14"/>
        <v>NÃO</v>
      </c>
      <c r="BF326" s="149"/>
      <c r="BG326" s="194"/>
      <c r="BH326" s="194"/>
      <c r="BI326" s="149"/>
      <c r="BJ326" s="149"/>
      <c r="BK326" s="149"/>
      <c r="BL326" s="149"/>
      <c r="BM326" s="149"/>
      <c r="BN326" s="149"/>
      <c r="BO326" s="149"/>
      <c r="BP326" s="149"/>
      <c r="BQ326" s="149"/>
      <c r="BR326" s="149"/>
      <c r="BS326" s="149"/>
      <c r="BT326" s="149"/>
      <c r="BU326" s="149"/>
      <c r="BV326" s="149"/>
      <c r="BW326" s="149"/>
      <c r="BX326" s="149"/>
      <c r="BY326" s="149"/>
      <c r="BZ326" s="149"/>
      <c r="CA326" s="149"/>
      <c r="CB326" s="149"/>
      <c r="CC326" s="149"/>
      <c r="CD326" s="149"/>
      <c r="CE326" s="149"/>
      <c r="CF326" s="149"/>
      <c r="CG326" s="149"/>
      <c r="CH326" s="149"/>
      <c r="CI326" s="200"/>
      <c r="CJ326" s="149"/>
      <c r="CK326" s="149"/>
      <c r="CL326" s="149"/>
      <c r="CM326" s="149"/>
    </row>
    <row r="327" spans="1:91" ht="30" customHeight="1">
      <c r="A327" s="134">
        <v>313</v>
      </c>
      <c r="B327" s="134" t="s">
        <v>99</v>
      </c>
      <c r="C327" s="134">
        <v>1</v>
      </c>
      <c r="D327" s="134" t="s">
        <v>100</v>
      </c>
      <c r="E327" s="134" t="s">
        <v>100</v>
      </c>
      <c r="F327" s="216" t="s">
        <v>1696</v>
      </c>
      <c r="G327" s="149" t="s">
        <v>102</v>
      </c>
      <c r="H327" s="149" t="s">
        <v>2</v>
      </c>
      <c r="I327" s="149" t="s">
        <v>104</v>
      </c>
      <c r="J327" s="152" t="s">
        <v>1697</v>
      </c>
      <c r="K327" s="152" t="s">
        <v>1698</v>
      </c>
      <c r="L327" s="152" t="s">
        <v>1699</v>
      </c>
      <c r="M327" s="134" t="s">
        <v>4</v>
      </c>
      <c r="N327" s="214"/>
      <c r="O327" s="194">
        <v>46168</v>
      </c>
      <c r="P327" s="144" t="s">
        <v>24</v>
      </c>
      <c r="Q327" s="144" t="s">
        <v>24</v>
      </c>
      <c r="R327" s="144" t="s">
        <v>24</v>
      </c>
      <c r="S327" s="144" t="s">
        <v>24</v>
      </c>
      <c r="T327" s="144" t="s">
        <v>24</v>
      </c>
      <c r="U327" s="144" t="s">
        <v>24</v>
      </c>
      <c r="V327" s="144" t="s">
        <v>24</v>
      </c>
      <c r="W327" s="144" t="s">
        <v>24</v>
      </c>
      <c r="X327" s="144" t="s">
        <v>24</v>
      </c>
      <c r="Y327" s="144" t="s">
        <v>24</v>
      </c>
      <c r="Z327" s="144" t="s">
        <v>24</v>
      </c>
      <c r="AA327" s="149"/>
      <c r="AB327" s="152" t="s">
        <v>1697</v>
      </c>
      <c r="AC327" s="152" t="s">
        <v>1698</v>
      </c>
      <c r="AD327" s="152" t="s">
        <v>1699</v>
      </c>
      <c r="AE327" s="149" t="s">
        <v>108</v>
      </c>
      <c r="AF327" s="149"/>
      <c r="AG327" s="208">
        <v>7498.78</v>
      </c>
      <c r="AH327" s="208">
        <v>37498.78</v>
      </c>
      <c r="AI327" s="232" t="s">
        <v>6</v>
      </c>
      <c r="AJ327" s="138" t="s">
        <v>109</v>
      </c>
      <c r="AK327" s="235">
        <v>155557938</v>
      </c>
      <c r="AL327" s="134" t="s">
        <v>110</v>
      </c>
      <c r="AM327" s="134" t="s">
        <v>110</v>
      </c>
      <c r="AN327" s="149" t="s">
        <v>111</v>
      </c>
      <c r="AO327" s="273"/>
      <c r="AP327" s="199" t="s">
        <v>1700</v>
      </c>
      <c r="AQ327" s="198" t="s">
        <v>125</v>
      </c>
      <c r="AR327" s="149"/>
      <c r="AS327" s="149" t="s">
        <v>126</v>
      </c>
      <c r="AT327" s="149"/>
      <c r="AU327" s="149"/>
      <c r="AV327" s="149"/>
      <c r="AW327" s="149"/>
      <c r="AX327" s="149"/>
      <c r="AY327" s="149"/>
      <c r="AZ327" s="149"/>
      <c r="BA327" s="149"/>
      <c r="BB327" s="149"/>
      <c r="BC327" s="142" t="str">
        <f t="shared" si="15"/>
        <v/>
      </c>
      <c r="BD327" s="134" t="str">
        <f t="shared" si="13"/>
        <v>INDENIZAÇÃO</v>
      </c>
      <c r="BE327" s="134" t="str">
        <f t="shared" si="14"/>
        <v>NÃO</v>
      </c>
      <c r="BF327" s="149"/>
      <c r="BG327" s="194"/>
      <c r="BH327" s="194"/>
      <c r="BI327" s="149"/>
      <c r="BJ327" s="149"/>
      <c r="BK327" s="149"/>
      <c r="BL327" s="149"/>
      <c r="BM327" s="149"/>
      <c r="BN327" s="149"/>
      <c r="BO327" s="149"/>
      <c r="BP327" s="149"/>
      <c r="BQ327" s="149"/>
      <c r="BR327" s="149"/>
      <c r="BS327" s="149"/>
      <c r="BT327" s="149"/>
      <c r="BU327" s="149"/>
      <c r="BV327" s="149"/>
      <c r="BW327" s="149"/>
      <c r="BX327" s="149"/>
      <c r="BY327" s="149"/>
      <c r="BZ327" s="149"/>
      <c r="CA327" s="149"/>
      <c r="CB327" s="149"/>
      <c r="CC327" s="149"/>
      <c r="CD327" s="149"/>
      <c r="CE327" s="149"/>
      <c r="CF327" s="149"/>
      <c r="CG327" s="149"/>
      <c r="CH327" s="149"/>
      <c r="CI327" s="200"/>
      <c r="CJ327" s="149"/>
      <c r="CK327" s="149"/>
      <c r="CL327" s="149"/>
      <c r="CM327" s="149"/>
    </row>
    <row r="328" spans="1:91" ht="30" customHeight="1">
      <c r="A328" s="134">
        <v>314</v>
      </c>
      <c r="B328" s="134" t="s">
        <v>99</v>
      </c>
      <c r="C328" s="134">
        <v>1</v>
      </c>
      <c r="D328" s="134" t="s">
        <v>100</v>
      </c>
      <c r="E328" s="134" t="s">
        <v>100</v>
      </c>
      <c r="F328" s="152" t="s">
        <v>1701</v>
      </c>
      <c r="G328" s="149" t="s">
        <v>102</v>
      </c>
      <c r="H328" s="149" t="s">
        <v>103</v>
      </c>
      <c r="I328" s="149" t="s">
        <v>104</v>
      </c>
      <c r="J328" s="152" t="s">
        <v>1702</v>
      </c>
      <c r="K328" s="152" t="s">
        <v>1703</v>
      </c>
      <c r="L328" s="152" t="s">
        <v>1704</v>
      </c>
      <c r="M328" s="149" t="s">
        <v>4</v>
      </c>
      <c r="N328" s="149" t="s">
        <v>5</v>
      </c>
      <c r="O328" s="194">
        <v>45929</v>
      </c>
      <c r="P328" s="144" t="s">
        <v>24</v>
      </c>
      <c r="Q328" s="144" t="s">
        <v>24</v>
      </c>
      <c r="R328" s="144" t="s">
        <v>24</v>
      </c>
      <c r="S328" s="144" t="s">
        <v>24</v>
      </c>
      <c r="T328" s="144" t="s">
        <v>24</v>
      </c>
      <c r="U328" s="144" t="s">
        <v>24</v>
      </c>
      <c r="V328" s="144" t="s">
        <v>24</v>
      </c>
      <c r="W328" s="144" t="s">
        <v>24</v>
      </c>
      <c r="X328" s="144" t="s">
        <v>24</v>
      </c>
      <c r="Y328" s="144" t="s">
        <v>24</v>
      </c>
      <c r="Z328" s="144" t="s">
        <v>24</v>
      </c>
      <c r="AA328" s="149"/>
      <c r="AB328" s="152" t="s">
        <v>1702</v>
      </c>
      <c r="AC328" s="152" t="s">
        <v>1703</v>
      </c>
      <c r="AD328" s="152" t="s">
        <v>1704</v>
      </c>
      <c r="AE328" s="149" t="s">
        <v>108</v>
      </c>
      <c r="AF328" s="149" t="s">
        <v>4</v>
      </c>
      <c r="AG328" s="208">
        <v>12704.24</v>
      </c>
      <c r="AH328" s="208">
        <v>42704.24</v>
      </c>
      <c r="AI328" s="234" t="s">
        <v>6</v>
      </c>
      <c r="AJ328" s="138" t="s">
        <v>109</v>
      </c>
      <c r="AK328" s="200">
        <v>119673117</v>
      </c>
      <c r="AL328" s="134" t="s">
        <v>110</v>
      </c>
      <c r="AM328" s="149" t="s">
        <v>110</v>
      </c>
      <c r="AN328" s="149" t="s">
        <v>111</v>
      </c>
      <c r="AO328" s="149"/>
      <c r="AP328" s="152" t="s">
        <v>1705</v>
      </c>
      <c r="AQ328" s="198" t="s">
        <v>110</v>
      </c>
      <c r="AR328" s="198" t="s">
        <v>110</v>
      </c>
      <c r="AS328" s="198" t="s">
        <v>110</v>
      </c>
      <c r="AT328" s="198" t="s">
        <v>110</v>
      </c>
      <c r="AU328" s="194">
        <v>45960</v>
      </c>
      <c r="AV328" s="198" t="s">
        <v>110</v>
      </c>
      <c r="AW328" s="198" t="s">
        <v>110</v>
      </c>
      <c r="AX328" s="194">
        <v>45968</v>
      </c>
      <c r="AY328" s="140">
        <v>45968</v>
      </c>
      <c r="AZ328" s="145" t="s">
        <v>33</v>
      </c>
      <c r="BA328" s="145" t="s">
        <v>113</v>
      </c>
      <c r="BB328" s="149" t="s">
        <v>110</v>
      </c>
      <c r="BC328" s="142">
        <f t="shared" si="15"/>
        <v>39</v>
      </c>
      <c r="BD328" s="134" t="str">
        <f t="shared" si="13"/>
        <v>INDENIZAÇÃO</v>
      </c>
      <c r="BE328" s="134" t="str">
        <f t="shared" si="14"/>
        <v>NÃO</v>
      </c>
      <c r="BF328" s="149" t="s">
        <v>24</v>
      </c>
      <c r="BG328" s="149" t="s">
        <v>24</v>
      </c>
      <c r="BH328" s="149" t="s">
        <v>24</v>
      </c>
      <c r="BI328" s="145" t="s">
        <v>189</v>
      </c>
      <c r="BJ328" s="145"/>
      <c r="BK328" s="145"/>
      <c r="BL328" s="145"/>
      <c r="BM328" s="145"/>
      <c r="BN328" s="149"/>
      <c r="BO328" s="149"/>
      <c r="BP328" s="149"/>
      <c r="BQ328" s="149"/>
      <c r="BR328" s="149"/>
      <c r="BS328" s="149"/>
      <c r="BT328" s="149"/>
      <c r="BU328" s="149"/>
      <c r="BV328" s="149"/>
      <c r="BW328" s="149"/>
      <c r="BX328" s="149"/>
      <c r="BY328" s="149"/>
      <c r="BZ328" s="149"/>
      <c r="CA328" s="149"/>
      <c r="CB328" s="149"/>
      <c r="CC328" s="149"/>
      <c r="CD328" s="149"/>
      <c r="CE328" s="149"/>
      <c r="CF328" s="149"/>
      <c r="CG328" s="149"/>
      <c r="CH328" s="149"/>
      <c r="CI328" s="200"/>
      <c r="CJ328" s="149"/>
      <c r="CK328" s="149"/>
      <c r="CL328" s="149"/>
      <c r="CM328" s="149"/>
    </row>
    <row r="329" spans="1:91" ht="30" customHeight="1">
      <c r="A329" s="134">
        <v>315</v>
      </c>
      <c r="B329" s="134" t="s">
        <v>99</v>
      </c>
      <c r="C329" s="134">
        <v>1</v>
      </c>
      <c r="D329" s="134" t="s">
        <v>100</v>
      </c>
      <c r="E329" s="134" t="s">
        <v>100</v>
      </c>
      <c r="F329" s="138" t="s">
        <v>1706</v>
      </c>
      <c r="G329" s="149" t="s">
        <v>1</v>
      </c>
      <c r="H329" s="149" t="s">
        <v>2</v>
      </c>
      <c r="I329" s="149" t="s">
        <v>108</v>
      </c>
      <c r="J329" s="152" t="s">
        <v>1707</v>
      </c>
      <c r="K329" s="152" t="s">
        <v>1708</v>
      </c>
      <c r="L329" s="152" t="s">
        <v>1709</v>
      </c>
      <c r="M329" s="134" t="s">
        <v>4</v>
      </c>
      <c r="N329" s="214" t="s">
        <v>5</v>
      </c>
      <c r="O329" s="194">
        <v>45280</v>
      </c>
      <c r="P329" s="144" t="s">
        <v>24</v>
      </c>
      <c r="Q329" s="144" t="s">
        <v>24</v>
      </c>
      <c r="R329" s="144" t="s">
        <v>24</v>
      </c>
      <c r="S329" s="144" t="s">
        <v>24</v>
      </c>
      <c r="T329" s="144" t="s">
        <v>24</v>
      </c>
      <c r="U329" s="144" t="s">
        <v>24</v>
      </c>
      <c r="V329" s="144" t="s">
        <v>24</v>
      </c>
      <c r="W329" s="144" t="s">
        <v>24</v>
      </c>
      <c r="X329" s="144" t="s">
        <v>24</v>
      </c>
      <c r="Y329" s="144" t="s">
        <v>24</v>
      </c>
      <c r="Z329" s="144" t="s">
        <v>24</v>
      </c>
      <c r="AA329" s="149"/>
      <c r="AB329" s="152" t="s">
        <v>1707</v>
      </c>
      <c r="AC329" s="152" t="s">
        <v>1708</v>
      </c>
      <c r="AD329" s="152" t="s">
        <v>1709</v>
      </c>
      <c r="AE329" s="149" t="s">
        <v>108</v>
      </c>
      <c r="AF329" s="149" t="s">
        <v>4</v>
      </c>
      <c r="AG329" s="208">
        <v>0</v>
      </c>
      <c r="AH329" s="208">
        <v>60000</v>
      </c>
      <c r="AI329" s="232" t="s">
        <v>6</v>
      </c>
      <c r="AJ329" s="160" t="s">
        <v>109</v>
      </c>
      <c r="AK329" s="214"/>
      <c r="AL329" s="149" t="s">
        <v>110</v>
      </c>
      <c r="AM329" s="149" t="s">
        <v>110</v>
      </c>
      <c r="AN329" s="149" t="s">
        <v>111</v>
      </c>
      <c r="AO329" s="198"/>
      <c r="AP329" s="199" t="s">
        <v>1710</v>
      </c>
      <c r="AQ329" s="149" t="s">
        <v>110</v>
      </c>
      <c r="AR329" s="198" t="s">
        <v>110</v>
      </c>
      <c r="AS329" s="149" t="s">
        <v>110</v>
      </c>
      <c r="AT329" s="149" t="s">
        <v>110</v>
      </c>
      <c r="AU329" s="194">
        <v>45373</v>
      </c>
      <c r="AV329" s="149" t="s">
        <v>110</v>
      </c>
      <c r="AW329" s="149" t="s">
        <v>110</v>
      </c>
      <c r="AX329" s="194">
        <v>45384</v>
      </c>
      <c r="AY329" s="197">
        <v>45384</v>
      </c>
      <c r="AZ329" s="197" t="s">
        <v>33</v>
      </c>
      <c r="BA329" s="145" t="s">
        <v>113</v>
      </c>
      <c r="BB329" s="149" t="s">
        <v>110</v>
      </c>
      <c r="BC329" s="142">
        <f t="shared" si="15"/>
        <v>104</v>
      </c>
      <c r="BD329" s="134" t="str">
        <f t="shared" si="13"/>
        <v>INDENIZAÇÃO</v>
      </c>
      <c r="BE329" s="134" t="str">
        <f t="shared" si="14"/>
        <v>NÃO</v>
      </c>
      <c r="BF329" s="134" t="s">
        <v>24</v>
      </c>
      <c r="BG329" s="134" t="s">
        <v>24</v>
      </c>
      <c r="BH329" s="134" t="s">
        <v>24</v>
      </c>
      <c r="BI329" s="149" t="s">
        <v>110</v>
      </c>
      <c r="BJ329" s="149" t="s">
        <v>110</v>
      </c>
      <c r="BK329" s="194">
        <v>45510</v>
      </c>
      <c r="BL329" s="149" t="s">
        <v>110</v>
      </c>
      <c r="BM329" s="145" t="s">
        <v>33</v>
      </c>
      <c r="BN329" s="149"/>
      <c r="BO329" s="149"/>
      <c r="BP329" s="149"/>
      <c r="BQ329" s="149"/>
      <c r="BR329" s="149"/>
      <c r="BS329" s="149"/>
      <c r="BT329" s="149"/>
      <c r="BU329" s="149"/>
      <c r="BV329" s="149"/>
      <c r="BW329" s="149"/>
      <c r="BX329" s="149"/>
      <c r="BY329" s="149"/>
      <c r="BZ329" s="149"/>
      <c r="CA329" s="149"/>
      <c r="CB329" s="149"/>
      <c r="CC329" s="149"/>
      <c r="CD329" s="149"/>
      <c r="CE329" s="149"/>
      <c r="CF329" s="149"/>
      <c r="CG329" s="149"/>
      <c r="CH329" s="149"/>
      <c r="CI329" s="200"/>
      <c r="CJ329" s="149"/>
      <c r="CK329" s="149"/>
      <c r="CL329" s="149"/>
      <c r="CM329" s="149"/>
    </row>
    <row r="330" spans="1:91" ht="30" customHeight="1">
      <c r="A330" s="134">
        <v>316</v>
      </c>
      <c r="B330" s="134" t="s">
        <v>99</v>
      </c>
      <c r="C330" s="134">
        <v>1</v>
      </c>
      <c r="D330" s="134" t="s">
        <v>100</v>
      </c>
      <c r="E330" s="134" t="s">
        <v>100</v>
      </c>
      <c r="F330" s="138" t="s">
        <v>1711</v>
      </c>
      <c r="G330" s="149" t="s">
        <v>1</v>
      </c>
      <c r="H330" s="149" t="s">
        <v>2</v>
      </c>
      <c r="I330" s="149" t="s">
        <v>387</v>
      </c>
      <c r="J330" s="152" t="s">
        <v>1712</v>
      </c>
      <c r="K330" s="152" t="s">
        <v>1713</v>
      </c>
      <c r="L330" s="152" t="s">
        <v>1714</v>
      </c>
      <c r="M330" s="134" t="s">
        <v>4</v>
      </c>
      <c r="N330" s="134" t="s">
        <v>14</v>
      </c>
      <c r="O330" s="194">
        <v>45280</v>
      </c>
      <c r="P330" s="197" t="s">
        <v>17</v>
      </c>
      <c r="Q330" s="264" t="s">
        <v>283</v>
      </c>
      <c r="R330" s="197"/>
      <c r="S330" s="197"/>
      <c r="T330" s="197"/>
      <c r="U330" s="197"/>
      <c r="V330" s="197"/>
      <c r="W330" s="197"/>
      <c r="X330" s="197"/>
      <c r="Y330" s="197"/>
      <c r="Z330" s="197"/>
      <c r="AA330" s="149"/>
      <c r="AB330" s="152" t="s">
        <v>1707</v>
      </c>
      <c r="AC330" s="152" t="s">
        <v>1708</v>
      </c>
      <c r="AD330" s="152" t="s">
        <v>1709</v>
      </c>
      <c r="AE330" s="134" t="s">
        <v>287</v>
      </c>
      <c r="AF330" s="149"/>
      <c r="AG330" s="208" t="s">
        <v>371</v>
      </c>
      <c r="AH330" s="208" t="s">
        <v>371</v>
      </c>
      <c r="AI330" s="214" t="s">
        <v>371</v>
      </c>
      <c r="AJ330" s="214" t="s">
        <v>371</v>
      </c>
      <c r="AK330" s="214"/>
      <c r="AL330" s="149"/>
      <c r="AM330" s="149"/>
      <c r="AN330" s="149"/>
      <c r="AO330" s="149"/>
      <c r="AP330" s="152"/>
      <c r="AQ330" s="149"/>
      <c r="AR330" s="149"/>
      <c r="AS330" s="149"/>
      <c r="AT330" s="149"/>
      <c r="AU330" s="149"/>
      <c r="AV330" s="149"/>
      <c r="AW330" s="149"/>
      <c r="AX330" s="149"/>
      <c r="AY330" s="149"/>
      <c r="AZ330" s="149"/>
      <c r="BA330" s="149"/>
      <c r="BB330" s="149"/>
      <c r="BC330" s="142" t="str">
        <f t="shared" si="15"/>
        <v/>
      </c>
      <c r="BD330" s="134" t="str">
        <f t="shared" si="13"/>
        <v>INDENIZAÇÃO</v>
      </c>
      <c r="BE330" s="134" t="str">
        <f t="shared" si="14"/>
        <v>NÃO</v>
      </c>
      <c r="BF330" s="149"/>
      <c r="BG330" s="194"/>
      <c r="BH330" s="194"/>
      <c r="BI330" s="149"/>
      <c r="BJ330" s="149"/>
      <c r="BK330" s="149"/>
      <c r="BL330" s="149"/>
      <c r="BM330" s="149"/>
      <c r="BN330" s="149"/>
      <c r="BO330" s="149"/>
      <c r="BP330" s="149"/>
      <c r="BQ330" s="149"/>
      <c r="BR330" s="149"/>
      <c r="BS330" s="149"/>
      <c r="BT330" s="149"/>
      <c r="BU330" s="149"/>
      <c r="BV330" s="149"/>
      <c r="BW330" s="149"/>
      <c r="BX330" s="149"/>
      <c r="BY330" s="149"/>
      <c r="BZ330" s="149"/>
      <c r="CA330" s="149"/>
      <c r="CB330" s="149"/>
      <c r="CC330" s="149"/>
      <c r="CD330" s="149"/>
      <c r="CE330" s="149"/>
      <c r="CF330" s="149"/>
      <c r="CG330" s="149"/>
      <c r="CH330" s="149"/>
      <c r="CI330" s="200"/>
      <c r="CJ330" s="149"/>
      <c r="CK330" s="149"/>
      <c r="CL330" s="149"/>
      <c r="CM330" s="149"/>
    </row>
    <row r="331" spans="1:91" ht="30" customHeight="1">
      <c r="A331" s="134">
        <v>317</v>
      </c>
      <c r="B331" s="134" t="s">
        <v>99</v>
      </c>
      <c r="C331" s="134">
        <v>1</v>
      </c>
      <c r="D331" s="134" t="s">
        <v>100</v>
      </c>
      <c r="E331" s="134" t="s">
        <v>100</v>
      </c>
      <c r="F331" s="138" t="s">
        <v>1715</v>
      </c>
      <c r="G331" s="149" t="s">
        <v>1</v>
      </c>
      <c r="H331" s="149" t="s">
        <v>2</v>
      </c>
      <c r="I331" s="149" t="s">
        <v>287</v>
      </c>
      <c r="J331" s="152" t="s">
        <v>1707</v>
      </c>
      <c r="K331" s="152" t="s">
        <v>1708</v>
      </c>
      <c r="L331" s="152" t="s">
        <v>1709</v>
      </c>
      <c r="M331" s="134" t="s">
        <v>4</v>
      </c>
      <c r="N331" s="134"/>
      <c r="O331" s="194"/>
      <c r="P331" s="144"/>
      <c r="Q331" s="263"/>
      <c r="R331" s="144"/>
      <c r="S331" s="144"/>
      <c r="T331" s="144"/>
      <c r="U331" s="144"/>
      <c r="V331" s="144"/>
      <c r="W331" s="144"/>
      <c r="X331" s="144"/>
      <c r="Y331" s="144"/>
      <c r="Z331" s="144"/>
      <c r="AA331" s="149"/>
      <c r="AB331" s="152" t="s">
        <v>1707</v>
      </c>
      <c r="AC331" s="152" t="s">
        <v>1708</v>
      </c>
      <c r="AD331" s="152" t="s">
        <v>1709</v>
      </c>
      <c r="AE331" s="134" t="s">
        <v>287</v>
      </c>
      <c r="AF331" s="149"/>
      <c r="AG331" s="208"/>
      <c r="AH331" s="208"/>
      <c r="AI331" s="214"/>
      <c r="AJ331" s="214"/>
      <c r="AK331" s="214"/>
      <c r="AL331" s="149"/>
      <c r="AM331" s="149"/>
      <c r="AN331" s="149"/>
      <c r="AO331" s="149"/>
      <c r="AP331" s="152"/>
      <c r="AQ331" s="149"/>
      <c r="AR331" s="149"/>
      <c r="AS331" s="149"/>
      <c r="AT331" s="149"/>
      <c r="AU331" s="149"/>
      <c r="AV331" s="149"/>
      <c r="AW331" s="149"/>
      <c r="AX331" s="149"/>
      <c r="AY331" s="149"/>
      <c r="AZ331" s="149"/>
      <c r="BA331" s="149"/>
      <c r="BB331" s="149"/>
      <c r="BC331" s="142" t="str">
        <f t="shared" si="15"/>
        <v/>
      </c>
      <c r="BD331" s="134" t="str">
        <f t="shared" si="13"/>
        <v>INDENIZAÇÃO</v>
      </c>
      <c r="BE331" s="134" t="str">
        <f t="shared" si="14"/>
        <v>NÃO</v>
      </c>
      <c r="BF331" s="149"/>
      <c r="BG331" s="194"/>
      <c r="BH331" s="194"/>
      <c r="BI331" s="149"/>
      <c r="BJ331" s="149"/>
      <c r="BK331" s="149"/>
      <c r="BL331" s="149"/>
      <c r="BM331" s="149"/>
      <c r="BN331" s="149"/>
      <c r="BO331" s="149"/>
      <c r="BP331" s="149"/>
      <c r="BQ331" s="149"/>
      <c r="BR331" s="149"/>
      <c r="BS331" s="149"/>
      <c r="BT331" s="149"/>
      <c r="BU331" s="149"/>
      <c r="BV331" s="149"/>
      <c r="BW331" s="149"/>
      <c r="BX331" s="149"/>
      <c r="BY331" s="149"/>
      <c r="BZ331" s="149"/>
      <c r="CA331" s="149"/>
      <c r="CB331" s="149"/>
      <c r="CC331" s="149"/>
      <c r="CD331" s="149"/>
      <c r="CE331" s="149"/>
      <c r="CF331" s="149"/>
      <c r="CG331" s="149"/>
      <c r="CH331" s="149"/>
      <c r="CI331" s="200"/>
      <c r="CJ331" s="149"/>
      <c r="CK331" s="149"/>
      <c r="CL331" s="149"/>
      <c r="CM331" s="149"/>
    </row>
    <row r="332" spans="1:91" ht="30" customHeight="1">
      <c r="A332" s="134">
        <v>318</v>
      </c>
      <c r="B332" s="134" t="s">
        <v>99</v>
      </c>
      <c r="C332" s="134">
        <v>1</v>
      </c>
      <c r="D332" s="134" t="s">
        <v>100</v>
      </c>
      <c r="E332" s="134" t="s">
        <v>100</v>
      </c>
      <c r="F332" s="138" t="s">
        <v>1716</v>
      </c>
      <c r="G332" s="149" t="s">
        <v>10</v>
      </c>
      <c r="H332" s="149" t="s">
        <v>2</v>
      </c>
      <c r="I332" s="149" t="s">
        <v>287</v>
      </c>
      <c r="J332" s="152" t="s">
        <v>1717</v>
      </c>
      <c r="K332" s="152" t="s">
        <v>1718</v>
      </c>
      <c r="L332" s="152" t="s">
        <v>1719</v>
      </c>
      <c r="M332" s="134" t="s">
        <v>4</v>
      </c>
      <c r="N332" s="134" t="s">
        <v>5</v>
      </c>
      <c r="O332" s="194">
        <v>45770</v>
      </c>
      <c r="P332" s="144" t="s">
        <v>24</v>
      </c>
      <c r="Q332" s="144" t="s">
        <v>24</v>
      </c>
      <c r="R332" s="144" t="s">
        <v>24</v>
      </c>
      <c r="S332" s="144" t="s">
        <v>24</v>
      </c>
      <c r="T332" s="144" t="s">
        <v>24</v>
      </c>
      <c r="U332" s="144" t="s">
        <v>24</v>
      </c>
      <c r="V332" s="144" t="s">
        <v>24</v>
      </c>
      <c r="W332" s="144" t="s">
        <v>24</v>
      </c>
      <c r="X332" s="144" t="s">
        <v>24</v>
      </c>
      <c r="Y332" s="144" t="s">
        <v>24</v>
      </c>
      <c r="Z332" s="144" t="s">
        <v>24</v>
      </c>
      <c r="AA332" s="149"/>
      <c r="AB332" s="152" t="s">
        <v>1717</v>
      </c>
      <c r="AC332" s="152" t="s">
        <v>1718</v>
      </c>
      <c r="AD332" s="152" t="s">
        <v>1719</v>
      </c>
      <c r="AE332" s="134" t="s">
        <v>287</v>
      </c>
      <c r="AF332" s="149" t="s">
        <v>4</v>
      </c>
      <c r="AG332" s="208">
        <v>33721.47</v>
      </c>
      <c r="AH332" s="208">
        <v>60000</v>
      </c>
      <c r="AI332" s="214" t="s">
        <v>6</v>
      </c>
      <c r="AJ332" s="138" t="s">
        <v>109</v>
      </c>
      <c r="AK332" s="214">
        <v>114956533</v>
      </c>
      <c r="AL332" s="149" t="s">
        <v>110</v>
      </c>
      <c r="AM332" s="149" t="s">
        <v>110</v>
      </c>
      <c r="AN332" s="149" t="s">
        <v>111</v>
      </c>
      <c r="AO332" s="149"/>
      <c r="AP332" s="152" t="s">
        <v>1720</v>
      </c>
      <c r="AQ332" s="149" t="s">
        <v>110</v>
      </c>
      <c r="AR332" s="149" t="s">
        <v>110</v>
      </c>
      <c r="AS332" s="198" t="s">
        <v>110</v>
      </c>
      <c r="AT332" s="198" t="s">
        <v>110</v>
      </c>
      <c r="AU332" s="194">
        <v>45834</v>
      </c>
      <c r="AV332" s="198" t="s">
        <v>110</v>
      </c>
      <c r="AW332" s="198" t="s">
        <v>110</v>
      </c>
      <c r="AX332" s="194">
        <v>45842</v>
      </c>
      <c r="AY332" s="197">
        <v>45842</v>
      </c>
      <c r="AZ332" s="145" t="s">
        <v>33</v>
      </c>
      <c r="BA332" s="145" t="s">
        <v>113</v>
      </c>
      <c r="BB332" s="149" t="s">
        <v>110</v>
      </c>
      <c r="BC332" s="142">
        <f t="shared" si="15"/>
        <v>72</v>
      </c>
      <c r="BD332" s="134" t="str">
        <f t="shared" si="13"/>
        <v>INDENIZAÇÃO</v>
      </c>
      <c r="BE332" s="134" t="str">
        <f t="shared" si="14"/>
        <v>NÃO</v>
      </c>
      <c r="BF332" s="134" t="s">
        <v>24</v>
      </c>
      <c r="BG332" s="134" t="s">
        <v>24</v>
      </c>
      <c r="BH332" s="134" t="s">
        <v>24</v>
      </c>
      <c r="BI332" s="198" t="s">
        <v>110</v>
      </c>
      <c r="BJ332" s="198" t="s">
        <v>110</v>
      </c>
      <c r="BK332" s="194">
        <v>45859</v>
      </c>
      <c r="BL332" s="149" t="s">
        <v>110</v>
      </c>
      <c r="BM332" s="141" t="s">
        <v>33</v>
      </c>
      <c r="BN332" s="149"/>
      <c r="BO332" s="149"/>
      <c r="BP332" s="149"/>
      <c r="BQ332" s="149"/>
      <c r="BR332" s="149"/>
      <c r="BS332" s="149"/>
      <c r="BT332" s="149"/>
      <c r="BU332" s="149"/>
      <c r="BV332" s="149"/>
      <c r="BW332" s="149"/>
      <c r="BX332" s="149"/>
      <c r="BY332" s="149"/>
      <c r="BZ332" s="149"/>
      <c r="CA332" s="149"/>
      <c r="CB332" s="149"/>
      <c r="CC332" s="149"/>
      <c r="CD332" s="149"/>
      <c r="CE332" s="149"/>
      <c r="CF332" s="149"/>
      <c r="CG332" s="149"/>
      <c r="CH332" s="149"/>
      <c r="CI332" s="200"/>
      <c r="CJ332" s="149"/>
      <c r="CK332" s="149"/>
      <c r="CL332" s="149"/>
      <c r="CM332" s="149"/>
    </row>
    <row r="333" spans="1:91" ht="30" customHeight="1">
      <c r="A333" s="134">
        <v>319</v>
      </c>
      <c r="B333" s="134" t="s">
        <v>99</v>
      </c>
      <c r="C333" s="134">
        <v>2</v>
      </c>
      <c r="D333" s="134" t="s">
        <v>100</v>
      </c>
      <c r="E333" s="134" t="s">
        <v>100</v>
      </c>
      <c r="F333" s="216" t="s">
        <v>1721</v>
      </c>
      <c r="G333" s="149" t="s">
        <v>10</v>
      </c>
      <c r="H333" s="149" t="s">
        <v>2</v>
      </c>
      <c r="I333" s="149" t="s">
        <v>3</v>
      </c>
      <c r="J333" s="152" t="s">
        <v>1722</v>
      </c>
      <c r="K333" s="152" t="s">
        <v>1723</v>
      </c>
      <c r="L333" s="152" t="s">
        <v>1724</v>
      </c>
      <c r="M333" s="134" t="s">
        <v>4</v>
      </c>
      <c r="N333" s="134" t="s">
        <v>5</v>
      </c>
      <c r="O333" s="194">
        <v>46168</v>
      </c>
      <c r="P333" s="144" t="s">
        <v>24</v>
      </c>
      <c r="Q333" s="144" t="s">
        <v>24</v>
      </c>
      <c r="R333" s="144" t="s">
        <v>24</v>
      </c>
      <c r="S333" s="144" t="s">
        <v>24</v>
      </c>
      <c r="T333" s="144" t="s">
        <v>24</v>
      </c>
      <c r="U333" s="144" t="s">
        <v>24</v>
      </c>
      <c r="V333" s="144" t="s">
        <v>24</v>
      </c>
      <c r="W333" s="144" t="s">
        <v>24</v>
      </c>
      <c r="X333" s="144" t="s">
        <v>24</v>
      </c>
      <c r="Y333" s="144" t="s">
        <v>24</v>
      </c>
      <c r="Z333" s="144" t="s">
        <v>24</v>
      </c>
      <c r="AA333" s="149"/>
      <c r="AB333" s="152" t="s">
        <v>1722</v>
      </c>
      <c r="AC333" s="152" t="s">
        <v>1723</v>
      </c>
      <c r="AD333" s="152" t="s">
        <v>1724</v>
      </c>
      <c r="AE333" s="134" t="s">
        <v>287</v>
      </c>
      <c r="AF333" s="149" t="s">
        <v>4</v>
      </c>
      <c r="AG333" s="208">
        <v>45667.97</v>
      </c>
      <c r="AH333" s="208">
        <v>60000</v>
      </c>
      <c r="AI333" s="214" t="s">
        <v>6</v>
      </c>
      <c r="AJ333" s="138" t="s">
        <v>109</v>
      </c>
      <c r="AK333" s="214">
        <v>155558100</v>
      </c>
      <c r="AL333" s="134" t="s">
        <v>110</v>
      </c>
      <c r="AM333" s="134" t="s">
        <v>110</v>
      </c>
      <c r="AN333" s="149" t="s">
        <v>111</v>
      </c>
      <c r="AO333" s="273"/>
      <c r="AP333" s="199" t="s">
        <v>1725</v>
      </c>
      <c r="AQ333" s="198" t="s">
        <v>125</v>
      </c>
      <c r="AR333" s="149"/>
      <c r="AS333" s="198"/>
      <c r="AT333" s="198"/>
      <c r="AU333" s="194"/>
      <c r="AV333" s="198"/>
      <c r="AW333" s="198"/>
      <c r="AX333" s="194"/>
      <c r="AY333" s="197"/>
      <c r="AZ333" s="145"/>
      <c r="BA333" s="145"/>
      <c r="BB333" s="149"/>
      <c r="BC333" s="142" t="str">
        <f t="shared" si="15"/>
        <v/>
      </c>
      <c r="BD333" s="134" t="str">
        <f t="shared" si="13"/>
        <v>INDENIZAÇÃO</v>
      </c>
      <c r="BE333" s="134" t="str">
        <f t="shared" si="14"/>
        <v>NÃO</v>
      </c>
      <c r="BF333" s="134"/>
      <c r="BG333" s="134"/>
      <c r="BH333" s="134"/>
      <c r="BI333" s="198"/>
      <c r="BJ333" s="198"/>
      <c r="BK333" s="194"/>
      <c r="BL333" s="149"/>
      <c r="BM333" s="141"/>
      <c r="BN333" s="149"/>
      <c r="BO333" s="149"/>
      <c r="BP333" s="149"/>
      <c r="BQ333" s="149"/>
      <c r="BR333" s="149"/>
      <c r="BS333" s="149"/>
      <c r="BT333" s="149"/>
      <c r="BU333" s="149"/>
      <c r="BV333" s="149"/>
      <c r="BW333" s="149"/>
      <c r="BX333" s="149"/>
      <c r="BY333" s="149"/>
      <c r="BZ333" s="149"/>
      <c r="CA333" s="149"/>
      <c r="CB333" s="149"/>
      <c r="CC333" s="149"/>
      <c r="CD333" s="149"/>
      <c r="CE333" s="149"/>
      <c r="CF333" s="149"/>
      <c r="CG333" s="149"/>
      <c r="CH333" s="149"/>
      <c r="CI333" s="200"/>
      <c r="CJ333" s="149"/>
      <c r="CK333" s="149"/>
      <c r="CL333" s="149"/>
      <c r="CM333" s="149"/>
    </row>
    <row r="334" spans="1:91" ht="30" customHeight="1">
      <c r="A334" s="134">
        <v>320</v>
      </c>
      <c r="B334" s="134" t="s">
        <v>99</v>
      </c>
      <c r="C334" s="134">
        <v>2</v>
      </c>
      <c r="D334" s="134" t="s">
        <v>100</v>
      </c>
      <c r="E334" s="134" t="s">
        <v>100</v>
      </c>
      <c r="F334" s="138" t="s">
        <v>1726</v>
      </c>
      <c r="G334" s="149" t="s">
        <v>102</v>
      </c>
      <c r="H334" s="149" t="s">
        <v>103</v>
      </c>
      <c r="I334" s="149" t="s">
        <v>104</v>
      </c>
      <c r="J334" s="152" t="s">
        <v>1727</v>
      </c>
      <c r="K334" s="152" t="s">
        <v>1728</v>
      </c>
      <c r="L334" s="152" t="s">
        <v>1729</v>
      </c>
      <c r="M334" s="134" t="s">
        <v>4</v>
      </c>
      <c r="N334" s="134" t="s">
        <v>5</v>
      </c>
      <c r="O334" s="274">
        <v>46140</v>
      </c>
      <c r="P334" s="139" t="s">
        <v>24</v>
      </c>
      <c r="Q334" s="139" t="s">
        <v>24</v>
      </c>
      <c r="R334" s="139" t="s">
        <v>24</v>
      </c>
      <c r="S334" s="139" t="s">
        <v>24</v>
      </c>
      <c r="T334" s="139" t="s">
        <v>24</v>
      </c>
      <c r="U334" s="139" t="s">
        <v>24</v>
      </c>
      <c r="V334" s="139" t="s">
        <v>24</v>
      </c>
      <c r="W334" s="139" t="s">
        <v>24</v>
      </c>
      <c r="X334" s="139" t="s">
        <v>24</v>
      </c>
      <c r="Y334" s="139" t="s">
        <v>24</v>
      </c>
      <c r="Z334" s="139" t="s">
        <v>24</v>
      </c>
      <c r="AA334" s="273"/>
      <c r="AB334" s="152" t="s">
        <v>1727</v>
      </c>
      <c r="AC334" s="152" t="s">
        <v>1728</v>
      </c>
      <c r="AD334" s="152" t="s">
        <v>1729</v>
      </c>
      <c r="AE334" s="149" t="s">
        <v>108</v>
      </c>
      <c r="AF334" s="134" t="s">
        <v>4</v>
      </c>
      <c r="AG334" s="208">
        <v>4741.1499999999996</v>
      </c>
      <c r="AH334" s="208">
        <v>34741.15</v>
      </c>
      <c r="AI334" s="273" t="s">
        <v>6</v>
      </c>
      <c r="AJ334" s="138" t="s">
        <v>109</v>
      </c>
      <c r="AK334" s="198">
        <v>153151246</v>
      </c>
      <c r="AL334" s="134" t="s">
        <v>110</v>
      </c>
      <c r="AM334" s="134" t="s">
        <v>110</v>
      </c>
      <c r="AN334" s="273" t="s">
        <v>111</v>
      </c>
      <c r="AO334" s="273"/>
      <c r="AP334" s="199" t="s">
        <v>1730</v>
      </c>
      <c r="AQ334" s="149" t="s">
        <v>110</v>
      </c>
      <c r="AR334" s="149" t="s">
        <v>110</v>
      </c>
      <c r="AS334" s="149" t="s">
        <v>110</v>
      </c>
      <c r="AT334" s="149" t="s">
        <v>110</v>
      </c>
      <c r="AU334" s="194">
        <v>46182</v>
      </c>
      <c r="AV334" s="149" t="s">
        <v>110</v>
      </c>
      <c r="AW334" s="149" t="s">
        <v>110</v>
      </c>
      <c r="AX334" s="194">
        <v>46203</v>
      </c>
      <c r="AY334" s="197">
        <v>46203</v>
      </c>
      <c r="AZ334" s="197" t="s">
        <v>33</v>
      </c>
      <c r="BA334" s="145" t="s">
        <v>113</v>
      </c>
      <c r="BB334" s="149" t="s">
        <v>110</v>
      </c>
      <c r="BC334" s="142">
        <f t="shared" si="15"/>
        <v>63</v>
      </c>
      <c r="BD334" s="134" t="str">
        <f t="shared" si="13"/>
        <v>INDENIZAÇÃO</v>
      </c>
      <c r="BE334" s="134" t="str">
        <f t="shared" si="14"/>
        <v>NÃO</v>
      </c>
      <c r="BF334" s="149" t="s">
        <v>24</v>
      </c>
      <c r="BG334" s="149" t="s">
        <v>24</v>
      </c>
      <c r="BH334" s="149" t="s">
        <v>24</v>
      </c>
      <c r="BI334" s="145" t="s">
        <v>189</v>
      </c>
      <c r="BJ334" s="145"/>
      <c r="BK334" s="145"/>
      <c r="BL334" s="145"/>
      <c r="BM334" s="145"/>
      <c r="BN334" s="149"/>
      <c r="BO334" s="149"/>
      <c r="BP334" s="149"/>
      <c r="BQ334" s="149"/>
      <c r="BR334" s="149"/>
      <c r="BS334" s="149"/>
      <c r="BT334" s="149"/>
      <c r="BU334" s="149"/>
      <c r="BV334" s="149"/>
      <c r="BW334" s="149"/>
      <c r="BX334" s="149"/>
      <c r="BY334" s="149"/>
      <c r="BZ334" s="149"/>
      <c r="CA334" s="149"/>
      <c r="CB334" s="149"/>
      <c r="CC334" s="149"/>
      <c r="CD334" s="149"/>
      <c r="CE334" s="149"/>
      <c r="CF334" s="149"/>
      <c r="CG334" s="149"/>
      <c r="CH334" s="149"/>
      <c r="CI334" s="200"/>
      <c r="CJ334" s="149"/>
      <c r="CK334" s="149"/>
      <c r="CL334" s="149"/>
      <c r="CM334" s="149"/>
    </row>
    <row r="335" spans="1:91" ht="30" customHeight="1">
      <c r="A335" s="134">
        <v>321</v>
      </c>
      <c r="B335" s="134" t="s">
        <v>99</v>
      </c>
      <c r="C335" s="134">
        <v>2</v>
      </c>
      <c r="D335" s="134" t="s">
        <v>100</v>
      </c>
      <c r="E335" s="134" t="s">
        <v>100</v>
      </c>
      <c r="F335" s="216" t="s">
        <v>1731</v>
      </c>
      <c r="G335" s="149" t="s">
        <v>102</v>
      </c>
      <c r="H335" s="149" t="s">
        <v>103</v>
      </c>
      <c r="I335" s="149" t="s">
        <v>12</v>
      </c>
      <c r="J335" s="152" t="s">
        <v>1732</v>
      </c>
      <c r="K335" s="152" t="s">
        <v>1733</v>
      </c>
      <c r="L335" s="152" t="s">
        <v>1734</v>
      </c>
      <c r="M335" s="134" t="s">
        <v>4</v>
      </c>
      <c r="N335" s="134" t="s">
        <v>5</v>
      </c>
      <c r="O335" s="194">
        <v>46191</v>
      </c>
      <c r="P335" s="144" t="s">
        <v>24</v>
      </c>
      <c r="Q335" s="144" t="s">
        <v>24</v>
      </c>
      <c r="R335" s="144" t="s">
        <v>24</v>
      </c>
      <c r="S335" s="144" t="s">
        <v>24</v>
      </c>
      <c r="T335" s="144" t="s">
        <v>24</v>
      </c>
      <c r="U335" s="144" t="s">
        <v>24</v>
      </c>
      <c r="V335" s="144" t="s">
        <v>24</v>
      </c>
      <c r="W335" s="144" t="s">
        <v>24</v>
      </c>
      <c r="X335" s="144" t="s">
        <v>24</v>
      </c>
      <c r="Y335" s="144" t="s">
        <v>24</v>
      </c>
      <c r="Z335" s="144" t="s">
        <v>24</v>
      </c>
      <c r="AA335" s="149"/>
      <c r="AB335" s="152" t="s">
        <v>1732</v>
      </c>
      <c r="AC335" s="152" t="s">
        <v>1733</v>
      </c>
      <c r="AD335" s="152" t="s">
        <v>1734</v>
      </c>
      <c r="AE335" s="149" t="s">
        <v>108</v>
      </c>
      <c r="AF335" s="149" t="s">
        <v>4</v>
      </c>
      <c r="AG335" s="208">
        <v>21302.080000000002</v>
      </c>
      <c r="AH335" s="208">
        <v>51302.080000000002</v>
      </c>
      <c r="AI335" s="214" t="s">
        <v>6</v>
      </c>
      <c r="AJ335" s="138" t="s">
        <v>109</v>
      </c>
      <c r="AK335" s="308">
        <v>155558260</v>
      </c>
      <c r="AL335" s="134" t="s">
        <v>110</v>
      </c>
      <c r="AM335" s="134" t="s">
        <v>110</v>
      </c>
      <c r="AN335" s="149" t="s">
        <v>111</v>
      </c>
      <c r="AO335" s="273"/>
      <c r="AP335" s="199" t="s">
        <v>1735</v>
      </c>
      <c r="AQ335" s="198" t="s">
        <v>125</v>
      </c>
      <c r="AR335" s="149"/>
      <c r="AS335" s="149" t="s">
        <v>126</v>
      </c>
      <c r="AT335" s="145"/>
      <c r="AU335" s="302"/>
      <c r="AV335" s="145"/>
      <c r="AW335" s="145"/>
      <c r="AX335" s="302"/>
      <c r="AY335" s="197"/>
      <c r="AZ335" s="145"/>
      <c r="BA335" s="145"/>
      <c r="BB335" s="149"/>
      <c r="BC335" s="142" t="str">
        <f t="shared" si="15"/>
        <v/>
      </c>
      <c r="BD335" s="134" t="str">
        <f t="shared" si="13"/>
        <v>INDENIZAÇÃO</v>
      </c>
      <c r="BE335" s="134" t="str">
        <f>IF(AND(AY335&lt;&gt;"AGUARDANDO",AY335&lt;&gt;"",N287="AUXÍLIO ALUGUEL ATÉ INDENIZAÇÃO"),"SIM","NÃO")</f>
        <v>NÃO</v>
      </c>
      <c r="BF335" s="134"/>
      <c r="BG335" s="134"/>
      <c r="BH335" s="134"/>
      <c r="BI335" s="198"/>
      <c r="BJ335" s="198"/>
      <c r="BK335" s="194"/>
      <c r="BL335" s="149"/>
      <c r="BM335" s="141"/>
      <c r="BN335" s="149"/>
      <c r="BO335" s="149"/>
      <c r="BP335" s="149"/>
      <c r="BQ335" s="149"/>
      <c r="BR335" s="149"/>
      <c r="BS335" s="149"/>
      <c r="BT335" s="149"/>
      <c r="BU335" s="149"/>
      <c r="BV335" s="149"/>
      <c r="BW335" s="149"/>
      <c r="BX335" s="149"/>
      <c r="BY335" s="149"/>
      <c r="BZ335" s="149"/>
      <c r="CA335" s="149"/>
      <c r="CB335" s="149"/>
      <c r="CC335" s="149"/>
      <c r="CD335" s="149"/>
      <c r="CE335" s="149"/>
      <c r="CF335" s="149"/>
      <c r="CG335" s="149"/>
      <c r="CH335" s="149"/>
      <c r="CI335" s="200"/>
      <c r="CJ335" s="149"/>
      <c r="CK335" s="149"/>
      <c r="CL335" s="149"/>
      <c r="CM335" s="149"/>
    </row>
    <row r="336" spans="1:91" ht="30" customHeight="1">
      <c r="A336" s="134">
        <v>322</v>
      </c>
      <c r="B336" s="134" t="s">
        <v>99</v>
      </c>
      <c r="C336" s="134">
        <v>2</v>
      </c>
      <c r="D336" s="134" t="s">
        <v>100</v>
      </c>
      <c r="E336" s="134" t="s">
        <v>100</v>
      </c>
      <c r="F336" s="216" t="s">
        <v>1736</v>
      </c>
      <c r="G336" s="149" t="s">
        <v>102</v>
      </c>
      <c r="H336" s="149" t="s">
        <v>103</v>
      </c>
      <c r="I336" s="149" t="s">
        <v>12</v>
      </c>
      <c r="J336" s="152" t="s">
        <v>1737</v>
      </c>
      <c r="K336" s="152" t="s">
        <v>1738</v>
      </c>
      <c r="L336" s="152" t="s">
        <v>1739</v>
      </c>
      <c r="M336" s="134" t="s">
        <v>4</v>
      </c>
      <c r="N336" s="134" t="s">
        <v>5</v>
      </c>
      <c r="O336" s="194">
        <v>46168</v>
      </c>
      <c r="P336" s="144" t="s">
        <v>24</v>
      </c>
      <c r="Q336" s="144" t="s">
        <v>24</v>
      </c>
      <c r="R336" s="144" t="s">
        <v>24</v>
      </c>
      <c r="S336" s="144" t="s">
        <v>24</v>
      </c>
      <c r="T336" s="144" t="s">
        <v>24</v>
      </c>
      <c r="U336" s="144" t="s">
        <v>24</v>
      </c>
      <c r="V336" s="144" t="s">
        <v>24</v>
      </c>
      <c r="W336" s="144" t="s">
        <v>24</v>
      </c>
      <c r="X336" s="144" t="s">
        <v>24</v>
      </c>
      <c r="Y336" s="144" t="s">
        <v>24</v>
      </c>
      <c r="Z336" s="144" t="s">
        <v>24</v>
      </c>
      <c r="AA336" s="149"/>
      <c r="AB336" s="152" t="s">
        <v>1737</v>
      </c>
      <c r="AC336" s="152" t="s">
        <v>1738</v>
      </c>
      <c r="AD336" s="152" t="s">
        <v>1739</v>
      </c>
      <c r="AE336" s="149" t="s">
        <v>108</v>
      </c>
      <c r="AF336" s="149" t="s">
        <v>4</v>
      </c>
      <c r="AG336" s="208">
        <v>58113.919999999998</v>
      </c>
      <c r="AH336" s="208">
        <v>60000</v>
      </c>
      <c r="AI336" s="214" t="s">
        <v>6</v>
      </c>
      <c r="AJ336" s="138" t="s">
        <v>109</v>
      </c>
      <c r="AK336" s="308">
        <v>155558397</v>
      </c>
      <c r="AL336" s="134" t="s">
        <v>110</v>
      </c>
      <c r="AM336" s="134" t="s">
        <v>110</v>
      </c>
      <c r="AN336" s="149" t="s">
        <v>111</v>
      </c>
      <c r="AO336" s="273"/>
      <c r="AP336" s="199" t="s">
        <v>1740</v>
      </c>
      <c r="AQ336" s="198" t="s">
        <v>125</v>
      </c>
      <c r="AR336" s="149"/>
      <c r="AS336" s="149"/>
      <c r="AT336" s="145" t="s">
        <v>126</v>
      </c>
      <c r="AU336" s="302"/>
      <c r="AV336" s="145"/>
      <c r="AW336" s="145"/>
      <c r="AX336" s="302"/>
      <c r="AY336" s="197"/>
      <c r="AZ336" s="145"/>
      <c r="BA336" s="145"/>
      <c r="BB336" s="149"/>
      <c r="BC336" s="142" t="str">
        <f t="shared" si="15"/>
        <v/>
      </c>
      <c r="BD336" s="134" t="str">
        <f t="shared" si="13"/>
        <v>INDENIZAÇÃO</v>
      </c>
      <c r="BE336" s="134" t="str">
        <f>IF(AND(AY336&lt;&gt;"AGUARDANDO",AY336&lt;&gt;"",N336="AUXÍLIO ALUGUEL ATÉ INDENIZAÇÃO"),"SIM","NÃO")</f>
        <v>NÃO</v>
      </c>
      <c r="BF336" s="134"/>
      <c r="BG336" s="134"/>
      <c r="BH336" s="134"/>
      <c r="BI336" s="198"/>
      <c r="BJ336" s="198"/>
      <c r="BK336" s="194"/>
      <c r="BL336" s="149"/>
      <c r="BM336" s="141"/>
      <c r="BN336" s="149"/>
      <c r="BO336" s="149"/>
      <c r="BP336" s="149"/>
      <c r="BQ336" s="149"/>
      <c r="BR336" s="149"/>
      <c r="BS336" s="149"/>
      <c r="BT336" s="149"/>
      <c r="BU336" s="149"/>
      <c r="BV336" s="149"/>
      <c r="BW336" s="149"/>
      <c r="BX336" s="149"/>
      <c r="BY336" s="149"/>
      <c r="BZ336" s="149"/>
      <c r="CA336" s="149"/>
      <c r="CB336" s="149"/>
      <c r="CC336" s="149"/>
      <c r="CD336" s="149"/>
      <c r="CE336" s="149"/>
      <c r="CF336" s="149"/>
      <c r="CG336" s="149"/>
      <c r="CH336" s="149"/>
      <c r="CI336" s="200"/>
      <c r="CJ336" s="149"/>
      <c r="CK336" s="149"/>
      <c r="CL336" s="149"/>
      <c r="CM336" s="149"/>
    </row>
    <row r="337" spans="1:91" ht="30" customHeight="1">
      <c r="A337" s="134">
        <v>323</v>
      </c>
      <c r="B337" s="134" t="s">
        <v>99</v>
      </c>
      <c r="C337" s="134">
        <v>1</v>
      </c>
      <c r="D337" s="134" t="s">
        <v>100</v>
      </c>
      <c r="E337" s="134" t="s">
        <v>100</v>
      </c>
      <c r="F337" s="138" t="s">
        <v>1741</v>
      </c>
      <c r="G337" s="149" t="s">
        <v>102</v>
      </c>
      <c r="H337" s="149" t="s">
        <v>103</v>
      </c>
      <c r="I337" s="149" t="s">
        <v>12</v>
      </c>
      <c r="J337" s="152" t="s">
        <v>1742</v>
      </c>
      <c r="K337" s="152" t="s">
        <v>1743</v>
      </c>
      <c r="L337" s="152" t="s">
        <v>1744</v>
      </c>
      <c r="M337" s="134" t="s">
        <v>4</v>
      </c>
      <c r="N337" s="134" t="s">
        <v>5</v>
      </c>
      <c r="O337" s="194">
        <v>46001</v>
      </c>
      <c r="P337" s="144" t="s">
        <v>24</v>
      </c>
      <c r="Q337" s="144" t="s">
        <v>24</v>
      </c>
      <c r="R337" s="144" t="s">
        <v>24</v>
      </c>
      <c r="S337" s="144" t="s">
        <v>24</v>
      </c>
      <c r="T337" s="144" t="s">
        <v>24</v>
      </c>
      <c r="U337" s="144" t="s">
        <v>24</v>
      </c>
      <c r="V337" s="144" t="s">
        <v>24</v>
      </c>
      <c r="W337" s="144" t="s">
        <v>24</v>
      </c>
      <c r="X337" s="144" t="s">
        <v>24</v>
      </c>
      <c r="Y337" s="144" t="s">
        <v>24</v>
      </c>
      <c r="Z337" s="144" t="s">
        <v>24</v>
      </c>
      <c r="AA337" s="149"/>
      <c r="AB337" s="152" t="s">
        <v>1742</v>
      </c>
      <c r="AC337" s="152" t="s">
        <v>1743</v>
      </c>
      <c r="AD337" s="152" t="s">
        <v>1744</v>
      </c>
      <c r="AE337" s="149" t="s">
        <v>108</v>
      </c>
      <c r="AF337" s="149" t="s">
        <v>4</v>
      </c>
      <c r="AG337" s="208">
        <v>51041.06</v>
      </c>
      <c r="AH337" s="208">
        <v>60000</v>
      </c>
      <c r="AI337" s="214" t="s">
        <v>6</v>
      </c>
      <c r="AJ337" s="138" t="s">
        <v>109</v>
      </c>
      <c r="AK337" s="214">
        <v>130628377</v>
      </c>
      <c r="AL337" s="149" t="s">
        <v>110</v>
      </c>
      <c r="AM337" s="149" t="s">
        <v>110</v>
      </c>
      <c r="AN337" s="149" t="s">
        <v>111</v>
      </c>
      <c r="AO337" s="149"/>
      <c r="AP337" s="152" t="s">
        <v>1745</v>
      </c>
      <c r="AQ337" s="149" t="s">
        <v>110</v>
      </c>
      <c r="AR337" s="149" t="s">
        <v>110</v>
      </c>
      <c r="AS337" s="198" t="s">
        <v>110</v>
      </c>
      <c r="AT337" s="198" t="s">
        <v>110</v>
      </c>
      <c r="AU337" s="194">
        <v>46021</v>
      </c>
      <c r="AV337" s="198" t="s">
        <v>110</v>
      </c>
      <c r="AW337" s="198" t="s">
        <v>110</v>
      </c>
      <c r="AX337" s="194">
        <v>46041</v>
      </c>
      <c r="AY337" s="197">
        <v>46041</v>
      </c>
      <c r="AZ337" s="197" t="s">
        <v>33</v>
      </c>
      <c r="BA337" s="145" t="s">
        <v>113</v>
      </c>
      <c r="BB337" s="149" t="s">
        <v>110</v>
      </c>
      <c r="BC337" s="142">
        <f t="shared" si="15"/>
        <v>40</v>
      </c>
      <c r="BD337" s="134" t="str">
        <f t="shared" si="13"/>
        <v>INDENIZAÇÃO</v>
      </c>
      <c r="BE337" s="134" t="str">
        <f>IF(AND(AY337&lt;&gt;"AGUARDANDO",AY337&lt;&gt;"",N337="AUXÍLIO ALUGUEL ATÉ INDENIZAÇÃO"),"SIM","NÃO")</f>
        <v>NÃO</v>
      </c>
      <c r="BF337" s="149" t="s">
        <v>24</v>
      </c>
      <c r="BG337" s="149" t="s">
        <v>24</v>
      </c>
      <c r="BH337" s="149" t="s">
        <v>24</v>
      </c>
      <c r="BI337" s="145" t="s">
        <v>189</v>
      </c>
      <c r="BJ337" s="145"/>
      <c r="BK337" s="145"/>
      <c r="BL337" s="145"/>
      <c r="BM337" s="145"/>
      <c r="BN337" s="149"/>
      <c r="BO337" s="149"/>
      <c r="BP337" s="149"/>
      <c r="BQ337" s="149"/>
      <c r="BR337" s="149"/>
      <c r="BS337" s="149"/>
      <c r="BT337" s="149"/>
      <c r="BU337" s="149"/>
      <c r="BV337" s="149"/>
      <c r="BW337" s="149"/>
      <c r="BX337" s="149"/>
      <c r="BY337" s="149"/>
      <c r="BZ337" s="149"/>
      <c r="CA337" s="149"/>
      <c r="CB337" s="149"/>
      <c r="CC337" s="149"/>
      <c r="CD337" s="149"/>
      <c r="CE337" s="149"/>
      <c r="CF337" s="149"/>
      <c r="CG337" s="149"/>
      <c r="CH337" s="149"/>
      <c r="CI337" s="200"/>
      <c r="CJ337" s="149"/>
      <c r="CK337" s="149"/>
      <c r="CL337" s="149"/>
      <c r="CM337" s="149"/>
    </row>
    <row r="338" spans="1:91" ht="30" customHeight="1">
      <c r="A338" s="134">
        <v>324</v>
      </c>
      <c r="B338" s="134" t="s">
        <v>99</v>
      </c>
      <c r="C338" s="134">
        <v>2</v>
      </c>
      <c r="D338" s="134" t="s">
        <v>100</v>
      </c>
      <c r="E338" s="134" t="s">
        <v>100</v>
      </c>
      <c r="F338" s="152" t="s">
        <v>1746</v>
      </c>
      <c r="G338" s="149" t="s">
        <v>102</v>
      </c>
      <c r="H338" s="149" t="s">
        <v>103</v>
      </c>
      <c r="I338" s="149" t="s">
        <v>12</v>
      </c>
      <c r="J338" s="152" t="s">
        <v>1747</v>
      </c>
      <c r="K338" s="152" t="s">
        <v>1748</v>
      </c>
      <c r="L338" s="152" t="s">
        <v>1749</v>
      </c>
      <c r="M338" s="134" t="s">
        <v>4</v>
      </c>
      <c r="N338" s="134" t="s">
        <v>5</v>
      </c>
      <c r="O338" s="194">
        <v>45894</v>
      </c>
      <c r="P338" s="144" t="s">
        <v>24</v>
      </c>
      <c r="Q338" s="144" t="s">
        <v>24</v>
      </c>
      <c r="R338" s="144" t="s">
        <v>24</v>
      </c>
      <c r="S338" s="144" t="s">
        <v>24</v>
      </c>
      <c r="T338" s="144" t="s">
        <v>24</v>
      </c>
      <c r="U338" s="144" t="s">
        <v>24</v>
      </c>
      <c r="V338" s="144" t="s">
        <v>24</v>
      </c>
      <c r="W338" s="144" t="s">
        <v>24</v>
      </c>
      <c r="X338" s="144" t="s">
        <v>24</v>
      </c>
      <c r="Y338" s="144" t="s">
        <v>24</v>
      </c>
      <c r="Z338" s="144" t="s">
        <v>24</v>
      </c>
      <c r="AA338" s="149"/>
      <c r="AB338" s="152" t="s">
        <v>1747</v>
      </c>
      <c r="AC338" s="152" t="s">
        <v>1748</v>
      </c>
      <c r="AD338" s="152" t="s">
        <v>1749</v>
      </c>
      <c r="AE338" s="149" t="s">
        <v>108</v>
      </c>
      <c r="AF338" s="149" t="s">
        <v>4</v>
      </c>
      <c r="AG338" s="208">
        <v>120411.34</v>
      </c>
      <c r="AH338" s="208">
        <v>120411.34</v>
      </c>
      <c r="AI338" s="214" t="s">
        <v>6</v>
      </c>
      <c r="AJ338" s="138" t="s">
        <v>109</v>
      </c>
      <c r="AK338" s="214">
        <v>128822773</v>
      </c>
      <c r="AL338" s="134" t="s">
        <v>110</v>
      </c>
      <c r="AM338" s="134" t="s">
        <v>110</v>
      </c>
      <c r="AN338" s="273" t="s">
        <v>111</v>
      </c>
      <c r="AO338" s="149"/>
      <c r="AP338" s="199" t="s">
        <v>1750</v>
      </c>
      <c r="AQ338" s="198" t="s">
        <v>110</v>
      </c>
      <c r="AR338" s="198" t="s">
        <v>110</v>
      </c>
      <c r="AS338" s="198" t="s">
        <v>110</v>
      </c>
      <c r="AT338" s="198" t="s">
        <v>110</v>
      </c>
      <c r="AU338" s="274">
        <v>45937</v>
      </c>
      <c r="AV338" s="198" t="s">
        <v>110</v>
      </c>
      <c r="AW338" s="198" t="s">
        <v>110</v>
      </c>
      <c r="AX338" s="274">
        <v>45947</v>
      </c>
      <c r="AY338" s="197">
        <v>45947</v>
      </c>
      <c r="AZ338" s="140" t="s">
        <v>33</v>
      </c>
      <c r="BA338" s="145" t="s">
        <v>113</v>
      </c>
      <c r="BB338" s="198" t="s">
        <v>110</v>
      </c>
      <c r="BC338" s="142">
        <f t="shared" si="15"/>
        <v>53</v>
      </c>
      <c r="BD338" s="134" t="str">
        <f t="shared" si="13"/>
        <v>INDENIZAÇÃO</v>
      </c>
      <c r="BE338" s="134" t="str">
        <f>IF(AND(AY338&lt;&gt;"AGUARDANDO",AY338&lt;&gt;"",N338="AUXÍLIO ALUGUEL ATÉ INDENIZAÇÃO"),"SIM","NÃO")</f>
        <v>NÃO</v>
      </c>
      <c r="BF338" s="198" t="s">
        <v>24</v>
      </c>
      <c r="BG338" s="198" t="s">
        <v>24</v>
      </c>
      <c r="BH338" s="198" t="s">
        <v>24</v>
      </c>
      <c r="BI338" s="145" t="s">
        <v>189</v>
      </c>
      <c r="BJ338" s="145"/>
      <c r="BK338" s="279"/>
      <c r="BL338" s="145"/>
      <c r="BM338" s="145"/>
      <c r="BN338" s="149"/>
      <c r="BO338" s="149"/>
      <c r="BP338" s="149"/>
      <c r="BQ338" s="149"/>
      <c r="BR338" s="149"/>
      <c r="BS338" s="149"/>
      <c r="BT338" s="149"/>
      <c r="BU338" s="149"/>
      <c r="BV338" s="149"/>
      <c r="BW338" s="149"/>
      <c r="BX338" s="149"/>
      <c r="BY338" s="149"/>
      <c r="BZ338" s="149"/>
      <c r="CA338" s="149"/>
      <c r="CB338" s="149"/>
      <c r="CC338" s="149"/>
      <c r="CD338" s="149"/>
      <c r="CE338" s="149"/>
      <c r="CF338" s="149"/>
      <c r="CG338" s="149"/>
      <c r="CH338" s="149"/>
      <c r="CI338" s="200"/>
      <c r="CJ338" s="149"/>
      <c r="CK338" s="149"/>
      <c r="CL338" s="149"/>
      <c r="CM338" s="149"/>
    </row>
    <row r="339" spans="1:91" ht="30" customHeight="1">
      <c r="A339" s="134">
        <v>325</v>
      </c>
      <c r="B339" s="134" t="s">
        <v>99</v>
      </c>
      <c r="C339" s="134">
        <v>1</v>
      </c>
      <c r="D339" s="134" t="s">
        <v>100</v>
      </c>
      <c r="E339" s="134" t="s">
        <v>100</v>
      </c>
      <c r="F339" s="152" t="s">
        <v>1751</v>
      </c>
      <c r="G339" s="149" t="s">
        <v>1</v>
      </c>
      <c r="H339" s="149" t="s">
        <v>2</v>
      </c>
      <c r="I339" s="149" t="s">
        <v>387</v>
      </c>
      <c r="J339" s="152" t="s">
        <v>1752</v>
      </c>
      <c r="K339" s="152" t="s">
        <v>1753</v>
      </c>
      <c r="L339" s="152" t="s">
        <v>1754</v>
      </c>
      <c r="M339" s="134" t="s">
        <v>4</v>
      </c>
      <c r="N339" s="149" t="s">
        <v>14</v>
      </c>
      <c r="O339" s="194">
        <v>46140</v>
      </c>
      <c r="P339" s="197" t="s">
        <v>17</v>
      </c>
      <c r="Q339" s="328"/>
      <c r="R339" s="197"/>
      <c r="S339" s="197"/>
      <c r="T339" s="197"/>
      <c r="U339" s="197"/>
      <c r="V339" s="197"/>
      <c r="W339" s="197"/>
      <c r="X339" s="197"/>
      <c r="Y339" s="197"/>
      <c r="Z339" s="197"/>
      <c r="AA339" s="149"/>
      <c r="AB339" s="152" t="s">
        <v>1755</v>
      </c>
      <c r="AC339" s="152" t="s">
        <v>1753</v>
      </c>
      <c r="AD339" s="152" t="s">
        <v>1754</v>
      </c>
      <c r="AE339" s="134" t="s">
        <v>287</v>
      </c>
      <c r="AF339" s="149" t="s">
        <v>4</v>
      </c>
      <c r="AG339" s="208">
        <v>69479.78</v>
      </c>
      <c r="AH339" s="208">
        <v>69479.78</v>
      </c>
      <c r="AI339" s="214" t="s">
        <v>6</v>
      </c>
      <c r="AJ339" s="138" t="s">
        <v>109</v>
      </c>
      <c r="AK339" s="149">
        <v>153152020</v>
      </c>
      <c r="AL339" s="134" t="s">
        <v>110</v>
      </c>
      <c r="AM339" s="149" t="s">
        <v>110</v>
      </c>
      <c r="AN339" s="273" t="s">
        <v>111</v>
      </c>
      <c r="AO339" s="149"/>
      <c r="AP339" s="152" t="s">
        <v>1756</v>
      </c>
      <c r="AQ339" s="198" t="s">
        <v>110</v>
      </c>
      <c r="AR339" s="198" t="s">
        <v>110</v>
      </c>
      <c r="AS339" s="198" t="s">
        <v>110</v>
      </c>
      <c r="AT339" s="198" t="s">
        <v>110</v>
      </c>
      <c r="AU339" s="194">
        <v>46195</v>
      </c>
      <c r="AV339" s="198" t="s">
        <v>110</v>
      </c>
      <c r="AW339" s="198" t="s">
        <v>110</v>
      </c>
      <c r="AX339" s="194">
        <v>46204</v>
      </c>
      <c r="AY339" s="197">
        <v>46204</v>
      </c>
      <c r="AZ339" s="145" t="s">
        <v>33</v>
      </c>
      <c r="BA339" s="145" t="s">
        <v>113</v>
      </c>
      <c r="BB339" s="149" t="s">
        <v>110</v>
      </c>
      <c r="BC339" s="142">
        <f t="shared" si="15"/>
        <v>64</v>
      </c>
      <c r="BD339" s="134" t="str">
        <f t="shared" si="13"/>
        <v>INDENIZAÇÃO</v>
      </c>
      <c r="BE339" s="134" t="str">
        <f>IF(AND(AY339&lt;&gt;"AGUARDANDO",AY339&lt;&gt;"",N339="AUXÍLIO ALUGUEL ATÉ INDENIZAÇÃO"),"SIM","NÃO")</f>
        <v>NÃO</v>
      </c>
      <c r="BF339" s="149" t="s">
        <v>24</v>
      </c>
      <c r="BG339" s="149" t="s">
        <v>24</v>
      </c>
      <c r="BH339" s="149" t="s">
        <v>24</v>
      </c>
      <c r="BI339" s="145" t="s">
        <v>189</v>
      </c>
      <c r="BJ339" s="145"/>
      <c r="BK339" s="145"/>
      <c r="BL339" s="145"/>
      <c r="BM339" s="145"/>
      <c r="BN339" s="276"/>
      <c r="BO339" s="149"/>
      <c r="BP339" s="149"/>
      <c r="BQ339" s="149"/>
      <c r="BR339" s="149"/>
      <c r="BS339" s="149"/>
      <c r="BT339" s="149"/>
      <c r="BU339" s="149"/>
      <c r="BV339" s="149"/>
      <c r="BW339" s="149"/>
      <c r="BX339" s="149"/>
      <c r="BY339" s="149"/>
      <c r="BZ339" s="149"/>
      <c r="CA339" s="149"/>
      <c r="CB339" s="149"/>
      <c r="CC339" s="149"/>
      <c r="CD339" s="149"/>
      <c r="CE339" s="149"/>
      <c r="CF339" s="149"/>
      <c r="CG339" s="149"/>
      <c r="CH339" s="149"/>
      <c r="CI339" s="200"/>
      <c r="CJ339" s="149"/>
      <c r="CK339" s="149"/>
      <c r="CL339" s="149"/>
      <c r="CM339" s="149"/>
    </row>
    <row r="340" spans="1:91" ht="30" customHeight="1">
      <c r="A340" s="134">
        <v>326</v>
      </c>
      <c r="B340" s="134" t="s">
        <v>99</v>
      </c>
      <c r="C340" s="134">
        <v>2</v>
      </c>
      <c r="D340" s="134" t="s">
        <v>100</v>
      </c>
      <c r="E340" s="134" t="s">
        <v>100</v>
      </c>
      <c r="F340" s="152" t="s">
        <v>1757</v>
      </c>
      <c r="G340" s="149" t="s">
        <v>102</v>
      </c>
      <c r="H340" s="149" t="s">
        <v>2</v>
      </c>
      <c r="I340" s="149" t="s">
        <v>108</v>
      </c>
      <c r="J340" s="152" t="s">
        <v>1758</v>
      </c>
      <c r="K340" s="152" t="s">
        <v>1759</v>
      </c>
      <c r="L340" s="152" t="s">
        <v>1760</v>
      </c>
      <c r="M340" s="134" t="s">
        <v>4</v>
      </c>
      <c r="N340" s="149" t="s">
        <v>5</v>
      </c>
      <c r="O340" s="194">
        <v>46001</v>
      </c>
      <c r="P340" s="144" t="s">
        <v>24</v>
      </c>
      <c r="Q340" s="144" t="s">
        <v>24</v>
      </c>
      <c r="R340" s="144" t="s">
        <v>24</v>
      </c>
      <c r="S340" s="144" t="s">
        <v>24</v>
      </c>
      <c r="T340" s="144" t="s">
        <v>24</v>
      </c>
      <c r="U340" s="144" t="s">
        <v>24</v>
      </c>
      <c r="V340" s="144" t="s">
        <v>24</v>
      </c>
      <c r="W340" s="144" t="s">
        <v>24</v>
      </c>
      <c r="X340" s="144" t="s">
        <v>24</v>
      </c>
      <c r="Y340" s="144" t="s">
        <v>24</v>
      </c>
      <c r="Z340" s="144" t="s">
        <v>24</v>
      </c>
      <c r="AA340" s="149"/>
      <c r="AB340" s="152" t="s">
        <v>1758</v>
      </c>
      <c r="AC340" s="152" t="s">
        <v>1759</v>
      </c>
      <c r="AD340" s="152" t="s">
        <v>1760</v>
      </c>
      <c r="AE340" s="149" t="s">
        <v>108</v>
      </c>
      <c r="AF340" s="149" t="s">
        <v>4</v>
      </c>
      <c r="AG340" s="208">
        <v>25452.85</v>
      </c>
      <c r="AH340" s="208">
        <v>55452.85</v>
      </c>
      <c r="AI340" s="232" t="s">
        <v>6</v>
      </c>
      <c r="AJ340" s="138" t="s">
        <v>109</v>
      </c>
      <c r="AK340" s="149">
        <v>144632409</v>
      </c>
      <c r="AL340" s="198" t="s">
        <v>110</v>
      </c>
      <c r="AM340" s="198" t="s">
        <v>110</v>
      </c>
      <c r="AN340" s="273" t="s">
        <v>111</v>
      </c>
      <c r="AO340" s="149"/>
      <c r="AP340" s="152" t="s">
        <v>1761</v>
      </c>
      <c r="AQ340" s="149" t="s">
        <v>110</v>
      </c>
      <c r="AR340" s="149" t="s">
        <v>110</v>
      </c>
      <c r="AS340" s="149" t="s">
        <v>110</v>
      </c>
      <c r="AT340" s="198" t="s">
        <v>110</v>
      </c>
      <c r="AU340" s="301">
        <v>46087</v>
      </c>
      <c r="AV340" s="149" t="s">
        <v>110</v>
      </c>
      <c r="AW340" s="149" t="s">
        <v>110</v>
      </c>
      <c r="AX340" s="274">
        <v>46097</v>
      </c>
      <c r="AY340" s="197">
        <v>46097</v>
      </c>
      <c r="AZ340" s="145" t="s">
        <v>33</v>
      </c>
      <c r="BA340" s="145" t="s">
        <v>113</v>
      </c>
      <c r="BB340" s="198" t="s">
        <v>110</v>
      </c>
      <c r="BC340" s="142">
        <f t="shared" ref="BC340:BC350" si="16">IF(AY340-KD340=0,"",AY340-O340)</f>
        <v>96</v>
      </c>
      <c r="BD340" s="134" t="str">
        <f t="shared" ref="BD340:BD398" si="17">IF(AND(AI340&lt;&gt;"SIM",AI340="UH"),"AA","INDENIZAÇÃO")</f>
        <v>INDENIZAÇÃO</v>
      </c>
      <c r="BE340" s="134" t="str">
        <f t="shared" ref="BE340:BE367" si="18">IF(AND(AY340&lt;&gt;"AGUARDANDO",AY340&lt;&gt;"",N340="AUXÍLIO ALUGUEL ATÉ INDENIZAÇÃO"),"SIM","NÃO")</f>
        <v>NÃO</v>
      </c>
      <c r="BF340" s="198" t="s">
        <v>24</v>
      </c>
      <c r="BG340" s="198" t="s">
        <v>24</v>
      </c>
      <c r="BH340" s="198" t="s">
        <v>24</v>
      </c>
      <c r="BI340" s="145" t="s">
        <v>189</v>
      </c>
      <c r="BJ340" s="145"/>
      <c r="BK340" s="279"/>
      <c r="BL340" s="145"/>
      <c r="BM340" s="145"/>
      <c r="BN340" s="149"/>
      <c r="BO340" s="149"/>
      <c r="BP340" s="149"/>
      <c r="BQ340" s="149"/>
      <c r="BR340" s="149"/>
      <c r="BS340" s="149"/>
      <c r="BT340" s="149"/>
      <c r="BU340" s="149"/>
      <c r="BV340" s="149"/>
      <c r="BW340" s="149"/>
      <c r="BX340" s="149"/>
      <c r="BY340" s="149"/>
      <c r="BZ340" s="149"/>
      <c r="CA340" s="149"/>
      <c r="CB340" s="149"/>
      <c r="CC340" s="149"/>
      <c r="CD340" s="149"/>
      <c r="CE340" s="149"/>
      <c r="CF340" s="149"/>
      <c r="CG340" s="149"/>
      <c r="CH340" s="149"/>
      <c r="CI340" s="200"/>
      <c r="CJ340" s="149"/>
      <c r="CK340" s="149"/>
      <c r="CL340" s="149"/>
      <c r="CM340" s="149"/>
    </row>
    <row r="341" spans="1:91" ht="30" customHeight="1">
      <c r="A341" s="134">
        <v>327</v>
      </c>
      <c r="B341" s="134" t="s">
        <v>99</v>
      </c>
      <c r="C341" s="134">
        <v>1</v>
      </c>
      <c r="D341" s="134" t="s">
        <v>100</v>
      </c>
      <c r="E341" s="134" t="s">
        <v>100</v>
      </c>
      <c r="F341" s="152" t="s">
        <v>1762</v>
      </c>
      <c r="G341" s="149" t="s">
        <v>102</v>
      </c>
      <c r="H341" s="149" t="s">
        <v>2</v>
      </c>
      <c r="I341" s="149" t="s">
        <v>108</v>
      </c>
      <c r="J341" s="152" t="s">
        <v>1763</v>
      </c>
      <c r="K341" s="152" t="s">
        <v>1764</v>
      </c>
      <c r="L341" s="152" t="s">
        <v>1765</v>
      </c>
      <c r="M341" s="134" t="s">
        <v>4</v>
      </c>
      <c r="N341" s="134" t="s">
        <v>14</v>
      </c>
      <c r="O341" s="194"/>
      <c r="P341" s="144"/>
      <c r="Q341" s="263"/>
      <c r="R341" s="144"/>
      <c r="S341" s="144"/>
      <c r="T341" s="144"/>
      <c r="U341" s="144"/>
      <c r="V341" s="144"/>
      <c r="W341" s="144"/>
      <c r="X341" s="144"/>
      <c r="Y341" s="144"/>
      <c r="Z341" s="144"/>
      <c r="AA341" s="149"/>
      <c r="AB341" s="152" t="s">
        <v>1766</v>
      </c>
      <c r="AC341" s="152" t="s">
        <v>1764</v>
      </c>
      <c r="AD341" s="152" t="s">
        <v>1765</v>
      </c>
      <c r="AE341" s="149" t="s">
        <v>108</v>
      </c>
      <c r="AF341" s="149" t="s">
        <v>4</v>
      </c>
      <c r="AG341" s="208"/>
      <c r="AH341" s="208"/>
      <c r="AI341" s="149"/>
      <c r="AJ341" s="149"/>
      <c r="AK341" s="149"/>
      <c r="AL341" s="149"/>
      <c r="AM341" s="149"/>
      <c r="AN341" s="149"/>
      <c r="AO341" s="149"/>
      <c r="AP341" s="152"/>
      <c r="AQ341" s="149"/>
      <c r="AR341" s="149"/>
      <c r="AS341" s="149"/>
      <c r="AT341" s="149"/>
      <c r="AU341" s="149"/>
      <c r="AV341" s="149"/>
      <c r="AW341" s="149"/>
      <c r="AX341" s="149"/>
      <c r="AY341" s="144"/>
      <c r="AZ341" s="149"/>
      <c r="BA341" s="149"/>
      <c r="BB341" s="149"/>
      <c r="BC341" s="142" t="str">
        <f t="shared" si="16"/>
        <v/>
      </c>
      <c r="BD341" s="134" t="str">
        <f t="shared" si="17"/>
        <v>INDENIZAÇÃO</v>
      </c>
      <c r="BE341" s="134" t="str">
        <f t="shared" si="18"/>
        <v>NÃO</v>
      </c>
      <c r="BF341" s="149"/>
      <c r="BG341" s="194"/>
      <c r="BH341" s="194"/>
      <c r="BI341" s="149"/>
      <c r="BJ341" s="149"/>
      <c r="BK341" s="149"/>
      <c r="BL341" s="149"/>
      <c r="BM341" s="149"/>
      <c r="BN341" s="149"/>
      <c r="BO341" s="149"/>
      <c r="BP341" s="149"/>
      <c r="BQ341" s="149"/>
      <c r="BR341" s="149"/>
      <c r="BS341" s="149"/>
      <c r="BT341" s="149"/>
      <c r="BU341" s="149"/>
      <c r="BV341" s="149"/>
      <c r="BW341" s="149"/>
      <c r="BX341" s="149"/>
      <c r="BY341" s="149"/>
      <c r="BZ341" s="149"/>
      <c r="CA341" s="149"/>
      <c r="CB341" s="149"/>
      <c r="CC341" s="149"/>
      <c r="CD341" s="149"/>
      <c r="CE341" s="149"/>
      <c r="CF341" s="149"/>
      <c r="CG341" s="149"/>
      <c r="CH341" s="149"/>
      <c r="CI341" s="200"/>
      <c r="CJ341" s="149"/>
      <c r="CK341" s="149"/>
      <c r="CL341" s="149"/>
      <c r="CM341" s="149"/>
    </row>
    <row r="342" spans="1:91" ht="30" customHeight="1">
      <c r="A342" s="134">
        <v>328</v>
      </c>
      <c r="B342" s="134" t="s">
        <v>99</v>
      </c>
      <c r="C342" s="134">
        <v>1</v>
      </c>
      <c r="D342" s="134" t="s">
        <v>100</v>
      </c>
      <c r="E342" s="134" t="s">
        <v>100</v>
      </c>
      <c r="F342" s="152" t="s">
        <v>1767</v>
      </c>
      <c r="G342" s="149" t="s">
        <v>102</v>
      </c>
      <c r="H342" s="149" t="s">
        <v>2</v>
      </c>
      <c r="I342" s="149" t="s">
        <v>12</v>
      </c>
      <c r="J342" s="152" t="s">
        <v>1768</v>
      </c>
      <c r="K342" s="152" t="s">
        <v>1769</v>
      </c>
      <c r="L342" s="152" t="s">
        <v>1770</v>
      </c>
      <c r="M342" s="134" t="s">
        <v>4</v>
      </c>
      <c r="N342" s="134" t="s">
        <v>5</v>
      </c>
      <c r="O342" s="194">
        <v>45838</v>
      </c>
      <c r="P342" s="144" t="s">
        <v>24</v>
      </c>
      <c r="Q342" s="144" t="s">
        <v>24</v>
      </c>
      <c r="R342" s="144" t="s">
        <v>24</v>
      </c>
      <c r="S342" s="144" t="s">
        <v>24</v>
      </c>
      <c r="T342" s="144" t="s">
        <v>24</v>
      </c>
      <c r="U342" s="144" t="s">
        <v>24</v>
      </c>
      <c r="V342" s="144" t="s">
        <v>24</v>
      </c>
      <c r="W342" s="144" t="s">
        <v>24</v>
      </c>
      <c r="X342" s="144" t="s">
        <v>24</v>
      </c>
      <c r="Y342" s="144" t="s">
        <v>24</v>
      </c>
      <c r="Z342" s="144" t="s">
        <v>24</v>
      </c>
      <c r="AA342" s="149"/>
      <c r="AB342" s="152" t="s">
        <v>1768</v>
      </c>
      <c r="AC342" s="152" t="s">
        <v>1769</v>
      </c>
      <c r="AD342" s="152" t="s">
        <v>1770</v>
      </c>
      <c r="AE342" s="149" t="s">
        <v>108</v>
      </c>
      <c r="AF342" s="149" t="s">
        <v>4</v>
      </c>
      <c r="AG342" s="208">
        <v>16877.7</v>
      </c>
      <c r="AH342" s="208">
        <v>46877.7</v>
      </c>
      <c r="AI342" s="149" t="s">
        <v>6</v>
      </c>
      <c r="AJ342" s="138" t="s">
        <v>109</v>
      </c>
      <c r="AK342" s="149">
        <v>110364252</v>
      </c>
      <c r="AL342" s="149" t="s">
        <v>110</v>
      </c>
      <c r="AM342" s="149" t="s">
        <v>110</v>
      </c>
      <c r="AN342" s="149" t="s">
        <v>111</v>
      </c>
      <c r="AO342" s="149"/>
      <c r="AP342" s="138" t="s">
        <v>1771</v>
      </c>
      <c r="AQ342" s="198" t="s">
        <v>110</v>
      </c>
      <c r="AR342" s="198" t="s">
        <v>110</v>
      </c>
      <c r="AS342" s="198" t="s">
        <v>110</v>
      </c>
      <c r="AT342" s="198" t="s">
        <v>110</v>
      </c>
      <c r="AU342" s="161">
        <v>45890</v>
      </c>
      <c r="AV342" s="198" t="s">
        <v>110</v>
      </c>
      <c r="AW342" s="198" t="s">
        <v>110</v>
      </c>
      <c r="AX342" s="161">
        <v>45902</v>
      </c>
      <c r="AY342" s="140">
        <v>45902</v>
      </c>
      <c r="AZ342" s="140" t="s">
        <v>33</v>
      </c>
      <c r="BA342" s="141" t="s">
        <v>113</v>
      </c>
      <c r="BB342" s="149" t="s">
        <v>110</v>
      </c>
      <c r="BC342" s="142">
        <f t="shared" si="16"/>
        <v>64</v>
      </c>
      <c r="BD342" s="134" t="str">
        <f t="shared" si="17"/>
        <v>INDENIZAÇÃO</v>
      </c>
      <c r="BE342" s="134" t="str">
        <f t="shared" si="18"/>
        <v>NÃO</v>
      </c>
      <c r="BF342" s="149" t="s">
        <v>24</v>
      </c>
      <c r="BG342" s="149" t="s">
        <v>24</v>
      </c>
      <c r="BH342" s="149" t="s">
        <v>24</v>
      </c>
      <c r="BI342" s="198" t="s">
        <v>110</v>
      </c>
      <c r="BJ342" s="198" t="s">
        <v>110</v>
      </c>
      <c r="BK342" s="161">
        <v>45923</v>
      </c>
      <c r="BL342" s="198" t="s">
        <v>110</v>
      </c>
      <c r="BM342" s="145" t="s">
        <v>33</v>
      </c>
      <c r="BN342" s="149"/>
      <c r="BO342" s="149"/>
      <c r="BP342" s="149"/>
      <c r="BQ342" s="149"/>
      <c r="BR342" s="149"/>
      <c r="BS342" s="149"/>
      <c r="BT342" s="149"/>
      <c r="BU342" s="149"/>
      <c r="BV342" s="149"/>
      <c r="BW342" s="149"/>
      <c r="BX342" s="149"/>
      <c r="BY342" s="149"/>
      <c r="BZ342" s="149"/>
      <c r="CA342" s="149"/>
      <c r="CB342" s="149"/>
      <c r="CC342" s="149"/>
      <c r="CD342" s="149"/>
      <c r="CE342" s="149"/>
      <c r="CF342" s="149"/>
      <c r="CG342" s="149"/>
      <c r="CH342" s="149"/>
      <c r="CI342" s="200"/>
      <c r="CJ342" s="149"/>
      <c r="CK342" s="149"/>
      <c r="CL342" s="149"/>
      <c r="CM342" s="149"/>
    </row>
    <row r="343" spans="1:91" ht="30" customHeight="1">
      <c r="A343" s="134">
        <v>329</v>
      </c>
      <c r="B343" s="245" t="s">
        <v>99</v>
      </c>
      <c r="C343" s="245">
        <v>1</v>
      </c>
      <c r="D343" s="245" t="s">
        <v>100</v>
      </c>
      <c r="E343" s="245" t="s">
        <v>100</v>
      </c>
      <c r="F343" s="253" t="s">
        <v>1772</v>
      </c>
      <c r="G343" s="149" t="s">
        <v>1</v>
      </c>
      <c r="H343" s="149" t="s">
        <v>2</v>
      </c>
      <c r="I343" s="149" t="s">
        <v>108</v>
      </c>
      <c r="J343" s="152" t="s">
        <v>1773</v>
      </c>
      <c r="K343" s="152" t="s">
        <v>1774</v>
      </c>
      <c r="L343" s="152" t="s">
        <v>1775</v>
      </c>
      <c r="M343" s="250" t="s">
        <v>4</v>
      </c>
      <c r="N343" s="250" t="s">
        <v>5</v>
      </c>
      <c r="O343" s="256">
        <v>45702</v>
      </c>
      <c r="P343" s="249" t="s">
        <v>24</v>
      </c>
      <c r="Q343" s="249" t="s">
        <v>24</v>
      </c>
      <c r="R343" s="249" t="s">
        <v>24</v>
      </c>
      <c r="S343" s="249" t="s">
        <v>24</v>
      </c>
      <c r="T343" s="249" t="s">
        <v>24</v>
      </c>
      <c r="U343" s="249" t="s">
        <v>24</v>
      </c>
      <c r="V343" s="249" t="s">
        <v>24</v>
      </c>
      <c r="W343" s="249" t="s">
        <v>24</v>
      </c>
      <c r="X343" s="249" t="s">
        <v>24</v>
      </c>
      <c r="Y343" s="249" t="s">
        <v>24</v>
      </c>
      <c r="Z343" s="249" t="s">
        <v>24</v>
      </c>
      <c r="AA343" s="250"/>
      <c r="AB343" s="152" t="s">
        <v>1776</v>
      </c>
      <c r="AC343" s="152" t="s">
        <v>1774</v>
      </c>
      <c r="AD343" s="152" t="s">
        <v>1775</v>
      </c>
      <c r="AE343" s="149" t="s">
        <v>108</v>
      </c>
      <c r="AF343" s="250" t="s">
        <v>4</v>
      </c>
      <c r="AG343" s="208">
        <v>25351.63</v>
      </c>
      <c r="AH343" s="208">
        <v>55351.63</v>
      </c>
      <c r="AI343" s="250" t="s">
        <v>6</v>
      </c>
      <c r="AJ343" s="246" t="s">
        <v>109</v>
      </c>
      <c r="AK343" s="245">
        <v>110364333</v>
      </c>
      <c r="AL343" s="250" t="s">
        <v>110</v>
      </c>
      <c r="AM343" s="250" t="s">
        <v>110</v>
      </c>
      <c r="AN343" s="250" t="s">
        <v>111</v>
      </c>
      <c r="AO343" s="250"/>
      <c r="AP343" s="253" t="s">
        <v>1777</v>
      </c>
      <c r="AQ343" s="250" t="s">
        <v>110</v>
      </c>
      <c r="AR343" s="250" t="s">
        <v>110</v>
      </c>
      <c r="AS343" s="250" t="s">
        <v>110</v>
      </c>
      <c r="AT343" s="250" t="s">
        <v>110</v>
      </c>
      <c r="AU343" s="256">
        <v>45775</v>
      </c>
      <c r="AV343" s="250" t="s">
        <v>110</v>
      </c>
      <c r="AW343" s="250" t="s">
        <v>110</v>
      </c>
      <c r="AX343" s="256">
        <v>45782</v>
      </c>
      <c r="AY343" s="249">
        <v>45782</v>
      </c>
      <c r="AZ343" s="245" t="s">
        <v>360</v>
      </c>
      <c r="BA343" s="245" t="s">
        <v>1</v>
      </c>
      <c r="BB343" s="250" t="s">
        <v>110</v>
      </c>
      <c r="BC343" s="142">
        <f t="shared" si="16"/>
        <v>80</v>
      </c>
      <c r="BD343" s="134" t="str">
        <f t="shared" si="17"/>
        <v>INDENIZAÇÃO</v>
      </c>
      <c r="BE343" s="134" t="str">
        <f t="shared" si="18"/>
        <v>NÃO</v>
      </c>
      <c r="BF343" s="245" t="s">
        <v>24</v>
      </c>
      <c r="BG343" s="245" t="s">
        <v>24</v>
      </c>
      <c r="BH343" s="245" t="s">
        <v>24</v>
      </c>
      <c r="BI343" s="250" t="s">
        <v>110</v>
      </c>
      <c r="BJ343" s="198" t="s">
        <v>110</v>
      </c>
      <c r="BK343" s="194">
        <v>45859</v>
      </c>
      <c r="BL343" s="149" t="s">
        <v>110</v>
      </c>
      <c r="BM343" s="141" t="s">
        <v>33</v>
      </c>
      <c r="BN343" s="149"/>
      <c r="BO343" s="149"/>
      <c r="BP343" s="149"/>
      <c r="BQ343" s="149"/>
      <c r="BR343" s="149"/>
      <c r="BS343" s="149"/>
      <c r="BT343" s="149"/>
      <c r="BU343" s="149"/>
      <c r="BV343" s="149"/>
      <c r="BW343" s="149"/>
      <c r="BX343" s="149"/>
      <c r="BY343" s="149"/>
      <c r="BZ343" s="149"/>
      <c r="CA343" s="149"/>
      <c r="CB343" s="149"/>
      <c r="CC343" s="149"/>
      <c r="CD343" s="149"/>
      <c r="CE343" s="149"/>
      <c r="CF343" s="149"/>
      <c r="CG343" s="149"/>
      <c r="CH343" s="149"/>
      <c r="CI343" s="200"/>
      <c r="CJ343" s="149"/>
      <c r="CK343" s="149"/>
      <c r="CL343" s="149"/>
      <c r="CM343" s="149"/>
    </row>
    <row r="344" spans="1:91" ht="30" customHeight="1">
      <c r="A344" s="134">
        <v>330</v>
      </c>
      <c r="B344" s="134" t="s">
        <v>99</v>
      </c>
      <c r="C344" s="134">
        <v>1</v>
      </c>
      <c r="D344" s="134" t="s">
        <v>100</v>
      </c>
      <c r="E344" s="134" t="s">
        <v>100</v>
      </c>
      <c r="F344" s="152" t="s">
        <v>1778</v>
      </c>
      <c r="G344" s="149" t="s">
        <v>1</v>
      </c>
      <c r="H344" s="149" t="s">
        <v>2</v>
      </c>
      <c r="I344" s="149" t="s">
        <v>12</v>
      </c>
      <c r="J344" s="152" t="s">
        <v>1779</v>
      </c>
      <c r="K344" s="152" t="s">
        <v>1780</v>
      </c>
      <c r="L344" s="152" t="s">
        <v>1781</v>
      </c>
      <c r="M344" s="134" t="s">
        <v>4</v>
      </c>
      <c r="N344" s="134" t="s">
        <v>14</v>
      </c>
      <c r="O344" s="194"/>
      <c r="P344" s="144"/>
      <c r="Q344" s="263"/>
      <c r="R344" s="144"/>
      <c r="S344" s="144"/>
      <c r="T344" s="144"/>
      <c r="U344" s="144"/>
      <c r="V344" s="144"/>
      <c r="W344" s="144"/>
      <c r="X344" s="144"/>
      <c r="Y344" s="144"/>
      <c r="Z344" s="144"/>
      <c r="AA344" s="149"/>
      <c r="AB344" s="152"/>
      <c r="AC344" s="152"/>
      <c r="AD344" s="152"/>
      <c r="AE344" s="134"/>
      <c r="AF344" s="149"/>
      <c r="AG344" s="208"/>
      <c r="AH344" s="208"/>
      <c r="AI344" s="149"/>
      <c r="AJ344" s="138"/>
      <c r="AK344" s="214"/>
      <c r="AL344" s="149"/>
      <c r="AM344" s="149"/>
      <c r="AN344" s="149"/>
      <c r="AO344" s="149"/>
      <c r="AP344" s="152"/>
      <c r="AQ344" s="149"/>
      <c r="AR344" s="198"/>
      <c r="AS344" s="149"/>
      <c r="AT344" s="145"/>
      <c r="AU344" s="145"/>
      <c r="AV344" s="145"/>
      <c r="AW344" s="145"/>
      <c r="AX344" s="145"/>
      <c r="AY344" s="145"/>
      <c r="AZ344" s="145"/>
      <c r="BA344" s="145"/>
      <c r="BB344" s="149"/>
      <c r="BC344" s="142" t="str">
        <f t="shared" si="16"/>
        <v/>
      </c>
      <c r="BD344" s="134" t="str">
        <f t="shared" si="17"/>
        <v>INDENIZAÇÃO</v>
      </c>
      <c r="BE344" s="134" t="str">
        <f t="shared" si="18"/>
        <v>NÃO</v>
      </c>
      <c r="BF344" s="149"/>
      <c r="BG344" s="194"/>
      <c r="BH344" s="194"/>
      <c r="BI344" s="149"/>
      <c r="BJ344" s="149"/>
      <c r="BK344" s="149"/>
      <c r="BL344" s="149"/>
      <c r="BM344" s="149"/>
      <c r="BN344" s="149"/>
      <c r="BO344" s="149"/>
      <c r="BP344" s="149"/>
      <c r="BQ344" s="149"/>
      <c r="BR344" s="149"/>
      <c r="BS344" s="149"/>
      <c r="BT344" s="149"/>
      <c r="BU344" s="149"/>
      <c r="BV344" s="149"/>
      <c r="BW344" s="149"/>
      <c r="BX344" s="149"/>
      <c r="BY344" s="149"/>
      <c r="BZ344" s="149"/>
      <c r="CA344" s="149"/>
      <c r="CB344" s="149"/>
      <c r="CC344" s="149"/>
      <c r="CD344" s="149"/>
      <c r="CE344" s="149"/>
      <c r="CF344" s="149"/>
      <c r="CG344" s="149"/>
      <c r="CH344" s="149"/>
      <c r="CI344" s="200"/>
      <c r="CJ344" s="149"/>
      <c r="CK344" s="149"/>
      <c r="CL344" s="149"/>
      <c r="CM344" s="149"/>
    </row>
    <row r="345" spans="1:91" ht="30" customHeight="1">
      <c r="A345" s="134">
        <v>331</v>
      </c>
      <c r="B345" s="134" t="s">
        <v>99</v>
      </c>
      <c r="C345" s="134">
        <v>1</v>
      </c>
      <c r="D345" s="134" t="s">
        <v>100</v>
      </c>
      <c r="E345" s="134" t="s">
        <v>100</v>
      </c>
      <c r="F345" s="152" t="s">
        <v>1782</v>
      </c>
      <c r="G345" s="149" t="s">
        <v>1</v>
      </c>
      <c r="H345" s="149" t="s">
        <v>2</v>
      </c>
      <c r="I345" s="149" t="s">
        <v>108</v>
      </c>
      <c r="J345" s="152" t="s">
        <v>1783</v>
      </c>
      <c r="K345" s="152" t="s">
        <v>1784</v>
      </c>
      <c r="L345" s="152" t="s">
        <v>1785</v>
      </c>
      <c r="M345" s="149" t="s">
        <v>4</v>
      </c>
      <c r="N345" s="149" t="s">
        <v>5</v>
      </c>
      <c r="O345" s="194">
        <v>45702</v>
      </c>
      <c r="P345" s="144" t="s">
        <v>24</v>
      </c>
      <c r="Q345" s="144" t="s">
        <v>24</v>
      </c>
      <c r="R345" s="144" t="s">
        <v>24</v>
      </c>
      <c r="S345" s="144" t="s">
        <v>24</v>
      </c>
      <c r="T345" s="144" t="s">
        <v>24</v>
      </c>
      <c r="U345" s="144" t="s">
        <v>24</v>
      </c>
      <c r="V345" s="144" t="s">
        <v>24</v>
      </c>
      <c r="W345" s="144" t="s">
        <v>24</v>
      </c>
      <c r="X345" s="144" t="s">
        <v>24</v>
      </c>
      <c r="Y345" s="144" t="s">
        <v>24</v>
      </c>
      <c r="Z345" s="144" t="s">
        <v>24</v>
      </c>
      <c r="AA345" s="149"/>
      <c r="AB345" s="152" t="s">
        <v>1783</v>
      </c>
      <c r="AC345" s="152" t="s">
        <v>1784</v>
      </c>
      <c r="AD345" s="152" t="s">
        <v>1785</v>
      </c>
      <c r="AE345" s="149" t="s">
        <v>108</v>
      </c>
      <c r="AF345" s="149" t="s">
        <v>4</v>
      </c>
      <c r="AG345" s="208">
        <v>81374.960000000006</v>
      </c>
      <c r="AH345" s="208">
        <v>81374.960000000006</v>
      </c>
      <c r="AI345" s="149" t="s">
        <v>6</v>
      </c>
      <c r="AJ345" s="138" t="s">
        <v>109</v>
      </c>
      <c r="AK345" s="214">
        <v>110364456</v>
      </c>
      <c r="AL345" s="149" t="s">
        <v>110</v>
      </c>
      <c r="AM345" s="149" t="s">
        <v>110</v>
      </c>
      <c r="AN345" s="149" t="s">
        <v>111</v>
      </c>
      <c r="AO345" s="149"/>
      <c r="AP345" s="152" t="s">
        <v>1786</v>
      </c>
      <c r="AQ345" s="149" t="s">
        <v>110</v>
      </c>
      <c r="AR345" s="198" t="s">
        <v>110</v>
      </c>
      <c r="AS345" s="149" t="s">
        <v>110</v>
      </c>
      <c r="AT345" s="198" t="s">
        <v>110</v>
      </c>
      <c r="AU345" s="194">
        <v>45806</v>
      </c>
      <c r="AV345" s="198" t="s">
        <v>110</v>
      </c>
      <c r="AW345" s="198" t="s">
        <v>110</v>
      </c>
      <c r="AX345" s="194">
        <v>45812</v>
      </c>
      <c r="AY345" s="197">
        <v>45812</v>
      </c>
      <c r="AZ345" s="145" t="s">
        <v>33</v>
      </c>
      <c r="BA345" s="145" t="s">
        <v>113</v>
      </c>
      <c r="BB345" s="149" t="s">
        <v>110</v>
      </c>
      <c r="BC345" s="142">
        <f t="shared" si="16"/>
        <v>110</v>
      </c>
      <c r="BD345" s="134" t="str">
        <f t="shared" si="17"/>
        <v>INDENIZAÇÃO</v>
      </c>
      <c r="BE345" s="134" t="str">
        <f t="shared" si="18"/>
        <v>NÃO</v>
      </c>
      <c r="BF345" s="134" t="s">
        <v>24</v>
      </c>
      <c r="BG345" s="134" t="s">
        <v>24</v>
      </c>
      <c r="BH345" s="134" t="s">
        <v>24</v>
      </c>
      <c r="BI345" s="198" t="s">
        <v>110</v>
      </c>
      <c r="BJ345" s="198" t="s">
        <v>110</v>
      </c>
      <c r="BK345" s="194">
        <v>45859</v>
      </c>
      <c r="BL345" s="149" t="s">
        <v>110</v>
      </c>
      <c r="BM345" s="141" t="s">
        <v>33</v>
      </c>
      <c r="BN345" s="149"/>
      <c r="BO345" s="149"/>
      <c r="BP345" s="149"/>
      <c r="BQ345" s="149"/>
      <c r="BR345" s="149"/>
      <c r="BS345" s="149"/>
      <c r="BT345" s="149"/>
      <c r="BU345" s="149"/>
      <c r="BV345" s="149"/>
      <c r="BW345" s="149"/>
      <c r="BX345" s="149"/>
      <c r="BY345" s="149"/>
      <c r="BZ345" s="149"/>
      <c r="CA345" s="149"/>
      <c r="CB345" s="149"/>
      <c r="CC345" s="149"/>
      <c r="CD345" s="149"/>
      <c r="CE345" s="149"/>
      <c r="CF345" s="149"/>
      <c r="CG345" s="149"/>
      <c r="CH345" s="149"/>
      <c r="CI345" s="200"/>
      <c r="CJ345" s="149"/>
      <c r="CK345" s="149"/>
      <c r="CL345" s="149"/>
      <c r="CM345" s="149"/>
    </row>
    <row r="346" spans="1:91" ht="30" customHeight="1">
      <c r="A346" s="134">
        <v>332</v>
      </c>
      <c r="B346" s="134" t="s">
        <v>99</v>
      </c>
      <c r="C346" s="134">
        <v>1</v>
      </c>
      <c r="D346" s="134" t="s">
        <v>100</v>
      </c>
      <c r="E346" s="134" t="s">
        <v>100</v>
      </c>
      <c r="F346" s="152" t="s">
        <v>1787</v>
      </c>
      <c r="G346" s="149" t="s">
        <v>1</v>
      </c>
      <c r="H346" s="149" t="s">
        <v>2</v>
      </c>
      <c r="I346" s="149" t="s">
        <v>108</v>
      </c>
      <c r="J346" s="152" t="s">
        <v>1788</v>
      </c>
      <c r="K346" s="152" t="s">
        <v>1789</v>
      </c>
      <c r="L346" s="152" t="s">
        <v>1790</v>
      </c>
      <c r="M346" s="149" t="s">
        <v>4</v>
      </c>
      <c r="N346" s="149" t="s">
        <v>5</v>
      </c>
      <c r="O346" s="194">
        <v>45702</v>
      </c>
      <c r="P346" s="144" t="s">
        <v>24</v>
      </c>
      <c r="Q346" s="144" t="s">
        <v>24</v>
      </c>
      <c r="R346" s="144" t="s">
        <v>24</v>
      </c>
      <c r="S346" s="144" t="s">
        <v>24</v>
      </c>
      <c r="T346" s="144" t="s">
        <v>24</v>
      </c>
      <c r="U346" s="144" t="s">
        <v>24</v>
      </c>
      <c r="V346" s="144" t="s">
        <v>24</v>
      </c>
      <c r="W346" s="144" t="s">
        <v>24</v>
      </c>
      <c r="X346" s="144" t="s">
        <v>24</v>
      </c>
      <c r="Y346" s="144" t="s">
        <v>24</v>
      </c>
      <c r="Z346" s="144" t="s">
        <v>24</v>
      </c>
      <c r="AA346" s="149"/>
      <c r="AB346" s="152" t="s">
        <v>1788</v>
      </c>
      <c r="AC346" s="152" t="s">
        <v>1789</v>
      </c>
      <c r="AD346" s="152" t="s">
        <v>1790</v>
      </c>
      <c r="AE346" s="149" t="s">
        <v>108</v>
      </c>
      <c r="AF346" s="149" t="s">
        <v>4</v>
      </c>
      <c r="AG346" s="208">
        <v>108045.38</v>
      </c>
      <c r="AH346" s="208">
        <v>108045.38</v>
      </c>
      <c r="AI346" s="234" t="s">
        <v>6</v>
      </c>
      <c r="AJ346" s="138" t="s">
        <v>109</v>
      </c>
      <c r="AK346" s="214">
        <v>110364527</v>
      </c>
      <c r="AL346" s="149" t="s">
        <v>110</v>
      </c>
      <c r="AM346" s="149" t="s">
        <v>110</v>
      </c>
      <c r="AN346" s="149" t="s">
        <v>111</v>
      </c>
      <c r="AO346" s="149"/>
      <c r="AP346" s="152" t="s">
        <v>1791</v>
      </c>
      <c r="AQ346" s="149" t="s">
        <v>110</v>
      </c>
      <c r="AR346" s="198" t="s">
        <v>110</v>
      </c>
      <c r="AS346" s="149" t="s">
        <v>110</v>
      </c>
      <c r="AT346" s="149" t="s">
        <v>110</v>
      </c>
      <c r="AU346" s="194">
        <v>45775</v>
      </c>
      <c r="AV346" s="149" t="s">
        <v>110</v>
      </c>
      <c r="AW346" s="149" t="s">
        <v>110</v>
      </c>
      <c r="AX346" s="194">
        <v>45825</v>
      </c>
      <c r="AY346" s="197">
        <v>45825</v>
      </c>
      <c r="AZ346" s="145" t="s">
        <v>33</v>
      </c>
      <c r="BA346" s="145" t="s">
        <v>113</v>
      </c>
      <c r="BB346" s="149" t="s">
        <v>110</v>
      </c>
      <c r="BC346" s="142">
        <f t="shared" si="16"/>
        <v>123</v>
      </c>
      <c r="BD346" s="134" t="str">
        <f t="shared" si="17"/>
        <v>INDENIZAÇÃO</v>
      </c>
      <c r="BE346" s="134" t="str">
        <f t="shared" si="18"/>
        <v>NÃO</v>
      </c>
      <c r="BF346" s="134" t="s">
        <v>24</v>
      </c>
      <c r="BG346" s="134" t="s">
        <v>24</v>
      </c>
      <c r="BH346" s="134" t="s">
        <v>24</v>
      </c>
      <c r="BI346" s="198" t="s">
        <v>110</v>
      </c>
      <c r="BJ346" s="198" t="s">
        <v>110</v>
      </c>
      <c r="BK346" s="194">
        <v>45859</v>
      </c>
      <c r="BL346" s="149" t="s">
        <v>110</v>
      </c>
      <c r="BM346" s="141" t="s">
        <v>33</v>
      </c>
      <c r="BN346" s="149"/>
      <c r="BO346" s="149"/>
      <c r="BP346" s="149"/>
      <c r="BQ346" s="149"/>
      <c r="BR346" s="149"/>
      <c r="BS346" s="149"/>
      <c r="BT346" s="149"/>
      <c r="BU346" s="149"/>
      <c r="BV346" s="149"/>
      <c r="BW346" s="149"/>
      <c r="BX346" s="149"/>
      <c r="BY346" s="149"/>
      <c r="BZ346" s="149"/>
      <c r="CA346" s="149"/>
      <c r="CB346" s="149"/>
      <c r="CC346" s="149"/>
      <c r="CD346" s="149"/>
      <c r="CE346" s="149"/>
      <c r="CF346" s="149"/>
      <c r="CG346" s="149"/>
      <c r="CH346" s="149"/>
      <c r="CI346" s="200"/>
      <c r="CJ346" s="149"/>
      <c r="CK346" s="149"/>
      <c r="CL346" s="149"/>
      <c r="CM346" s="149"/>
    </row>
    <row r="347" spans="1:91" ht="30" customHeight="1">
      <c r="A347" s="134"/>
      <c r="B347" s="134"/>
      <c r="C347" s="149"/>
      <c r="D347" s="149"/>
      <c r="E347" s="149"/>
      <c r="F347" s="152"/>
      <c r="G347" s="149"/>
      <c r="H347" s="149"/>
      <c r="I347" s="149"/>
      <c r="J347" s="152"/>
      <c r="K347" s="152"/>
      <c r="L347" s="152"/>
      <c r="M347" s="149"/>
      <c r="N347" s="149"/>
      <c r="O347" s="194"/>
      <c r="P347" s="144"/>
      <c r="Q347" s="263"/>
      <c r="R347" s="144"/>
      <c r="S347" s="144"/>
      <c r="T347" s="144"/>
      <c r="U347" s="144"/>
      <c r="V347" s="144"/>
      <c r="W347" s="144"/>
      <c r="X347" s="144"/>
      <c r="Y347" s="144"/>
      <c r="Z347" s="144"/>
      <c r="AA347" s="149"/>
      <c r="AB347" s="152"/>
      <c r="AC347" s="152"/>
      <c r="AD347" s="152"/>
      <c r="AE347" s="149"/>
      <c r="AF347" s="149"/>
      <c r="AG347" s="208"/>
      <c r="AH347" s="208"/>
      <c r="AI347" s="149"/>
      <c r="AJ347" s="149"/>
      <c r="AK347" s="149"/>
      <c r="AL347" s="149"/>
      <c r="AM347" s="149"/>
      <c r="AN347" s="149"/>
      <c r="AO347" s="149"/>
      <c r="AP347" s="152"/>
      <c r="AQ347" s="149"/>
      <c r="AR347" s="149"/>
      <c r="AS347" s="149"/>
      <c r="AT347" s="149"/>
      <c r="AU347" s="144"/>
      <c r="AV347" s="149"/>
      <c r="AW347" s="149"/>
      <c r="AX347" s="149"/>
      <c r="AY347" s="144"/>
      <c r="AZ347" s="149"/>
      <c r="BA347" s="149"/>
      <c r="BB347" s="149"/>
      <c r="BC347" s="142" t="str">
        <f t="shared" si="16"/>
        <v/>
      </c>
      <c r="BD347" s="134" t="str">
        <f t="shared" si="17"/>
        <v>INDENIZAÇÃO</v>
      </c>
      <c r="BE347" s="134" t="str">
        <f t="shared" si="18"/>
        <v>NÃO</v>
      </c>
      <c r="BF347" s="149"/>
      <c r="BG347" s="194"/>
      <c r="BH347" s="194"/>
      <c r="BI347" s="149"/>
      <c r="BJ347" s="149"/>
      <c r="BK347" s="149"/>
      <c r="BL347" s="149"/>
      <c r="BM347" s="149"/>
      <c r="BN347" s="149"/>
      <c r="BO347" s="149"/>
      <c r="BP347" s="149"/>
      <c r="BQ347" s="149"/>
      <c r="BR347" s="149"/>
      <c r="BS347" s="149"/>
      <c r="BT347" s="149"/>
      <c r="BU347" s="149"/>
      <c r="BV347" s="149"/>
      <c r="BW347" s="149"/>
      <c r="BX347" s="149"/>
      <c r="BY347" s="149"/>
      <c r="BZ347" s="149"/>
      <c r="CA347" s="149"/>
      <c r="CB347" s="149"/>
      <c r="CC347" s="149"/>
      <c r="CD347" s="149"/>
      <c r="CE347" s="149"/>
      <c r="CF347" s="149"/>
      <c r="CG347" s="149"/>
      <c r="CH347" s="149"/>
      <c r="CI347" s="200"/>
      <c r="CJ347" s="149"/>
      <c r="CK347" s="149"/>
      <c r="CL347" s="149"/>
      <c r="CM347" s="149"/>
    </row>
    <row r="348" spans="1:91" ht="30" customHeight="1">
      <c r="A348" s="138"/>
      <c r="B348" s="138"/>
      <c r="C348" s="149"/>
      <c r="D348" s="149"/>
      <c r="E348" s="149"/>
      <c r="F348" s="152"/>
      <c r="G348" s="149"/>
      <c r="H348" s="149"/>
      <c r="I348" s="149"/>
      <c r="J348" s="152"/>
      <c r="K348" s="152"/>
      <c r="L348" s="152"/>
      <c r="M348" s="149"/>
      <c r="N348" s="149"/>
      <c r="O348" s="194"/>
      <c r="P348" s="144"/>
      <c r="Q348" s="263"/>
      <c r="R348" s="144"/>
      <c r="S348" s="144"/>
      <c r="T348" s="144"/>
      <c r="U348" s="144"/>
      <c r="V348" s="144"/>
      <c r="W348" s="144"/>
      <c r="X348" s="144"/>
      <c r="Y348" s="144"/>
      <c r="Z348" s="144"/>
      <c r="AA348" s="149"/>
      <c r="AB348" s="152"/>
      <c r="AC348" s="152"/>
      <c r="AD348" s="152"/>
      <c r="AE348" s="149"/>
      <c r="AF348" s="149"/>
      <c r="AG348" s="208"/>
      <c r="AH348" s="208"/>
      <c r="AI348" s="149"/>
      <c r="AJ348" s="149"/>
      <c r="AK348" s="149"/>
      <c r="AL348" s="149"/>
      <c r="AM348" s="149"/>
      <c r="AN348" s="149"/>
      <c r="AO348" s="149"/>
      <c r="AP348" s="152"/>
      <c r="AQ348" s="149"/>
      <c r="AR348" s="149"/>
      <c r="AS348" s="149"/>
      <c r="AT348" s="149"/>
      <c r="AU348" s="144"/>
      <c r="AV348" s="149"/>
      <c r="AW348" s="149"/>
      <c r="AX348" s="149"/>
      <c r="AY348" s="144"/>
      <c r="AZ348" s="149"/>
      <c r="BA348" s="149"/>
      <c r="BB348" s="149"/>
      <c r="BC348" s="142" t="str">
        <f t="shared" si="16"/>
        <v/>
      </c>
      <c r="BD348" s="134" t="str">
        <f t="shared" si="17"/>
        <v>INDENIZAÇÃO</v>
      </c>
      <c r="BE348" s="134" t="str">
        <f t="shared" si="18"/>
        <v>NÃO</v>
      </c>
      <c r="BF348" s="149"/>
      <c r="BG348" s="194"/>
      <c r="BH348" s="194"/>
      <c r="BI348" s="149"/>
      <c r="BJ348" s="149"/>
      <c r="BK348" s="149"/>
      <c r="BL348" s="149"/>
      <c r="BM348" s="149"/>
      <c r="BN348" s="149"/>
      <c r="BO348" s="149"/>
      <c r="BP348" s="149"/>
      <c r="BQ348" s="149"/>
      <c r="BR348" s="149"/>
      <c r="BS348" s="149"/>
      <c r="BT348" s="149"/>
      <c r="BU348" s="149"/>
      <c r="BV348" s="149"/>
      <c r="BW348" s="149"/>
      <c r="BX348" s="149"/>
      <c r="BY348" s="149"/>
      <c r="BZ348" s="149"/>
      <c r="CA348" s="149"/>
      <c r="CB348" s="149"/>
      <c r="CC348" s="149"/>
      <c r="CD348" s="149"/>
      <c r="CE348" s="149"/>
      <c r="CF348" s="149"/>
      <c r="CG348" s="149"/>
      <c r="CH348" s="149"/>
      <c r="CI348" s="200"/>
      <c r="CJ348" s="149"/>
      <c r="CK348" s="149"/>
      <c r="CL348" s="149"/>
      <c r="CM348" s="149"/>
    </row>
    <row r="349" spans="1:91" ht="30" customHeight="1">
      <c r="A349" s="138"/>
      <c r="B349" s="138"/>
      <c r="C349" s="149"/>
      <c r="D349" s="149"/>
      <c r="E349" s="149"/>
      <c r="F349" s="152"/>
      <c r="G349" s="149"/>
      <c r="H349" s="149"/>
      <c r="I349" s="149"/>
      <c r="J349" s="152"/>
      <c r="K349" s="152"/>
      <c r="L349" s="152"/>
      <c r="M349" s="149"/>
      <c r="N349" s="149"/>
      <c r="O349" s="194"/>
      <c r="P349" s="144"/>
      <c r="Q349" s="263"/>
      <c r="R349" s="144"/>
      <c r="S349" s="144"/>
      <c r="T349" s="144"/>
      <c r="U349" s="144"/>
      <c r="V349" s="144"/>
      <c r="W349" s="144"/>
      <c r="X349" s="144"/>
      <c r="Y349" s="144"/>
      <c r="Z349" s="144"/>
      <c r="AA349" s="149"/>
      <c r="AB349" s="152"/>
      <c r="AC349" s="152"/>
      <c r="AD349" s="152"/>
      <c r="AE349" s="149"/>
      <c r="AF349" s="149"/>
      <c r="AG349" s="208"/>
      <c r="AH349" s="208"/>
      <c r="AI349" s="149"/>
      <c r="AJ349" s="149"/>
      <c r="AK349" s="149"/>
      <c r="AL349" s="149"/>
      <c r="AM349" s="149"/>
      <c r="AN349" s="149"/>
      <c r="AO349" s="149"/>
      <c r="AP349" s="152"/>
      <c r="AQ349" s="149"/>
      <c r="AR349" s="149"/>
      <c r="AS349" s="149"/>
      <c r="AT349" s="149"/>
      <c r="AU349" s="144"/>
      <c r="AV349" s="149"/>
      <c r="AW349" s="149"/>
      <c r="AX349" s="149"/>
      <c r="AY349" s="144"/>
      <c r="AZ349" s="149"/>
      <c r="BA349" s="149"/>
      <c r="BB349" s="149"/>
      <c r="BC349" s="142" t="str">
        <f t="shared" si="16"/>
        <v/>
      </c>
      <c r="BD349" s="134" t="str">
        <f t="shared" si="17"/>
        <v>INDENIZAÇÃO</v>
      </c>
      <c r="BE349" s="134" t="str">
        <f t="shared" si="18"/>
        <v>NÃO</v>
      </c>
      <c r="BF349" s="149"/>
      <c r="BG349" s="194"/>
      <c r="BH349" s="194"/>
      <c r="BI349" s="149"/>
      <c r="BJ349" s="149"/>
      <c r="BK349" s="149"/>
      <c r="BL349" s="149"/>
      <c r="BM349" s="149"/>
      <c r="BN349" s="149"/>
      <c r="BO349" s="149"/>
      <c r="BP349" s="149"/>
      <c r="BQ349" s="149"/>
      <c r="BR349" s="149"/>
      <c r="BS349" s="149"/>
      <c r="BT349" s="149"/>
      <c r="BU349" s="149"/>
      <c r="BV349" s="149"/>
      <c r="BW349" s="149"/>
      <c r="BX349" s="149"/>
      <c r="BY349" s="149"/>
      <c r="BZ349" s="149"/>
      <c r="CA349" s="149"/>
      <c r="CB349" s="149"/>
      <c r="CC349" s="149"/>
      <c r="CD349" s="149"/>
      <c r="CE349" s="149"/>
      <c r="CF349" s="149"/>
      <c r="CG349" s="149"/>
      <c r="CH349" s="149"/>
      <c r="CI349" s="200"/>
      <c r="CJ349" s="149"/>
      <c r="CK349" s="149"/>
      <c r="CL349" s="149"/>
      <c r="CM349" s="149"/>
    </row>
    <row r="350" spans="1:91" ht="30" customHeight="1">
      <c r="A350" s="138"/>
      <c r="B350" s="138"/>
      <c r="C350" s="149"/>
      <c r="D350" s="149"/>
      <c r="E350" s="149"/>
      <c r="F350" s="152"/>
      <c r="G350" s="149"/>
      <c r="H350" s="149"/>
      <c r="I350" s="149"/>
      <c r="J350" s="152"/>
      <c r="K350" s="152"/>
      <c r="L350" s="152"/>
      <c r="M350" s="149"/>
      <c r="N350" s="149"/>
      <c r="O350" s="194"/>
      <c r="P350" s="144"/>
      <c r="Q350" s="263"/>
      <c r="R350" s="144"/>
      <c r="S350" s="144"/>
      <c r="T350" s="144"/>
      <c r="U350" s="144"/>
      <c r="V350" s="144"/>
      <c r="W350" s="144"/>
      <c r="X350" s="144"/>
      <c r="Y350" s="144"/>
      <c r="Z350" s="144"/>
      <c r="AA350" s="149"/>
      <c r="AB350" s="152"/>
      <c r="AC350" s="152"/>
      <c r="AD350" s="152"/>
      <c r="AE350" s="149"/>
      <c r="AF350" s="149"/>
      <c r="AG350" s="208"/>
      <c r="AH350" s="208"/>
      <c r="AI350" s="149"/>
      <c r="AJ350" s="149"/>
      <c r="AK350" s="149"/>
      <c r="AL350" s="149"/>
      <c r="AM350" s="149"/>
      <c r="AN350" s="149"/>
      <c r="AO350" s="149"/>
      <c r="AP350" s="152"/>
      <c r="AQ350" s="149"/>
      <c r="AR350" s="149"/>
      <c r="AS350" s="149"/>
      <c r="AT350" s="149"/>
      <c r="AU350" s="144"/>
      <c r="AV350" s="149"/>
      <c r="AW350" s="149"/>
      <c r="AX350" s="149"/>
      <c r="AY350" s="144"/>
      <c r="AZ350" s="149"/>
      <c r="BA350" s="149"/>
      <c r="BB350" s="149"/>
      <c r="BC350" s="142" t="str">
        <f t="shared" si="16"/>
        <v/>
      </c>
      <c r="BD350" s="134" t="str">
        <f t="shared" si="17"/>
        <v>INDENIZAÇÃO</v>
      </c>
      <c r="BE350" s="134" t="str">
        <f t="shared" si="18"/>
        <v>NÃO</v>
      </c>
      <c r="BF350" s="149"/>
      <c r="BG350" s="194"/>
      <c r="BH350" s="194"/>
      <c r="BI350" s="149"/>
      <c r="BJ350" s="149"/>
      <c r="BK350" s="149"/>
      <c r="BL350" s="149"/>
      <c r="BM350" s="149"/>
      <c r="BN350" s="149"/>
      <c r="BO350" s="149"/>
      <c r="BP350" s="149"/>
      <c r="BQ350" s="149"/>
      <c r="BR350" s="149"/>
      <c r="BS350" s="149"/>
      <c r="BT350" s="149"/>
      <c r="BU350" s="149"/>
      <c r="BV350" s="149"/>
      <c r="BW350" s="149"/>
      <c r="BX350" s="149"/>
      <c r="BY350" s="149"/>
      <c r="BZ350" s="149"/>
      <c r="CA350" s="149"/>
      <c r="CB350" s="149"/>
      <c r="CC350" s="149"/>
      <c r="CD350" s="149"/>
      <c r="CE350" s="149"/>
      <c r="CF350" s="149"/>
      <c r="CG350" s="149"/>
      <c r="CH350" s="149"/>
      <c r="CI350" s="200"/>
      <c r="CJ350" s="149"/>
      <c r="CK350" s="149"/>
      <c r="CL350" s="149"/>
      <c r="CM350" s="149"/>
    </row>
    <row r="351" spans="1:91" ht="30" customHeight="1">
      <c r="A351" s="138"/>
      <c r="B351" s="138"/>
      <c r="C351" s="149"/>
      <c r="D351" s="149"/>
      <c r="E351" s="149"/>
      <c r="F351" s="152"/>
      <c r="G351" s="149"/>
      <c r="H351" s="149"/>
      <c r="I351" s="149"/>
      <c r="J351" s="152"/>
      <c r="K351" s="152"/>
      <c r="L351" s="152"/>
      <c r="M351" s="149"/>
      <c r="N351" s="149"/>
      <c r="O351" s="194"/>
      <c r="P351" s="144"/>
      <c r="Q351" s="263"/>
      <c r="R351" s="144"/>
      <c r="S351" s="144"/>
      <c r="T351" s="144"/>
      <c r="U351" s="144"/>
      <c r="V351" s="144"/>
      <c r="W351" s="144"/>
      <c r="X351" s="144"/>
      <c r="Y351" s="144"/>
      <c r="Z351" s="144"/>
      <c r="AA351" s="149"/>
      <c r="AB351" s="152"/>
      <c r="AC351" s="152"/>
      <c r="AD351" s="152"/>
      <c r="AE351" s="149"/>
      <c r="AF351" s="149"/>
      <c r="AG351" s="208"/>
      <c r="AH351" s="208"/>
      <c r="AI351" s="149"/>
      <c r="AJ351" s="149"/>
      <c r="AK351" s="149"/>
      <c r="AL351" s="149"/>
      <c r="AM351" s="149"/>
      <c r="AN351" s="149"/>
      <c r="AO351" s="149"/>
      <c r="AP351" s="152"/>
      <c r="AQ351" s="149"/>
      <c r="AR351" s="149"/>
      <c r="AS351" s="149"/>
      <c r="AT351" s="149"/>
      <c r="AU351" s="144"/>
      <c r="AV351" s="149"/>
      <c r="AW351" s="149"/>
      <c r="AX351" s="149"/>
      <c r="AY351" s="144"/>
      <c r="AZ351" s="149"/>
      <c r="BA351" s="149"/>
      <c r="BB351" s="149"/>
      <c r="BC351" s="142" t="str">
        <f t="shared" ref="BC351:BC382" si="19">IF(AY351-KD351=0,"",AY351-O351)</f>
        <v/>
      </c>
      <c r="BD351" s="134" t="str">
        <f t="shared" si="17"/>
        <v>INDENIZAÇÃO</v>
      </c>
      <c r="BE351" s="134" t="str">
        <f t="shared" si="18"/>
        <v>NÃO</v>
      </c>
      <c r="BF351" s="149"/>
      <c r="BG351" s="194"/>
      <c r="BH351" s="194"/>
      <c r="BI351" s="149"/>
      <c r="BJ351" s="149"/>
      <c r="BK351" s="149"/>
      <c r="BL351" s="149"/>
      <c r="BM351" s="149"/>
      <c r="BN351" s="149"/>
      <c r="BO351" s="149"/>
      <c r="BP351" s="149"/>
      <c r="BQ351" s="149"/>
      <c r="BR351" s="149"/>
      <c r="BS351" s="149"/>
      <c r="BT351" s="149"/>
      <c r="BU351" s="149"/>
      <c r="BV351" s="149"/>
      <c r="BW351" s="149"/>
      <c r="BX351" s="149"/>
      <c r="BY351" s="149"/>
      <c r="BZ351" s="149"/>
      <c r="CA351" s="149"/>
      <c r="CB351" s="149"/>
      <c r="CC351" s="149"/>
      <c r="CD351" s="149"/>
      <c r="CE351" s="149"/>
      <c r="CF351" s="149"/>
      <c r="CG351" s="149"/>
      <c r="CH351" s="149"/>
      <c r="CI351" s="200"/>
      <c r="CJ351" s="149"/>
      <c r="CK351" s="149"/>
      <c r="CL351" s="149"/>
      <c r="CM351" s="149"/>
    </row>
    <row r="352" spans="1:91" ht="30" customHeight="1">
      <c r="A352" s="138"/>
      <c r="B352" s="138"/>
      <c r="C352" s="149"/>
      <c r="D352" s="149"/>
      <c r="E352" s="149"/>
      <c r="F352" s="152"/>
      <c r="G352" s="149"/>
      <c r="H352" s="149"/>
      <c r="I352" s="149"/>
      <c r="J352" s="152"/>
      <c r="K352" s="152"/>
      <c r="L352" s="152"/>
      <c r="M352" s="149"/>
      <c r="N352" s="149"/>
      <c r="O352" s="194"/>
      <c r="P352" s="144"/>
      <c r="Q352" s="263"/>
      <c r="R352" s="144"/>
      <c r="S352" s="144"/>
      <c r="T352" s="144"/>
      <c r="U352" s="144"/>
      <c r="V352" s="144"/>
      <c r="W352" s="144"/>
      <c r="X352" s="144"/>
      <c r="Y352" s="144"/>
      <c r="Z352" s="144"/>
      <c r="AA352" s="149"/>
      <c r="AB352" s="152"/>
      <c r="AC352" s="152"/>
      <c r="AD352" s="152"/>
      <c r="AE352" s="149"/>
      <c r="AF352" s="149"/>
      <c r="AG352" s="208"/>
      <c r="AH352" s="208"/>
      <c r="AI352" s="149"/>
      <c r="AJ352" s="149"/>
      <c r="AK352" s="149"/>
      <c r="AL352" s="149"/>
      <c r="AM352" s="149"/>
      <c r="AN352" s="149"/>
      <c r="AO352" s="149"/>
      <c r="AP352" s="152"/>
      <c r="AQ352" s="149"/>
      <c r="AR352" s="149"/>
      <c r="AS352" s="149"/>
      <c r="AT352" s="149"/>
      <c r="AU352" s="144"/>
      <c r="AV352" s="149"/>
      <c r="AW352" s="149"/>
      <c r="AX352" s="149"/>
      <c r="AY352" s="144"/>
      <c r="AZ352" s="149"/>
      <c r="BA352" s="149"/>
      <c r="BB352" s="149"/>
      <c r="BC352" s="142" t="str">
        <f t="shared" si="19"/>
        <v/>
      </c>
      <c r="BD352" s="134" t="str">
        <f t="shared" si="17"/>
        <v>INDENIZAÇÃO</v>
      </c>
      <c r="BE352" s="134" t="str">
        <f t="shared" si="18"/>
        <v>NÃO</v>
      </c>
      <c r="BF352" s="149"/>
      <c r="BG352" s="194"/>
      <c r="BH352" s="194"/>
      <c r="BI352" s="149"/>
      <c r="BJ352" s="149"/>
      <c r="BK352" s="149"/>
      <c r="BL352" s="149"/>
      <c r="BM352" s="149"/>
      <c r="BN352" s="149"/>
      <c r="BO352" s="149"/>
      <c r="BP352" s="149"/>
      <c r="BQ352" s="149"/>
      <c r="BR352" s="149"/>
      <c r="BS352" s="149"/>
      <c r="BT352" s="149"/>
      <c r="BU352" s="149"/>
      <c r="BV352" s="149"/>
      <c r="BW352" s="149"/>
      <c r="BX352" s="149"/>
      <c r="BY352" s="149"/>
      <c r="BZ352" s="149"/>
      <c r="CA352" s="149"/>
      <c r="CB352" s="149"/>
      <c r="CC352" s="149"/>
      <c r="CD352" s="149"/>
      <c r="CE352" s="149"/>
      <c r="CF352" s="149"/>
      <c r="CG352" s="149"/>
      <c r="CH352" s="149"/>
      <c r="CI352" s="200"/>
      <c r="CJ352" s="149"/>
      <c r="CK352" s="149"/>
      <c r="CL352" s="149"/>
      <c r="CM352" s="149"/>
    </row>
    <row r="353" spans="1:91" ht="30" customHeight="1">
      <c r="A353" s="138"/>
      <c r="B353" s="138"/>
      <c r="C353" s="149"/>
      <c r="D353" s="149"/>
      <c r="E353" s="149"/>
      <c r="F353" s="152"/>
      <c r="G353" s="149"/>
      <c r="H353" s="149"/>
      <c r="I353" s="149"/>
      <c r="J353" s="152"/>
      <c r="K353" s="152"/>
      <c r="L353" s="152"/>
      <c r="M353" s="149"/>
      <c r="N353" s="149"/>
      <c r="O353" s="194"/>
      <c r="P353" s="144"/>
      <c r="Q353" s="263"/>
      <c r="R353" s="144"/>
      <c r="S353" s="144"/>
      <c r="T353" s="144"/>
      <c r="U353" s="144"/>
      <c r="V353" s="144"/>
      <c r="W353" s="144"/>
      <c r="X353" s="144"/>
      <c r="Y353" s="144"/>
      <c r="Z353" s="144"/>
      <c r="AA353" s="149"/>
      <c r="AB353" s="152"/>
      <c r="AC353" s="152"/>
      <c r="AD353" s="152"/>
      <c r="AE353" s="149"/>
      <c r="AF353" s="149"/>
      <c r="AG353" s="208"/>
      <c r="AH353" s="208"/>
      <c r="AI353" s="149"/>
      <c r="AJ353" s="149"/>
      <c r="AK353" s="149"/>
      <c r="AL353" s="149"/>
      <c r="AM353" s="149"/>
      <c r="AN353" s="149"/>
      <c r="AO353" s="149"/>
      <c r="AP353" s="152"/>
      <c r="AQ353" s="149"/>
      <c r="AR353" s="149"/>
      <c r="AS353" s="149"/>
      <c r="AT353" s="149"/>
      <c r="AU353" s="144"/>
      <c r="AV353" s="149"/>
      <c r="AW353" s="149"/>
      <c r="AX353" s="149"/>
      <c r="AY353" s="144"/>
      <c r="AZ353" s="149"/>
      <c r="BA353" s="149"/>
      <c r="BB353" s="149"/>
      <c r="BC353" s="142" t="str">
        <f t="shared" si="19"/>
        <v/>
      </c>
      <c r="BD353" s="134" t="str">
        <f t="shared" si="17"/>
        <v>INDENIZAÇÃO</v>
      </c>
      <c r="BE353" s="134" t="str">
        <f t="shared" si="18"/>
        <v>NÃO</v>
      </c>
      <c r="BF353" s="149"/>
      <c r="BG353" s="194"/>
      <c r="BH353" s="194"/>
      <c r="BI353" s="149"/>
      <c r="BJ353" s="149"/>
      <c r="BK353" s="149"/>
      <c r="BL353" s="149"/>
      <c r="BM353" s="149"/>
      <c r="BN353" s="149"/>
      <c r="BO353" s="149"/>
      <c r="BP353" s="149"/>
      <c r="BQ353" s="149"/>
      <c r="BR353" s="149"/>
      <c r="BS353" s="149"/>
      <c r="BT353" s="149"/>
      <c r="BU353" s="149"/>
      <c r="BV353" s="149"/>
      <c r="BW353" s="149"/>
      <c r="BX353" s="149"/>
      <c r="BY353" s="149"/>
      <c r="BZ353" s="149"/>
      <c r="CA353" s="149"/>
      <c r="CB353" s="149"/>
      <c r="CC353" s="149"/>
      <c r="CD353" s="149"/>
      <c r="CE353" s="149"/>
      <c r="CF353" s="149"/>
      <c r="CG353" s="149"/>
      <c r="CH353" s="149"/>
      <c r="CI353" s="200"/>
      <c r="CJ353" s="149"/>
      <c r="CK353" s="149"/>
      <c r="CL353" s="149"/>
      <c r="CM353" s="149"/>
    </row>
    <row r="354" spans="1:91" ht="30" customHeight="1">
      <c r="A354" s="138"/>
      <c r="B354" s="138"/>
      <c r="C354" s="149"/>
      <c r="D354" s="149"/>
      <c r="E354" s="149"/>
      <c r="F354" s="152"/>
      <c r="G354" s="149"/>
      <c r="H354" s="149"/>
      <c r="I354" s="149"/>
      <c r="J354" s="152"/>
      <c r="K354" s="152"/>
      <c r="L354" s="152"/>
      <c r="M354" s="149"/>
      <c r="N354" s="149"/>
      <c r="O354" s="194"/>
      <c r="P354" s="144"/>
      <c r="Q354" s="263"/>
      <c r="R354" s="144"/>
      <c r="S354" s="144"/>
      <c r="T354" s="144"/>
      <c r="U354" s="144"/>
      <c r="V354" s="144"/>
      <c r="W354" s="144"/>
      <c r="X354" s="144"/>
      <c r="Y354" s="144"/>
      <c r="Z354" s="144"/>
      <c r="AA354" s="149"/>
      <c r="AB354" s="152"/>
      <c r="AC354" s="152"/>
      <c r="AD354" s="152"/>
      <c r="AE354" s="149"/>
      <c r="AF354" s="149"/>
      <c r="AG354" s="208"/>
      <c r="AH354" s="208"/>
      <c r="AI354" s="149"/>
      <c r="AJ354" s="149"/>
      <c r="AK354" s="149"/>
      <c r="AL354" s="149"/>
      <c r="AM354" s="149"/>
      <c r="AN354" s="149"/>
      <c r="AO354" s="149"/>
      <c r="AP354" s="152"/>
      <c r="AQ354" s="149"/>
      <c r="AR354" s="149"/>
      <c r="AS354" s="149"/>
      <c r="AT354" s="149"/>
      <c r="AU354" s="144"/>
      <c r="AV354" s="149"/>
      <c r="AW354" s="149"/>
      <c r="AX354" s="149"/>
      <c r="AY354" s="144"/>
      <c r="AZ354" s="149"/>
      <c r="BA354" s="149"/>
      <c r="BB354" s="149"/>
      <c r="BC354" s="142" t="str">
        <f t="shared" si="19"/>
        <v/>
      </c>
      <c r="BD354" s="134" t="str">
        <f t="shared" si="17"/>
        <v>INDENIZAÇÃO</v>
      </c>
      <c r="BE354" s="134" t="str">
        <f t="shared" si="18"/>
        <v>NÃO</v>
      </c>
      <c r="BF354" s="149"/>
      <c r="BG354" s="194"/>
      <c r="BH354" s="194"/>
      <c r="BI354" s="149"/>
      <c r="BJ354" s="149"/>
      <c r="BK354" s="149"/>
      <c r="BL354" s="149"/>
      <c r="BM354" s="149"/>
      <c r="BN354" s="149"/>
      <c r="BO354" s="149"/>
      <c r="BP354" s="149"/>
      <c r="BQ354" s="149"/>
      <c r="BR354" s="149"/>
      <c r="BS354" s="149"/>
      <c r="BT354" s="149"/>
      <c r="BU354" s="149"/>
      <c r="BV354" s="149"/>
      <c r="BW354" s="149"/>
      <c r="BX354" s="149"/>
      <c r="BY354" s="149"/>
      <c r="BZ354" s="149"/>
      <c r="CA354" s="149"/>
      <c r="CB354" s="149"/>
      <c r="CC354" s="149"/>
      <c r="CD354" s="149"/>
      <c r="CE354" s="149"/>
      <c r="CF354" s="149"/>
      <c r="CG354" s="149"/>
      <c r="CH354" s="149"/>
      <c r="CI354" s="200"/>
      <c r="CJ354" s="149"/>
      <c r="CK354" s="149"/>
      <c r="CL354" s="149"/>
      <c r="CM354" s="149"/>
    </row>
    <row r="355" spans="1:91" ht="30" customHeight="1">
      <c r="A355" s="138"/>
      <c r="B355" s="138"/>
      <c r="C355" s="149"/>
      <c r="D355" s="149"/>
      <c r="E355" s="149"/>
      <c r="F355" s="152"/>
      <c r="G355" s="149"/>
      <c r="H355" s="149"/>
      <c r="I355" s="149"/>
      <c r="J355" s="152"/>
      <c r="K355" s="152"/>
      <c r="L355" s="152"/>
      <c r="M355" s="149"/>
      <c r="N355" s="149"/>
      <c r="O355" s="194"/>
      <c r="P355" s="144"/>
      <c r="Q355" s="263"/>
      <c r="R355" s="144"/>
      <c r="S355" s="144"/>
      <c r="T355" s="144"/>
      <c r="U355" s="144"/>
      <c r="V355" s="144"/>
      <c r="W355" s="144"/>
      <c r="X355" s="144"/>
      <c r="Y355" s="144"/>
      <c r="Z355" s="144"/>
      <c r="AA355" s="149"/>
      <c r="AB355" s="152"/>
      <c r="AC355" s="152"/>
      <c r="AD355" s="152"/>
      <c r="AE355" s="149"/>
      <c r="AF355" s="149"/>
      <c r="AG355" s="208"/>
      <c r="AH355" s="208"/>
      <c r="AI355" s="149"/>
      <c r="AJ355" s="149"/>
      <c r="AK355" s="149"/>
      <c r="AL355" s="149"/>
      <c r="AM355" s="149"/>
      <c r="AN355" s="149"/>
      <c r="AO355" s="149"/>
      <c r="AP355" s="152"/>
      <c r="AQ355" s="149"/>
      <c r="AR355" s="149"/>
      <c r="AS355" s="149"/>
      <c r="AT355" s="149"/>
      <c r="AU355" s="144"/>
      <c r="AV355" s="149"/>
      <c r="AW355" s="149"/>
      <c r="AX355" s="149"/>
      <c r="AY355" s="144"/>
      <c r="AZ355" s="149"/>
      <c r="BA355" s="149"/>
      <c r="BB355" s="149"/>
      <c r="BC355" s="142" t="str">
        <f t="shared" si="19"/>
        <v/>
      </c>
      <c r="BD355" s="134" t="str">
        <f t="shared" si="17"/>
        <v>INDENIZAÇÃO</v>
      </c>
      <c r="BE355" s="134" t="str">
        <f t="shared" si="18"/>
        <v>NÃO</v>
      </c>
      <c r="BF355" s="149"/>
      <c r="BG355" s="194"/>
      <c r="BH355" s="194"/>
      <c r="BI355" s="149"/>
      <c r="BJ355" s="149"/>
      <c r="BK355" s="149"/>
      <c r="BL355" s="149"/>
      <c r="BM355" s="149"/>
      <c r="BN355" s="149"/>
      <c r="BO355" s="149"/>
      <c r="BP355" s="149"/>
      <c r="BQ355" s="149"/>
      <c r="BR355" s="149"/>
      <c r="BS355" s="149"/>
      <c r="BT355" s="149"/>
      <c r="BU355" s="149"/>
      <c r="BV355" s="149"/>
      <c r="BW355" s="149"/>
      <c r="BX355" s="149"/>
      <c r="BY355" s="149"/>
      <c r="BZ355" s="149"/>
      <c r="CA355" s="149"/>
      <c r="CB355" s="149"/>
      <c r="CC355" s="149"/>
      <c r="CD355" s="149"/>
      <c r="CE355" s="149"/>
      <c r="CF355" s="149"/>
      <c r="CG355" s="149"/>
      <c r="CH355" s="149"/>
      <c r="CI355" s="200"/>
      <c r="CJ355" s="149"/>
      <c r="CK355" s="149"/>
      <c r="CL355" s="149"/>
      <c r="CM355" s="149"/>
    </row>
    <row r="356" spans="1:91" ht="30" customHeight="1">
      <c r="A356" s="138"/>
      <c r="B356" s="138"/>
      <c r="C356" s="149"/>
      <c r="D356" s="149"/>
      <c r="E356" s="149"/>
      <c r="F356" s="152"/>
      <c r="G356" s="149"/>
      <c r="H356" s="149"/>
      <c r="I356" s="149"/>
      <c r="J356" s="152"/>
      <c r="K356" s="152"/>
      <c r="L356" s="152"/>
      <c r="M356" s="149"/>
      <c r="N356" s="149"/>
      <c r="O356" s="194"/>
      <c r="P356" s="144"/>
      <c r="Q356" s="263"/>
      <c r="R356" s="144"/>
      <c r="S356" s="144"/>
      <c r="T356" s="144"/>
      <c r="U356" s="144"/>
      <c r="V356" s="144"/>
      <c r="W356" s="144"/>
      <c r="X356" s="144"/>
      <c r="Y356" s="144"/>
      <c r="Z356" s="144"/>
      <c r="AA356" s="149"/>
      <c r="AB356" s="152"/>
      <c r="AC356" s="152"/>
      <c r="AD356" s="152"/>
      <c r="AE356" s="149"/>
      <c r="AF356" s="149"/>
      <c r="AG356" s="208"/>
      <c r="AH356" s="208"/>
      <c r="AI356" s="149"/>
      <c r="AJ356" s="149"/>
      <c r="AK356" s="149"/>
      <c r="AL356" s="149"/>
      <c r="AM356" s="149"/>
      <c r="AN356" s="149"/>
      <c r="AO356" s="149"/>
      <c r="AP356" s="152"/>
      <c r="AQ356" s="149"/>
      <c r="AR356" s="149"/>
      <c r="AS356" s="149"/>
      <c r="AT356" s="149"/>
      <c r="AU356" s="144"/>
      <c r="AV356" s="149"/>
      <c r="AW356" s="149"/>
      <c r="AX356" s="149"/>
      <c r="AY356" s="144"/>
      <c r="AZ356" s="149"/>
      <c r="BA356" s="149"/>
      <c r="BB356" s="149"/>
      <c r="BC356" s="142" t="str">
        <f t="shared" si="19"/>
        <v/>
      </c>
      <c r="BD356" s="134" t="str">
        <f t="shared" si="17"/>
        <v>INDENIZAÇÃO</v>
      </c>
      <c r="BE356" s="134" t="str">
        <f t="shared" si="18"/>
        <v>NÃO</v>
      </c>
      <c r="BF356" s="149"/>
      <c r="BG356" s="194"/>
      <c r="BH356" s="194"/>
      <c r="BI356" s="149"/>
      <c r="BJ356" s="149"/>
      <c r="BK356" s="149"/>
      <c r="BL356" s="149"/>
      <c r="BM356" s="149"/>
      <c r="BN356" s="149"/>
      <c r="BO356" s="149"/>
      <c r="BP356" s="149"/>
      <c r="BQ356" s="149"/>
      <c r="BR356" s="149"/>
      <c r="BS356" s="149"/>
      <c r="BT356" s="149"/>
      <c r="BU356" s="149"/>
      <c r="BV356" s="149"/>
      <c r="BW356" s="149"/>
      <c r="BX356" s="149"/>
      <c r="BY356" s="149"/>
      <c r="BZ356" s="149"/>
      <c r="CA356" s="149"/>
      <c r="CB356" s="149"/>
      <c r="CC356" s="149"/>
      <c r="CD356" s="149"/>
      <c r="CE356" s="149"/>
      <c r="CF356" s="149"/>
      <c r="CG356" s="149"/>
      <c r="CH356" s="149"/>
      <c r="CI356" s="200"/>
      <c r="CJ356" s="149"/>
      <c r="CK356" s="149"/>
      <c r="CL356" s="149"/>
      <c r="CM356" s="149"/>
    </row>
    <row r="357" spans="1:91" ht="30" customHeight="1">
      <c r="A357" s="138"/>
      <c r="B357" s="138"/>
      <c r="C357" s="149"/>
      <c r="D357" s="149"/>
      <c r="E357" s="149"/>
      <c r="F357" s="152"/>
      <c r="G357" s="149"/>
      <c r="H357" s="149"/>
      <c r="I357" s="149"/>
      <c r="J357" s="152"/>
      <c r="K357" s="152"/>
      <c r="L357" s="152"/>
      <c r="M357" s="149"/>
      <c r="N357" s="149"/>
      <c r="O357" s="194"/>
      <c r="P357" s="144"/>
      <c r="Q357" s="263"/>
      <c r="R357" s="144"/>
      <c r="S357" s="144"/>
      <c r="T357" s="144"/>
      <c r="U357" s="144"/>
      <c r="V357" s="144"/>
      <c r="W357" s="144"/>
      <c r="X357" s="144"/>
      <c r="Y357" s="144"/>
      <c r="Z357" s="144"/>
      <c r="AA357" s="149"/>
      <c r="AB357" s="152"/>
      <c r="AC357" s="152"/>
      <c r="AD357" s="152"/>
      <c r="AE357" s="149"/>
      <c r="AF357" s="149"/>
      <c r="AG357" s="208"/>
      <c r="AH357" s="208"/>
      <c r="AI357" s="149"/>
      <c r="AJ357" s="149"/>
      <c r="AK357" s="149"/>
      <c r="AL357" s="149"/>
      <c r="AM357" s="149"/>
      <c r="AN357" s="149"/>
      <c r="AO357" s="149"/>
      <c r="AP357" s="152"/>
      <c r="AQ357" s="149"/>
      <c r="AR357" s="149"/>
      <c r="AS357" s="149"/>
      <c r="AT357" s="149"/>
      <c r="AU357" s="144"/>
      <c r="AV357" s="149"/>
      <c r="AW357" s="149"/>
      <c r="AX357" s="149"/>
      <c r="AY357" s="144"/>
      <c r="AZ357" s="149"/>
      <c r="BA357" s="149"/>
      <c r="BB357" s="149"/>
      <c r="BC357" s="142" t="str">
        <f t="shared" si="19"/>
        <v/>
      </c>
      <c r="BD357" s="134" t="str">
        <f t="shared" si="17"/>
        <v>INDENIZAÇÃO</v>
      </c>
      <c r="BE357" s="134" t="str">
        <f t="shared" si="18"/>
        <v>NÃO</v>
      </c>
      <c r="BF357" s="149"/>
      <c r="BG357" s="194"/>
      <c r="BH357" s="194"/>
      <c r="BI357" s="149"/>
      <c r="BJ357" s="149"/>
      <c r="BK357" s="149"/>
      <c r="BL357" s="149"/>
      <c r="BM357" s="149"/>
      <c r="BN357" s="149"/>
      <c r="BO357" s="149"/>
      <c r="BP357" s="149"/>
      <c r="BQ357" s="149"/>
      <c r="BR357" s="149"/>
      <c r="BS357" s="149"/>
      <c r="BT357" s="149"/>
      <c r="BU357" s="149"/>
      <c r="BV357" s="149"/>
      <c r="BW357" s="149"/>
      <c r="BX357" s="149"/>
      <c r="BY357" s="149"/>
      <c r="BZ357" s="149"/>
      <c r="CA357" s="149"/>
      <c r="CB357" s="149"/>
      <c r="CC357" s="149"/>
      <c r="CD357" s="149"/>
      <c r="CE357" s="149"/>
      <c r="CF357" s="149"/>
      <c r="CG357" s="149"/>
      <c r="CH357" s="149"/>
      <c r="CI357" s="200"/>
      <c r="CJ357" s="149"/>
      <c r="CK357" s="149"/>
      <c r="CL357" s="149"/>
      <c r="CM357" s="149"/>
    </row>
    <row r="358" spans="1:91" ht="30" customHeight="1">
      <c r="A358" s="138"/>
      <c r="B358" s="138"/>
      <c r="C358" s="149"/>
      <c r="D358" s="149"/>
      <c r="E358" s="149"/>
      <c r="F358" s="152"/>
      <c r="G358" s="149"/>
      <c r="H358" s="149"/>
      <c r="I358" s="149"/>
      <c r="J358" s="152"/>
      <c r="K358" s="152"/>
      <c r="L358" s="152"/>
      <c r="M358" s="149"/>
      <c r="N358" s="149"/>
      <c r="O358" s="194"/>
      <c r="P358" s="144"/>
      <c r="Q358" s="263"/>
      <c r="R358" s="144"/>
      <c r="S358" s="144"/>
      <c r="T358" s="144"/>
      <c r="U358" s="144"/>
      <c r="V358" s="144"/>
      <c r="W358" s="144"/>
      <c r="X358" s="144"/>
      <c r="Y358" s="144"/>
      <c r="Z358" s="144"/>
      <c r="AA358" s="149"/>
      <c r="AB358" s="152"/>
      <c r="AC358" s="152"/>
      <c r="AD358" s="152"/>
      <c r="AE358" s="149"/>
      <c r="AF358" s="149"/>
      <c r="AG358" s="208"/>
      <c r="AH358" s="208"/>
      <c r="AI358" s="149"/>
      <c r="AJ358" s="149"/>
      <c r="AK358" s="149"/>
      <c r="AL358" s="149"/>
      <c r="AM358" s="149"/>
      <c r="AN358" s="149"/>
      <c r="AO358" s="149"/>
      <c r="AP358" s="152"/>
      <c r="AQ358" s="149"/>
      <c r="AR358" s="149"/>
      <c r="AS358" s="149"/>
      <c r="AT358" s="149"/>
      <c r="AU358" s="144"/>
      <c r="AV358" s="149"/>
      <c r="AW358" s="149"/>
      <c r="AX358" s="149"/>
      <c r="AY358" s="144"/>
      <c r="AZ358" s="149"/>
      <c r="BA358" s="149"/>
      <c r="BB358" s="149"/>
      <c r="BC358" s="142" t="str">
        <f t="shared" si="19"/>
        <v/>
      </c>
      <c r="BD358" s="134" t="str">
        <f t="shared" si="17"/>
        <v>INDENIZAÇÃO</v>
      </c>
      <c r="BE358" s="134" t="str">
        <f t="shared" si="18"/>
        <v>NÃO</v>
      </c>
      <c r="BF358" s="149"/>
      <c r="BG358" s="194"/>
      <c r="BH358" s="194"/>
      <c r="BI358" s="149"/>
      <c r="BJ358" s="149"/>
      <c r="BK358" s="149"/>
      <c r="BL358" s="149"/>
      <c r="BM358" s="149"/>
      <c r="BN358" s="149"/>
      <c r="BO358" s="149"/>
      <c r="BP358" s="149"/>
      <c r="BQ358" s="149"/>
      <c r="BR358" s="149"/>
      <c r="BS358" s="149"/>
      <c r="BT358" s="149"/>
      <c r="BU358" s="149"/>
      <c r="BV358" s="149"/>
      <c r="BW358" s="149"/>
      <c r="BX358" s="149"/>
      <c r="BY358" s="149"/>
      <c r="BZ358" s="149"/>
      <c r="CA358" s="149"/>
      <c r="CB358" s="149"/>
      <c r="CC358" s="149"/>
      <c r="CD358" s="149"/>
      <c r="CE358" s="149"/>
      <c r="CF358" s="149"/>
      <c r="CG358" s="149"/>
      <c r="CH358" s="149"/>
      <c r="CI358" s="200"/>
      <c r="CJ358" s="149"/>
      <c r="CK358" s="149"/>
      <c r="CL358" s="149"/>
      <c r="CM358" s="149"/>
    </row>
    <row r="359" spans="1:91" ht="30" customHeight="1">
      <c r="A359" s="138"/>
      <c r="B359" s="138"/>
      <c r="C359" s="149"/>
      <c r="D359" s="149"/>
      <c r="E359" s="149"/>
      <c r="F359" s="152"/>
      <c r="G359" s="149"/>
      <c r="H359" s="149"/>
      <c r="I359" s="149"/>
      <c r="J359" s="152"/>
      <c r="K359" s="152"/>
      <c r="L359" s="152"/>
      <c r="M359" s="149"/>
      <c r="N359" s="149"/>
      <c r="O359" s="194"/>
      <c r="P359" s="144"/>
      <c r="Q359" s="263"/>
      <c r="R359" s="144"/>
      <c r="S359" s="144"/>
      <c r="T359" s="144"/>
      <c r="U359" s="144"/>
      <c r="V359" s="144"/>
      <c r="W359" s="144"/>
      <c r="X359" s="144"/>
      <c r="Y359" s="144"/>
      <c r="Z359" s="144"/>
      <c r="AA359" s="149"/>
      <c r="AB359" s="152"/>
      <c r="AC359" s="152"/>
      <c r="AD359" s="152"/>
      <c r="AE359" s="149"/>
      <c r="AF359" s="149"/>
      <c r="AG359" s="208"/>
      <c r="AH359" s="208"/>
      <c r="AI359" s="149"/>
      <c r="AJ359" s="149"/>
      <c r="AK359" s="149"/>
      <c r="AL359" s="149"/>
      <c r="AM359" s="149"/>
      <c r="AN359" s="149"/>
      <c r="AO359" s="149"/>
      <c r="AP359" s="152"/>
      <c r="AQ359" s="149"/>
      <c r="AR359" s="149"/>
      <c r="AS359" s="149"/>
      <c r="AT359" s="149"/>
      <c r="AU359" s="144"/>
      <c r="AV359" s="149"/>
      <c r="AW359" s="149"/>
      <c r="AX359" s="149"/>
      <c r="AY359" s="144"/>
      <c r="AZ359" s="149"/>
      <c r="BA359" s="149"/>
      <c r="BB359" s="149"/>
      <c r="BC359" s="142" t="str">
        <f t="shared" si="19"/>
        <v/>
      </c>
      <c r="BD359" s="134" t="str">
        <f t="shared" si="17"/>
        <v>INDENIZAÇÃO</v>
      </c>
      <c r="BE359" s="134" t="str">
        <f t="shared" si="18"/>
        <v>NÃO</v>
      </c>
      <c r="BF359" s="149"/>
      <c r="BG359" s="194"/>
      <c r="BH359" s="194"/>
      <c r="BI359" s="149"/>
      <c r="BJ359" s="149"/>
      <c r="BK359" s="149"/>
      <c r="BL359" s="149"/>
      <c r="BM359" s="149"/>
      <c r="BN359" s="149"/>
      <c r="BO359" s="149"/>
      <c r="BP359" s="149"/>
      <c r="BQ359" s="149"/>
      <c r="BR359" s="149"/>
      <c r="BS359" s="149"/>
      <c r="BT359" s="149"/>
      <c r="BU359" s="149"/>
      <c r="BV359" s="149"/>
      <c r="BW359" s="149"/>
      <c r="BX359" s="149"/>
      <c r="BY359" s="149"/>
      <c r="BZ359" s="149"/>
      <c r="CA359" s="149"/>
      <c r="CB359" s="149"/>
      <c r="CC359" s="149"/>
      <c r="CD359" s="149"/>
      <c r="CE359" s="149"/>
      <c r="CF359" s="149"/>
      <c r="CG359" s="149"/>
      <c r="CH359" s="149"/>
      <c r="CI359" s="200"/>
      <c r="CJ359" s="149"/>
      <c r="CK359" s="149"/>
      <c r="CL359" s="149"/>
      <c r="CM359" s="149"/>
    </row>
    <row r="360" spans="1:91" ht="30" customHeight="1">
      <c r="A360" s="138"/>
      <c r="B360" s="138"/>
      <c r="C360" s="149"/>
      <c r="D360" s="149"/>
      <c r="E360" s="149"/>
      <c r="F360" s="152"/>
      <c r="G360" s="149"/>
      <c r="H360" s="149"/>
      <c r="I360" s="149"/>
      <c r="J360" s="152"/>
      <c r="K360" s="152"/>
      <c r="L360" s="152"/>
      <c r="M360" s="149"/>
      <c r="N360" s="149"/>
      <c r="O360" s="194"/>
      <c r="P360" s="144"/>
      <c r="Q360" s="263"/>
      <c r="R360" s="144"/>
      <c r="S360" s="144"/>
      <c r="T360" s="144"/>
      <c r="U360" s="144"/>
      <c r="V360" s="144"/>
      <c r="W360" s="144"/>
      <c r="X360" s="144"/>
      <c r="Y360" s="144"/>
      <c r="Z360" s="144"/>
      <c r="AA360" s="149"/>
      <c r="AB360" s="152"/>
      <c r="AC360" s="152"/>
      <c r="AD360" s="152"/>
      <c r="AE360" s="149"/>
      <c r="AF360" s="149"/>
      <c r="AG360" s="208"/>
      <c r="AH360" s="208"/>
      <c r="AI360" s="149"/>
      <c r="AJ360" s="149"/>
      <c r="AK360" s="149"/>
      <c r="AL360" s="149"/>
      <c r="AM360" s="149"/>
      <c r="AN360" s="149"/>
      <c r="AO360" s="149"/>
      <c r="AP360" s="152"/>
      <c r="AQ360" s="149"/>
      <c r="AR360" s="149"/>
      <c r="AS360" s="149"/>
      <c r="AT360" s="149"/>
      <c r="AU360" s="144"/>
      <c r="AV360" s="149"/>
      <c r="AW360" s="149"/>
      <c r="AX360" s="149"/>
      <c r="AY360" s="144"/>
      <c r="AZ360" s="149"/>
      <c r="BA360" s="149"/>
      <c r="BB360" s="149"/>
      <c r="BC360" s="142" t="str">
        <f t="shared" si="19"/>
        <v/>
      </c>
      <c r="BD360" s="134" t="str">
        <f t="shared" si="17"/>
        <v>INDENIZAÇÃO</v>
      </c>
      <c r="BE360" s="134" t="str">
        <f t="shared" si="18"/>
        <v>NÃO</v>
      </c>
      <c r="BF360" s="149"/>
      <c r="BG360" s="194"/>
      <c r="BH360" s="194"/>
      <c r="BI360" s="149"/>
      <c r="BJ360" s="149"/>
      <c r="BK360" s="149"/>
      <c r="BL360" s="149"/>
      <c r="BM360" s="149"/>
      <c r="BN360" s="149"/>
      <c r="BO360" s="149"/>
      <c r="BP360" s="149"/>
      <c r="BQ360" s="149"/>
      <c r="BR360" s="149"/>
      <c r="BS360" s="149"/>
      <c r="BT360" s="149"/>
      <c r="BU360" s="149"/>
      <c r="BV360" s="149"/>
      <c r="BW360" s="149"/>
      <c r="BX360" s="149"/>
      <c r="BY360" s="149"/>
      <c r="BZ360" s="149"/>
      <c r="CA360" s="149"/>
      <c r="CB360" s="149"/>
      <c r="CC360" s="149"/>
      <c r="CD360" s="149"/>
      <c r="CE360" s="149"/>
      <c r="CF360" s="149"/>
      <c r="CG360" s="149"/>
      <c r="CH360" s="149"/>
      <c r="CI360" s="200"/>
      <c r="CJ360" s="149"/>
      <c r="CK360" s="149"/>
      <c r="CL360" s="149"/>
      <c r="CM360" s="149"/>
    </row>
    <row r="361" spans="1:91" ht="30" customHeight="1">
      <c r="A361" s="138"/>
      <c r="B361" s="138"/>
      <c r="C361" s="149"/>
      <c r="D361" s="149"/>
      <c r="E361" s="149"/>
      <c r="F361" s="152"/>
      <c r="G361" s="149"/>
      <c r="H361" s="149"/>
      <c r="I361" s="149"/>
      <c r="J361" s="152"/>
      <c r="K361" s="152"/>
      <c r="L361" s="152"/>
      <c r="M361" s="149"/>
      <c r="N361" s="149"/>
      <c r="O361" s="194"/>
      <c r="P361" s="144"/>
      <c r="Q361" s="263"/>
      <c r="R361" s="144"/>
      <c r="S361" s="144"/>
      <c r="T361" s="144"/>
      <c r="U361" s="144"/>
      <c r="V361" s="144"/>
      <c r="W361" s="144"/>
      <c r="X361" s="144"/>
      <c r="Y361" s="144"/>
      <c r="Z361" s="144"/>
      <c r="AA361" s="149"/>
      <c r="AB361" s="152"/>
      <c r="AC361" s="152"/>
      <c r="AD361" s="152"/>
      <c r="AE361" s="149"/>
      <c r="AF361" s="149"/>
      <c r="AG361" s="208"/>
      <c r="AH361" s="208"/>
      <c r="AI361" s="149"/>
      <c r="AJ361" s="149"/>
      <c r="AK361" s="149"/>
      <c r="AL361" s="149"/>
      <c r="AM361" s="149"/>
      <c r="AN361" s="149"/>
      <c r="AO361" s="149"/>
      <c r="AP361" s="152"/>
      <c r="AQ361" s="149"/>
      <c r="AR361" s="149"/>
      <c r="AS361" s="149"/>
      <c r="AT361" s="149"/>
      <c r="AU361" s="144"/>
      <c r="AV361" s="149"/>
      <c r="AW361" s="149"/>
      <c r="AX361" s="149"/>
      <c r="AY361" s="144"/>
      <c r="AZ361" s="149"/>
      <c r="BA361" s="149"/>
      <c r="BB361" s="149"/>
      <c r="BC361" s="142" t="str">
        <f t="shared" si="19"/>
        <v/>
      </c>
      <c r="BD361" s="134" t="str">
        <f t="shared" si="17"/>
        <v>INDENIZAÇÃO</v>
      </c>
      <c r="BE361" s="134" t="str">
        <f t="shared" si="18"/>
        <v>NÃO</v>
      </c>
      <c r="BF361" s="149"/>
      <c r="BG361" s="194"/>
      <c r="BH361" s="194"/>
      <c r="BI361" s="149"/>
      <c r="BJ361" s="149"/>
      <c r="BK361" s="149"/>
      <c r="BL361" s="149"/>
      <c r="BM361" s="149"/>
      <c r="BN361" s="149"/>
      <c r="BO361" s="149"/>
      <c r="BP361" s="149"/>
      <c r="BQ361" s="149"/>
      <c r="BR361" s="149"/>
      <c r="BS361" s="149"/>
      <c r="BT361" s="149"/>
      <c r="BU361" s="149"/>
      <c r="BV361" s="149"/>
      <c r="BW361" s="149"/>
      <c r="BX361" s="149"/>
      <c r="BY361" s="149"/>
      <c r="BZ361" s="149"/>
      <c r="CA361" s="149"/>
      <c r="CB361" s="149"/>
      <c r="CC361" s="149"/>
      <c r="CD361" s="149"/>
      <c r="CE361" s="149"/>
      <c r="CF361" s="149"/>
      <c r="CG361" s="149"/>
      <c r="CH361" s="149"/>
      <c r="CI361" s="200"/>
      <c r="CJ361" s="149"/>
      <c r="CK361" s="149"/>
      <c r="CL361" s="149"/>
      <c r="CM361" s="149"/>
    </row>
    <row r="362" spans="1:91" ht="30" customHeight="1">
      <c r="A362" s="138"/>
      <c r="B362" s="138"/>
      <c r="C362" s="149"/>
      <c r="D362" s="149"/>
      <c r="E362" s="149"/>
      <c r="F362" s="152"/>
      <c r="G362" s="149"/>
      <c r="H362" s="149"/>
      <c r="I362" s="149"/>
      <c r="J362" s="152"/>
      <c r="K362" s="152"/>
      <c r="L362" s="152"/>
      <c r="M362" s="149"/>
      <c r="N362" s="149"/>
      <c r="O362" s="194"/>
      <c r="P362" s="144"/>
      <c r="Q362" s="263"/>
      <c r="R362" s="144"/>
      <c r="S362" s="144"/>
      <c r="T362" s="144"/>
      <c r="U362" s="144"/>
      <c r="V362" s="144"/>
      <c r="W362" s="144"/>
      <c r="X362" s="144"/>
      <c r="Y362" s="144"/>
      <c r="Z362" s="144"/>
      <c r="AA362" s="149"/>
      <c r="AB362" s="152"/>
      <c r="AC362" s="152"/>
      <c r="AD362" s="152"/>
      <c r="AE362" s="149"/>
      <c r="AF362" s="149"/>
      <c r="AG362" s="208"/>
      <c r="AH362" s="208"/>
      <c r="AI362" s="149"/>
      <c r="AJ362" s="149"/>
      <c r="AK362" s="149"/>
      <c r="AL362" s="149"/>
      <c r="AM362" s="149"/>
      <c r="AN362" s="149"/>
      <c r="AO362" s="149"/>
      <c r="AP362" s="152"/>
      <c r="AQ362" s="149"/>
      <c r="AR362" s="149"/>
      <c r="AS362" s="149"/>
      <c r="AT362" s="149"/>
      <c r="AU362" s="144"/>
      <c r="AV362" s="149"/>
      <c r="AW362" s="149"/>
      <c r="AX362" s="149"/>
      <c r="AY362" s="144"/>
      <c r="AZ362" s="149"/>
      <c r="BA362" s="149"/>
      <c r="BB362" s="149"/>
      <c r="BC362" s="142" t="str">
        <f t="shared" si="19"/>
        <v/>
      </c>
      <c r="BD362" s="134" t="str">
        <f t="shared" si="17"/>
        <v>INDENIZAÇÃO</v>
      </c>
      <c r="BE362" s="134" t="str">
        <f t="shared" si="18"/>
        <v>NÃO</v>
      </c>
      <c r="BF362" s="149"/>
      <c r="BG362" s="194"/>
      <c r="BH362" s="194"/>
      <c r="BI362" s="149"/>
      <c r="BJ362" s="149"/>
      <c r="BK362" s="149"/>
      <c r="BL362" s="149"/>
      <c r="BM362" s="149"/>
      <c r="BN362" s="149"/>
      <c r="BO362" s="149"/>
      <c r="BP362" s="149"/>
      <c r="BQ362" s="149"/>
      <c r="BR362" s="149"/>
      <c r="BS362" s="149"/>
      <c r="BT362" s="149"/>
      <c r="BU362" s="149"/>
      <c r="BV362" s="149"/>
      <c r="BW362" s="149"/>
      <c r="BX362" s="149"/>
      <c r="BY362" s="149"/>
      <c r="BZ362" s="149"/>
      <c r="CA362" s="149"/>
      <c r="CB362" s="149"/>
      <c r="CC362" s="149"/>
      <c r="CD362" s="149"/>
      <c r="CE362" s="149"/>
      <c r="CF362" s="149"/>
      <c r="CG362" s="149"/>
      <c r="CH362" s="149"/>
      <c r="CI362" s="200"/>
      <c r="CJ362" s="149"/>
      <c r="CK362" s="149"/>
      <c r="CL362" s="149"/>
      <c r="CM362" s="149"/>
    </row>
    <row r="363" spans="1:91" ht="30" customHeight="1">
      <c r="A363" s="138"/>
      <c r="B363" s="138"/>
      <c r="C363" s="149"/>
      <c r="D363" s="149"/>
      <c r="E363" s="149"/>
      <c r="F363" s="152"/>
      <c r="G363" s="149"/>
      <c r="H363" s="149"/>
      <c r="I363" s="149"/>
      <c r="J363" s="152"/>
      <c r="K363" s="152"/>
      <c r="L363" s="152"/>
      <c r="M363" s="149"/>
      <c r="N363" s="149"/>
      <c r="O363" s="194"/>
      <c r="P363" s="144"/>
      <c r="Q363" s="263"/>
      <c r="R363" s="144"/>
      <c r="S363" s="144"/>
      <c r="T363" s="144"/>
      <c r="U363" s="144"/>
      <c r="V363" s="144"/>
      <c r="W363" s="144"/>
      <c r="X363" s="144"/>
      <c r="Y363" s="144"/>
      <c r="Z363" s="144"/>
      <c r="AA363" s="149"/>
      <c r="AB363" s="152"/>
      <c r="AC363" s="152"/>
      <c r="AD363" s="152"/>
      <c r="AE363" s="149"/>
      <c r="AF363" s="149"/>
      <c r="AG363" s="208"/>
      <c r="AH363" s="208"/>
      <c r="AI363" s="149"/>
      <c r="AJ363" s="149"/>
      <c r="AK363" s="149"/>
      <c r="AL363" s="149"/>
      <c r="AM363" s="149"/>
      <c r="AN363" s="149"/>
      <c r="AO363" s="149"/>
      <c r="AP363" s="152"/>
      <c r="AQ363" s="149"/>
      <c r="AR363" s="149"/>
      <c r="AS363" s="149"/>
      <c r="AT363" s="149"/>
      <c r="AU363" s="144"/>
      <c r="AV363" s="149"/>
      <c r="AW363" s="149"/>
      <c r="AX363" s="149"/>
      <c r="AY363" s="144"/>
      <c r="AZ363" s="149"/>
      <c r="BA363" s="149"/>
      <c r="BB363" s="149"/>
      <c r="BC363" s="142" t="str">
        <f t="shared" si="19"/>
        <v/>
      </c>
      <c r="BD363" s="134" t="str">
        <f t="shared" si="17"/>
        <v>INDENIZAÇÃO</v>
      </c>
      <c r="BE363" s="134" t="str">
        <f t="shared" si="18"/>
        <v>NÃO</v>
      </c>
      <c r="BF363" s="149"/>
      <c r="BG363" s="194"/>
      <c r="BH363" s="194"/>
      <c r="BI363" s="149"/>
      <c r="BJ363" s="149"/>
      <c r="BK363" s="149"/>
      <c r="BL363" s="149"/>
      <c r="BM363" s="149"/>
      <c r="BN363" s="149"/>
      <c r="BO363" s="149"/>
      <c r="BP363" s="149"/>
      <c r="BQ363" s="149"/>
      <c r="BR363" s="149"/>
      <c r="BS363" s="149"/>
      <c r="BT363" s="149"/>
      <c r="BU363" s="149"/>
      <c r="BV363" s="149"/>
      <c r="BW363" s="149"/>
      <c r="BX363" s="149"/>
      <c r="BY363" s="149"/>
      <c r="BZ363" s="149"/>
      <c r="CA363" s="149"/>
      <c r="CB363" s="149"/>
      <c r="CC363" s="149"/>
      <c r="CD363" s="149"/>
      <c r="CE363" s="149"/>
      <c r="CF363" s="149"/>
      <c r="CG363" s="149"/>
      <c r="CH363" s="149"/>
      <c r="CI363" s="200"/>
      <c r="CJ363" s="149"/>
      <c r="CK363" s="149"/>
      <c r="CL363" s="149"/>
      <c r="CM363" s="149"/>
    </row>
    <row r="364" spans="1:91" ht="30" customHeight="1">
      <c r="A364" s="138"/>
      <c r="B364" s="138"/>
      <c r="C364" s="149"/>
      <c r="D364" s="149"/>
      <c r="E364" s="149"/>
      <c r="F364" s="152"/>
      <c r="G364" s="149"/>
      <c r="H364" s="149"/>
      <c r="I364" s="149"/>
      <c r="J364" s="152"/>
      <c r="K364" s="152"/>
      <c r="L364" s="152"/>
      <c r="M364" s="149"/>
      <c r="N364" s="149"/>
      <c r="O364" s="194"/>
      <c r="P364" s="144"/>
      <c r="Q364" s="263"/>
      <c r="R364" s="144"/>
      <c r="S364" s="144"/>
      <c r="T364" s="144"/>
      <c r="U364" s="144"/>
      <c r="V364" s="144"/>
      <c r="W364" s="144"/>
      <c r="X364" s="144"/>
      <c r="Y364" s="144"/>
      <c r="Z364" s="144"/>
      <c r="AA364" s="149"/>
      <c r="AB364" s="152"/>
      <c r="AC364" s="152"/>
      <c r="AD364" s="152"/>
      <c r="AE364" s="149"/>
      <c r="AF364" s="149"/>
      <c r="AG364" s="208"/>
      <c r="AH364" s="208"/>
      <c r="AI364" s="149"/>
      <c r="AJ364" s="149"/>
      <c r="AK364" s="149"/>
      <c r="AL364" s="149"/>
      <c r="AM364" s="149"/>
      <c r="AN364" s="149"/>
      <c r="AO364" s="149"/>
      <c r="AP364" s="152"/>
      <c r="AQ364" s="149"/>
      <c r="AR364" s="149"/>
      <c r="AS364" s="149"/>
      <c r="AT364" s="149"/>
      <c r="AU364" s="144"/>
      <c r="AV364" s="149"/>
      <c r="AW364" s="149"/>
      <c r="AX364" s="149"/>
      <c r="AY364" s="144"/>
      <c r="AZ364" s="149"/>
      <c r="BA364" s="149"/>
      <c r="BB364" s="149"/>
      <c r="BC364" s="142" t="str">
        <f t="shared" si="19"/>
        <v/>
      </c>
      <c r="BD364" s="134" t="str">
        <f t="shared" si="17"/>
        <v>INDENIZAÇÃO</v>
      </c>
      <c r="BE364" s="134" t="str">
        <f t="shared" si="18"/>
        <v>NÃO</v>
      </c>
      <c r="BF364" s="149"/>
      <c r="BG364" s="194"/>
      <c r="BH364" s="194"/>
      <c r="BI364" s="149"/>
      <c r="BJ364" s="149"/>
      <c r="BK364" s="149"/>
      <c r="BL364" s="149"/>
      <c r="BM364" s="149"/>
      <c r="BN364" s="149"/>
      <c r="BO364" s="149"/>
      <c r="BP364" s="149"/>
      <c r="BQ364" s="149"/>
      <c r="BR364" s="149"/>
      <c r="BS364" s="149"/>
      <c r="BT364" s="149"/>
      <c r="BU364" s="149"/>
      <c r="BV364" s="149"/>
      <c r="BW364" s="149"/>
      <c r="BX364" s="149"/>
      <c r="BY364" s="149"/>
      <c r="BZ364" s="149"/>
      <c r="CA364" s="149"/>
      <c r="CB364" s="149"/>
      <c r="CC364" s="149"/>
      <c r="CD364" s="149"/>
      <c r="CE364" s="149"/>
      <c r="CF364" s="149"/>
      <c r="CG364" s="149"/>
      <c r="CH364" s="149"/>
      <c r="CI364" s="200"/>
      <c r="CJ364" s="149"/>
      <c r="CK364" s="149"/>
      <c r="CL364" s="149"/>
      <c r="CM364" s="149"/>
    </row>
    <row r="365" spans="1:91" ht="30" customHeight="1">
      <c r="A365" s="138"/>
      <c r="B365" s="138"/>
      <c r="C365" s="149"/>
      <c r="D365" s="149"/>
      <c r="E365" s="149"/>
      <c r="F365" s="152"/>
      <c r="G365" s="149"/>
      <c r="H365" s="149"/>
      <c r="I365" s="149"/>
      <c r="J365" s="152"/>
      <c r="K365" s="152"/>
      <c r="L365" s="152"/>
      <c r="M365" s="149"/>
      <c r="N365" s="149"/>
      <c r="O365" s="194"/>
      <c r="P365" s="144"/>
      <c r="Q365" s="263"/>
      <c r="R365" s="144"/>
      <c r="S365" s="144"/>
      <c r="T365" s="144"/>
      <c r="U365" s="144"/>
      <c r="V365" s="144"/>
      <c r="W365" s="144"/>
      <c r="X365" s="144"/>
      <c r="Y365" s="144"/>
      <c r="Z365" s="144"/>
      <c r="AA365" s="149"/>
      <c r="AB365" s="152"/>
      <c r="AC365" s="152"/>
      <c r="AD365" s="152"/>
      <c r="AE365" s="149"/>
      <c r="AF365" s="149"/>
      <c r="AG365" s="208"/>
      <c r="AH365" s="208"/>
      <c r="AI365" s="149"/>
      <c r="AJ365" s="149"/>
      <c r="AK365" s="149"/>
      <c r="AL365" s="149"/>
      <c r="AM365" s="149"/>
      <c r="AN365" s="149"/>
      <c r="AO365" s="149"/>
      <c r="AP365" s="152"/>
      <c r="AQ365" s="149"/>
      <c r="AR365" s="149"/>
      <c r="AS365" s="149"/>
      <c r="AT365" s="149"/>
      <c r="AU365" s="144"/>
      <c r="AV365" s="149"/>
      <c r="AW365" s="149"/>
      <c r="AX365" s="149"/>
      <c r="AY365" s="144"/>
      <c r="AZ365" s="149"/>
      <c r="BA365" s="149"/>
      <c r="BB365" s="149"/>
      <c r="BC365" s="142" t="str">
        <f t="shared" si="19"/>
        <v/>
      </c>
      <c r="BD365" s="134" t="str">
        <f t="shared" si="17"/>
        <v>INDENIZAÇÃO</v>
      </c>
      <c r="BE365" s="134" t="str">
        <f t="shared" si="18"/>
        <v>NÃO</v>
      </c>
      <c r="BF365" s="149"/>
      <c r="BG365" s="194"/>
      <c r="BH365" s="194"/>
      <c r="BI365" s="149"/>
      <c r="BJ365" s="149"/>
      <c r="BK365" s="149"/>
      <c r="BL365" s="149"/>
      <c r="BM365" s="149"/>
      <c r="BN365" s="149"/>
      <c r="BO365" s="149"/>
      <c r="BP365" s="149"/>
      <c r="BQ365" s="149"/>
      <c r="BR365" s="149"/>
      <c r="BS365" s="149"/>
      <c r="BT365" s="149"/>
      <c r="BU365" s="149"/>
      <c r="BV365" s="149"/>
      <c r="BW365" s="149"/>
      <c r="BX365" s="149"/>
      <c r="BY365" s="149"/>
      <c r="BZ365" s="149"/>
      <c r="CA365" s="149"/>
      <c r="CB365" s="149"/>
      <c r="CC365" s="149"/>
      <c r="CD365" s="149"/>
      <c r="CE365" s="149"/>
      <c r="CF365" s="149"/>
      <c r="CG365" s="149"/>
      <c r="CH365" s="149"/>
      <c r="CI365" s="200"/>
      <c r="CJ365" s="149"/>
      <c r="CK365" s="149"/>
      <c r="CL365" s="149"/>
      <c r="CM365" s="149"/>
    </row>
    <row r="366" spans="1:91" ht="30" customHeight="1">
      <c r="A366" s="138"/>
      <c r="B366" s="138"/>
      <c r="C366" s="149"/>
      <c r="D366" s="149"/>
      <c r="E366" s="149"/>
      <c r="F366" s="152"/>
      <c r="G366" s="149"/>
      <c r="H366" s="149"/>
      <c r="I366" s="149"/>
      <c r="J366" s="152"/>
      <c r="K366" s="152"/>
      <c r="L366" s="152"/>
      <c r="M366" s="149"/>
      <c r="N366" s="149"/>
      <c r="O366" s="194"/>
      <c r="P366" s="144"/>
      <c r="Q366" s="263"/>
      <c r="R366" s="144"/>
      <c r="S366" s="144"/>
      <c r="T366" s="144"/>
      <c r="U366" s="144"/>
      <c r="V366" s="144"/>
      <c r="W366" s="144"/>
      <c r="X366" s="144"/>
      <c r="Y366" s="144"/>
      <c r="Z366" s="144"/>
      <c r="AA366" s="149"/>
      <c r="AB366" s="152"/>
      <c r="AC366" s="152"/>
      <c r="AD366" s="152"/>
      <c r="AE366" s="149"/>
      <c r="AF366" s="149"/>
      <c r="AG366" s="208"/>
      <c r="AH366" s="208"/>
      <c r="AI366" s="149"/>
      <c r="AJ366" s="149"/>
      <c r="AK366" s="149"/>
      <c r="AL366" s="149"/>
      <c r="AM366" s="149"/>
      <c r="AN366" s="149"/>
      <c r="AO366" s="149"/>
      <c r="AP366" s="152"/>
      <c r="AQ366" s="149"/>
      <c r="AR366" s="149"/>
      <c r="AS366" s="149"/>
      <c r="AT366" s="149"/>
      <c r="AU366" s="144"/>
      <c r="AV366" s="149"/>
      <c r="AW366" s="149"/>
      <c r="AX366" s="149"/>
      <c r="AY366" s="144"/>
      <c r="AZ366" s="149"/>
      <c r="BA366" s="149"/>
      <c r="BB366" s="149"/>
      <c r="BC366" s="142" t="str">
        <f t="shared" si="19"/>
        <v/>
      </c>
      <c r="BD366" s="134" t="str">
        <f t="shared" si="17"/>
        <v>INDENIZAÇÃO</v>
      </c>
      <c r="BE366" s="134" t="str">
        <f t="shared" si="18"/>
        <v>NÃO</v>
      </c>
      <c r="BF366" s="149"/>
      <c r="BG366" s="194"/>
      <c r="BH366" s="194"/>
      <c r="BI366" s="149"/>
      <c r="BJ366" s="149"/>
      <c r="BK366" s="149"/>
      <c r="BL366" s="149"/>
      <c r="BM366" s="149"/>
      <c r="BN366" s="149"/>
      <c r="BO366" s="149"/>
      <c r="BP366" s="149"/>
      <c r="BQ366" s="149"/>
      <c r="BR366" s="149"/>
      <c r="BS366" s="149"/>
      <c r="BT366" s="149"/>
      <c r="BU366" s="149"/>
      <c r="BV366" s="149"/>
      <c r="BW366" s="149"/>
      <c r="BX366" s="149"/>
      <c r="BY366" s="149"/>
      <c r="BZ366" s="149"/>
      <c r="CA366" s="149"/>
      <c r="CB366" s="149"/>
      <c r="CC366" s="149"/>
      <c r="CD366" s="149"/>
      <c r="CE366" s="149"/>
      <c r="CF366" s="149"/>
      <c r="CG366" s="149"/>
      <c r="CH366" s="149"/>
      <c r="CI366" s="200"/>
      <c r="CJ366" s="149"/>
      <c r="CK366" s="149"/>
      <c r="CL366" s="149"/>
      <c r="CM366" s="149"/>
    </row>
    <row r="367" spans="1:91" ht="30" customHeight="1">
      <c r="A367" s="160"/>
      <c r="B367" s="160"/>
      <c r="C367" s="171"/>
      <c r="D367" s="171"/>
      <c r="E367" s="171"/>
      <c r="F367" s="203"/>
      <c r="G367" s="149"/>
      <c r="H367" s="149"/>
      <c r="I367" s="149"/>
      <c r="J367" s="152"/>
      <c r="K367" s="152"/>
      <c r="L367" s="152"/>
      <c r="M367" s="171"/>
      <c r="N367" s="171"/>
      <c r="O367" s="202"/>
      <c r="P367" s="172"/>
      <c r="Q367" s="266"/>
      <c r="R367" s="172"/>
      <c r="S367" s="172"/>
      <c r="T367" s="172"/>
      <c r="U367" s="172"/>
      <c r="V367" s="172"/>
      <c r="W367" s="172"/>
      <c r="X367" s="172"/>
      <c r="Y367" s="172"/>
      <c r="Z367" s="172"/>
      <c r="AA367" s="171"/>
      <c r="AB367" s="203"/>
      <c r="AC367" s="203"/>
      <c r="AD367" s="203"/>
      <c r="AE367" s="171"/>
      <c r="AF367" s="171"/>
      <c r="AG367" s="208"/>
      <c r="AH367" s="208"/>
      <c r="AI367" s="171"/>
      <c r="AJ367" s="171"/>
      <c r="AK367" s="171"/>
      <c r="AL367" s="171"/>
      <c r="AM367" s="171"/>
      <c r="AN367" s="171"/>
      <c r="AO367" s="171"/>
      <c r="AP367" s="203"/>
      <c r="AQ367" s="171"/>
      <c r="AR367" s="171"/>
      <c r="AS367" s="171"/>
      <c r="AT367" s="171"/>
      <c r="AU367" s="172"/>
      <c r="AV367" s="171"/>
      <c r="AW367" s="171"/>
      <c r="AX367" s="171"/>
      <c r="AY367" s="172"/>
      <c r="AZ367" s="171"/>
      <c r="BA367" s="171"/>
      <c r="BB367" s="171"/>
      <c r="BC367" s="142" t="str">
        <f t="shared" si="19"/>
        <v/>
      </c>
      <c r="BD367" s="134" t="str">
        <f t="shared" si="17"/>
        <v>INDENIZAÇÃO</v>
      </c>
      <c r="BE367" s="134" t="str">
        <f t="shared" si="18"/>
        <v>NÃO</v>
      </c>
      <c r="BF367" s="171"/>
      <c r="BG367" s="202"/>
      <c r="BH367" s="202"/>
      <c r="BI367" s="171"/>
      <c r="BJ367" s="171"/>
      <c r="BK367" s="171"/>
      <c r="BL367" s="171"/>
      <c r="BM367" s="171"/>
      <c r="BN367" s="171"/>
      <c r="BO367" s="171"/>
      <c r="BP367" s="171"/>
      <c r="BQ367" s="171"/>
      <c r="BR367" s="171"/>
      <c r="BS367" s="171"/>
      <c r="BT367" s="171"/>
      <c r="BU367" s="171"/>
      <c r="BV367" s="171"/>
      <c r="BW367" s="171"/>
      <c r="BX367" s="171"/>
      <c r="BY367" s="171"/>
      <c r="BZ367" s="171"/>
      <c r="CA367" s="171"/>
      <c r="CB367" s="171"/>
      <c r="CC367" s="171"/>
      <c r="CD367" s="171"/>
      <c r="CE367" s="171"/>
      <c r="CF367" s="171"/>
      <c r="CG367" s="171"/>
      <c r="CH367" s="171"/>
      <c r="CI367" s="149"/>
      <c r="CJ367" s="149"/>
      <c r="CK367" s="149"/>
      <c r="CL367" s="149"/>
      <c r="CM367" s="149"/>
    </row>
    <row r="368" spans="1:91" ht="30" customHeight="1">
      <c r="G368" s="149"/>
      <c r="H368" s="149"/>
      <c r="I368" s="149"/>
      <c r="J368" s="152"/>
      <c r="K368" s="152"/>
      <c r="L368" s="152"/>
      <c r="AG368" s="208"/>
      <c r="AH368" s="208"/>
      <c r="BC368" s="142" t="str">
        <f t="shared" si="19"/>
        <v/>
      </c>
      <c r="BD368" s="134" t="str">
        <f t="shared" si="17"/>
        <v>INDENIZAÇÃO</v>
      </c>
      <c r="BE368" s="134" t="str">
        <f t="shared" ref="BE368:BE399" si="20">IF(AND(AY368&lt;&gt;"AGUARDANDO",AY368&lt;&gt;"",N368="AUXÍLIO ALUGUEL ATÉ INDENIZAÇÃO"),"SIM","NÃO")</f>
        <v>NÃO</v>
      </c>
    </row>
    <row r="369" spans="7:57" ht="30" customHeight="1">
      <c r="G369" s="149"/>
      <c r="H369" s="149"/>
      <c r="I369" s="149"/>
      <c r="J369" s="152"/>
      <c r="K369" s="152"/>
      <c r="L369" s="152"/>
      <c r="AG369" s="208"/>
      <c r="AH369" s="208"/>
      <c r="BC369" s="142" t="str">
        <f t="shared" si="19"/>
        <v/>
      </c>
      <c r="BD369" s="134" t="str">
        <f t="shared" si="17"/>
        <v>INDENIZAÇÃO</v>
      </c>
      <c r="BE369" s="134" t="str">
        <f t="shared" si="20"/>
        <v>NÃO</v>
      </c>
    </row>
    <row r="370" spans="7:57" ht="30" customHeight="1">
      <c r="G370" s="149"/>
      <c r="H370" s="149"/>
      <c r="I370" s="149"/>
      <c r="J370" s="152"/>
      <c r="K370" s="152"/>
      <c r="L370" s="152"/>
      <c r="AG370" s="208"/>
      <c r="AH370" s="208"/>
      <c r="BC370" s="142" t="str">
        <f t="shared" si="19"/>
        <v/>
      </c>
      <c r="BD370" s="134" t="str">
        <f t="shared" si="17"/>
        <v>INDENIZAÇÃO</v>
      </c>
      <c r="BE370" s="134" t="str">
        <f t="shared" si="20"/>
        <v>NÃO</v>
      </c>
    </row>
    <row r="371" spans="7:57" ht="30" customHeight="1">
      <c r="G371" s="149"/>
      <c r="H371" s="149"/>
      <c r="I371" s="149"/>
      <c r="J371" s="152"/>
      <c r="K371" s="152"/>
      <c r="L371" s="152"/>
      <c r="AG371" s="208"/>
      <c r="AH371" s="208"/>
      <c r="BC371" s="142" t="str">
        <f t="shared" si="19"/>
        <v/>
      </c>
      <c r="BD371" s="134" t="str">
        <f t="shared" si="17"/>
        <v>INDENIZAÇÃO</v>
      </c>
      <c r="BE371" s="134" t="str">
        <f t="shared" si="20"/>
        <v>NÃO</v>
      </c>
    </row>
    <row r="372" spans="7:57" ht="30" customHeight="1">
      <c r="G372" s="149"/>
      <c r="H372" s="149"/>
      <c r="I372" s="149"/>
      <c r="J372" s="152"/>
      <c r="K372" s="152"/>
      <c r="L372" s="152"/>
      <c r="AG372" s="208"/>
      <c r="AH372" s="208"/>
      <c r="BC372" s="142" t="str">
        <f t="shared" si="19"/>
        <v/>
      </c>
      <c r="BD372" s="134" t="str">
        <f t="shared" si="17"/>
        <v>INDENIZAÇÃO</v>
      </c>
      <c r="BE372" s="134" t="str">
        <f t="shared" si="20"/>
        <v>NÃO</v>
      </c>
    </row>
    <row r="373" spans="7:57" ht="30" customHeight="1">
      <c r="G373" s="149"/>
      <c r="H373" s="149"/>
      <c r="I373" s="149"/>
      <c r="J373" s="152"/>
      <c r="K373" s="152"/>
      <c r="L373" s="152"/>
      <c r="AG373" s="208"/>
      <c r="AH373" s="208"/>
      <c r="BC373" s="142" t="str">
        <f t="shared" si="19"/>
        <v/>
      </c>
      <c r="BD373" s="134" t="str">
        <f t="shared" si="17"/>
        <v>INDENIZAÇÃO</v>
      </c>
      <c r="BE373" s="134" t="str">
        <f t="shared" si="20"/>
        <v>NÃO</v>
      </c>
    </row>
    <row r="374" spans="7:57" ht="30" customHeight="1">
      <c r="G374" s="149"/>
      <c r="H374" s="149"/>
      <c r="I374" s="149"/>
      <c r="J374" s="152"/>
      <c r="K374" s="152"/>
      <c r="L374" s="152"/>
      <c r="AG374" s="208"/>
      <c r="AH374" s="208"/>
      <c r="BC374" s="142" t="str">
        <f t="shared" si="19"/>
        <v/>
      </c>
      <c r="BD374" s="134" t="str">
        <f t="shared" si="17"/>
        <v>INDENIZAÇÃO</v>
      </c>
      <c r="BE374" s="134" t="str">
        <f t="shared" si="20"/>
        <v>NÃO</v>
      </c>
    </row>
    <row r="375" spans="7:57" ht="30" customHeight="1">
      <c r="G375" s="149"/>
      <c r="H375" s="149"/>
      <c r="I375" s="149"/>
      <c r="J375" s="152"/>
      <c r="K375" s="152"/>
      <c r="L375" s="152"/>
      <c r="AG375" s="208"/>
      <c r="AH375" s="208"/>
      <c r="BC375" s="142" t="str">
        <f t="shared" si="19"/>
        <v/>
      </c>
      <c r="BD375" s="134" t="str">
        <f t="shared" si="17"/>
        <v>INDENIZAÇÃO</v>
      </c>
      <c r="BE375" s="134" t="str">
        <f t="shared" si="20"/>
        <v>NÃO</v>
      </c>
    </row>
    <row r="376" spans="7:57" ht="30" customHeight="1">
      <c r="G376" s="149"/>
      <c r="H376" s="149"/>
      <c r="I376" s="149"/>
      <c r="J376" s="152"/>
      <c r="K376" s="152"/>
      <c r="L376" s="152"/>
      <c r="AG376" s="208"/>
      <c r="AH376" s="208"/>
      <c r="BC376" s="142" t="str">
        <f t="shared" si="19"/>
        <v/>
      </c>
      <c r="BD376" s="134" t="str">
        <f t="shared" si="17"/>
        <v>INDENIZAÇÃO</v>
      </c>
      <c r="BE376" s="134" t="str">
        <f t="shared" si="20"/>
        <v>NÃO</v>
      </c>
    </row>
    <row r="377" spans="7:57" ht="30" customHeight="1">
      <c r="G377" s="149"/>
      <c r="H377" s="149"/>
      <c r="I377" s="149"/>
      <c r="J377" s="152"/>
      <c r="K377" s="152"/>
      <c r="L377" s="152"/>
      <c r="AG377" s="208"/>
      <c r="AH377" s="208"/>
      <c r="BC377" s="142" t="str">
        <f t="shared" si="19"/>
        <v/>
      </c>
      <c r="BD377" s="134" t="str">
        <f t="shared" si="17"/>
        <v>INDENIZAÇÃO</v>
      </c>
      <c r="BE377" s="134" t="str">
        <f t="shared" si="20"/>
        <v>NÃO</v>
      </c>
    </row>
    <row r="378" spans="7:57" ht="30" customHeight="1">
      <c r="G378" s="149"/>
      <c r="H378" s="149"/>
      <c r="I378" s="149"/>
      <c r="J378" s="152"/>
      <c r="K378" s="152"/>
      <c r="L378" s="152"/>
      <c r="AG378" s="208"/>
      <c r="AH378" s="208"/>
      <c r="BC378" s="142" t="str">
        <f t="shared" si="19"/>
        <v/>
      </c>
      <c r="BD378" s="134" t="str">
        <f t="shared" si="17"/>
        <v>INDENIZAÇÃO</v>
      </c>
      <c r="BE378" s="134" t="str">
        <f t="shared" si="20"/>
        <v>NÃO</v>
      </c>
    </row>
    <row r="379" spans="7:57" ht="30" customHeight="1">
      <c r="G379" s="149"/>
      <c r="H379" s="149"/>
      <c r="I379" s="149"/>
      <c r="J379" s="152"/>
      <c r="K379" s="152"/>
      <c r="L379" s="152"/>
      <c r="AG379" s="208"/>
      <c r="AH379" s="208"/>
      <c r="BC379" s="142" t="str">
        <f t="shared" si="19"/>
        <v/>
      </c>
      <c r="BD379" s="134" t="str">
        <f t="shared" si="17"/>
        <v>INDENIZAÇÃO</v>
      </c>
      <c r="BE379" s="134" t="str">
        <f t="shared" si="20"/>
        <v>NÃO</v>
      </c>
    </row>
    <row r="380" spans="7:57" ht="30" customHeight="1">
      <c r="G380" s="149"/>
      <c r="H380" s="149"/>
      <c r="I380" s="149"/>
      <c r="J380" s="152"/>
      <c r="K380" s="152"/>
      <c r="L380" s="152"/>
      <c r="AG380" s="208"/>
      <c r="AH380" s="208"/>
      <c r="BC380" s="142" t="str">
        <f t="shared" si="19"/>
        <v/>
      </c>
      <c r="BD380" s="134" t="str">
        <f t="shared" si="17"/>
        <v>INDENIZAÇÃO</v>
      </c>
      <c r="BE380" s="134" t="str">
        <f t="shared" si="20"/>
        <v>NÃO</v>
      </c>
    </row>
    <row r="381" spans="7:57" ht="30" customHeight="1">
      <c r="G381" s="149"/>
      <c r="H381" s="149"/>
      <c r="I381" s="149"/>
      <c r="J381" s="152"/>
      <c r="K381" s="152"/>
      <c r="L381" s="152"/>
      <c r="AG381" s="208"/>
      <c r="AH381" s="208"/>
      <c r="BC381" s="142" t="str">
        <f t="shared" si="19"/>
        <v/>
      </c>
      <c r="BD381" s="134" t="str">
        <f t="shared" si="17"/>
        <v>INDENIZAÇÃO</v>
      </c>
      <c r="BE381" s="134" t="str">
        <f t="shared" si="20"/>
        <v>NÃO</v>
      </c>
    </row>
    <row r="382" spans="7:57" ht="30" customHeight="1">
      <c r="G382" s="149"/>
      <c r="H382" s="149"/>
      <c r="I382" s="149"/>
      <c r="J382" s="152"/>
      <c r="K382" s="152"/>
      <c r="L382" s="152"/>
      <c r="AG382" s="208"/>
      <c r="AH382" s="208"/>
      <c r="BC382" s="142" t="str">
        <f t="shared" si="19"/>
        <v/>
      </c>
      <c r="BD382" s="134" t="str">
        <f t="shared" si="17"/>
        <v>INDENIZAÇÃO</v>
      </c>
      <c r="BE382" s="134" t="str">
        <f t="shared" si="20"/>
        <v>NÃO</v>
      </c>
    </row>
    <row r="383" spans="7:57" ht="30" customHeight="1">
      <c r="G383" s="149"/>
      <c r="H383" s="149"/>
      <c r="I383" s="149"/>
      <c r="J383" s="152"/>
      <c r="K383" s="152"/>
      <c r="L383" s="152"/>
      <c r="AG383" s="208"/>
      <c r="AH383" s="208"/>
      <c r="BC383" s="142" t="str">
        <f t="shared" ref="BC383:BC416" si="21">IF(AY383-KD383=0,"",AY383-O383)</f>
        <v/>
      </c>
      <c r="BD383" s="134" t="str">
        <f t="shared" si="17"/>
        <v>INDENIZAÇÃO</v>
      </c>
      <c r="BE383" s="134" t="str">
        <f t="shared" si="20"/>
        <v>NÃO</v>
      </c>
    </row>
    <row r="384" spans="7:57" ht="30" customHeight="1">
      <c r="G384" s="149"/>
      <c r="H384" s="149"/>
      <c r="I384" s="149"/>
      <c r="J384" s="152"/>
      <c r="K384" s="152"/>
      <c r="L384" s="152"/>
      <c r="AG384" s="208"/>
      <c r="AH384" s="208"/>
      <c r="BC384" s="142" t="str">
        <f t="shared" si="21"/>
        <v/>
      </c>
      <c r="BD384" s="134" t="str">
        <f t="shared" si="17"/>
        <v>INDENIZAÇÃO</v>
      </c>
      <c r="BE384" s="134" t="str">
        <f t="shared" si="20"/>
        <v>NÃO</v>
      </c>
    </row>
    <row r="385" spans="7:57" ht="30" customHeight="1">
      <c r="G385" s="149"/>
      <c r="H385" s="149"/>
      <c r="I385" s="149"/>
      <c r="J385" s="152"/>
      <c r="K385" s="152"/>
      <c r="L385" s="152"/>
      <c r="AG385" s="208"/>
      <c r="AH385" s="208"/>
      <c r="BC385" s="142" t="str">
        <f t="shared" si="21"/>
        <v/>
      </c>
      <c r="BD385" s="134" t="str">
        <f t="shared" si="17"/>
        <v>INDENIZAÇÃO</v>
      </c>
      <c r="BE385" s="134" t="str">
        <f t="shared" si="20"/>
        <v>NÃO</v>
      </c>
    </row>
    <row r="386" spans="7:57" ht="30" customHeight="1">
      <c r="G386" s="149"/>
      <c r="H386" s="149"/>
      <c r="I386" s="149"/>
      <c r="J386" s="152"/>
      <c r="K386" s="152"/>
      <c r="L386" s="152"/>
      <c r="AG386" s="208"/>
      <c r="AH386" s="208"/>
      <c r="BC386" s="142" t="str">
        <f t="shared" si="21"/>
        <v/>
      </c>
      <c r="BD386" s="134" t="str">
        <f t="shared" si="17"/>
        <v>INDENIZAÇÃO</v>
      </c>
      <c r="BE386" s="134" t="str">
        <f t="shared" si="20"/>
        <v>NÃO</v>
      </c>
    </row>
    <row r="387" spans="7:57" ht="30" customHeight="1">
      <c r="G387" s="149"/>
      <c r="H387" s="149"/>
      <c r="I387" s="149"/>
      <c r="J387" s="152"/>
      <c r="K387" s="152"/>
      <c r="L387" s="152"/>
      <c r="AG387" s="208"/>
      <c r="AH387" s="208"/>
      <c r="BC387" s="142" t="str">
        <f t="shared" si="21"/>
        <v/>
      </c>
      <c r="BD387" s="134" t="str">
        <f t="shared" si="17"/>
        <v>INDENIZAÇÃO</v>
      </c>
      <c r="BE387" s="134" t="str">
        <f t="shared" si="20"/>
        <v>NÃO</v>
      </c>
    </row>
    <row r="388" spans="7:57" ht="30" customHeight="1">
      <c r="G388" s="149"/>
      <c r="H388" s="149"/>
      <c r="I388" s="149"/>
      <c r="J388" s="152"/>
      <c r="K388" s="152"/>
      <c r="L388" s="152"/>
      <c r="AG388" s="208"/>
      <c r="AH388" s="208"/>
      <c r="BC388" s="142" t="str">
        <f t="shared" si="21"/>
        <v/>
      </c>
      <c r="BD388" s="134" t="str">
        <f t="shared" si="17"/>
        <v>INDENIZAÇÃO</v>
      </c>
      <c r="BE388" s="134" t="str">
        <f t="shared" si="20"/>
        <v>NÃO</v>
      </c>
    </row>
    <row r="389" spans="7:57" ht="30" customHeight="1">
      <c r="G389" s="149"/>
      <c r="H389" s="149"/>
      <c r="I389" s="149"/>
      <c r="J389" s="152"/>
      <c r="K389" s="152"/>
      <c r="L389" s="152"/>
      <c r="AG389" s="208"/>
      <c r="AH389" s="208"/>
      <c r="BC389" s="142" t="str">
        <f t="shared" si="21"/>
        <v/>
      </c>
      <c r="BD389" s="134" t="str">
        <f t="shared" si="17"/>
        <v>INDENIZAÇÃO</v>
      </c>
      <c r="BE389" s="134" t="str">
        <f t="shared" si="20"/>
        <v>NÃO</v>
      </c>
    </row>
    <row r="390" spans="7:57" ht="30" customHeight="1">
      <c r="G390" s="149"/>
      <c r="H390" s="149"/>
      <c r="I390" s="149"/>
      <c r="J390" s="152"/>
      <c r="K390" s="152"/>
      <c r="L390" s="152"/>
      <c r="AG390" s="208"/>
      <c r="AH390" s="208"/>
      <c r="BC390" s="142" t="str">
        <f t="shared" si="21"/>
        <v/>
      </c>
      <c r="BD390" s="134" t="str">
        <f t="shared" si="17"/>
        <v>INDENIZAÇÃO</v>
      </c>
      <c r="BE390" s="134" t="str">
        <f t="shared" si="20"/>
        <v>NÃO</v>
      </c>
    </row>
    <row r="391" spans="7:57" ht="30" customHeight="1">
      <c r="G391" s="149"/>
      <c r="H391" s="149"/>
      <c r="I391" s="149"/>
      <c r="J391" s="152"/>
      <c r="K391" s="152"/>
      <c r="L391" s="152"/>
      <c r="AG391" s="208"/>
      <c r="AH391" s="208"/>
      <c r="BC391" s="142" t="str">
        <f t="shared" si="21"/>
        <v/>
      </c>
      <c r="BD391" s="134" t="str">
        <f t="shared" si="17"/>
        <v>INDENIZAÇÃO</v>
      </c>
      <c r="BE391" s="134" t="str">
        <f t="shared" si="20"/>
        <v>NÃO</v>
      </c>
    </row>
    <row r="392" spans="7:57" ht="30" customHeight="1">
      <c r="G392" s="149"/>
      <c r="H392" s="149"/>
      <c r="I392" s="149"/>
      <c r="J392" s="152"/>
      <c r="K392" s="152"/>
      <c r="L392" s="152"/>
      <c r="AG392" s="208"/>
      <c r="AH392" s="208"/>
      <c r="BC392" s="142" t="str">
        <f t="shared" si="21"/>
        <v/>
      </c>
      <c r="BD392" s="134" t="str">
        <f t="shared" si="17"/>
        <v>INDENIZAÇÃO</v>
      </c>
      <c r="BE392" s="134" t="str">
        <f t="shared" si="20"/>
        <v>NÃO</v>
      </c>
    </row>
    <row r="393" spans="7:57" ht="30" customHeight="1">
      <c r="G393" s="149"/>
      <c r="H393" s="149"/>
      <c r="I393" s="149"/>
      <c r="J393" s="152"/>
      <c r="K393" s="152"/>
      <c r="L393" s="152"/>
      <c r="AG393" s="208"/>
      <c r="AH393" s="208"/>
      <c r="BC393" s="142" t="str">
        <f t="shared" si="21"/>
        <v/>
      </c>
      <c r="BD393" s="134" t="str">
        <f t="shared" si="17"/>
        <v>INDENIZAÇÃO</v>
      </c>
      <c r="BE393" s="134" t="str">
        <f t="shared" si="20"/>
        <v>NÃO</v>
      </c>
    </row>
    <row r="394" spans="7:57" ht="30" customHeight="1">
      <c r="G394" s="149"/>
      <c r="H394" s="149"/>
      <c r="I394" s="149"/>
      <c r="J394" s="152"/>
      <c r="K394" s="152"/>
      <c r="L394" s="152"/>
      <c r="AG394" s="208"/>
      <c r="AH394" s="208"/>
      <c r="BC394" s="142" t="str">
        <f t="shared" si="21"/>
        <v/>
      </c>
      <c r="BD394" s="134" t="str">
        <f t="shared" si="17"/>
        <v>INDENIZAÇÃO</v>
      </c>
      <c r="BE394" s="134" t="str">
        <f t="shared" si="20"/>
        <v>NÃO</v>
      </c>
    </row>
    <row r="395" spans="7:57" ht="30" customHeight="1">
      <c r="G395" s="149"/>
      <c r="H395" s="149"/>
      <c r="I395" s="149"/>
      <c r="J395" s="152"/>
      <c r="K395" s="152"/>
      <c r="L395" s="152"/>
      <c r="AG395" s="208"/>
      <c r="AH395" s="208"/>
      <c r="BC395" s="142" t="str">
        <f t="shared" si="21"/>
        <v/>
      </c>
      <c r="BD395" s="134" t="str">
        <f t="shared" si="17"/>
        <v>INDENIZAÇÃO</v>
      </c>
      <c r="BE395" s="134" t="str">
        <f t="shared" si="20"/>
        <v>NÃO</v>
      </c>
    </row>
    <row r="396" spans="7:57" ht="30" customHeight="1">
      <c r="G396" s="149"/>
      <c r="H396" s="149"/>
      <c r="I396" s="149"/>
      <c r="J396" s="152"/>
      <c r="K396" s="152"/>
      <c r="L396" s="152"/>
      <c r="AG396" s="208"/>
      <c r="AH396" s="208"/>
      <c r="BC396" s="142" t="str">
        <f t="shared" si="21"/>
        <v/>
      </c>
      <c r="BD396" s="134" t="str">
        <f t="shared" si="17"/>
        <v>INDENIZAÇÃO</v>
      </c>
      <c r="BE396" s="134" t="str">
        <f t="shared" si="20"/>
        <v>NÃO</v>
      </c>
    </row>
    <row r="397" spans="7:57" ht="30" customHeight="1">
      <c r="G397" s="149"/>
      <c r="H397" s="149"/>
      <c r="I397" s="149"/>
      <c r="J397" s="152"/>
      <c r="K397" s="152"/>
      <c r="L397" s="152"/>
      <c r="AG397" s="208"/>
      <c r="AH397" s="208"/>
      <c r="BC397" s="142" t="str">
        <f t="shared" si="21"/>
        <v/>
      </c>
      <c r="BD397" s="134" t="str">
        <f t="shared" si="17"/>
        <v>INDENIZAÇÃO</v>
      </c>
      <c r="BE397" s="134" t="str">
        <f t="shared" si="20"/>
        <v>NÃO</v>
      </c>
    </row>
    <row r="398" spans="7:57" ht="30" customHeight="1">
      <c r="G398" s="149"/>
      <c r="H398" s="149"/>
      <c r="I398" s="149"/>
      <c r="J398" s="152"/>
      <c r="K398" s="152"/>
      <c r="L398" s="152"/>
      <c r="AG398" s="208"/>
      <c r="AH398" s="208"/>
      <c r="BC398" s="142" t="str">
        <f t="shared" si="21"/>
        <v/>
      </c>
      <c r="BD398" s="134" t="str">
        <f t="shared" si="17"/>
        <v>INDENIZAÇÃO</v>
      </c>
      <c r="BE398" s="134" t="str">
        <f t="shared" si="20"/>
        <v>NÃO</v>
      </c>
    </row>
    <row r="399" spans="7:57" ht="30" customHeight="1">
      <c r="G399" s="149"/>
      <c r="H399" s="149"/>
      <c r="I399" s="149"/>
      <c r="J399" s="152"/>
      <c r="K399" s="152"/>
      <c r="L399" s="152"/>
      <c r="AG399" s="208"/>
      <c r="AH399" s="208"/>
      <c r="BC399" s="142" t="str">
        <f t="shared" si="21"/>
        <v/>
      </c>
      <c r="BD399" s="134" t="str">
        <f t="shared" ref="BD399:BD416" si="22">IF(AND(AI399&lt;&gt;"SIM",AI399="UH"),"AA","INDENIZAÇÃO")</f>
        <v>INDENIZAÇÃO</v>
      </c>
      <c r="BE399" s="134" t="str">
        <f t="shared" si="20"/>
        <v>NÃO</v>
      </c>
    </row>
    <row r="400" spans="7:57" ht="30" customHeight="1">
      <c r="G400" s="149"/>
      <c r="H400" s="149"/>
      <c r="I400" s="149"/>
      <c r="J400" s="152"/>
      <c r="K400" s="152"/>
      <c r="L400" s="152"/>
      <c r="AG400" s="208"/>
      <c r="AH400" s="208"/>
      <c r="BC400" s="142" t="str">
        <f t="shared" si="21"/>
        <v/>
      </c>
      <c r="BD400" s="134" t="str">
        <f t="shared" si="22"/>
        <v>INDENIZAÇÃO</v>
      </c>
      <c r="BE400" s="134" t="str">
        <f t="shared" ref="BE400:BE416" si="23">IF(AND(AY400&lt;&gt;"AGUARDANDO",AY400&lt;&gt;"",N400="AUXÍLIO ALUGUEL ATÉ INDENIZAÇÃO"),"SIM","NÃO")</f>
        <v>NÃO</v>
      </c>
    </row>
    <row r="401" spans="7:57" ht="30" customHeight="1">
      <c r="G401" s="149"/>
      <c r="H401" s="149"/>
      <c r="I401" s="149"/>
      <c r="J401" s="152"/>
      <c r="K401" s="152"/>
      <c r="L401" s="152"/>
      <c r="AG401" s="208"/>
      <c r="AH401" s="208"/>
      <c r="BC401" s="142" t="str">
        <f t="shared" si="21"/>
        <v/>
      </c>
      <c r="BD401" s="134" t="str">
        <f t="shared" si="22"/>
        <v>INDENIZAÇÃO</v>
      </c>
      <c r="BE401" s="134" t="str">
        <f t="shared" si="23"/>
        <v>NÃO</v>
      </c>
    </row>
    <row r="402" spans="7:57" ht="30" customHeight="1">
      <c r="G402" s="149"/>
      <c r="H402" s="149"/>
      <c r="I402" s="149"/>
      <c r="J402" s="152"/>
      <c r="K402" s="152"/>
      <c r="L402" s="152"/>
      <c r="AG402" s="208"/>
      <c r="AH402" s="208"/>
      <c r="BC402" s="142" t="str">
        <f t="shared" si="21"/>
        <v/>
      </c>
      <c r="BD402" s="134" t="str">
        <f t="shared" si="22"/>
        <v>INDENIZAÇÃO</v>
      </c>
      <c r="BE402" s="134" t="str">
        <f t="shared" si="23"/>
        <v>NÃO</v>
      </c>
    </row>
    <row r="403" spans="7:57" ht="30" customHeight="1">
      <c r="G403" s="149"/>
      <c r="H403" s="149"/>
      <c r="I403" s="149"/>
      <c r="J403" s="152"/>
      <c r="K403" s="152"/>
      <c r="L403" s="152"/>
      <c r="AG403" s="208"/>
      <c r="AH403" s="208"/>
      <c r="BC403" s="142" t="str">
        <f t="shared" si="21"/>
        <v/>
      </c>
      <c r="BD403" s="134" t="str">
        <f t="shared" si="22"/>
        <v>INDENIZAÇÃO</v>
      </c>
      <c r="BE403" s="134" t="str">
        <f t="shared" si="23"/>
        <v>NÃO</v>
      </c>
    </row>
    <row r="404" spans="7:57" ht="30" customHeight="1">
      <c r="G404" s="149"/>
      <c r="H404" s="149"/>
      <c r="I404" s="149"/>
      <c r="J404" s="152"/>
      <c r="K404" s="152"/>
      <c r="L404" s="152"/>
      <c r="AG404" s="208"/>
      <c r="AH404" s="208"/>
      <c r="BC404" s="142" t="str">
        <f t="shared" si="21"/>
        <v/>
      </c>
      <c r="BD404" s="134" t="str">
        <f t="shared" si="22"/>
        <v>INDENIZAÇÃO</v>
      </c>
      <c r="BE404" s="134" t="str">
        <f t="shared" si="23"/>
        <v>NÃO</v>
      </c>
    </row>
    <row r="405" spans="7:57" ht="30" customHeight="1">
      <c r="G405" s="149"/>
      <c r="H405" s="149"/>
      <c r="I405" s="149"/>
      <c r="J405" s="152"/>
      <c r="K405" s="152"/>
      <c r="L405" s="152"/>
      <c r="AG405" s="208"/>
      <c r="AH405" s="208"/>
      <c r="BC405" s="142" t="str">
        <f t="shared" si="21"/>
        <v/>
      </c>
      <c r="BD405" s="134" t="str">
        <f t="shared" si="22"/>
        <v>INDENIZAÇÃO</v>
      </c>
      <c r="BE405" s="134" t="str">
        <f t="shared" si="23"/>
        <v>NÃO</v>
      </c>
    </row>
    <row r="406" spans="7:57" ht="30" customHeight="1">
      <c r="G406" s="149"/>
      <c r="H406" s="149"/>
      <c r="I406" s="149"/>
      <c r="J406" s="152"/>
      <c r="K406" s="152"/>
      <c r="L406" s="152"/>
      <c r="AG406" s="208"/>
      <c r="AH406" s="208"/>
      <c r="BC406" s="142" t="str">
        <f t="shared" si="21"/>
        <v/>
      </c>
      <c r="BD406" s="134" t="str">
        <f t="shared" si="22"/>
        <v>INDENIZAÇÃO</v>
      </c>
      <c r="BE406" s="134" t="str">
        <f t="shared" si="23"/>
        <v>NÃO</v>
      </c>
    </row>
    <row r="407" spans="7:57" ht="30" customHeight="1">
      <c r="G407" s="149"/>
      <c r="H407" s="149"/>
      <c r="I407" s="149"/>
      <c r="J407" s="152"/>
      <c r="K407" s="152"/>
      <c r="L407" s="152"/>
      <c r="AG407" s="208"/>
      <c r="AH407" s="208"/>
      <c r="BC407" s="142" t="str">
        <f t="shared" si="21"/>
        <v/>
      </c>
      <c r="BD407" s="134" t="str">
        <f t="shared" si="22"/>
        <v>INDENIZAÇÃO</v>
      </c>
      <c r="BE407" s="134" t="str">
        <f t="shared" si="23"/>
        <v>NÃO</v>
      </c>
    </row>
    <row r="408" spans="7:57" ht="30" customHeight="1">
      <c r="G408" s="149"/>
      <c r="H408" s="149"/>
      <c r="I408" s="149"/>
      <c r="J408" s="152"/>
      <c r="K408" s="152"/>
      <c r="L408" s="152"/>
      <c r="AG408" s="208"/>
      <c r="AH408" s="208"/>
      <c r="BC408" s="142" t="str">
        <f t="shared" si="21"/>
        <v/>
      </c>
      <c r="BD408" s="134" t="str">
        <f t="shared" si="22"/>
        <v>INDENIZAÇÃO</v>
      </c>
      <c r="BE408" s="134" t="str">
        <f t="shared" si="23"/>
        <v>NÃO</v>
      </c>
    </row>
    <row r="409" spans="7:57" ht="30" customHeight="1">
      <c r="G409" s="149"/>
      <c r="H409" s="149"/>
      <c r="I409" s="149"/>
      <c r="J409" s="152"/>
      <c r="K409" s="152"/>
      <c r="L409" s="152"/>
      <c r="AG409" s="208"/>
      <c r="AH409" s="208"/>
      <c r="BC409" s="142" t="str">
        <f t="shared" si="21"/>
        <v/>
      </c>
      <c r="BD409" s="134" t="str">
        <f t="shared" si="22"/>
        <v>INDENIZAÇÃO</v>
      </c>
      <c r="BE409" s="134" t="str">
        <f t="shared" si="23"/>
        <v>NÃO</v>
      </c>
    </row>
    <row r="410" spans="7:57" ht="30" customHeight="1">
      <c r="G410" s="149"/>
      <c r="H410" s="149"/>
      <c r="I410" s="149"/>
      <c r="J410" s="152"/>
      <c r="K410" s="152"/>
      <c r="L410" s="152"/>
      <c r="AG410" s="208"/>
      <c r="AH410" s="208"/>
      <c r="BC410" s="142" t="str">
        <f t="shared" si="21"/>
        <v/>
      </c>
      <c r="BD410" s="134" t="str">
        <f t="shared" si="22"/>
        <v>INDENIZAÇÃO</v>
      </c>
      <c r="BE410" s="134" t="str">
        <f t="shared" si="23"/>
        <v>NÃO</v>
      </c>
    </row>
    <row r="411" spans="7:57" ht="30" customHeight="1">
      <c r="AG411" s="208"/>
      <c r="AH411" s="208"/>
      <c r="BC411" s="142" t="str">
        <f t="shared" si="21"/>
        <v/>
      </c>
      <c r="BD411" s="134" t="str">
        <f t="shared" si="22"/>
        <v>INDENIZAÇÃO</v>
      </c>
      <c r="BE411" s="134" t="str">
        <f t="shared" si="23"/>
        <v>NÃO</v>
      </c>
    </row>
    <row r="412" spans="7:57" ht="30" customHeight="1">
      <c r="AG412" s="208"/>
      <c r="AH412" s="208"/>
      <c r="BC412" s="142" t="str">
        <f t="shared" si="21"/>
        <v/>
      </c>
      <c r="BD412" s="134" t="str">
        <f t="shared" si="22"/>
        <v>INDENIZAÇÃO</v>
      </c>
      <c r="BE412" s="134" t="str">
        <f t="shared" si="23"/>
        <v>NÃO</v>
      </c>
    </row>
    <row r="413" spans="7:57" ht="30" customHeight="1">
      <c r="AG413" s="208"/>
      <c r="AH413" s="208"/>
      <c r="BC413" s="142" t="str">
        <f t="shared" si="21"/>
        <v/>
      </c>
      <c r="BD413" s="134" t="str">
        <f t="shared" si="22"/>
        <v>INDENIZAÇÃO</v>
      </c>
      <c r="BE413" s="134" t="str">
        <f t="shared" si="23"/>
        <v>NÃO</v>
      </c>
    </row>
    <row r="414" spans="7:57" ht="30" customHeight="1">
      <c r="AG414" s="208"/>
      <c r="AH414" s="208"/>
      <c r="BC414" s="142" t="str">
        <f t="shared" si="21"/>
        <v/>
      </c>
      <c r="BD414" s="134" t="str">
        <f t="shared" si="22"/>
        <v>INDENIZAÇÃO</v>
      </c>
      <c r="BE414" s="134" t="str">
        <f t="shared" si="23"/>
        <v>NÃO</v>
      </c>
    </row>
    <row r="415" spans="7:57" ht="30" customHeight="1">
      <c r="AG415" s="208"/>
      <c r="AH415" s="208"/>
      <c r="BC415" s="142" t="str">
        <f t="shared" si="21"/>
        <v/>
      </c>
      <c r="BD415" s="134" t="str">
        <f t="shared" si="22"/>
        <v>INDENIZAÇÃO</v>
      </c>
      <c r="BE415" s="134" t="str">
        <f t="shared" si="23"/>
        <v>NÃO</v>
      </c>
    </row>
    <row r="416" spans="7:57" ht="30" customHeight="1">
      <c r="AG416" s="208"/>
      <c r="AH416" s="208"/>
      <c r="BC416" s="142" t="str">
        <f t="shared" si="21"/>
        <v/>
      </c>
      <c r="BD416" s="134" t="str">
        <f t="shared" si="22"/>
        <v>INDENIZAÇÃO</v>
      </c>
      <c r="BE416" s="134" t="str">
        <f t="shared" si="23"/>
        <v>NÃO</v>
      </c>
    </row>
    <row r="421" spans="39:39" ht="30" customHeight="1">
      <c r="AM421" s="120" t="s">
        <v>1076</v>
      </c>
    </row>
    <row r="37843" ht="29.25" customHeight="1"/>
  </sheetData>
  <autoFilter ref="A13:CY416" xr:uid="{00000000-0001-0000-0000-000000000000}"/>
  <sortState xmlns:xlrd2="http://schemas.microsoft.com/office/spreadsheetml/2017/richdata2" ref="A39:BM45">
    <sortCondition ref="J39:J45"/>
  </sortState>
  <dataConsolidate function="product"/>
  <mergeCells count="4">
    <mergeCell ref="BD12:BM12"/>
    <mergeCell ref="P12:AA12"/>
    <mergeCell ref="A12:O12"/>
    <mergeCell ref="BB12:BC12"/>
  </mergeCells>
  <phoneticPr fontId="7" type="noConversion"/>
  <conditionalFormatting sqref="F77:F1048576 F1:F75">
    <cfRule type="duplicateValues" dxfId="175" priority="752"/>
  </conditionalFormatting>
  <conditionalFormatting sqref="J1:J28 J30:J1048576">
    <cfRule type="duplicateValues" dxfId="174" priority="815"/>
  </conditionalFormatting>
  <conditionalFormatting sqref="AB1:AB28 AB30:AB1048576">
    <cfRule type="duplicateValues" dxfId="173" priority="240"/>
  </conditionalFormatting>
  <conditionalFormatting sqref="AB14:AB28 AB30:AB348">
    <cfRule type="duplicateValues" dxfId="172" priority="275"/>
  </conditionalFormatting>
  <conditionalFormatting sqref="AB349:AB1048576 AB1:AB13">
    <cfRule type="duplicateValues" dxfId="171" priority="666"/>
    <cfRule type="duplicateValues" dxfId="170" priority="817"/>
  </conditionalFormatting>
  <conditionalFormatting sqref="AD1:AD28 AD30:AD1048576">
    <cfRule type="duplicateValues" dxfId="169" priority="2"/>
  </conditionalFormatting>
  <conditionalFormatting sqref="AE1:AE37843 AE37844:AF1048576">
    <cfRule type="containsText" dxfId="168" priority="818" operator="containsText" text="NÃO RESIDENTE">
      <formula>NOT(ISERROR(SEARCH("NÃO RESIDENTE",AE1)))</formula>
    </cfRule>
  </conditionalFormatting>
  <conditionalFormatting sqref="AP51:AP56 AP317 AP319:AP1048576 AP58:AP315 AP1:AP34">
    <cfRule type="duplicateValues" dxfId="167" priority="324"/>
  </conditionalFormatting>
  <conditionalFormatting sqref="AQ286">
    <cfRule type="duplicateValues" dxfId="166" priority="11"/>
  </conditionalFormatting>
  <conditionalFormatting sqref="AR286">
    <cfRule type="duplicateValues" dxfId="165" priority="10"/>
  </conditionalFormatting>
  <conditionalFormatting sqref="AS286">
    <cfRule type="duplicateValues" dxfId="164" priority="9"/>
  </conditionalFormatting>
  <conditionalFormatting sqref="AT286">
    <cfRule type="duplicateValues" dxfId="163" priority="8"/>
  </conditionalFormatting>
  <conditionalFormatting sqref="AU286">
    <cfRule type="duplicateValues" dxfId="162" priority="7"/>
  </conditionalFormatting>
  <conditionalFormatting sqref="AV286">
    <cfRule type="duplicateValues" dxfId="161" priority="6"/>
  </conditionalFormatting>
  <conditionalFormatting sqref="AV109:AW109">
    <cfRule type="cellIs" dxfId="160" priority="313" operator="between">
      <formula>36526</formula>
      <formula>"31/12/3000"</formula>
    </cfRule>
  </conditionalFormatting>
  <conditionalFormatting sqref="AV160:AW160">
    <cfRule type="cellIs" dxfId="159" priority="286" operator="between">
      <formula>36526</formula>
      <formula>"31/12/3000"</formula>
    </cfRule>
  </conditionalFormatting>
  <conditionalFormatting sqref="AW221">
    <cfRule type="cellIs" dxfId="158" priority="866" operator="between">
      <formula>36526</formula>
      <formula>402133</formula>
    </cfRule>
    <cfRule type="cellIs" dxfId="157" priority="865" operator="between">
      <formula>36526</formula>
      <formula>"31/12/3000"</formula>
    </cfRule>
  </conditionalFormatting>
  <conditionalFormatting sqref="AW286">
    <cfRule type="duplicateValues" dxfId="156" priority="5"/>
  </conditionalFormatting>
  <conditionalFormatting sqref="AX286">
    <cfRule type="duplicateValues" dxfId="155" priority="4"/>
  </conditionalFormatting>
  <conditionalFormatting sqref="AY1:AY13 AY61:AY65 AY70:AY88 AY90:AY91 AY93 AY95:AY103 AY106 AY108:AY111 AY113:AY114 AY116:AY117 AY119:AY124 AY129:AY134 AY137:AY142 AY145 AY148 AY150:AY156 AY158:AY160 AY162:AY169 AY171:AY175 AY177:AY178 AY180:AY183 AY185 AY189:AY190 AY193:AY204 AY206:AY208 AY210:AY213 AY216 AY218:AY226 AY228:AY230 AZ247:AZ248 AY292:AY300 AY305:AY310 AY312:AY315 AY317 AY319:AY326 AY328:AY336 AY338 AY341:AY1048576">
    <cfRule type="cellIs" dxfId="154" priority="890" operator="between">
      <formula>36526</formula>
      <formula>"31/12/3000"</formula>
    </cfRule>
  </conditionalFormatting>
  <conditionalFormatting sqref="AY1:AY16">
    <cfRule type="cellIs" dxfId="153" priority="220" operator="between">
      <formula>36526</formula>
      <formula>402133</formula>
    </cfRule>
  </conditionalFormatting>
  <conditionalFormatting sqref="AY19:AY27 AY30:AY45 AY48:AY54 AY57:AY58 AY61:AY64">
    <cfRule type="cellIs" dxfId="152" priority="211" operator="between">
      <formula>36526</formula>
      <formula>402133</formula>
    </cfRule>
  </conditionalFormatting>
  <conditionalFormatting sqref="AY28:AY58 AY339 AY60:AY67 AY69:AY169 AY171:AY190 AY192:AY311">
    <cfRule type="cellIs" dxfId="151" priority="1" operator="greaterThan">
      <formula>0</formula>
    </cfRule>
  </conditionalFormatting>
  <conditionalFormatting sqref="AY66:AY67">
    <cfRule type="cellIs" dxfId="150" priority="210" operator="between">
      <formula>36526</formula>
      <formula>402133</formula>
    </cfRule>
  </conditionalFormatting>
  <conditionalFormatting sqref="AY69:AY108">
    <cfRule type="cellIs" dxfId="149" priority="255" operator="between">
      <formula>36526</formula>
      <formula>402133</formula>
    </cfRule>
  </conditionalFormatting>
  <conditionalFormatting sqref="AY110:AY159">
    <cfRule type="cellIs" dxfId="148" priority="209" operator="between">
      <formula>36526</formula>
      <formula>402133</formula>
    </cfRule>
  </conditionalFormatting>
  <conditionalFormatting sqref="AY161:AY169 AY171:AY188">
    <cfRule type="cellIs" dxfId="147" priority="248" operator="between">
      <formula>36526</formula>
      <formula>402133</formula>
    </cfRule>
  </conditionalFormatting>
  <conditionalFormatting sqref="AY190 AY193:AY272">
    <cfRule type="cellIs" dxfId="146" priority="35" operator="between">
      <formula>36526</formula>
      <formula>402133</formula>
    </cfRule>
  </conditionalFormatting>
  <conditionalFormatting sqref="AY232:AY285 AY287:AY289">
    <cfRule type="cellIs" dxfId="145" priority="471" operator="between">
      <formula>36526</formula>
      <formula>"31/12/3000"</formula>
    </cfRule>
  </conditionalFormatting>
  <conditionalFormatting sqref="AY274:AY285 AY287:AY289">
    <cfRule type="cellIs" dxfId="144" priority="363" operator="between">
      <formula>36526</formula>
      <formula>402133</formula>
    </cfRule>
  </conditionalFormatting>
  <conditionalFormatting sqref="AY286">
    <cfRule type="duplicateValues" dxfId="143" priority="3"/>
  </conditionalFormatting>
  <conditionalFormatting sqref="AY292:AY302 AY304:AY310 AY312:AY315 AY317 AY319:AY323">
    <cfRule type="cellIs" dxfId="142" priority="36" operator="between">
      <formula>36526</formula>
      <formula>402133</formula>
    </cfRule>
  </conditionalFormatting>
  <conditionalFormatting sqref="AY328:AY338 AY340:AY1048576">
    <cfRule type="cellIs" dxfId="141" priority="205" operator="between">
      <formula>36526</formula>
      <formula>402133</formula>
    </cfRule>
  </conditionalFormatting>
  <conditionalFormatting sqref="AY17:AZ18">
    <cfRule type="cellIs" dxfId="140" priority="262" operator="between">
      <formula>36526</formula>
      <formula>402133</formula>
    </cfRule>
  </conditionalFormatting>
  <conditionalFormatting sqref="AZ34 AZ36:AZ38">
    <cfRule type="cellIs" dxfId="139" priority="257" operator="between">
      <formula>36526</formula>
      <formula>402133</formula>
    </cfRule>
  </conditionalFormatting>
  <conditionalFormatting sqref="AZ65">
    <cfRule type="cellIs" dxfId="138" priority="311" operator="between">
      <formula>36526</formula>
      <formula>"31/12/3000"</formula>
    </cfRule>
  </conditionalFormatting>
  <conditionalFormatting sqref="AZ71">
    <cfRule type="cellIs" dxfId="137" priority="310" operator="between">
      <formula>36526</formula>
      <formula>"31/12/3000"</formula>
    </cfRule>
  </conditionalFormatting>
  <conditionalFormatting sqref="AZ82">
    <cfRule type="cellIs" dxfId="136" priority="524" operator="between">
      <formula>36526</formula>
      <formula>402133</formula>
    </cfRule>
    <cfRule type="cellIs" dxfId="135" priority="523" operator="between">
      <formula>36526</formula>
      <formula>"31/12/3000"</formula>
    </cfRule>
  </conditionalFormatting>
  <conditionalFormatting sqref="AZ90">
    <cfRule type="cellIs" dxfId="134" priority="514" operator="between">
      <formula>36526</formula>
      <formula>"31/12/3000"</formula>
    </cfRule>
    <cfRule type="cellIs" dxfId="133" priority="515" operator="between">
      <formula>36526</formula>
      <formula>402133</formula>
    </cfRule>
  </conditionalFormatting>
  <conditionalFormatting sqref="AZ102">
    <cfRule type="cellIs" dxfId="132" priority="512" operator="between">
      <formula>36526</formula>
      <formula>"31/12/3000"</formula>
    </cfRule>
    <cfRule type="cellIs" dxfId="131" priority="513" operator="between">
      <formula>36526</formula>
      <formula>402133</formula>
    </cfRule>
  </conditionalFormatting>
  <conditionalFormatting sqref="AZ107">
    <cfRule type="cellIs" dxfId="130" priority="254" operator="between">
      <formula>36526</formula>
      <formula>402133</formula>
    </cfRule>
  </conditionalFormatting>
  <conditionalFormatting sqref="AZ109">
    <cfRule type="cellIs" dxfId="129" priority="309" operator="between">
      <formula>36526</formula>
      <formula>"31/12/3000"</formula>
    </cfRule>
  </conditionalFormatting>
  <conditionalFormatting sqref="AZ122:AZ124">
    <cfRule type="cellIs" dxfId="128" priority="503" operator="between">
      <formula>36526</formula>
      <formula>402133</formula>
    </cfRule>
    <cfRule type="cellIs" dxfId="127" priority="502" operator="between">
      <formula>36526</formula>
      <formula>"31/12/3000"</formula>
    </cfRule>
  </conditionalFormatting>
  <conditionalFormatting sqref="AZ141">
    <cfRule type="cellIs" dxfId="126" priority="501" operator="between">
      <formula>36526</formula>
      <formula>402133</formula>
    </cfRule>
    <cfRule type="cellIs" dxfId="125" priority="500" operator="between">
      <formula>36526</formula>
      <formula>"31/12/3000"</formula>
    </cfRule>
  </conditionalFormatting>
  <conditionalFormatting sqref="AZ152">
    <cfRule type="cellIs" dxfId="124" priority="498" operator="between">
      <formula>36526</formula>
      <formula>"31/12/3000"</formula>
    </cfRule>
    <cfRule type="cellIs" dxfId="123" priority="499" operator="between">
      <formula>36526</formula>
      <formula>402133</formula>
    </cfRule>
  </conditionalFormatting>
  <conditionalFormatting sqref="AZ155:AZ156">
    <cfRule type="cellIs" dxfId="122" priority="530" operator="between">
      <formula>36526</formula>
      <formula>402133</formula>
    </cfRule>
    <cfRule type="cellIs" dxfId="121" priority="529" operator="between">
      <formula>36526</formula>
      <formula>"31/12/3000"</formula>
    </cfRule>
  </conditionalFormatting>
  <conditionalFormatting sqref="AZ158">
    <cfRule type="cellIs" dxfId="120" priority="748" operator="between">
      <formula>36526</formula>
      <formula>"31/12/3000"</formula>
    </cfRule>
    <cfRule type="cellIs" dxfId="119" priority="749" operator="between">
      <formula>36526</formula>
      <formula>402133</formula>
    </cfRule>
  </conditionalFormatting>
  <conditionalFormatting sqref="AZ160">
    <cfRule type="cellIs" dxfId="118" priority="308" operator="between">
      <formula>36526</formula>
      <formula>"31/12/3000"</formula>
    </cfRule>
  </conditionalFormatting>
  <conditionalFormatting sqref="AZ162">
    <cfRule type="cellIs" dxfId="117" priority="575" operator="between">
      <formula>36526</formula>
      <formula>402133</formula>
    </cfRule>
    <cfRule type="cellIs" dxfId="116" priority="574" operator="between">
      <formula>36526</formula>
      <formula>"31/12/3000"</formula>
    </cfRule>
  </conditionalFormatting>
  <conditionalFormatting sqref="AZ170">
    <cfRule type="cellIs" dxfId="115" priority="247" operator="between">
      <formula>36526</formula>
      <formula>402133</formula>
    </cfRule>
  </conditionalFormatting>
  <conditionalFormatting sqref="AZ189">
    <cfRule type="cellIs" dxfId="114" priority="307" operator="between">
      <formula>36526</formula>
      <formula>"31/12/3000"</formula>
    </cfRule>
  </conditionalFormatting>
  <conditionalFormatting sqref="AZ197">
    <cfRule type="cellIs" dxfId="113" priority="746" operator="between">
      <formula>36526</formula>
      <formula>"31/12/3000"</formula>
    </cfRule>
    <cfRule type="cellIs" dxfId="112" priority="747" operator="between">
      <formula>36526</formula>
      <formula>402133</formula>
    </cfRule>
  </conditionalFormatting>
  <conditionalFormatting sqref="AZ202">
    <cfRule type="cellIs" dxfId="111" priority="745" operator="between">
      <formula>36526</formula>
      <formula>402133</formula>
    </cfRule>
    <cfRule type="cellIs" dxfId="110" priority="744" operator="between">
      <formula>36526</formula>
      <formula>"31/12/3000"</formula>
    </cfRule>
  </conditionalFormatting>
  <conditionalFormatting sqref="AZ208">
    <cfRule type="cellIs" dxfId="109" priority="740" operator="between">
      <formula>36526</formula>
      <formula>"31/12/3000"</formula>
    </cfRule>
    <cfRule type="cellIs" dxfId="108" priority="741" operator="between">
      <formula>36526</formula>
      <formula>402133</formula>
    </cfRule>
  </conditionalFormatting>
  <conditionalFormatting sqref="AZ222:AZ223">
    <cfRule type="cellIs" dxfId="107" priority="494" operator="between">
      <formula>36526</formula>
      <formula>"31/12/3000"</formula>
    </cfRule>
    <cfRule type="cellIs" dxfId="106" priority="495" operator="between">
      <formula>36526</formula>
      <formula>402133</formula>
    </cfRule>
  </conditionalFormatting>
  <conditionalFormatting sqref="AZ225">
    <cfRule type="cellIs" dxfId="105" priority="855" operator="between">
      <formula>36526</formula>
      <formula>"31/12/3000"</formula>
    </cfRule>
    <cfRule type="cellIs" dxfId="104" priority="856" operator="between">
      <formula>36526</formula>
      <formula>402133</formula>
    </cfRule>
  </conditionalFormatting>
  <conditionalFormatting sqref="AZ229">
    <cfRule type="cellIs" dxfId="103" priority="743" operator="between">
      <formula>36526</formula>
      <formula>402133</formula>
    </cfRule>
    <cfRule type="cellIs" dxfId="102" priority="742" operator="between">
      <formula>36526</formula>
      <formula>"31/12/3000"</formula>
    </cfRule>
  </conditionalFormatting>
  <conditionalFormatting sqref="AZ234">
    <cfRule type="cellIs" dxfId="101" priority="847" operator="between">
      <formula>36526</formula>
      <formula>"31/12/3000"</formula>
    </cfRule>
    <cfRule type="cellIs" dxfId="100" priority="848" operator="between">
      <formula>36526</formula>
      <formula>402133</formula>
    </cfRule>
  </conditionalFormatting>
  <conditionalFormatting sqref="AZ244">
    <cfRule type="cellIs" dxfId="99" priority="839" operator="between">
      <formula>36526</formula>
      <formula>"31/12/3000"</formula>
    </cfRule>
    <cfRule type="cellIs" dxfId="98" priority="840" operator="between">
      <formula>36526</formula>
      <formula>402133</formula>
    </cfRule>
  </conditionalFormatting>
  <conditionalFormatting sqref="AZ247:AZ248 AY325:AY326">
    <cfRule type="cellIs" dxfId="97" priority="1002" operator="between">
      <formula>36526</formula>
      <formula>402133</formula>
    </cfRule>
  </conditionalFormatting>
  <conditionalFormatting sqref="AZ251">
    <cfRule type="cellIs" dxfId="96" priority="832" operator="between">
      <formula>36526</formula>
      <formula>402133</formula>
    </cfRule>
    <cfRule type="cellIs" dxfId="95" priority="831" operator="between">
      <formula>36526</formula>
      <formula>"31/12/3000"</formula>
    </cfRule>
  </conditionalFormatting>
  <conditionalFormatting sqref="AZ253:AZ254">
    <cfRule type="cellIs" dxfId="94" priority="734" operator="between">
      <formula>36526</formula>
      <formula>"31/12/3000"</formula>
    </cfRule>
    <cfRule type="cellIs" dxfId="93" priority="735" operator="between">
      <formula>36526</formula>
      <formula>402133</formula>
    </cfRule>
  </conditionalFormatting>
  <conditionalFormatting sqref="AZ261">
    <cfRule type="cellIs" dxfId="92" priority="306" operator="between">
      <formula>36526</formula>
      <formula>"31/12/3000"</formula>
    </cfRule>
  </conditionalFormatting>
  <conditionalFormatting sqref="AZ280:AZ281">
    <cfRule type="cellIs" dxfId="91" priority="825" operator="between">
      <formula>36526</formula>
      <formula>"31/12/3000"</formula>
    </cfRule>
    <cfRule type="cellIs" dxfId="90" priority="826" operator="between">
      <formula>36526</formula>
      <formula>402133</formula>
    </cfRule>
  </conditionalFormatting>
  <conditionalFormatting sqref="AZ284">
    <cfRule type="cellIs" dxfId="89" priority="533" operator="between">
      <formula>36526</formula>
      <formula>"31/12/3000"</formula>
    </cfRule>
    <cfRule type="cellIs" dxfId="88" priority="534" operator="between">
      <formula>36526</formula>
      <formula>402133</formula>
    </cfRule>
  </conditionalFormatting>
  <conditionalFormatting sqref="AZ299">
    <cfRule type="cellIs" dxfId="87" priority="824" operator="between">
      <formula>36526</formula>
      <formula>402133</formula>
    </cfRule>
    <cfRule type="cellIs" dxfId="86" priority="823" operator="between">
      <formula>36526</formula>
      <formula>"31/12/3000"</formula>
    </cfRule>
  </conditionalFormatting>
  <conditionalFormatting sqref="AZ301">
    <cfRule type="cellIs" dxfId="85" priority="244" operator="between">
      <formula>36526</formula>
      <formula>402133</formula>
    </cfRule>
  </conditionalFormatting>
  <conditionalFormatting sqref="AZ307:AZ308">
    <cfRule type="cellIs" dxfId="84" priority="821" operator="between">
      <formula>36526</formula>
      <formula>"31/12/3000"</formula>
    </cfRule>
    <cfRule type="cellIs" dxfId="83" priority="822" operator="between">
      <formula>36526</formula>
      <formula>402133</formula>
    </cfRule>
  </conditionalFormatting>
  <conditionalFormatting sqref="AZ312:AZ313">
    <cfRule type="cellIs" dxfId="82" priority="563" operator="between">
      <formula>36526</formula>
      <formula>"31/12/3000"</formula>
    </cfRule>
    <cfRule type="cellIs" dxfId="81" priority="564" operator="between">
      <formula>36526</formula>
      <formula>402133</formula>
    </cfRule>
  </conditionalFormatting>
  <conditionalFormatting sqref="BB1:BB1048576">
    <cfRule type="containsText" dxfId="80" priority="217" operator="containsText" text="FINALIZADO">
      <formula>NOT(ISERROR(SEARCH("FINALIZADO",BB1)))</formula>
    </cfRule>
  </conditionalFormatting>
  <conditionalFormatting sqref="BD1:BD1048576">
    <cfRule type="cellIs" dxfId="79" priority="13" operator="equal">
      <formula>"AA"</formula>
    </cfRule>
    <cfRule type="cellIs" dxfId="78" priority="12" operator="equal">
      <formula>"INDENIZAÇÃO"</formula>
    </cfRule>
  </conditionalFormatting>
  <conditionalFormatting sqref="BD14:BD416">
    <cfRule type="cellIs" dxfId="77" priority="14" operator="equal">
      <formula>"FINALIZADO"</formula>
    </cfRule>
  </conditionalFormatting>
  <conditionalFormatting sqref="BI109">
    <cfRule type="cellIs" dxfId="76" priority="292" operator="between">
      <formula>36526</formula>
      <formula>"31/12/3000"</formula>
    </cfRule>
  </conditionalFormatting>
  <conditionalFormatting sqref="BI160">
    <cfRule type="cellIs" dxfId="75" priority="291" operator="between">
      <formula>36526</formula>
      <formula>"31/12/3000"</formula>
    </cfRule>
  </conditionalFormatting>
  <conditionalFormatting sqref="BM90">
    <cfRule type="cellIs" dxfId="74" priority="468" operator="between">
      <formula>36526</formula>
      <formula>402133</formula>
    </cfRule>
    <cfRule type="cellIs" dxfId="73" priority="467" operator="between">
      <formula>36526</formula>
      <formula>"31/12/3000"</formula>
    </cfRule>
  </conditionalFormatting>
  <conditionalFormatting sqref="BM99">
    <cfRule type="cellIs" dxfId="72" priority="465" operator="between">
      <formula>36526</formula>
      <formula>"31/12/3000"</formula>
    </cfRule>
    <cfRule type="cellIs" dxfId="71" priority="466" operator="between">
      <formula>36526</formula>
      <formula>402133</formula>
    </cfRule>
  </conditionalFormatting>
  <conditionalFormatting sqref="BM102">
    <cfRule type="cellIs" dxfId="70" priority="463" operator="between">
      <formula>36526</formula>
      <formula>"31/12/3000"</formula>
    </cfRule>
    <cfRule type="cellIs" dxfId="69" priority="464" operator="between">
      <formula>36526</formula>
      <formula>402133</formula>
    </cfRule>
  </conditionalFormatting>
  <conditionalFormatting sqref="BM111">
    <cfRule type="cellIs" dxfId="68" priority="462" operator="between">
      <formula>36526</formula>
      <formula>402133</formula>
    </cfRule>
    <cfRule type="cellIs" dxfId="67" priority="461" operator="between">
      <formula>36526</formula>
      <formula>"31/12/3000"</formula>
    </cfRule>
  </conditionalFormatting>
  <conditionalFormatting sqref="BM114">
    <cfRule type="cellIs" dxfId="66" priority="460" operator="between">
      <formula>36526</formula>
      <formula>402133</formula>
    </cfRule>
    <cfRule type="cellIs" dxfId="65" priority="459" operator="between">
      <formula>36526</formula>
      <formula>"31/12/3000"</formula>
    </cfRule>
  </conditionalFormatting>
  <conditionalFormatting sqref="BM122:BM124">
    <cfRule type="cellIs" dxfId="64" priority="454" operator="between">
      <formula>36526</formula>
      <formula>402133</formula>
    </cfRule>
    <cfRule type="cellIs" dxfId="63" priority="453" operator="between">
      <formula>36526</formula>
      <formula>"31/12/3000"</formula>
    </cfRule>
  </conditionalFormatting>
  <conditionalFormatting sqref="BM141">
    <cfRule type="cellIs" dxfId="62" priority="452" operator="between">
      <formula>36526</formula>
      <formula>402133</formula>
    </cfRule>
    <cfRule type="cellIs" dxfId="61" priority="451" operator="between">
      <formula>36526</formula>
      <formula>"31/12/3000"</formula>
    </cfRule>
  </conditionalFormatting>
  <conditionalFormatting sqref="BM152">
    <cfRule type="cellIs" dxfId="60" priority="449" operator="between">
      <formula>36526</formula>
      <formula>"31/12/3000"</formula>
    </cfRule>
    <cfRule type="cellIs" dxfId="59" priority="450" operator="between">
      <formula>36526</formula>
      <formula>402133</formula>
    </cfRule>
  </conditionalFormatting>
  <conditionalFormatting sqref="BM216">
    <cfRule type="cellIs" dxfId="58" priority="448" operator="between">
      <formula>36526</formula>
      <formula>402133</formula>
    </cfRule>
    <cfRule type="cellIs" dxfId="57" priority="447" operator="between">
      <formula>36526</formula>
      <formula>"31/12/3000"</formula>
    </cfRule>
  </conditionalFormatting>
  <conditionalFormatting sqref="BM222">
    <cfRule type="cellIs" dxfId="56" priority="445" operator="between">
      <formula>36526</formula>
      <formula>"31/12/3000"</formula>
    </cfRule>
    <cfRule type="cellIs" dxfId="55" priority="446" operator="between">
      <formula>36526</formula>
      <formula>402133</formula>
    </cfRule>
  </conditionalFormatting>
  <conditionalFormatting sqref="BM247">
    <cfRule type="cellIs" dxfId="54" priority="443" operator="between">
      <formula>36526</formula>
      <formula>"31/12/3000"</formula>
    </cfRule>
    <cfRule type="cellIs" dxfId="53" priority="444" operator="between">
      <formula>36526</formula>
      <formula>402133</formula>
    </cfRule>
  </conditionalFormatting>
  <conditionalFormatting sqref="BM274">
    <cfRule type="cellIs" dxfId="52" priority="441" operator="between">
      <formula>36526</formula>
      <formula>"31/12/3000"</formula>
    </cfRule>
    <cfRule type="cellIs" dxfId="51" priority="442" operator="between">
      <formula>36526</formula>
      <formula>402133</formula>
    </cfRule>
  </conditionalFormatting>
  <conditionalFormatting sqref="BM296">
    <cfRule type="cellIs" dxfId="50" priority="439" operator="between">
      <formula>36526</formula>
      <formula>"31/12/3000"</formula>
    </cfRule>
    <cfRule type="cellIs" dxfId="49" priority="440" operator="between">
      <formula>36526</formula>
      <formula>402133</formula>
    </cfRule>
  </conditionalFormatting>
  <conditionalFormatting sqref="BM298">
    <cfRule type="cellIs" dxfId="48" priority="437" operator="between">
      <formula>36526</formula>
      <formula>"31/12/3000"</formula>
    </cfRule>
    <cfRule type="cellIs" dxfId="47" priority="438" operator="between">
      <formula>36526</formula>
      <formula>402133</formula>
    </cfRule>
  </conditionalFormatting>
  <dataValidations count="1">
    <dataValidation allowBlank="1" showInputMessage="1" showErrorMessage="1" sqref="AY157 AY205 AY302 AY184 AY186:AY188 AY179 AY176 AY135:AY136 AY125:AY128 AY115 AY112 AY104:AY105 AY89 AY69 AY66 AY143 AY146:AY147 AY161 AY227 AY231 AY92 AY217 AY209 AY94 AG28:AG29 C57:C61 C76 BC14:BC416 AC327 B14:B346 D14:E346" xr:uid="{42DBC0A4-72CF-48C5-9B14-5B05F91E4FAB}"/>
  </dataValidations>
  <hyperlinks>
    <hyperlink ref="AK47" r:id="rId1" display="149983772" xr:uid="{18A6EF77-18DB-4AA3-BDE1-E9CD0E721ED3}"/>
  </hyperlinks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H998"/>
  <sheetViews>
    <sheetView workbookViewId="0">
      <selection activeCell="A4" sqref="A4:D8"/>
    </sheetView>
  </sheetViews>
  <sheetFormatPr defaultColWidth="9.140625" defaultRowHeight="20.25" customHeight="1"/>
  <cols>
    <col min="1" max="1" width="25.42578125" style="104" bestFit="1" customWidth="1"/>
    <col min="2" max="2" width="13.7109375" style="104" bestFit="1" customWidth="1"/>
    <col min="3" max="3" width="59.85546875" style="104" bestFit="1" customWidth="1"/>
    <col min="4" max="4" width="42.28515625" style="104" customWidth="1"/>
    <col min="5" max="5" width="30.7109375" style="104" bestFit="1" customWidth="1"/>
    <col min="6" max="6" width="12.28515625" style="104" bestFit="1" customWidth="1"/>
    <col min="7" max="7" width="25.85546875" style="104" customWidth="1"/>
    <col min="8" max="8" width="11.85546875" style="104" bestFit="1" customWidth="1"/>
    <col min="9" max="9" width="22.5703125" style="104" customWidth="1"/>
    <col min="10" max="10" width="26" style="104" bestFit="1" customWidth="1"/>
    <col min="11" max="14" width="9.140625" style="104"/>
    <col min="15" max="15" width="3.140625" style="104" bestFit="1" customWidth="1"/>
    <col min="16" max="16" width="118.85546875" style="104" bestFit="1" customWidth="1"/>
    <col min="17" max="16384" width="9.140625" style="104"/>
  </cols>
  <sheetData>
    <row r="2" spans="1:8" ht="20.25" customHeight="1">
      <c r="E2" s="278" t="s">
        <v>96</v>
      </c>
    </row>
    <row r="3" spans="1:8" ht="20.25" customHeight="1">
      <c r="E3" s="278" t="s">
        <v>61</v>
      </c>
      <c r="F3" s="99" t="s">
        <v>1792</v>
      </c>
      <c r="H3" s="15" t="s">
        <v>1793</v>
      </c>
    </row>
    <row r="4" spans="1:8" ht="20.25" customHeight="1">
      <c r="A4" s="277" t="s">
        <v>39</v>
      </c>
      <c r="B4" s="277" t="s">
        <v>43</v>
      </c>
      <c r="C4" s="278" t="s">
        <v>47</v>
      </c>
      <c r="D4" s="278" t="s">
        <v>61</v>
      </c>
      <c r="E4" s="278" t="s">
        <v>1794</v>
      </c>
      <c r="F4" s="100" t="s">
        <v>1795</v>
      </c>
      <c r="H4" s="15" t="s">
        <v>1796</v>
      </c>
    </row>
    <row r="5" spans="1:8" ht="20.25" customHeight="1">
      <c r="A5" s="322" t="s">
        <v>99</v>
      </c>
      <c r="B5" s="322" t="s">
        <v>343</v>
      </c>
      <c r="C5" s="323" t="s">
        <v>345</v>
      </c>
      <c r="D5" s="324">
        <v>46233</v>
      </c>
      <c r="F5" s="99" t="s">
        <v>1797</v>
      </c>
      <c r="H5" s="15" t="s">
        <v>1798</v>
      </c>
    </row>
    <row r="6" spans="1:8" ht="20.25" customHeight="1">
      <c r="A6" s="322" t="s">
        <v>99</v>
      </c>
      <c r="B6" s="322" t="s">
        <v>395</v>
      </c>
      <c r="C6" s="323" t="s">
        <v>396</v>
      </c>
      <c r="D6" s="324">
        <v>46233</v>
      </c>
      <c r="F6" s="99" t="s">
        <v>1799</v>
      </c>
      <c r="H6" s="15" t="s">
        <v>1800</v>
      </c>
    </row>
    <row r="7" spans="1:8" ht="20.25" customHeight="1">
      <c r="A7" s="322" t="s">
        <v>99</v>
      </c>
      <c r="B7" s="322" t="s">
        <v>912</v>
      </c>
      <c r="C7" s="323" t="s">
        <v>916</v>
      </c>
      <c r="D7" s="324">
        <v>46233</v>
      </c>
      <c r="F7" s="99" t="s">
        <v>1801</v>
      </c>
      <c r="H7" s="15" t="s">
        <v>1802</v>
      </c>
    </row>
    <row r="8" spans="1:8" ht="20.25" customHeight="1">
      <c r="A8" s="322" t="s">
        <v>99</v>
      </c>
      <c r="B8" s="323" t="s">
        <v>1020</v>
      </c>
      <c r="C8" s="323" t="s">
        <v>1021</v>
      </c>
      <c r="D8" s="324">
        <v>46233</v>
      </c>
      <c r="F8" s="99" t="s">
        <v>1803</v>
      </c>
      <c r="H8" s="15" t="s">
        <v>1804</v>
      </c>
    </row>
    <row r="9" spans="1:8" ht="20.25" customHeight="1">
      <c r="A9" s="322"/>
      <c r="B9" s="322"/>
      <c r="C9" s="323"/>
      <c r="D9" s="324"/>
      <c r="F9" s="99" t="s">
        <v>1805</v>
      </c>
      <c r="H9" s="15" t="s">
        <v>1795</v>
      </c>
    </row>
    <row r="10" spans="1:8" ht="20.25" customHeight="1">
      <c r="A10" s="322"/>
      <c r="B10" s="323"/>
      <c r="C10" s="323"/>
      <c r="D10" s="324"/>
      <c r="F10" s="99" t="s">
        <v>1800</v>
      </c>
      <c r="H10" s="15" t="s">
        <v>1806</v>
      </c>
    </row>
    <row r="11" spans="1:8" ht="20.25" customHeight="1">
      <c r="A11" s="322"/>
      <c r="B11" s="323"/>
      <c r="C11" s="323"/>
      <c r="D11" s="324"/>
      <c r="F11" s="99" t="s">
        <v>1807</v>
      </c>
      <c r="H11" s="15" t="s">
        <v>1808</v>
      </c>
    </row>
    <row r="12" spans="1:8" ht="20.25" customHeight="1">
      <c r="A12" s="322"/>
      <c r="B12" s="323"/>
      <c r="C12" s="323"/>
      <c r="D12" s="324"/>
      <c r="F12" s="99" t="s">
        <v>1798</v>
      </c>
      <c r="H12" s="15" t="s">
        <v>1809</v>
      </c>
    </row>
    <row r="13" spans="1:8" ht="20.25" customHeight="1">
      <c r="A13" s="322"/>
      <c r="B13" s="323"/>
      <c r="C13" s="323"/>
      <c r="D13" s="324"/>
      <c r="F13" s="99" t="s">
        <v>1810</v>
      </c>
      <c r="H13" s="15" t="s">
        <v>1811</v>
      </c>
    </row>
    <row r="14" spans="1:8" ht="20.25" customHeight="1">
      <c r="A14" s="164"/>
      <c r="B14" s="288"/>
      <c r="C14" s="288"/>
      <c r="D14" s="244"/>
      <c r="F14" s="99" t="s">
        <v>1802</v>
      </c>
      <c r="H14" s="15" t="s">
        <v>1812</v>
      </c>
    </row>
    <row r="15" spans="1:8" ht="20.25" customHeight="1">
      <c r="A15" s="240"/>
      <c r="B15" s="240"/>
      <c r="C15" s="240"/>
      <c r="D15" s="242"/>
      <c r="F15" s="99" t="s">
        <v>1813</v>
      </c>
      <c r="H15" s="15" t="s">
        <v>1803</v>
      </c>
    </row>
    <row r="16" spans="1:8" ht="20.25" customHeight="1">
      <c r="A16" s="240"/>
      <c r="B16" s="241"/>
      <c r="C16" s="240"/>
      <c r="D16" s="242"/>
      <c r="F16" s="99" t="s">
        <v>1814</v>
      </c>
      <c r="H16" s="105" t="s">
        <v>1815</v>
      </c>
    </row>
    <row r="17" spans="1:8" ht="20.25" customHeight="1">
      <c r="A17" s="114"/>
      <c r="B17" s="114"/>
      <c r="C17" s="205"/>
      <c r="D17" s="243"/>
      <c r="F17" s="99" t="s">
        <v>1816</v>
      </c>
      <c r="H17" s="105" t="s">
        <v>1817</v>
      </c>
    </row>
    <row r="18" spans="1:8" ht="20.25" customHeight="1">
      <c r="A18" s="113"/>
      <c r="B18" s="113"/>
      <c r="C18" s="115"/>
      <c r="D18" s="192"/>
      <c r="F18" s="99" t="s">
        <v>1818</v>
      </c>
      <c r="H18" s="105" t="s">
        <v>1819</v>
      </c>
    </row>
    <row r="19" spans="1:8" ht="20.25" customHeight="1">
      <c r="A19" s="113"/>
      <c r="B19" s="113"/>
      <c r="C19" s="115"/>
      <c r="D19" s="192"/>
      <c r="F19" s="99" t="s">
        <v>1820</v>
      </c>
      <c r="H19" s="105" t="s">
        <v>1821</v>
      </c>
    </row>
    <row r="20" spans="1:8" ht="20.25" customHeight="1">
      <c r="A20" s="113"/>
      <c r="B20" s="113"/>
      <c r="C20" s="115"/>
      <c r="D20" s="192"/>
      <c r="F20" s="99" t="s">
        <v>1822</v>
      </c>
      <c r="H20" s="105" t="s">
        <v>1823</v>
      </c>
    </row>
    <row r="21" spans="1:8" ht="20.25" customHeight="1">
      <c r="A21" s="170"/>
      <c r="B21" s="114"/>
      <c r="C21" s="193"/>
      <c r="D21" s="191"/>
      <c r="F21" s="99" t="s">
        <v>1824</v>
      </c>
      <c r="H21" s="105" t="s">
        <v>1801</v>
      </c>
    </row>
    <row r="22" spans="1:8" ht="20.25" customHeight="1">
      <c r="A22" s="134"/>
      <c r="B22" s="113"/>
      <c r="C22" s="146"/>
      <c r="D22" s="189"/>
      <c r="F22" s="99" t="s">
        <v>1825</v>
      </c>
      <c r="H22" s="105" t="s">
        <v>1826</v>
      </c>
    </row>
    <row r="23" spans="1:8" ht="20.25" customHeight="1">
      <c r="A23" s="113"/>
      <c r="B23" s="113"/>
      <c r="C23" s="178"/>
      <c r="D23" s="189"/>
      <c r="F23" s="99" t="s">
        <v>1827</v>
      </c>
      <c r="H23" s="105" t="s">
        <v>1828</v>
      </c>
    </row>
    <row r="24" spans="1:8" ht="20.25" customHeight="1">
      <c r="A24" s="113"/>
      <c r="B24" s="113"/>
      <c r="C24" s="182"/>
      <c r="D24" s="189"/>
      <c r="F24" s="99" t="s">
        <v>1829</v>
      </c>
      <c r="H24" s="105" t="s">
        <v>1792</v>
      </c>
    </row>
    <row r="25" spans="1:8" ht="20.25" customHeight="1">
      <c r="A25" s="113"/>
      <c r="B25" s="113"/>
      <c r="C25" s="182"/>
      <c r="D25" s="189"/>
      <c r="F25" s="99" t="s">
        <v>1830</v>
      </c>
      <c r="H25" s="105" t="s">
        <v>1822</v>
      </c>
    </row>
    <row r="26" spans="1:8" ht="20.25" customHeight="1">
      <c r="A26" s="113"/>
      <c r="B26" s="190"/>
      <c r="C26" s="138"/>
      <c r="D26" s="189"/>
      <c r="F26" s="99" t="s">
        <v>1831</v>
      </c>
      <c r="H26" s="105" t="s">
        <v>1827</v>
      </c>
    </row>
    <row r="27" spans="1:8" ht="20.25" customHeight="1">
      <c r="A27" s="113"/>
      <c r="B27" s="113"/>
      <c r="C27" s="115"/>
      <c r="D27" s="189"/>
      <c r="F27" s="316" t="s">
        <v>1832</v>
      </c>
      <c r="H27" s="15" t="s">
        <v>1829</v>
      </c>
    </row>
    <row r="28" spans="1:8" ht="20.25" customHeight="1">
      <c r="A28" s="113" t="s">
        <v>1833</v>
      </c>
      <c r="B28" s="113" t="s">
        <v>1834</v>
      </c>
      <c r="C28" s="115" t="s">
        <v>1835</v>
      </c>
      <c r="D28" s="189">
        <v>45224</v>
      </c>
      <c r="F28" s="99" t="s">
        <v>1836</v>
      </c>
      <c r="H28" s="15" t="s">
        <v>1837</v>
      </c>
    </row>
    <row r="29" spans="1:8" ht="20.25" customHeight="1">
      <c r="A29" s="113" t="s">
        <v>1833</v>
      </c>
      <c r="B29" s="113" t="s">
        <v>1838</v>
      </c>
      <c r="C29" s="115" t="s">
        <v>1839</v>
      </c>
      <c r="D29" s="189">
        <v>45224</v>
      </c>
      <c r="F29" s="99" t="s">
        <v>1840</v>
      </c>
      <c r="H29" s="15" t="s">
        <v>1816</v>
      </c>
    </row>
    <row r="30" spans="1:8" ht="20.25" customHeight="1">
      <c r="A30" s="113" t="s">
        <v>1833</v>
      </c>
      <c r="B30" s="113" t="s">
        <v>1841</v>
      </c>
      <c r="C30" s="115" t="s">
        <v>1842</v>
      </c>
      <c r="D30" s="189">
        <v>45224</v>
      </c>
      <c r="F30" s="316" t="s">
        <v>1826</v>
      </c>
      <c r="H30" s="15" t="s">
        <v>1843</v>
      </c>
    </row>
    <row r="31" spans="1:8" ht="20.25" customHeight="1">
      <c r="A31" s="113" t="s">
        <v>1833</v>
      </c>
      <c r="B31" s="113" t="s">
        <v>1844</v>
      </c>
      <c r="C31" s="115" t="s">
        <v>1845</v>
      </c>
      <c r="D31" s="189">
        <v>45224</v>
      </c>
      <c r="F31" s="99" t="s">
        <v>1846</v>
      </c>
      <c r="H31" s="15" t="s">
        <v>1847</v>
      </c>
    </row>
    <row r="32" spans="1:8" ht="20.25" customHeight="1">
      <c r="A32" s="113" t="s">
        <v>1833</v>
      </c>
      <c r="B32" s="113" t="s">
        <v>1848</v>
      </c>
      <c r="C32" s="115" t="s">
        <v>1849</v>
      </c>
      <c r="D32" s="189">
        <v>45224</v>
      </c>
      <c r="F32" s="99" t="s">
        <v>1821</v>
      </c>
      <c r="H32" s="15" t="s">
        <v>1850</v>
      </c>
    </row>
    <row r="33" spans="1:8" ht="20.25" customHeight="1">
      <c r="A33" s="164"/>
      <c r="B33" s="164"/>
      <c r="C33" s="160"/>
      <c r="D33" s="172"/>
      <c r="F33" s="316" t="s">
        <v>1851</v>
      </c>
      <c r="H33" s="15" t="s">
        <v>1830</v>
      </c>
    </row>
    <row r="34" spans="1:8" ht="20.25" customHeight="1">
      <c r="A34" s="162"/>
      <c r="B34" s="162"/>
      <c r="C34" s="138"/>
      <c r="D34" s="144"/>
      <c r="F34" s="99" t="s">
        <v>1843</v>
      </c>
      <c r="H34" s="15" t="s">
        <v>1852</v>
      </c>
    </row>
    <row r="35" spans="1:8" ht="20.25" customHeight="1">
      <c r="A35" s="162"/>
      <c r="B35" s="162"/>
      <c r="C35" s="138"/>
      <c r="D35" s="144"/>
      <c r="F35" s="99" t="s">
        <v>1853</v>
      </c>
      <c r="H35" s="15" t="s">
        <v>1854</v>
      </c>
    </row>
    <row r="36" spans="1:8" ht="20.25" customHeight="1">
      <c r="A36" s="162"/>
      <c r="B36" s="162"/>
      <c r="C36" s="146"/>
      <c r="D36" s="144"/>
      <c r="F36" s="102" t="s">
        <v>1855</v>
      </c>
      <c r="H36" s="15" t="s">
        <v>1831</v>
      </c>
    </row>
    <row r="37" spans="1:8" ht="20.25" customHeight="1">
      <c r="A37" s="162"/>
      <c r="B37" s="162"/>
      <c r="C37" s="146"/>
      <c r="D37" s="144"/>
      <c r="F37" s="99" t="s">
        <v>1806</v>
      </c>
      <c r="H37" s="15" t="s">
        <v>1856</v>
      </c>
    </row>
    <row r="38" spans="1:8" ht="20.25" customHeight="1">
      <c r="A38" s="162"/>
      <c r="B38" s="162"/>
      <c r="C38" s="146"/>
      <c r="D38" s="144"/>
      <c r="F38" s="99" t="s">
        <v>1856</v>
      </c>
      <c r="H38" s="15" t="s">
        <v>1824</v>
      </c>
    </row>
    <row r="39" spans="1:8" ht="20.25" customHeight="1">
      <c r="A39" s="162"/>
      <c r="B39" s="162"/>
      <c r="C39" s="146"/>
      <c r="D39" s="144"/>
      <c r="F39" s="99" t="s">
        <v>1857</v>
      </c>
      <c r="H39" s="15" t="s">
        <v>1836</v>
      </c>
    </row>
    <row r="40" spans="1:8" ht="20.25" customHeight="1">
      <c r="A40" s="162"/>
      <c r="B40" s="162"/>
      <c r="C40" s="146"/>
      <c r="D40" s="144"/>
      <c r="F40" s="101" t="s">
        <v>1815</v>
      </c>
      <c r="H40" s="15" t="s">
        <v>1807</v>
      </c>
    </row>
    <row r="41" spans="1:8" ht="20.25" customHeight="1">
      <c r="A41" s="162"/>
      <c r="B41" s="162"/>
      <c r="C41" s="146"/>
      <c r="D41" s="144"/>
      <c r="F41" s="99" t="s">
        <v>1819</v>
      </c>
      <c r="H41" s="15" t="s">
        <v>1858</v>
      </c>
    </row>
    <row r="42" spans="1:8" ht="20.25" customHeight="1">
      <c r="A42" s="162"/>
      <c r="B42" s="162"/>
      <c r="C42" s="146"/>
      <c r="D42" s="144"/>
      <c r="F42" s="99" t="s">
        <v>1808</v>
      </c>
      <c r="H42" s="15" t="s">
        <v>1799</v>
      </c>
    </row>
    <row r="43" spans="1:8" ht="20.25" customHeight="1">
      <c r="A43" s="162"/>
      <c r="B43" s="162"/>
      <c r="C43" s="146"/>
      <c r="D43" s="144"/>
      <c r="F43" s="99" t="s">
        <v>1859</v>
      </c>
    </row>
    <row r="44" spans="1:8" ht="20.25" customHeight="1">
      <c r="A44" s="162"/>
      <c r="B44" s="162"/>
      <c r="C44" s="146"/>
      <c r="D44" s="144"/>
      <c r="F44" s="103" t="s">
        <v>1837</v>
      </c>
    </row>
    <row r="45" spans="1:8" ht="20.25" customHeight="1">
      <c r="A45" s="162"/>
      <c r="B45" s="162"/>
      <c r="C45" s="138"/>
      <c r="D45" s="144"/>
      <c r="F45" s="103" t="s">
        <v>1852</v>
      </c>
    </row>
    <row r="46" spans="1:8" ht="20.25" customHeight="1">
      <c r="A46" s="162"/>
      <c r="B46" s="162"/>
      <c r="C46" s="146"/>
      <c r="D46" s="144"/>
    </row>
    <row r="47" spans="1:8" ht="20.25" customHeight="1">
      <c r="A47" s="162"/>
      <c r="B47" s="162"/>
      <c r="C47" s="146"/>
      <c r="D47" s="144"/>
    </row>
    <row r="48" spans="1:8" ht="20.25" customHeight="1">
      <c r="A48" s="162" t="s">
        <v>1833</v>
      </c>
      <c r="B48" s="162" t="s">
        <v>1860</v>
      </c>
      <c r="C48" s="146" t="s">
        <v>1861</v>
      </c>
      <c r="D48" s="144">
        <v>45224</v>
      </c>
    </row>
    <row r="49" spans="1:4" ht="20.25" customHeight="1">
      <c r="A49" s="162" t="s">
        <v>1833</v>
      </c>
      <c r="B49" s="162" t="s">
        <v>1862</v>
      </c>
      <c r="C49" s="146" t="s">
        <v>1863</v>
      </c>
      <c r="D49" s="144">
        <v>45224</v>
      </c>
    </row>
    <row r="50" spans="1:4" ht="20.25" customHeight="1">
      <c r="A50" s="162" t="s">
        <v>1833</v>
      </c>
      <c r="B50" s="162" t="s">
        <v>1864</v>
      </c>
      <c r="C50" s="146" t="s">
        <v>1865</v>
      </c>
      <c r="D50" s="144">
        <v>45224</v>
      </c>
    </row>
    <row r="51" spans="1:4" ht="20.25" customHeight="1">
      <c r="A51" s="162" t="s">
        <v>1833</v>
      </c>
      <c r="B51" s="162" t="s">
        <v>1866</v>
      </c>
      <c r="C51" s="146" t="s">
        <v>1867</v>
      </c>
      <c r="D51" s="144">
        <v>45224</v>
      </c>
    </row>
    <row r="52" spans="1:4" ht="20.25" customHeight="1">
      <c r="A52" s="162" t="s">
        <v>1833</v>
      </c>
      <c r="B52" s="162" t="s">
        <v>1868</v>
      </c>
      <c r="C52" s="146" t="s">
        <v>1869</v>
      </c>
      <c r="D52" s="144">
        <v>45224</v>
      </c>
    </row>
    <row r="53" spans="1:4" ht="20.25" customHeight="1">
      <c r="A53" s="162" t="s">
        <v>1833</v>
      </c>
      <c r="B53" s="162" t="s">
        <v>1870</v>
      </c>
      <c r="C53" s="146" t="s">
        <v>1871</v>
      </c>
      <c r="D53" s="144">
        <v>45224</v>
      </c>
    </row>
    <row r="54" spans="1:4" ht="20.25" customHeight="1">
      <c r="A54" s="162" t="s">
        <v>1833</v>
      </c>
      <c r="B54" s="162" t="s">
        <v>1872</v>
      </c>
      <c r="C54" s="146" t="s">
        <v>1873</v>
      </c>
      <c r="D54" s="144">
        <v>45224</v>
      </c>
    </row>
    <row r="55" spans="1:4" ht="20.25" customHeight="1">
      <c r="A55" s="162" t="s">
        <v>1833</v>
      </c>
      <c r="B55" s="162" t="s">
        <v>1874</v>
      </c>
      <c r="C55" s="146" t="s">
        <v>1875</v>
      </c>
      <c r="D55" s="144">
        <v>45224</v>
      </c>
    </row>
    <row r="56" spans="1:4" ht="20.25" customHeight="1">
      <c r="A56" s="162" t="s">
        <v>1833</v>
      </c>
      <c r="B56" s="162" t="s">
        <v>1876</v>
      </c>
      <c r="C56" s="146" t="s">
        <v>1877</v>
      </c>
      <c r="D56" s="144">
        <v>45224</v>
      </c>
    </row>
    <row r="57" spans="1:4" ht="20.25" customHeight="1">
      <c r="A57" s="162" t="s">
        <v>1833</v>
      </c>
      <c r="B57" s="162" t="s">
        <v>1878</v>
      </c>
      <c r="C57" s="146" t="s">
        <v>1879</v>
      </c>
      <c r="D57" s="144">
        <v>45224</v>
      </c>
    </row>
    <row r="58" spans="1:4" ht="20.25" customHeight="1">
      <c r="A58" s="162" t="s">
        <v>1833</v>
      </c>
      <c r="B58" s="162" t="s">
        <v>1880</v>
      </c>
      <c r="C58" s="146" t="s">
        <v>1881</v>
      </c>
      <c r="D58" s="144">
        <v>45224</v>
      </c>
    </row>
    <row r="59" spans="1:4" ht="20.25" customHeight="1">
      <c r="A59" s="162" t="s">
        <v>1833</v>
      </c>
      <c r="B59" s="162" t="s">
        <v>1882</v>
      </c>
      <c r="C59" s="138" t="s">
        <v>1883</v>
      </c>
      <c r="D59" s="144">
        <v>45224</v>
      </c>
    </row>
    <row r="60" spans="1:4" ht="20.25" customHeight="1">
      <c r="A60" s="162" t="s">
        <v>1833</v>
      </c>
      <c r="B60" s="162" t="s">
        <v>1884</v>
      </c>
      <c r="C60" s="138" t="s">
        <v>1885</v>
      </c>
      <c r="D60" s="144">
        <v>45224</v>
      </c>
    </row>
    <row r="61" spans="1:4" ht="20.25" customHeight="1">
      <c r="A61" s="162" t="s">
        <v>1833</v>
      </c>
      <c r="B61" s="162" t="s">
        <v>1886</v>
      </c>
      <c r="C61" s="146" t="s">
        <v>1887</v>
      </c>
      <c r="D61" s="144">
        <v>45224</v>
      </c>
    </row>
    <row r="62" spans="1:4" ht="20.25" customHeight="1">
      <c r="A62" s="162" t="s">
        <v>1833</v>
      </c>
      <c r="B62" s="162" t="s">
        <v>1888</v>
      </c>
      <c r="C62" s="138" t="s">
        <v>1889</v>
      </c>
      <c r="D62" s="144">
        <v>45224</v>
      </c>
    </row>
    <row r="63" spans="1:4" ht="20.25" customHeight="1">
      <c r="A63" s="162" t="s">
        <v>1833</v>
      </c>
      <c r="B63" s="162" t="s">
        <v>1890</v>
      </c>
      <c r="C63" s="138" t="s">
        <v>1891</v>
      </c>
      <c r="D63" s="144">
        <v>45224</v>
      </c>
    </row>
    <row r="64" spans="1:4" ht="20.25" customHeight="1">
      <c r="A64" s="162" t="s">
        <v>1833</v>
      </c>
      <c r="B64" s="162" t="s">
        <v>1892</v>
      </c>
      <c r="C64" s="146" t="s">
        <v>1893</v>
      </c>
      <c r="D64" s="144">
        <v>45224</v>
      </c>
    </row>
    <row r="65" spans="1:4" ht="20.25" customHeight="1">
      <c r="A65" s="162" t="s">
        <v>1833</v>
      </c>
      <c r="B65" s="162" t="s">
        <v>1894</v>
      </c>
      <c r="C65" s="138" t="s">
        <v>1895</v>
      </c>
      <c r="D65" s="144">
        <v>45224</v>
      </c>
    </row>
    <row r="66" spans="1:4" ht="20.25" customHeight="1">
      <c r="A66" s="162" t="s">
        <v>1833</v>
      </c>
      <c r="B66" s="162" t="s">
        <v>1896</v>
      </c>
      <c r="C66" s="138" t="s">
        <v>1895</v>
      </c>
      <c r="D66" s="144">
        <v>45224</v>
      </c>
    </row>
    <row r="67" spans="1:4" ht="20.25" customHeight="1">
      <c r="A67" s="162" t="s">
        <v>1833</v>
      </c>
      <c r="B67" s="162" t="s">
        <v>1897</v>
      </c>
      <c r="C67" s="138" t="s">
        <v>1898</v>
      </c>
      <c r="D67" s="144">
        <v>45224</v>
      </c>
    </row>
    <row r="68" spans="1:4" ht="20.25" customHeight="1">
      <c r="A68" s="162" t="s">
        <v>1833</v>
      </c>
      <c r="B68" s="162" t="s">
        <v>1899</v>
      </c>
      <c r="C68" s="138" t="s">
        <v>1900</v>
      </c>
      <c r="D68" s="144">
        <v>45224</v>
      </c>
    </row>
    <row r="69" spans="1:4" ht="20.25" customHeight="1">
      <c r="A69" s="162" t="s">
        <v>1833</v>
      </c>
      <c r="B69" s="162" t="s">
        <v>1901</v>
      </c>
      <c r="C69" s="138" t="s">
        <v>1902</v>
      </c>
      <c r="D69" s="144">
        <v>45224</v>
      </c>
    </row>
    <row r="70" spans="1:4" ht="20.25" customHeight="1">
      <c r="A70" s="162" t="s">
        <v>1833</v>
      </c>
      <c r="B70" s="162" t="s">
        <v>1903</v>
      </c>
      <c r="C70" s="138" t="s">
        <v>1904</v>
      </c>
      <c r="D70" s="144">
        <v>45224</v>
      </c>
    </row>
    <row r="71" spans="1:4" ht="20.25" customHeight="1">
      <c r="A71" s="162" t="s">
        <v>1833</v>
      </c>
      <c r="B71" s="162" t="s">
        <v>1905</v>
      </c>
      <c r="C71" s="138" t="s">
        <v>1906</v>
      </c>
      <c r="D71" s="144">
        <v>45224</v>
      </c>
    </row>
    <row r="72" spans="1:4" ht="20.25" customHeight="1">
      <c r="A72" s="162" t="s">
        <v>1833</v>
      </c>
      <c r="B72" s="162" t="s">
        <v>1907</v>
      </c>
      <c r="C72" s="138" t="s">
        <v>1908</v>
      </c>
      <c r="D72" s="144">
        <v>45224</v>
      </c>
    </row>
    <row r="73" spans="1:4" ht="20.25" customHeight="1">
      <c r="A73" s="162" t="s">
        <v>1833</v>
      </c>
      <c r="B73" s="162" t="s">
        <v>1909</v>
      </c>
      <c r="C73" s="138" t="s">
        <v>1910</v>
      </c>
      <c r="D73" s="144">
        <v>45224</v>
      </c>
    </row>
    <row r="74" spans="1:4" ht="20.25" customHeight="1">
      <c r="A74" s="162" t="s">
        <v>1833</v>
      </c>
      <c r="B74" s="162" t="s">
        <v>1911</v>
      </c>
      <c r="C74" s="138" t="s">
        <v>1912</v>
      </c>
      <c r="D74" s="144">
        <v>45224</v>
      </c>
    </row>
    <row r="75" spans="1:4" ht="20.25" customHeight="1">
      <c r="A75" s="162" t="s">
        <v>1833</v>
      </c>
      <c r="B75" s="162" t="s">
        <v>1913</v>
      </c>
      <c r="C75" s="138" t="s">
        <v>1914</v>
      </c>
      <c r="D75" s="144">
        <v>45224</v>
      </c>
    </row>
    <row r="76" spans="1:4" ht="20.25" customHeight="1">
      <c r="A76" s="162" t="s">
        <v>1833</v>
      </c>
      <c r="B76" s="162" t="s">
        <v>1915</v>
      </c>
      <c r="C76" s="138" t="s">
        <v>1916</v>
      </c>
      <c r="D76" s="144">
        <v>45224</v>
      </c>
    </row>
    <row r="77" spans="1:4" ht="20.25" customHeight="1">
      <c r="A77" s="162" t="s">
        <v>1833</v>
      </c>
      <c r="B77" s="162" t="s">
        <v>1917</v>
      </c>
      <c r="C77" s="138" t="s">
        <v>371</v>
      </c>
      <c r="D77" s="144">
        <v>45224</v>
      </c>
    </row>
    <row r="78" spans="1:4" ht="20.25" customHeight="1">
      <c r="A78" s="162" t="s">
        <v>1833</v>
      </c>
      <c r="B78" s="162" t="s">
        <v>1918</v>
      </c>
      <c r="C78" s="138" t="s">
        <v>1919</v>
      </c>
      <c r="D78" s="144">
        <v>45224</v>
      </c>
    </row>
    <row r="79" spans="1:4" ht="20.25" customHeight="1">
      <c r="A79" s="162" t="s">
        <v>1833</v>
      </c>
      <c r="B79" s="162" t="s">
        <v>1920</v>
      </c>
      <c r="C79" s="146" t="s">
        <v>1921</v>
      </c>
      <c r="D79" s="144">
        <v>45224</v>
      </c>
    </row>
    <row r="80" spans="1:4" ht="20.25" customHeight="1">
      <c r="A80" s="162" t="s">
        <v>1833</v>
      </c>
      <c r="B80" s="162" t="s">
        <v>1922</v>
      </c>
      <c r="C80" s="146" t="s">
        <v>1923</v>
      </c>
      <c r="D80" s="144">
        <v>45224</v>
      </c>
    </row>
    <row r="81" spans="1:4" ht="20.25" customHeight="1">
      <c r="A81" s="162" t="s">
        <v>1833</v>
      </c>
      <c r="B81" s="162" t="s">
        <v>1924</v>
      </c>
      <c r="C81" s="138" t="s">
        <v>1925</v>
      </c>
      <c r="D81" s="144">
        <v>45224</v>
      </c>
    </row>
    <row r="82" spans="1:4" ht="20.25" customHeight="1">
      <c r="A82" s="162" t="s">
        <v>1833</v>
      </c>
      <c r="B82" s="162" t="s">
        <v>1926</v>
      </c>
      <c r="C82" s="138" t="s">
        <v>1927</v>
      </c>
      <c r="D82" s="144">
        <v>45224</v>
      </c>
    </row>
    <row r="83" spans="1:4" ht="20.25" customHeight="1">
      <c r="A83" s="162" t="s">
        <v>1833</v>
      </c>
      <c r="B83" s="162" t="s">
        <v>1928</v>
      </c>
      <c r="C83" s="138" t="s">
        <v>1929</v>
      </c>
      <c r="D83" s="134" t="s">
        <v>24</v>
      </c>
    </row>
    <row r="84" spans="1:4" ht="20.25" customHeight="1">
      <c r="A84" s="162" t="s">
        <v>1833</v>
      </c>
      <c r="B84" s="162" t="s">
        <v>1930</v>
      </c>
      <c r="C84" s="138" t="s">
        <v>1931</v>
      </c>
      <c r="D84" s="144">
        <v>45049</v>
      </c>
    </row>
    <row r="85" spans="1:4" ht="20.25" customHeight="1">
      <c r="A85" s="162" t="s">
        <v>1833</v>
      </c>
      <c r="B85" s="317" t="s">
        <v>1932</v>
      </c>
      <c r="C85" s="138" t="s">
        <v>1933</v>
      </c>
      <c r="D85" s="134" t="s">
        <v>24</v>
      </c>
    </row>
    <row r="86" spans="1:4" ht="20.25" customHeight="1">
      <c r="A86" s="162" t="s">
        <v>1833</v>
      </c>
      <c r="B86" s="317" t="s">
        <v>1934</v>
      </c>
      <c r="C86" s="138" t="s">
        <v>1935</v>
      </c>
      <c r="D86" s="134" t="s">
        <v>24</v>
      </c>
    </row>
    <row r="87" spans="1:4" ht="20.25" customHeight="1">
      <c r="B87" s="163"/>
      <c r="C87" s="138" t="s">
        <v>1936</v>
      </c>
      <c r="D87" s="134" t="s">
        <v>24</v>
      </c>
    </row>
    <row r="88" spans="1:4" ht="20.25" customHeight="1">
      <c r="B88" s="108"/>
      <c r="C88" s="138" t="s">
        <v>1937</v>
      </c>
      <c r="D88" s="139">
        <v>44910</v>
      </c>
    </row>
    <row r="89" spans="1:4" ht="20.25" customHeight="1">
      <c r="B89" s="108"/>
      <c r="C89" s="138" t="s">
        <v>1938</v>
      </c>
      <c r="D89" s="139">
        <v>44840</v>
      </c>
    </row>
    <row r="90" spans="1:4" ht="20.25" customHeight="1">
      <c r="B90" s="108"/>
      <c r="C90" s="138" t="s">
        <v>1939</v>
      </c>
      <c r="D90" s="134" t="s">
        <v>24</v>
      </c>
    </row>
    <row r="91" spans="1:4" ht="20.25" customHeight="1">
      <c r="B91" s="108"/>
      <c r="C91" s="138" t="s">
        <v>1940</v>
      </c>
      <c r="D91" s="134" t="s">
        <v>24</v>
      </c>
    </row>
    <row r="92" spans="1:4" ht="20.25" customHeight="1">
      <c r="B92" s="108"/>
      <c r="C92" s="138" t="s">
        <v>1941</v>
      </c>
      <c r="D92" s="139">
        <v>44877</v>
      </c>
    </row>
    <row r="93" spans="1:4" ht="20.25" customHeight="1">
      <c r="B93" s="108"/>
      <c r="C93" s="138" t="s">
        <v>1942</v>
      </c>
      <c r="D93" s="134" t="s">
        <v>24</v>
      </c>
    </row>
    <row r="94" spans="1:4" ht="20.25" customHeight="1">
      <c r="B94" s="108"/>
      <c r="C94" s="146" t="s">
        <v>1943</v>
      </c>
      <c r="D94" s="134" t="s">
        <v>24</v>
      </c>
    </row>
    <row r="95" spans="1:4" ht="20.25" customHeight="1">
      <c r="B95" s="108"/>
      <c r="C95" s="146" t="s">
        <v>1944</v>
      </c>
      <c r="D95" s="139">
        <v>44840</v>
      </c>
    </row>
    <row r="96" spans="1:4" ht="20.25" customHeight="1">
      <c r="B96" s="108"/>
      <c r="C96" s="138" t="s">
        <v>1945</v>
      </c>
      <c r="D96" s="134" t="s">
        <v>24</v>
      </c>
    </row>
    <row r="97" spans="2:4" ht="20.25" customHeight="1">
      <c r="B97" s="108"/>
      <c r="C97" s="146" t="s">
        <v>1946</v>
      </c>
      <c r="D97" s="134" t="s">
        <v>24</v>
      </c>
    </row>
    <row r="98" spans="2:4" ht="20.25" customHeight="1">
      <c r="B98" s="108"/>
      <c r="C98" s="138" t="s">
        <v>1947</v>
      </c>
      <c r="D98" s="134" t="s">
        <v>24</v>
      </c>
    </row>
    <row r="99" spans="2:4" ht="20.25" customHeight="1">
      <c r="B99" s="108"/>
      <c r="C99" s="138" t="s">
        <v>1948</v>
      </c>
      <c r="D99" s="134" t="s">
        <v>24</v>
      </c>
    </row>
    <row r="100" spans="2:4" ht="20.25" customHeight="1">
      <c r="B100" s="119" t="s">
        <v>1949</v>
      </c>
      <c r="C100" s="146" t="s">
        <v>1950</v>
      </c>
      <c r="D100" s="134" t="s">
        <v>24</v>
      </c>
    </row>
    <row r="101" spans="2:4" ht="20.25" customHeight="1">
      <c r="B101" s="119" t="s">
        <v>1951</v>
      </c>
      <c r="C101" s="138" t="s">
        <v>1952</v>
      </c>
      <c r="D101" s="134" t="s">
        <v>24</v>
      </c>
    </row>
    <row r="102" spans="2:4" ht="20.25" customHeight="1">
      <c r="B102" s="108" t="s">
        <v>1953</v>
      </c>
      <c r="C102" s="138" t="s">
        <v>1954</v>
      </c>
      <c r="D102" s="134" t="s">
        <v>24</v>
      </c>
    </row>
    <row r="103" spans="2:4" ht="20.25" customHeight="1">
      <c r="B103" s="108" t="s">
        <v>1955</v>
      </c>
      <c r="C103" s="146" t="s">
        <v>1956</v>
      </c>
      <c r="D103" s="134" t="s">
        <v>24</v>
      </c>
    </row>
    <row r="104" spans="2:4" ht="20.25" customHeight="1">
      <c r="B104" s="108" t="s">
        <v>1957</v>
      </c>
      <c r="C104" s="146" t="s">
        <v>1900</v>
      </c>
      <c r="D104" s="134" t="s">
        <v>24</v>
      </c>
    </row>
    <row r="105" spans="2:4" ht="20.25" customHeight="1">
      <c r="B105" s="108" t="s">
        <v>1958</v>
      </c>
      <c r="C105" s="138" t="s">
        <v>1959</v>
      </c>
      <c r="D105" s="134"/>
    </row>
    <row r="106" spans="2:4" ht="20.25" customHeight="1">
      <c r="B106" s="108" t="s">
        <v>1960</v>
      </c>
      <c r="C106" s="138" t="s">
        <v>1961</v>
      </c>
      <c r="D106" s="134"/>
    </row>
    <row r="107" spans="2:4" ht="20.25" customHeight="1">
      <c r="B107" s="108" t="s">
        <v>1962</v>
      </c>
      <c r="C107" s="138" t="s">
        <v>1963</v>
      </c>
      <c r="D107" s="161">
        <v>45013</v>
      </c>
    </row>
    <row r="108" spans="2:4" ht="20.25" customHeight="1">
      <c r="B108" s="108" t="s">
        <v>1964</v>
      </c>
      <c r="C108" s="138" t="s">
        <v>1965</v>
      </c>
      <c r="D108" s="161">
        <v>45013</v>
      </c>
    </row>
    <row r="109" spans="2:4" ht="20.25" customHeight="1">
      <c r="B109" s="108" t="s">
        <v>1966</v>
      </c>
      <c r="C109" s="146" t="s">
        <v>1967</v>
      </c>
      <c r="D109" s="134" t="s">
        <v>24</v>
      </c>
    </row>
    <row r="110" spans="2:4" ht="20.25" customHeight="1">
      <c r="B110" s="119" t="s">
        <v>1968</v>
      </c>
      <c r="C110" s="146"/>
      <c r="D110" s="134" t="s">
        <v>24</v>
      </c>
    </row>
    <row r="111" spans="2:4" ht="20.25" customHeight="1">
      <c r="B111" s="108" t="s">
        <v>1969</v>
      </c>
      <c r="C111" s="146" t="s">
        <v>1970</v>
      </c>
      <c r="D111" s="139">
        <v>44853</v>
      </c>
    </row>
    <row r="112" spans="2:4" ht="20.25" customHeight="1">
      <c r="B112" s="108" t="s">
        <v>1971</v>
      </c>
      <c r="C112" s="138" t="s">
        <v>1972</v>
      </c>
      <c r="D112" s="139">
        <v>44840</v>
      </c>
    </row>
    <row r="113" spans="2:4" ht="20.25" customHeight="1">
      <c r="B113" s="108" t="s">
        <v>1973</v>
      </c>
      <c r="C113" s="138" t="s">
        <v>1974</v>
      </c>
      <c r="D113" s="139">
        <v>44840</v>
      </c>
    </row>
    <row r="114" spans="2:4" ht="20.25" customHeight="1">
      <c r="B114" s="108" t="s">
        <v>1975</v>
      </c>
      <c r="C114" s="138" t="s">
        <v>1976</v>
      </c>
      <c r="D114" s="140"/>
    </row>
    <row r="115" spans="2:4" ht="20.25" customHeight="1">
      <c r="B115" s="119" t="s">
        <v>1977</v>
      </c>
      <c r="C115" s="146" t="s">
        <v>1978</v>
      </c>
      <c r="D115" s="139">
        <v>44910</v>
      </c>
    </row>
    <row r="116" spans="2:4" ht="20.25" customHeight="1">
      <c r="B116" s="108" t="s">
        <v>1979</v>
      </c>
      <c r="C116" s="146" t="s">
        <v>1980</v>
      </c>
      <c r="D116" s="139">
        <v>44961</v>
      </c>
    </row>
    <row r="117" spans="2:4" ht="20.25" customHeight="1">
      <c r="B117" s="108" t="s">
        <v>1981</v>
      </c>
      <c r="C117" s="146" t="s">
        <v>1982</v>
      </c>
      <c r="D117" s="134" t="s">
        <v>24</v>
      </c>
    </row>
    <row r="118" spans="2:4" ht="20.25" customHeight="1">
      <c r="B118" s="108" t="s">
        <v>1983</v>
      </c>
      <c r="C118" s="146" t="s">
        <v>1984</v>
      </c>
      <c r="D118" s="134" t="s">
        <v>24</v>
      </c>
    </row>
    <row r="119" spans="2:4" ht="20.25" customHeight="1">
      <c r="B119" s="119" t="s">
        <v>1985</v>
      </c>
      <c r="C119" s="146" t="s">
        <v>1986</v>
      </c>
      <c r="D119" s="139">
        <v>44862</v>
      </c>
    </row>
    <row r="120" spans="2:4" ht="20.25" customHeight="1">
      <c r="B120" s="108" t="s">
        <v>1987</v>
      </c>
      <c r="C120" s="146" t="s">
        <v>1988</v>
      </c>
      <c r="D120" s="139">
        <v>44877</v>
      </c>
    </row>
    <row r="121" spans="2:4" ht="20.25" customHeight="1">
      <c r="B121" s="108" t="s">
        <v>1989</v>
      </c>
      <c r="C121" s="146" t="s">
        <v>1990</v>
      </c>
      <c r="D121" s="139">
        <v>44840</v>
      </c>
    </row>
    <row r="122" spans="2:4" ht="20.25" customHeight="1">
      <c r="B122" s="119" t="s">
        <v>1991</v>
      </c>
      <c r="C122" s="146" t="s">
        <v>1992</v>
      </c>
      <c r="D122" s="134" t="s">
        <v>24</v>
      </c>
    </row>
    <row r="123" spans="2:4" ht="20.25" customHeight="1">
      <c r="B123" s="108" t="s">
        <v>1993</v>
      </c>
      <c r="C123" s="138" t="s">
        <v>1994</v>
      </c>
      <c r="D123" s="139">
        <v>44840</v>
      </c>
    </row>
    <row r="124" spans="2:4" ht="20.25" customHeight="1">
      <c r="B124" s="108" t="s">
        <v>1995</v>
      </c>
      <c r="C124" s="146" t="s">
        <v>1996</v>
      </c>
      <c r="D124" s="134" t="s">
        <v>24</v>
      </c>
    </row>
    <row r="125" spans="2:4" ht="20.25" customHeight="1">
      <c r="B125" s="108" t="s">
        <v>1997</v>
      </c>
      <c r="C125" s="146" t="s">
        <v>1998</v>
      </c>
      <c r="D125" s="134" t="s">
        <v>24</v>
      </c>
    </row>
    <row r="126" spans="2:4" ht="20.25" customHeight="1">
      <c r="B126" s="108" t="s">
        <v>1999</v>
      </c>
      <c r="C126" s="146" t="s">
        <v>2000</v>
      </c>
      <c r="D126" s="139">
        <v>44840</v>
      </c>
    </row>
    <row r="127" spans="2:4" ht="20.25" customHeight="1">
      <c r="B127" s="108" t="s">
        <v>2001</v>
      </c>
      <c r="C127" s="138" t="s">
        <v>2002</v>
      </c>
      <c r="D127" s="139">
        <v>44877</v>
      </c>
    </row>
    <row r="128" spans="2:4" ht="20.25" customHeight="1">
      <c r="B128" s="108" t="s">
        <v>2003</v>
      </c>
      <c r="C128" s="146" t="s">
        <v>2004</v>
      </c>
      <c r="D128" s="139">
        <v>44890</v>
      </c>
    </row>
    <row r="129" spans="2:4" ht="20.25" customHeight="1">
      <c r="B129" s="108" t="s">
        <v>2005</v>
      </c>
      <c r="C129" s="138" t="s">
        <v>2006</v>
      </c>
      <c r="D129" s="139">
        <v>45013</v>
      </c>
    </row>
    <row r="130" spans="2:4" ht="20.25" customHeight="1">
      <c r="B130" s="108" t="s">
        <v>2007</v>
      </c>
      <c r="C130" s="138" t="s">
        <v>2008</v>
      </c>
      <c r="D130" s="139">
        <v>45013</v>
      </c>
    </row>
    <row r="131" spans="2:4" ht="20.25" customHeight="1">
      <c r="B131" s="108" t="s">
        <v>2009</v>
      </c>
      <c r="C131" s="146" t="s">
        <v>2010</v>
      </c>
      <c r="D131" s="139"/>
    </row>
    <row r="132" spans="2:4" ht="20.25" customHeight="1">
      <c r="B132" s="108" t="s">
        <v>2011</v>
      </c>
      <c r="C132" s="146" t="s">
        <v>2012</v>
      </c>
      <c r="D132" s="139"/>
    </row>
    <row r="133" spans="2:4" ht="20.25" customHeight="1">
      <c r="B133" s="108" t="s">
        <v>2013</v>
      </c>
      <c r="C133" s="146" t="s">
        <v>2014</v>
      </c>
      <c r="D133" s="149"/>
    </row>
    <row r="134" spans="2:4" ht="20.25" customHeight="1">
      <c r="B134" s="108" t="s">
        <v>2015</v>
      </c>
      <c r="C134" s="146" t="s">
        <v>2016</v>
      </c>
      <c r="D134" s="149"/>
    </row>
    <row r="135" spans="2:4" ht="20.25" customHeight="1">
      <c r="B135" s="108" t="s">
        <v>2017</v>
      </c>
      <c r="C135" s="146" t="s">
        <v>2018</v>
      </c>
      <c r="D135" s="149"/>
    </row>
    <row r="136" spans="2:4" ht="20.25" customHeight="1">
      <c r="B136" s="119" t="s">
        <v>2019</v>
      </c>
      <c r="C136" s="146" t="s">
        <v>2020</v>
      </c>
      <c r="D136" s="149"/>
    </row>
    <row r="137" spans="2:4" ht="20.25" customHeight="1">
      <c r="B137" s="108" t="s">
        <v>2021</v>
      </c>
      <c r="C137" s="146" t="s">
        <v>2022</v>
      </c>
      <c r="D137" s="149"/>
    </row>
    <row r="138" spans="2:4" ht="20.25" customHeight="1">
      <c r="B138" s="119" t="s">
        <v>2023</v>
      </c>
      <c r="C138" s="138" t="s">
        <v>371</v>
      </c>
      <c r="D138" s="149"/>
    </row>
    <row r="139" spans="2:4" ht="20.25" customHeight="1">
      <c r="B139" s="108" t="s">
        <v>2024</v>
      </c>
      <c r="C139" s="138" t="s">
        <v>371</v>
      </c>
      <c r="D139" s="144">
        <v>45105</v>
      </c>
    </row>
    <row r="140" spans="2:4" ht="20.25" customHeight="1">
      <c r="B140" s="108" t="s">
        <v>2025</v>
      </c>
      <c r="C140" s="138" t="s">
        <v>2026</v>
      </c>
      <c r="D140" s="145"/>
    </row>
    <row r="141" spans="2:4" ht="20.25" customHeight="1">
      <c r="B141" s="108" t="s">
        <v>2027</v>
      </c>
      <c r="C141" s="138" t="s">
        <v>2028</v>
      </c>
      <c r="D141" s="149"/>
    </row>
    <row r="142" spans="2:4" ht="20.25" customHeight="1">
      <c r="B142" s="108" t="s">
        <v>2029</v>
      </c>
      <c r="C142" s="138" t="s">
        <v>2030</v>
      </c>
      <c r="D142" s="149"/>
    </row>
    <row r="143" spans="2:4" ht="20.25" customHeight="1">
      <c r="B143" s="108" t="s">
        <v>2031</v>
      </c>
      <c r="C143" s="138" t="s">
        <v>2032</v>
      </c>
      <c r="D143" s="149"/>
    </row>
    <row r="144" spans="2:4" ht="20.25" customHeight="1">
      <c r="B144" s="108" t="s">
        <v>2033</v>
      </c>
      <c r="C144" s="146" t="s">
        <v>2034</v>
      </c>
      <c r="D144" s="144">
        <v>45105</v>
      </c>
    </row>
    <row r="145" spans="2:4" ht="20.25" customHeight="1">
      <c r="B145" s="108" t="s">
        <v>2035</v>
      </c>
      <c r="C145" s="138" t="s">
        <v>2036</v>
      </c>
      <c r="D145" s="149"/>
    </row>
    <row r="146" spans="2:4" ht="20.25" customHeight="1">
      <c r="B146" s="108" t="s">
        <v>2037</v>
      </c>
      <c r="C146" s="138" t="s">
        <v>371</v>
      </c>
      <c r="D146" s="149"/>
    </row>
    <row r="147" spans="2:4" ht="20.25" customHeight="1">
      <c r="B147" s="108" t="s">
        <v>2038</v>
      </c>
      <c r="C147" s="138" t="s">
        <v>2039</v>
      </c>
      <c r="D147" s="144">
        <v>45049</v>
      </c>
    </row>
    <row r="148" spans="2:4" ht="20.25" customHeight="1">
      <c r="B148" s="108" t="s">
        <v>2040</v>
      </c>
      <c r="C148" s="138" t="s">
        <v>2041</v>
      </c>
      <c r="D148" s="149"/>
    </row>
    <row r="149" spans="2:4" ht="20.25" customHeight="1">
      <c r="B149" s="108" t="s">
        <v>2042</v>
      </c>
      <c r="C149" s="138" t="s">
        <v>2043</v>
      </c>
      <c r="D149" s="149"/>
    </row>
    <row r="150" spans="2:4" ht="20.25" customHeight="1">
      <c r="B150" s="108" t="s">
        <v>2044</v>
      </c>
      <c r="C150" s="146" t="s">
        <v>2045</v>
      </c>
      <c r="D150" s="149"/>
    </row>
    <row r="151" spans="2:4" ht="20.25" customHeight="1">
      <c r="B151" s="108" t="s">
        <v>2046</v>
      </c>
      <c r="C151" s="138" t="s">
        <v>2047</v>
      </c>
      <c r="D151" s="149"/>
    </row>
    <row r="152" spans="2:4" ht="20.25" customHeight="1">
      <c r="B152" s="108" t="s">
        <v>2048</v>
      </c>
      <c r="C152" s="138" t="s">
        <v>2049</v>
      </c>
      <c r="D152" s="149"/>
    </row>
    <row r="153" spans="2:4" ht="20.25" customHeight="1">
      <c r="B153" s="108" t="s">
        <v>2050</v>
      </c>
      <c r="C153" s="138" t="s">
        <v>371</v>
      </c>
      <c r="D153" s="139">
        <v>45056</v>
      </c>
    </row>
    <row r="154" spans="2:4" ht="20.25" customHeight="1">
      <c r="B154" s="108" t="s">
        <v>2051</v>
      </c>
      <c r="C154" s="146" t="s">
        <v>2052</v>
      </c>
      <c r="D154" s="139">
        <v>45056</v>
      </c>
    </row>
    <row r="155" spans="2:4" ht="20.25" customHeight="1">
      <c r="B155" s="107" t="s">
        <v>2053</v>
      </c>
      <c r="C155" s="138" t="s">
        <v>2054</v>
      </c>
      <c r="D155" s="139">
        <v>45056</v>
      </c>
    </row>
    <row r="156" spans="2:4" ht="20.25" customHeight="1">
      <c r="B156" s="108" t="s">
        <v>2055</v>
      </c>
      <c r="C156" s="138" t="s">
        <v>371</v>
      </c>
      <c r="D156" s="149"/>
    </row>
    <row r="157" spans="2:4" ht="20.25" customHeight="1">
      <c r="B157" s="108" t="s">
        <v>2056</v>
      </c>
      <c r="C157" s="138" t="s">
        <v>2057</v>
      </c>
      <c r="D157" s="149"/>
    </row>
    <row r="158" spans="2:4" ht="20.25" customHeight="1">
      <c r="B158" s="108" t="s">
        <v>2058</v>
      </c>
      <c r="C158" s="138" t="s">
        <v>2059</v>
      </c>
      <c r="D158" s="149"/>
    </row>
    <row r="159" spans="2:4" ht="20.25" customHeight="1">
      <c r="B159" s="108" t="s">
        <v>2060</v>
      </c>
      <c r="C159" s="146" t="s">
        <v>2061</v>
      </c>
      <c r="D159" s="149"/>
    </row>
    <row r="160" spans="2:4" ht="20.25" customHeight="1">
      <c r="B160" s="108" t="s">
        <v>2062</v>
      </c>
      <c r="C160" s="138" t="s">
        <v>2063</v>
      </c>
      <c r="D160" s="149"/>
    </row>
    <row r="161" spans="2:4" ht="20.25" customHeight="1">
      <c r="B161" s="108" t="s">
        <v>2064</v>
      </c>
      <c r="C161" s="138" t="s">
        <v>1900</v>
      </c>
      <c r="D161" s="149"/>
    </row>
    <row r="162" spans="2:4" ht="20.25" customHeight="1">
      <c r="B162" s="119" t="s">
        <v>2065</v>
      </c>
      <c r="C162" s="138" t="s">
        <v>371</v>
      </c>
      <c r="D162" s="149"/>
    </row>
    <row r="163" spans="2:4" ht="20.25" customHeight="1">
      <c r="B163" s="108" t="s">
        <v>2066</v>
      </c>
      <c r="C163" s="138" t="s">
        <v>371</v>
      </c>
      <c r="D163" s="149"/>
    </row>
    <row r="164" spans="2:4" ht="20.25" customHeight="1">
      <c r="B164" s="108" t="s">
        <v>2067</v>
      </c>
      <c r="C164" s="138" t="s">
        <v>371</v>
      </c>
      <c r="D164" s="149"/>
    </row>
    <row r="165" spans="2:4" ht="20.25" customHeight="1">
      <c r="B165" s="108" t="s">
        <v>2068</v>
      </c>
      <c r="C165" s="138" t="s">
        <v>2069</v>
      </c>
      <c r="D165" s="145"/>
    </row>
    <row r="166" spans="2:4" ht="20.25" customHeight="1">
      <c r="B166" s="108" t="s">
        <v>2070</v>
      </c>
      <c r="C166" s="138" t="s">
        <v>371</v>
      </c>
      <c r="D166" s="139">
        <v>45056</v>
      </c>
    </row>
    <row r="167" spans="2:4" ht="20.25" customHeight="1">
      <c r="B167" s="108" t="s">
        <v>2071</v>
      </c>
      <c r="C167" s="138" t="s">
        <v>371</v>
      </c>
      <c r="D167" s="144">
        <v>45148</v>
      </c>
    </row>
    <row r="168" spans="2:4" ht="20.25" customHeight="1">
      <c r="B168" s="108" t="s">
        <v>2072</v>
      </c>
      <c r="C168" s="138" t="s">
        <v>371</v>
      </c>
      <c r="D168" s="141"/>
    </row>
    <row r="169" spans="2:4" ht="20.25" customHeight="1">
      <c r="B169" s="108" t="s">
        <v>2073</v>
      </c>
      <c r="C169" s="146" t="s">
        <v>2074</v>
      </c>
      <c r="D169" s="141"/>
    </row>
    <row r="170" spans="2:4" ht="20.25" customHeight="1">
      <c r="B170" s="108" t="s">
        <v>2075</v>
      </c>
      <c r="C170" s="138" t="s">
        <v>2076</v>
      </c>
      <c r="D170" s="141"/>
    </row>
    <row r="171" spans="2:4" ht="20.25" customHeight="1">
      <c r="B171" s="108" t="s">
        <v>2077</v>
      </c>
      <c r="C171" s="146" t="s">
        <v>2078</v>
      </c>
      <c r="D171" s="141"/>
    </row>
    <row r="172" spans="2:4" ht="20.25" customHeight="1">
      <c r="B172" s="108" t="s">
        <v>2079</v>
      </c>
      <c r="C172" s="138" t="s">
        <v>2080</v>
      </c>
      <c r="D172" s="141"/>
    </row>
    <row r="173" spans="2:4" ht="20.25" customHeight="1">
      <c r="B173" s="108" t="s">
        <v>2081</v>
      </c>
      <c r="C173" s="146" t="s">
        <v>2082</v>
      </c>
      <c r="D173" s="141"/>
    </row>
    <row r="174" spans="2:4" ht="20.25" customHeight="1">
      <c r="B174" s="108" t="s">
        <v>2083</v>
      </c>
      <c r="C174" s="138" t="s">
        <v>2084</v>
      </c>
      <c r="D174" s="141"/>
    </row>
    <row r="175" spans="2:4" ht="20.25" customHeight="1">
      <c r="B175" s="108" t="s">
        <v>2085</v>
      </c>
      <c r="C175" s="146" t="s">
        <v>2086</v>
      </c>
      <c r="D175" s="141"/>
    </row>
    <row r="176" spans="2:4" ht="20.25" customHeight="1">
      <c r="B176" s="108" t="s">
        <v>2087</v>
      </c>
      <c r="C176" s="146" t="s">
        <v>2088</v>
      </c>
      <c r="D176" s="141"/>
    </row>
    <row r="177" spans="2:4" ht="20.25" customHeight="1">
      <c r="B177" s="108" t="s">
        <v>2089</v>
      </c>
      <c r="C177" s="146" t="s">
        <v>2090</v>
      </c>
      <c r="D177" s="141"/>
    </row>
    <row r="178" spans="2:4" ht="20.25" customHeight="1">
      <c r="B178" s="108" t="s">
        <v>2091</v>
      </c>
      <c r="C178" s="138" t="s">
        <v>2092</v>
      </c>
      <c r="D178" s="141"/>
    </row>
    <row r="179" spans="2:4" ht="20.25" customHeight="1">
      <c r="B179" s="108" t="s">
        <v>2093</v>
      </c>
      <c r="C179" s="138" t="s">
        <v>2094</v>
      </c>
      <c r="D179" s="141"/>
    </row>
    <row r="180" spans="2:4" ht="20.25" customHeight="1">
      <c r="B180" s="108" t="s">
        <v>2095</v>
      </c>
      <c r="C180" s="146" t="s">
        <v>2096</v>
      </c>
      <c r="D180" s="141"/>
    </row>
    <row r="181" spans="2:4" ht="20.25" customHeight="1">
      <c r="B181" s="119" t="s">
        <v>2097</v>
      </c>
      <c r="C181" s="138" t="s">
        <v>2098</v>
      </c>
      <c r="D181" s="141"/>
    </row>
    <row r="182" spans="2:4" ht="20.25" customHeight="1">
      <c r="B182" s="108" t="s">
        <v>2099</v>
      </c>
      <c r="C182" s="146" t="s">
        <v>2100</v>
      </c>
      <c r="D182" s="141"/>
    </row>
    <row r="183" spans="2:4" ht="20.25" customHeight="1">
      <c r="B183" s="108" t="s">
        <v>2101</v>
      </c>
      <c r="C183" s="146" t="s">
        <v>2102</v>
      </c>
      <c r="D183" s="141"/>
    </row>
    <row r="184" spans="2:4" ht="20.25" customHeight="1">
      <c r="B184" s="108" t="s">
        <v>2103</v>
      </c>
      <c r="C184" s="138" t="s">
        <v>2104</v>
      </c>
      <c r="D184" s="141"/>
    </row>
    <row r="185" spans="2:4" ht="20.25" customHeight="1">
      <c r="B185" s="108" t="s">
        <v>2105</v>
      </c>
      <c r="C185" s="146" t="s">
        <v>2106</v>
      </c>
      <c r="D185" s="141"/>
    </row>
    <row r="186" spans="2:4" ht="20.25" customHeight="1">
      <c r="B186" s="108" t="s">
        <v>2107</v>
      </c>
      <c r="C186" s="146" t="s">
        <v>2108</v>
      </c>
      <c r="D186" s="141"/>
    </row>
    <row r="187" spans="2:4" ht="20.25" customHeight="1">
      <c r="B187" s="108" t="s">
        <v>2109</v>
      </c>
      <c r="C187" s="138" t="s">
        <v>2110</v>
      </c>
      <c r="D187" s="144">
        <v>45105</v>
      </c>
    </row>
    <row r="188" spans="2:4" ht="20.25" customHeight="1">
      <c r="B188" s="108" t="s">
        <v>2111</v>
      </c>
      <c r="C188" s="138"/>
      <c r="D188" s="139">
        <v>44992</v>
      </c>
    </row>
    <row r="189" spans="2:4" ht="20.25" customHeight="1">
      <c r="B189" s="119" t="s">
        <v>2112</v>
      </c>
      <c r="C189" s="151" t="s">
        <v>2113</v>
      </c>
      <c r="D189" s="139">
        <v>45056</v>
      </c>
    </row>
    <row r="190" spans="2:4" ht="20.25" customHeight="1">
      <c r="B190" s="108" t="s">
        <v>2114</v>
      </c>
      <c r="C190" s="138" t="s">
        <v>2115</v>
      </c>
      <c r="D190" s="139">
        <v>44992</v>
      </c>
    </row>
    <row r="191" spans="2:4" ht="20.25" customHeight="1">
      <c r="B191" s="108" t="s">
        <v>2116</v>
      </c>
      <c r="C191" s="146" t="s">
        <v>2117</v>
      </c>
      <c r="D191" s="139">
        <v>45056</v>
      </c>
    </row>
    <row r="192" spans="2:4" ht="20.25" customHeight="1">
      <c r="B192" s="108" t="s">
        <v>2118</v>
      </c>
      <c r="C192" s="138" t="s">
        <v>2119</v>
      </c>
      <c r="D192" s="148">
        <v>45111</v>
      </c>
    </row>
    <row r="193" spans="2:4" ht="20.25" customHeight="1">
      <c r="B193" s="108" t="s">
        <v>2120</v>
      </c>
      <c r="C193" s="138" t="s">
        <v>2121</v>
      </c>
      <c r="D193" s="139">
        <v>45056</v>
      </c>
    </row>
    <row r="194" spans="2:4" ht="20.25" customHeight="1">
      <c r="B194" s="119" t="s">
        <v>2122</v>
      </c>
      <c r="C194" s="138" t="s">
        <v>2123</v>
      </c>
      <c r="D194" s="141"/>
    </row>
    <row r="195" spans="2:4" ht="20.25" customHeight="1">
      <c r="B195" s="108" t="s">
        <v>2124</v>
      </c>
      <c r="C195" s="138" t="s">
        <v>2125</v>
      </c>
      <c r="D195" s="141"/>
    </row>
    <row r="196" spans="2:4" ht="20.25" customHeight="1">
      <c r="B196" s="108" t="s">
        <v>2126</v>
      </c>
      <c r="C196" s="138" t="s">
        <v>2127</v>
      </c>
      <c r="D196" s="139">
        <v>45056</v>
      </c>
    </row>
    <row r="197" spans="2:4" ht="20.25" customHeight="1">
      <c r="B197" s="108" t="s">
        <v>2128</v>
      </c>
      <c r="C197" s="138" t="s">
        <v>2129</v>
      </c>
      <c r="D197" s="139">
        <v>45056</v>
      </c>
    </row>
    <row r="198" spans="2:4" ht="20.25" customHeight="1">
      <c r="B198" s="108" t="s">
        <v>2130</v>
      </c>
      <c r="C198" s="138" t="s">
        <v>2131</v>
      </c>
      <c r="D198" s="139">
        <v>45056</v>
      </c>
    </row>
    <row r="199" spans="2:4" ht="20.25" customHeight="1">
      <c r="B199" s="108" t="s">
        <v>2132</v>
      </c>
      <c r="C199" s="146" t="s">
        <v>2133</v>
      </c>
      <c r="D199" s="139">
        <v>45097</v>
      </c>
    </row>
    <row r="200" spans="2:4" ht="20.25" customHeight="1">
      <c r="B200" s="108" t="s">
        <v>2134</v>
      </c>
      <c r="C200" s="146" t="s">
        <v>2135</v>
      </c>
      <c r="D200" s="148">
        <v>45111</v>
      </c>
    </row>
    <row r="201" spans="2:4" ht="20.25" customHeight="1">
      <c r="B201" s="108" t="s">
        <v>2136</v>
      </c>
      <c r="C201" s="146" t="s">
        <v>2137</v>
      </c>
      <c r="D201" s="148">
        <v>45111</v>
      </c>
    </row>
    <row r="202" spans="2:4" ht="20.25" customHeight="1">
      <c r="B202" s="108" t="s">
        <v>2138</v>
      </c>
      <c r="C202" s="138" t="s">
        <v>2139</v>
      </c>
      <c r="D202" s="148">
        <v>45111</v>
      </c>
    </row>
    <row r="203" spans="2:4" ht="20.25" customHeight="1">
      <c r="B203" s="108" t="s">
        <v>2140</v>
      </c>
      <c r="C203" s="138" t="s">
        <v>2141</v>
      </c>
      <c r="D203" s="139">
        <v>45097</v>
      </c>
    </row>
    <row r="204" spans="2:4" ht="20.25" customHeight="1">
      <c r="B204" s="108" t="s">
        <v>2142</v>
      </c>
      <c r="C204" s="138" t="s">
        <v>2143</v>
      </c>
      <c r="D204" s="148">
        <v>45111</v>
      </c>
    </row>
    <row r="205" spans="2:4" ht="20.25" customHeight="1">
      <c r="B205" s="108" t="s">
        <v>2144</v>
      </c>
      <c r="C205" s="138" t="s">
        <v>2145</v>
      </c>
      <c r="D205" s="148">
        <v>45111</v>
      </c>
    </row>
    <row r="206" spans="2:4" ht="20.25" customHeight="1">
      <c r="B206" s="108" t="s">
        <v>2146</v>
      </c>
      <c r="C206" s="138" t="s">
        <v>2147</v>
      </c>
      <c r="D206" s="139">
        <v>45097</v>
      </c>
    </row>
    <row r="207" spans="2:4" ht="20.25" customHeight="1">
      <c r="B207" s="108" t="s">
        <v>2148</v>
      </c>
      <c r="C207" s="138" t="s">
        <v>2149</v>
      </c>
      <c r="D207" s="139">
        <v>45097</v>
      </c>
    </row>
    <row r="208" spans="2:4" ht="20.25" customHeight="1">
      <c r="B208" s="108" t="s">
        <v>2150</v>
      </c>
      <c r="C208" s="146" t="s">
        <v>2151</v>
      </c>
      <c r="D208" s="139">
        <v>45097</v>
      </c>
    </row>
    <row r="209" spans="2:4" ht="20.25" customHeight="1">
      <c r="B209" s="108" t="s">
        <v>2152</v>
      </c>
      <c r="C209" s="138" t="s">
        <v>2153</v>
      </c>
      <c r="D209" s="145"/>
    </row>
    <row r="210" spans="2:4" ht="20.25" customHeight="1">
      <c r="B210" s="108" t="s">
        <v>2154</v>
      </c>
      <c r="C210" s="138" t="s">
        <v>2155</v>
      </c>
      <c r="D210" s="148">
        <v>45111</v>
      </c>
    </row>
    <row r="211" spans="2:4" ht="20.25" customHeight="1">
      <c r="B211" s="108" t="s">
        <v>2156</v>
      </c>
      <c r="C211" s="138" t="s">
        <v>2157</v>
      </c>
      <c r="D211" s="139">
        <v>45097</v>
      </c>
    </row>
    <row r="212" spans="2:4" ht="20.25" customHeight="1">
      <c r="B212" s="108" t="s">
        <v>2158</v>
      </c>
      <c r="C212" s="138" t="s">
        <v>2159</v>
      </c>
      <c r="D212" s="144">
        <v>45148</v>
      </c>
    </row>
    <row r="213" spans="2:4" ht="20.25" customHeight="1">
      <c r="B213" s="108" t="s">
        <v>2160</v>
      </c>
      <c r="C213" s="138" t="s">
        <v>2161</v>
      </c>
      <c r="D213" s="148">
        <v>45111</v>
      </c>
    </row>
    <row r="214" spans="2:4" ht="20.25" customHeight="1">
      <c r="B214" s="108" t="s">
        <v>2162</v>
      </c>
      <c r="C214" s="146" t="s">
        <v>2163</v>
      </c>
      <c r="D214" s="149"/>
    </row>
    <row r="215" spans="2:4" ht="20.25" customHeight="1">
      <c r="B215" s="108" t="s">
        <v>2164</v>
      </c>
      <c r="C215" s="146" t="s">
        <v>2165</v>
      </c>
      <c r="D215" s="139">
        <v>44992</v>
      </c>
    </row>
    <row r="216" spans="2:4" ht="20.25" customHeight="1">
      <c r="B216" s="108" t="s">
        <v>2166</v>
      </c>
      <c r="C216" s="138" t="s">
        <v>2167</v>
      </c>
      <c r="D216" s="139">
        <v>45097</v>
      </c>
    </row>
    <row r="217" spans="2:4" ht="20.25" customHeight="1">
      <c r="B217" s="108" t="s">
        <v>2168</v>
      </c>
      <c r="C217" s="138" t="s">
        <v>2169</v>
      </c>
      <c r="D217" s="139">
        <v>45097</v>
      </c>
    </row>
    <row r="218" spans="2:4" ht="20.25" customHeight="1">
      <c r="B218" s="108" t="s">
        <v>2170</v>
      </c>
      <c r="C218" s="146" t="s">
        <v>2171</v>
      </c>
      <c r="D218" s="139">
        <v>45097</v>
      </c>
    </row>
    <row r="219" spans="2:4" ht="20.25" customHeight="1">
      <c r="B219" s="108" t="s">
        <v>2172</v>
      </c>
      <c r="C219" s="138" t="s">
        <v>2173</v>
      </c>
      <c r="D219" s="149"/>
    </row>
    <row r="220" spans="2:4" ht="20.25" customHeight="1">
      <c r="B220" s="108" t="s">
        <v>2174</v>
      </c>
      <c r="C220" s="138" t="s">
        <v>2175</v>
      </c>
      <c r="D220" s="149"/>
    </row>
    <row r="221" spans="2:4" ht="20.25" customHeight="1">
      <c r="B221" s="108" t="s">
        <v>2176</v>
      </c>
      <c r="C221" s="138" t="s">
        <v>2177</v>
      </c>
      <c r="D221" s="139">
        <v>45097</v>
      </c>
    </row>
    <row r="222" spans="2:4" ht="20.25" customHeight="1">
      <c r="B222" s="108" t="s">
        <v>2178</v>
      </c>
      <c r="C222" s="138" t="s">
        <v>2179</v>
      </c>
      <c r="D222" s="139">
        <v>45097</v>
      </c>
    </row>
    <row r="223" spans="2:4" ht="20.25" customHeight="1">
      <c r="B223" s="108" t="s">
        <v>2180</v>
      </c>
      <c r="C223" s="138" t="s">
        <v>2181</v>
      </c>
      <c r="D223" s="148">
        <v>45111</v>
      </c>
    </row>
    <row r="224" spans="2:4" ht="20.25" customHeight="1">
      <c r="B224" s="108" t="s">
        <v>2182</v>
      </c>
      <c r="C224" s="138" t="s">
        <v>2183</v>
      </c>
      <c r="D224" s="139">
        <v>44961</v>
      </c>
    </row>
    <row r="225" spans="2:4" ht="20.25" customHeight="1">
      <c r="B225" s="108" t="s">
        <v>2184</v>
      </c>
      <c r="C225" s="146" t="s">
        <v>2185</v>
      </c>
      <c r="D225" s="139">
        <v>45097</v>
      </c>
    </row>
    <row r="226" spans="2:4" ht="20.25" customHeight="1">
      <c r="B226" s="108" t="s">
        <v>2186</v>
      </c>
      <c r="C226" s="138" t="s">
        <v>2187</v>
      </c>
      <c r="D226" s="144">
        <v>45148</v>
      </c>
    </row>
    <row r="227" spans="2:4" ht="20.25" customHeight="1">
      <c r="B227" s="108" t="s">
        <v>2188</v>
      </c>
      <c r="C227" s="138" t="s">
        <v>2189</v>
      </c>
      <c r="D227" s="148">
        <v>45111</v>
      </c>
    </row>
    <row r="228" spans="2:4" ht="20.25" customHeight="1">
      <c r="B228" s="108" t="s">
        <v>2190</v>
      </c>
      <c r="C228" s="146" t="s">
        <v>2191</v>
      </c>
      <c r="D228" s="149"/>
    </row>
    <row r="229" spans="2:4" ht="20.25" customHeight="1">
      <c r="B229" s="108" t="s">
        <v>2192</v>
      </c>
      <c r="C229" s="138" t="s">
        <v>2193</v>
      </c>
      <c r="D229" s="149"/>
    </row>
    <row r="230" spans="2:4" ht="20.25" customHeight="1">
      <c r="B230" s="108" t="s">
        <v>2194</v>
      </c>
      <c r="C230" s="146" t="s">
        <v>2195</v>
      </c>
      <c r="D230" s="149"/>
    </row>
    <row r="231" spans="2:4" ht="20.25" customHeight="1">
      <c r="B231" s="108" t="s">
        <v>2196</v>
      </c>
      <c r="C231" s="138" t="s">
        <v>2197</v>
      </c>
      <c r="D231" s="139">
        <v>45097</v>
      </c>
    </row>
    <row r="232" spans="2:4" ht="20.25" customHeight="1">
      <c r="B232" s="108" t="s">
        <v>2198</v>
      </c>
      <c r="C232" s="138" t="s">
        <v>2199</v>
      </c>
      <c r="D232" s="144">
        <v>45148</v>
      </c>
    </row>
    <row r="233" spans="2:4" ht="20.25" customHeight="1">
      <c r="B233" s="108" t="s">
        <v>2200</v>
      </c>
      <c r="C233" s="138" t="s">
        <v>2201</v>
      </c>
      <c r="D233" s="148">
        <v>45111</v>
      </c>
    </row>
    <row r="234" spans="2:4" ht="20.25" customHeight="1">
      <c r="B234" s="108" t="s">
        <v>2202</v>
      </c>
      <c r="C234" s="138" t="s">
        <v>2203</v>
      </c>
      <c r="D234" s="144">
        <v>45148</v>
      </c>
    </row>
    <row r="235" spans="2:4" ht="20.25" customHeight="1">
      <c r="B235" s="108" t="s">
        <v>2204</v>
      </c>
      <c r="C235" s="138" t="s">
        <v>2205</v>
      </c>
      <c r="D235" s="144">
        <v>45148</v>
      </c>
    </row>
    <row r="236" spans="2:4" ht="20.25" customHeight="1">
      <c r="B236" s="108" t="s">
        <v>2206</v>
      </c>
      <c r="C236" s="146" t="s">
        <v>2207</v>
      </c>
      <c r="D236" s="139">
        <v>45097</v>
      </c>
    </row>
    <row r="237" spans="2:4" ht="20.25" customHeight="1">
      <c r="B237" s="108" t="s">
        <v>2208</v>
      </c>
      <c r="C237" s="146" t="s">
        <v>2209</v>
      </c>
      <c r="D237" s="149"/>
    </row>
    <row r="238" spans="2:4" ht="20.25" customHeight="1">
      <c r="B238" s="108" t="s">
        <v>2210</v>
      </c>
      <c r="C238" s="138" t="s">
        <v>2211</v>
      </c>
      <c r="D238" s="148">
        <v>45111</v>
      </c>
    </row>
    <row r="239" spans="2:4" ht="20.25" customHeight="1">
      <c r="B239" s="108" t="s">
        <v>2212</v>
      </c>
      <c r="C239" s="138" t="s">
        <v>2213</v>
      </c>
      <c r="D239" s="148">
        <v>45111</v>
      </c>
    </row>
    <row r="240" spans="2:4" ht="20.25" customHeight="1">
      <c r="B240" s="108" t="s">
        <v>2214</v>
      </c>
      <c r="C240" s="146" t="s">
        <v>2215</v>
      </c>
      <c r="D240" s="139">
        <v>45097</v>
      </c>
    </row>
    <row r="241" spans="2:4" ht="20.25" customHeight="1">
      <c r="B241" s="108" t="s">
        <v>2216</v>
      </c>
      <c r="C241" s="138" t="s">
        <v>2217</v>
      </c>
      <c r="D241" s="148">
        <v>45111</v>
      </c>
    </row>
    <row r="242" spans="2:4" ht="20.25" customHeight="1">
      <c r="B242" s="108" t="s">
        <v>2218</v>
      </c>
      <c r="C242" s="138" t="s">
        <v>2219</v>
      </c>
      <c r="D242" s="148">
        <v>45111</v>
      </c>
    </row>
    <row r="243" spans="2:4" ht="20.25" customHeight="1">
      <c r="B243" s="108" t="s">
        <v>2220</v>
      </c>
      <c r="C243" s="138" t="s">
        <v>2221</v>
      </c>
      <c r="D243" s="139">
        <v>45097</v>
      </c>
    </row>
    <row r="244" spans="2:4" ht="20.25" customHeight="1">
      <c r="B244" s="108" t="s">
        <v>2222</v>
      </c>
      <c r="C244" s="138" t="s">
        <v>2223</v>
      </c>
      <c r="D244" s="139">
        <v>44992</v>
      </c>
    </row>
    <row r="245" spans="2:4" ht="20.25" customHeight="1">
      <c r="B245" s="108" t="s">
        <v>2224</v>
      </c>
      <c r="C245" s="146" t="s">
        <v>2225</v>
      </c>
      <c r="D245" s="169"/>
    </row>
    <row r="246" spans="2:4" ht="20.25" customHeight="1">
      <c r="B246" s="108" t="s">
        <v>2226</v>
      </c>
      <c r="C246" s="138" t="s">
        <v>2227</v>
      </c>
      <c r="D246" s="149"/>
    </row>
    <row r="247" spans="2:4" ht="20.25" customHeight="1">
      <c r="B247" s="108" t="s">
        <v>2228</v>
      </c>
      <c r="C247" s="138" t="s">
        <v>2229</v>
      </c>
      <c r="D247" s="148">
        <v>45111</v>
      </c>
    </row>
    <row r="248" spans="2:4" ht="20.25" customHeight="1">
      <c r="B248" s="108" t="s">
        <v>2230</v>
      </c>
      <c r="C248" s="146" t="s">
        <v>2231</v>
      </c>
      <c r="D248" s="149"/>
    </row>
    <row r="249" spans="2:4" ht="20.25" customHeight="1">
      <c r="B249" s="108" t="s">
        <v>2232</v>
      </c>
      <c r="C249" s="138" t="s">
        <v>2233</v>
      </c>
      <c r="D249" s="145"/>
    </row>
    <row r="250" spans="2:4" ht="20.25" customHeight="1">
      <c r="B250" s="108" t="s">
        <v>2234</v>
      </c>
      <c r="C250" s="138" t="s">
        <v>2235</v>
      </c>
      <c r="D250" s="149"/>
    </row>
    <row r="251" spans="2:4" ht="20.25" customHeight="1">
      <c r="B251" s="108" t="s">
        <v>2236</v>
      </c>
      <c r="C251" s="138" t="s">
        <v>371</v>
      </c>
      <c r="D251" s="149"/>
    </row>
    <row r="252" spans="2:4" ht="20.25" customHeight="1">
      <c r="B252" s="108" t="s">
        <v>2237</v>
      </c>
      <c r="C252" s="138" t="s">
        <v>2238</v>
      </c>
      <c r="D252" s="144">
        <v>45105</v>
      </c>
    </row>
    <row r="253" spans="2:4" ht="20.25" customHeight="1">
      <c r="B253" s="108" t="s">
        <v>2239</v>
      </c>
      <c r="C253" s="138" t="s">
        <v>371</v>
      </c>
      <c r="D253" s="139">
        <v>44992</v>
      </c>
    </row>
    <row r="254" spans="2:4" ht="20.25" customHeight="1">
      <c r="B254" s="108" t="s">
        <v>2240</v>
      </c>
      <c r="C254" s="138" t="s">
        <v>2241</v>
      </c>
      <c r="D254" s="144">
        <v>45148</v>
      </c>
    </row>
    <row r="255" spans="2:4" ht="20.25" customHeight="1">
      <c r="B255" s="108" t="s">
        <v>2242</v>
      </c>
      <c r="C255" s="138" t="s">
        <v>371</v>
      </c>
      <c r="D255" s="134"/>
    </row>
    <row r="256" spans="2:4" ht="20.25" customHeight="1">
      <c r="B256" s="108" t="s">
        <v>2243</v>
      </c>
      <c r="C256" s="138" t="s">
        <v>371</v>
      </c>
      <c r="D256" s="169"/>
    </row>
    <row r="257" spans="2:4" ht="20.25" customHeight="1">
      <c r="B257" s="108" t="s">
        <v>2244</v>
      </c>
      <c r="C257" s="146" t="s">
        <v>2245</v>
      </c>
      <c r="D257" s="169"/>
    </row>
    <row r="258" spans="2:4" ht="20.25" customHeight="1">
      <c r="B258" s="108" t="s">
        <v>2246</v>
      </c>
      <c r="C258" s="138" t="s">
        <v>2247</v>
      </c>
      <c r="D258" s="139">
        <v>45097</v>
      </c>
    </row>
    <row r="259" spans="2:4" ht="20.25" customHeight="1">
      <c r="B259" s="108" t="s">
        <v>2248</v>
      </c>
      <c r="C259" s="138" t="s">
        <v>2249</v>
      </c>
      <c r="D259" s="144">
        <v>45105</v>
      </c>
    </row>
    <row r="260" spans="2:4" ht="20.25" customHeight="1">
      <c r="B260" s="108" t="s">
        <v>2250</v>
      </c>
      <c r="C260" s="138" t="s">
        <v>2251</v>
      </c>
      <c r="D260" s="139">
        <v>45097</v>
      </c>
    </row>
    <row r="261" spans="2:4" ht="20.25" customHeight="1">
      <c r="B261" s="108" t="s">
        <v>2252</v>
      </c>
      <c r="C261" s="138" t="s">
        <v>2253</v>
      </c>
      <c r="D261" s="139">
        <v>44992</v>
      </c>
    </row>
    <row r="262" spans="2:4" ht="20.25" customHeight="1">
      <c r="B262" s="108" t="s">
        <v>2254</v>
      </c>
      <c r="C262" s="138" t="s">
        <v>2255</v>
      </c>
      <c r="D262" s="149"/>
    </row>
    <row r="263" spans="2:4" ht="20.25" customHeight="1">
      <c r="B263" s="108" t="s">
        <v>2256</v>
      </c>
      <c r="C263" s="146" t="s">
        <v>2257</v>
      </c>
      <c r="D263" s="149"/>
    </row>
    <row r="264" spans="2:4" ht="20.25" customHeight="1">
      <c r="B264" s="108" t="s">
        <v>2258</v>
      </c>
      <c r="C264" s="138" t="s">
        <v>2259</v>
      </c>
      <c r="D264" s="149"/>
    </row>
    <row r="265" spans="2:4" ht="20.25" customHeight="1">
      <c r="B265" s="108" t="s">
        <v>2260</v>
      </c>
      <c r="C265" s="138" t="s">
        <v>2261</v>
      </c>
      <c r="D265" s="144">
        <v>45105</v>
      </c>
    </row>
    <row r="266" spans="2:4" ht="20.25" customHeight="1">
      <c r="B266" s="108" t="s">
        <v>2262</v>
      </c>
      <c r="C266" s="138" t="s">
        <v>2263</v>
      </c>
      <c r="D266" s="144">
        <v>45105</v>
      </c>
    </row>
    <row r="267" spans="2:4" ht="20.25" customHeight="1">
      <c r="B267" s="108" t="s">
        <v>2264</v>
      </c>
      <c r="C267" s="138" t="s">
        <v>2265</v>
      </c>
      <c r="D267" s="144">
        <v>45148</v>
      </c>
    </row>
    <row r="268" spans="2:4" ht="20.25" customHeight="1">
      <c r="B268" s="108" t="s">
        <v>2266</v>
      </c>
      <c r="C268" s="138" t="s">
        <v>371</v>
      </c>
      <c r="D268" s="144">
        <v>45148</v>
      </c>
    </row>
    <row r="269" spans="2:4" ht="20.25" customHeight="1">
      <c r="B269" s="108" t="s">
        <v>2267</v>
      </c>
      <c r="C269" s="138" t="s">
        <v>2268</v>
      </c>
      <c r="D269" s="144">
        <v>45148</v>
      </c>
    </row>
    <row r="270" spans="2:4" ht="20.25" customHeight="1">
      <c r="B270" s="108" t="s">
        <v>2269</v>
      </c>
      <c r="C270" s="138" t="s">
        <v>2270</v>
      </c>
      <c r="D270" s="169"/>
    </row>
    <row r="271" spans="2:4" ht="20.25" customHeight="1">
      <c r="B271" s="108" t="s">
        <v>2271</v>
      </c>
      <c r="C271" s="138" t="s">
        <v>2272</v>
      </c>
      <c r="D271" s="149"/>
    </row>
    <row r="272" spans="2:4" ht="20.25" customHeight="1">
      <c r="B272" s="108" t="s">
        <v>1860</v>
      </c>
      <c r="C272" s="138" t="s">
        <v>2273</v>
      </c>
      <c r="D272" s="149"/>
    </row>
    <row r="273" spans="2:4" ht="20.25" customHeight="1">
      <c r="B273" s="108" t="s">
        <v>2274</v>
      </c>
      <c r="C273" s="138" t="s">
        <v>2275</v>
      </c>
      <c r="D273" s="149"/>
    </row>
    <row r="274" spans="2:4" ht="20.25" customHeight="1">
      <c r="B274" s="108" t="s">
        <v>2276</v>
      </c>
      <c r="C274" s="138" t="s">
        <v>2277</v>
      </c>
      <c r="D274" s="149"/>
    </row>
    <row r="275" spans="2:4" ht="20.25" customHeight="1">
      <c r="B275" s="108" t="s">
        <v>1862</v>
      </c>
      <c r="C275" s="138" t="s">
        <v>2278</v>
      </c>
      <c r="D275" s="149"/>
    </row>
    <row r="276" spans="2:4" ht="20.25" customHeight="1">
      <c r="B276" s="108" t="s">
        <v>1864</v>
      </c>
      <c r="C276" s="146" t="s">
        <v>2279</v>
      </c>
      <c r="D276" s="149"/>
    </row>
    <row r="277" spans="2:4" ht="20.25" customHeight="1">
      <c r="B277" s="108" t="s">
        <v>2280</v>
      </c>
      <c r="C277" s="138" t="s">
        <v>2281</v>
      </c>
      <c r="D277" s="149"/>
    </row>
    <row r="278" spans="2:4" ht="20.25" customHeight="1">
      <c r="B278" s="108" t="s">
        <v>2282</v>
      </c>
      <c r="C278" s="138" t="s">
        <v>2283</v>
      </c>
      <c r="D278" s="134" t="s">
        <v>24</v>
      </c>
    </row>
    <row r="279" spans="2:4" ht="20.25" customHeight="1">
      <c r="B279" s="108" t="s">
        <v>2284</v>
      </c>
      <c r="C279" s="138" t="s">
        <v>2285</v>
      </c>
      <c r="D279" s="149"/>
    </row>
    <row r="280" spans="2:4" ht="20.25" customHeight="1">
      <c r="B280" s="107" t="s">
        <v>2286</v>
      </c>
      <c r="C280" s="180" t="s">
        <v>2287</v>
      </c>
      <c r="D280" s="148">
        <v>45111</v>
      </c>
    </row>
    <row r="281" spans="2:4" ht="20.25" customHeight="1">
      <c r="B281" s="108" t="s">
        <v>2288</v>
      </c>
      <c r="C281" s="138" t="s">
        <v>371</v>
      </c>
      <c r="D281" s="148">
        <v>45111</v>
      </c>
    </row>
    <row r="282" spans="2:4" ht="20.25" customHeight="1">
      <c r="B282" s="108" t="s">
        <v>2289</v>
      </c>
      <c r="C282" s="138" t="s">
        <v>2290</v>
      </c>
      <c r="D282" s="148">
        <v>45111</v>
      </c>
    </row>
    <row r="283" spans="2:4" ht="20.25" customHeight="1">
      <c r="B283" s="108" t="s">
        <v>2291</v>
      </c>
      <c r="C283" s="138" t="s">
        <v>2292</v>
      </c>
      <c r="D283" s="149"/>
    </row>
    <row r="284" spans="2:4" ht="20.25" customHeight="1">
      <c r="B284" s="108" t="s">
        <v>2293</v>
      </c>
      <c r="C284" s="138" t="s">
        <v>2294</v>
      </c>
      <c r="D284" s="139">
        <v>45097</v>
      </c>
    </row>
    <row r="285" spans="2:4" ht="20.25" customHeight="1">
      <c r="B285" s="108" t="s">
        <v>2295</v>
      </c>
      <c r="C285" s="138" t="s">
        <v>2296</v>
      </c>
      <c r="D285" s="149"/>
    </row>
    <row r="286" spans="2:4" ht="20.25" customHeight="1">
      <c r="B286" s="108" t="s">
        <v>2297</v>
      </c>
      <c r="C286" s="138" t="s">
        <v>2298</v>
      </c>
      <c r="D286" s="149"/>
    </row>
    <row r="287" spans="2:4" ht="20.25" customHeight="1">
      <c r="B287" s="108" t="s">
        <v>2299</v>
      </c>
      <c r="C287" s="146" t="s">
        <v>2300</v>
      </c>
      <c r="D287" s="149"/>
    </row>
    <row r="288" spans="2:4" ht="20.25" customHeight="1">
      <c r="B288" s="108" t="s">
        <v>2301</v>
      </c>
      <c r="C288" s="138" t="s">
        <v>371</v>
      </c>
      <c r="D288" s="148">
        <v>45111</v>
      </c>
    </row>
    <row r="289" spans="2:4" ht="20.25" customHeight="1">
      <c r="B289" s="108" t="s">
        <v>2302</v>
      </c>
      <c r="C289" s="138" t="s">
        <v>2303</v>
      </c>
      <c r="D289" s="148">
        <v>45111</v>
      </c>
    </row>
    <row r="290" spans="2:4" ht="20.25" customHeight="1">
      <c r="B290" s="108" t="s">
        <v>2304</v>
      </c>
      <c r="C290" s="138" t="s">
        <v>2305</v>
      </c>
      <c r="D290" s="145"/>
    </row>
    <row r="291" spans="2:4" ht="20.25" customHeight="1">
      <c r="B291" s="108" t="s">
        <v>2306</v>
      </c>
      <c r="C291" s="138" t="s">
        <v>2307</v>
      </c>
      <c r="D291" s="144" t="s">
        <v>24</v>
      </c>
    </row>
    <row r="292" spans="2:4" ht="20.25" customHeight="1">
      <c r="B292" s="108" t="s">
        <v>2308</v>
      </c>
      <c r="C292" s="138" t="s">
        <v>2309</v>
      </c>
      <c r="D292" s="149"/>
    </row>
    <row r="293" spans="2:4" ht="20.25" customHeight="1">
      <c r="B293" s="108" t="s">
        <v>2310</v>
      </c>
      <c r="C293" s="138" t="s">
        <v>2311</v>
      </c>
      <c r="D293" s="148">
        <v>45111</v>
      </c>
    </row>
    <row r="294" spans="2:4" ht="20.25" customHeight="1">
      <c r="B294" s="108" t="s">
        <v>2312</v>
      </c>
      <c r="C294" s="138" t="s">
        <v>2313</v>
      </c>
      <c r="D294" s="149"/>
    </row>
    <row r="295" spans="2:4" ht="20.25" customHeight="1">
      <c r="B295" s="108" t="s">
        <v>2314</v>
      </c>
      <c r="C295" s="138" t="s">
        <v>2315</v>
      </c>
      <c r="D295" s="148">
        <v>45111</v>
      </c>
    </row>
    <row r="296" spans="2:4" ht="20.25" customHeight="1">
      <c r="B296" s="108" t="s">
        <v>2316</v>
      </c>
      <c r="C296" s="138" t="s">
        <v>2317</v>
      </c>
      <c r="D296" s="149"/>
    </row>
    <row r="297" spans="2:4" ht="20.25" customHeight="1">
      <c r="B297" s="108" t="s">
        <v>2318</v>
      </c>
      <c r="C297" s="138" t="s">
        <v>371</v>
      </c>
      <c r="D297" s="149"/>
    </row>
    <row r="298" spans="2:4" ht="20.25" customHeight="1">
      <c r="B298" s="108" t="s">
        <v>2319</v>
      </c>
      <c r="C298" s="138" t="s">
        <v>2320</v>
      </c>
      <c r="D298" s="144" t="s">
        <v>24</v>
      </c>
    </row>
    <row r="299" spans="2:4" ht="20.25" customHeight="1">
      <c r="B299" s="108" t="s">
        <v>2321</v>
      </c>
      <c r="C299" s="180" t="s">
        <v>2322</v>
      </c>
      <c r="D299" s="144" t="s">
        <v>24</v>
      </c>
    </row>
    <row r="300" spans="2:4" ht="20.25" customHeight="1">
      <c r="B300" s="108" t="s">
        <v>2323</v>
      </c>
      <c r="C300" s="138" t="s">
        <v>2324</v>
      </c>
      <c r="D300" s="144">
        <v>45105</v>
      </c>
    </row>
    <row r="301" spans="2:4" ht="20.25" customHeight="1">
      <c r="B301" s="108" t="s">
        <v>2325</v>
      </c>
      <c r="C301" s="138" t="s">
        <v>371</v>
      </c>
      <c r="D301" s="149"/>
    </row>
    <row r="302" spans="2:4" ht="20.25" customHeight="1">
      <c r="B302" s="108" t="s">
        <v>2326</v>
      </c>
      <c r="C302" s="138" t="s">
        <v>2327</v>
      </c>
      <c r="D302" s="149"/>
    </row>
    <row r="303" spans="2:4" ht="20.25" customHeight="1">
      <c r="B303" s="108" t="s">
        <v>2328</v>
      </c>
      <c r="C303" s="138" t="s">
        <v>2329</v>
      </c>
      <c r="D303" s="145"/>
    </row>
    <row r="304" spans="2:4" ht="20.25" customHeight="1">
      <c r="B304" s="108" t="s">
        <v>2330</v>
      </c>
      <c r="C304" s="138" t="s">
        <v>2331</v>
      </c>
      <c r="D304" s="149"/>
    </row>
    <row r="305" spans="2:4" ht="20.25" customHeight="1">
      <c r="B305" s="108" t="s">
        <v>2332</v>
      </c>
      <c r="C305" s="138" t="s">
        <v>2333</v>
      </c>
      <c r="D305" s="139">
        <v>44961</v>
      </c>
    </row>
    <row r="306" spans="2:4" ht="20.25" customHeight="1">
      <c r="B306" s="108" t="s">
        <v>2334</v>
      </c>
      <c r="C306" s="138" t="s">
        <v>2335</v>
      </c>
      <c r="D306" s="149"/>
    </row>
    <row r="307" spans="2:4" ht="20.25" customHeight="1">
      <c r="B307" s="108" t="s">
        <v>2336</v>
      </c>
      <c r="C307" s="138" t="s">
        <v>2337</v>
      </c>
      <c r="D307" s="149"/>
    </row>
    <row r="308" spans="2:4" ht="20.25" customHeight="1">
      <c r="B308" s="108" t="s">
        <v>2338</v>
      </c>
      <c r="C308" s="146" t="s">
        <v>2339</v>
      </c>
      <c r="D308" s="149"/>
    </row>
    <row r="309" spans="2:4" ht="20.25" customHeight="1">
      <c r="B309" s="108" t="s">
        <v>2340</v>
      </c>
      <c r="C309" s="138" t="s">
        <v>371</v>
      </c>
      <c r="D309" s="144">
        <v>45148</v>
      </c>
    </row>
    <row r="310" spans="2:4" ht="20.25" customHeight="1">
      <c r="B310" s="119" t="s">
        <v>2341</v>
      </c>
      <c r="C310" s="138" t="s">
        <v>2342</v>
      </c>
      <c r="D310" s="149"/>
    </row>
    <row r="311" spans="2:4" ht="20.25" customHeight="1">
      <c r="B311" s="119" t="s">
        <v>1866</v>
      </c>
      <c r="C311" s="138" t="s">
        <v>2343</v>
      </c>
      <c r="D311" s="139">
        <v>45097</v>
      </c>
    </row>
    <row r="312" spans="2:4" ht="20.25" customHeight="1">
      <c r="B312" s="108" t="s">
        <v>2344</v>
      </c>
      <c r="C312" s="146" t="s">
        <v>2345</v>
      </c>
      <c r="D312" s="144">
        <v>45105</v>
      </c>
    </row>
    <row r="313" spans="2:4" ht="20.25" customHeight="1">
      <c r="B313" s="108" t="s">
        <v>2346</v>
      </c>
      <c r="C313" s="138" t="s">
        <v>371</v>
      </c>
      <c r="D313" s="149"/>
    </row>
    <row r="314" spans="2:4" ht="20.25" customHeight="1">
      <c r="B314" s="108" t="s">
        <v>2347</v>
      </c>
      <c r="C314" s="180" t="s">
        <v>2348</v>
      </c>
      <c r="D314" s="149"/>
    </row>
    <row r="315" spans="2:4" ht="20.25" customHeight="1">
      <c r="B315" s="108" t="s">
        <v>2349</v>
      </c>
      <c r="C315" s="146" t="s">
        <v>2350</v>
      </c>
      <c r="D315" s="149"/>
    </row>
    <row r="316" spans="2:4" ht="20.25" customHeight="1">
      <c r="B316" s="108" t="s">
        <v>2351</v>
      </c>
      <c r="C316" s="138" t="s">
        <v>2352</v>
      </c>
      <c r="D316" s="139">
        <v>45097</v>
      </c>
    </row>
    <row r="317" spans="2:4" ht="20.25" customHeight="1">
      <c r="B317" s="108" t="s">
        <v>2353</v>
      </c>
      <c r="C317" s="138" t="s">
        <v>2354</v>
      </c>
      <c r="D317" s="149"/>
    </row>
    <row r="318" spans="2:4" ht="20.25" customHeight="1">
      <c r="B318" s="108" t="s">
        <v>2355</v>
      </c>
      <c r="C318" s="181" t="s">
        <v>2356</v>
      </c>
      <c r="D318" s="149"/>
    </row>
    <row r="319" spans="2:4" ht="20.25" customHeight="1">
      <c r="B319" s="108" t="s">
        <v>2357</v>
      </c>
      <c r="C319" s="138" t="s">
        <v>2358</v>
      </c>
      <c r="D319" s="149"/>
    </row>
    <row r="320" spans="2:4" ht="20.25" customHeight="1">
      <c r="B320" s="108" t="s">
        <v>2359</v>
      </c>
      <c r="C320" s="138" t="s">
        <v>2360</v>
      </c>
      <c r="D320" s="149"/>
    </row>
    <row r="321" spans="2:4" ht="20.25" customHeight="1">
      <c r="B321" s="119" t="s">
        <v>2361</v>
      </c>
      <c r="C321" s="138" t="s">
        <v>2362</v>
      </c>
      <c r="D321" s="149"/>
    </row>
    <row r="322" spans="2:4" ht="20.25" customHeight="1">
      <c r="B322" s="108" t="s">
        <v>2363</v>
      </c>
      <c r="C322" s="138" t="s">
        <v>2364</v>
      </c>
      <c r="D322" s="149"/>
    </row>
    <row r="323" spans="2:4" ht="20.25" customHeight="1">
      <c r="B323" s="108" t="s">
        <v>2365</v>
      </c>
      <c r="C323" s="138" t="s">
        <v>2366</v>
      </c>
      <c r="D323" s="149"/>
    </row>
    <row r="324" spans="2:4" ht="20.25" customHeight="1">
      <c r="B324" s="119" t="s">
        <v>2367</v>
      </c>
      <c r="C324" s="138" t="s">
        <v>371</v>
      </c>
      <c r="D324" s="149"/>
    </row>
    <row r="325" spans="2:4" ht="20.25" customHeight="1">
      <c r="B325" s="108" t="s">
        <v>2368</v>
      </c>
      <c r="C325" s="138" t="s">
        <v>371</v>
      </c>
      <c r="D325" s="149"/>
    </row>
    <row r="326" spans="2:4" ht="20.25" customHeight="1">
      <c r="B326" s="108" t="s">
        <v>2369</v>
      </c>
      <c r="C326" s="138" t="s">
        <v>371</v>
      </c>
      <c r="D326" s="149"/>
    </row>
    <row r="327" spans="2:4" ht="20.25" customHeight="1">
      <c r="B327" s="108" t="s">
        <v>2370</v>
      </c>
      <c r="C327" s="138" t="s">
        <v>2371</v>
      </c>
      <c r="D327" s="148">
        <v>45111</v>
      </c>
    </row>
    <row r="328" spans="2:4" ht="20.25" customHeight="1">
      <c r="B328" s="108" t="s">
        <v>2372</v>
      </c>
      <c r="C328" s="138" t="s">
        <v>2373</v>
      </c>
      <c r="D328" s="149"/>
    </row>
    <row r="329" spans="2:4" ht="20.25" customHeight="1">
      <c r="B329" s="108" t="s">
        <v>2374</v>
      </c>
      <c r="C329" s="138" t="s">
        <v>371</v>
      </c>
      <c r="D329" s="134" t="s">
        <v>24</v>
      </c>
    </row>
    <row r="330" spans="2:4" ht="20.25" customHeight="1">
      <c r="B330" s="108" t="s">
        <v>2375</v>
      </c>
      <c r="C330" s="138" t="s">
        <v>2376</v>
      </c>
      <c r="D330" s="149"/>
    </row>
    <row r="331" spans="2:4" ht="20.25" customHeight="1">
      <c r="B331" s="108" t="s">
        <v>1796</v>
      </c>
      <c r="C331" s="138" t="s">
        <v>2377</v>
      </c>
      <c r="D331" s="149"/>
    </row>
    <row r="332" spans="2:4" ht="20.25" customHeight="1">
      <c r="B332" s="108" t="s">
        <v>2378</v>
      </c>
      <c r="C332" s="146" t="s">
        <v>2379</v>
      </c>
      <c r="D332" s="149"/>
    </row>
    <row r="333" spans="2:4" ht="20.25" customHeight="1">
      <c r="B333" s="108" t="s">
        <v>2380</v>
      </c>
      <c r="C333" s="138" t="s">
        <v>2381</v>
      </c>
      <c r="D333" s="149"/>
    </row>
    <row r="334" spans="2:4" ht="20.25" customHeight="1">
      <c r="B334" s="108" t="s">
        <v>2382</v>
      </c>
      <c r="C334" s="138" t="s">
        <v>2383</v>
      </c>
      <c r="D334" s="149"/>
    </row>
    <row r="335" spans="2:4" ht="20.25" customHeight="1">
      <c r="B335" s="108" t="s">
        <v>2384</v>
      </c>
      <c r="C335" s="138" t="s">
        <v>2385</v>
      </c>
      <c r="D335" s="149"/>
    </row>
    <row r="336" spans="2:4" ht="20.25" customHeight="1">
      <c r="B336" s="108" t="s">
        <v>1793</v>
      </c>
      <c r="C336" s="138" t="s">
        <v>2386</v>
      </c>
      <c r="D336" s="149"/>
    </row>
    <row r="337" spans="2:4" ht="20.25" customHeight="1">
      <c r="B337" s="119" t="s">
        <v>1868</v>
      </c>
      <c r="C337" s="138" t="s">
        <v>2387</v>
      </c>
      <c r="D337" s="149"/>
    </row>
    <row r="338" spans="2:4" ht="20.25" customHeight="1">
      <c r="B338" s="108" t="s">
        <v>2388</v>
      </c>
      <c r="C338" s="138" t="s">
        <v>2389</v>
      </c>
      <c r="D338" s="149"/>
    </row>
    <row r="339" spans="2:4" ht="20.25" customHeight="1">
      <c r="B339" s="108" t="s">
        <v>2390</v>
      </c>
      <c r="C339" s="138" t="s">
        <v>371</v>
      </c>
      <c r="D339" s="149"/>
    </row>
    <row r="340" spans="2:4" ht="20.25" customHeight="1">
      <c r="B340" s="108" t="s">
        <v>2391</v>
      </c>
      <c r="C340" s="138" t="s">
        <v>371</v>
      </c>
      <c r="D340" s="149"/>
    </row>
    <row r="341" spans="2:4" ht="20.25" customHeight="1">
      <c r="B341" s="108" t="s">
        <v>2392</v>
      </c>
      <c r="C341" s="138" t="s">
        <v>2393</v>
      </c>
      <c r="D341" s="149"/>
    </row>
    <row r="342" spans="2:4" ht="20.25" customHeight="1">
      <c r="B342" s="108" t="s">
        <v>2394</v>
      </c>
      <c r="C342" s="138" t="s">
        <v>371</v>
      </c>
      <c r="D342" s="149"/>
    </row>
    <row r="343" spans="2:4" ht="20.25" customHeight="1">
      <c r="B343" s="108" t="s">
        <v>2395</v>
      </c>
      <c r="C343" s="138" t="s">
        <v>2396</v>
      </c>
      <c r="D343" s="149"/>
    </row>
    <row r="344" spans="2:4" ht="20.25" customHeight="1">
      <c r="B344" s="119" t="s">
        <v>1870</v>
      </c>
      <c r="C344" s="138" t="s">
        <v>371</v>
      </c>
      <c r="D344" s="149"/>
    </row>
    <row r="345" spans="2:4" ht="20.25" customHeight="1">
      <c r="B345" s="119" t="s">
        <v>2397</v>
      </c>
      <c r="C345" s="138" t="s">
        <v>2398</v>
      </c>
      <c r="D345" s="149"/>
    </row>
    <row r="346" spans="2:4" ht="20.25" customHeight="1">
      <c r="B346" s="108" t="s">
        <v>2399</v>
      </c>
      <c r="C346" s="138" t="s">
        <v>371</v>
      </c>
      <c r="D346" s="149"/>
    </row>
    <row r="347" spans="2:4" ht="20.25" customHeight="1">
      <c r="B347" s="108" t="s">
        <v>2400</v>
      </c>
      <c r="C347" s="138" t="s">
        <v>371</v>
      </c>
      <c r="D347" s="149"/>
    </row>
    <row r="348" spans="2:4" ht="20.25" customHeight="1">
      <c r="B348" s="108" t="s">
        <v>2401</v>
      </c>
      <c r="C348" s="138" t="s">
        <v>371</v>
      </c>
      <c r="D348" s="149"/>
    </row>
    <row r="349" spans="2:4" ht="20.25" customHeight="1">
      <c r="B349" s="108" t="s">
        <v>2402</v>
      </c>
      <c r="C349" s="138" t="s">
        <v>2403</v>
      </c>
      <c r="D349" s="149"/>
    </row>
    <row r="350" spans="2:4" ht="20.25" customHeight="1">
      <c r="B350" s="108" t="s">
        <v>2404</v>
      </c>
      <c r="C350" s="146" t="s">
        <v>2405</v>
      </c>
      <c r="D350" s="149"/>
    </row>
    <row r="351" spans="2:4" ht="20.25" customHeight="1">
      <c r="B351" s="108" t="s">
        <v>2406</v>
      </c>
      <c r="C351" s="138" t="s">
        <v>2407</v>
      </c>
      <c r="D351" s="149"/>
    </row>
    <row r="352" spans="2:4" ht="20.25" customHeight="1">
      <c r="B352" s="108" t="s">
        <v>2408</v>
      </c>
      <c r="C352" s="138" t="s">
        <v>371</v>
      </c>
      <c r="D352" s="149"/>
    </row>
    <row r="353" spans="2:4" ht="20.25" customHeight="1">
      <c r="B353" s="108" t="s">
        <v>2409</v>
      </c>
      <c r="C353" s="182" t="s">
        <v>371</v>
      </c>
      <c r="D353" s="149"/>
    </row>
    <row r="354" spans="2:4" ht="20.25" customHeight="1">
      <c r="B354" s="119" t="s">
        <v>2410</v>
      </c>
      <c r="C354" s="146" t="s">
        <v>2411</v>
      </c>
      <c r="D354" s="149"/>
    </row>
    <row r="355" spans="2:4" ht="20.25" customHeight="1">
      <c r="B355" s="119" t="s">
        <v>2412</v>
      </c>
      <c r="C355" s="138" t="s">
        <v>2413</v>
      </c>
      <c r="D355" s="149"/>
    </row>
    <row r="356" spans="2:4" ht="20.25" customHeight="1">
      <c r="B356" s="108" t="s">
        <v>2414</v>
      </c>
      <c r="C356" s="138" t="s">
        <v>371</v>
      </c>
      <c r="D356" s="149"/>
    </row>
    <row r="357" spans="2:4" ht="20.25" customHeight="1">
      <c r="B357" s="108" t="s">
        <v>1797</v>
      </c>
      <c r="C357" s="138" t="s">
        <v>2415</v>
      </c>
      <c r="D357" s="144">
        <v>45148</v>
      </c>
    </row>
    <row r="358" spans="2:4" ht="20.25" customHeight="1">
      <c r="B358" s="119" t="s">
        <v>2416</v>
      </c>
      <c r="C358" s="138" t="s">
        <v>2417</v>
      </c>
      <c r="D358" s="150"/>
    </row>
    <row r="359" spans="2:4" ht="20.25" customHeight="1">
      <c r="B359" s="108" t="s">
        <v>2418</v>
      </c>
      <c r="C359" s="138" t="s">
        <v>2419</v>
      </c>
      <c r="D359" s="141"/>
    </row>
    <row r="360" spans="2:4" ht="20.25" customHeight="1">
      <c r="B360" s="108" t="s">
        <v>2420</v>
      </c>
      <c r="C360" s="138" t="s">
        <v>2419</v>
      </c>
      <c r="D360" s="169"/>
    </row>
    <row r="361" spans="2:4" ht="20.25" customHeight="1">
      <c r="B361" s="108" t="s">
        <v>2421</v>
      </c>
      <c r="C361" s="138" t="s">
        <v>2422</v>
      </c>
      <c r="D361" s="139">
        <v>44961</v>
      </c>
    </row>
    <row r="362" spans="2:4" ht="20.25" customHeight="1">
      <c r="B362" s="108" t="s">
        <v>2423</v>
      </c>
      <c r="C362" s="138" t="s">
        <v>2424</v>
      </c>
      <c r="D362" s="139">
        <v>44992</v>
      </c>
    </row>
    <row r="363" spans="2:4" ht="20.25" customHeight="1">
      <c r="B363" s="108" t="s">
        <v>2425</v>
      </c>
      <c r="C363" s="138" t="s">
        <v>2426</v>
      </c>
      <c r="D363" s="144">
        <v>45105</v>
      </c>
    </row>
    <row r="364" spans="2:4" ht="20.25" customHeight="1">
      <c r="B364" s="108" t="s">
        <v>1817</v>
      </c>
      <c r="C364" s="138" t="s">
        <v>2427</v>
      </c>
      <c r="D364" s="139">
        <v>44961</v>
      </c>
    </row>
    <row r="365" spans="2:4" ht="20.25" customHeight="1">
      <c r="B365" s="108" t="s">
        <v>2428</v>
      </c>
      <c r="C365" s="138" t="s">
        <v>2429</v>
      </c>
      <c r="D365" s="139">
        <v>44961</v>
      </c>
    </row>
    <row r="366" spans="2:4" ht="20.25" customHeight="1">
      <c r="B366" s="108" t="s">
        <v>2430</v>
      </c>
      <c r="C366" s="138" t="s">
        <v>2431</v>
      </c>
      <c r="D366" s="149"/>
    </row>
    <row r="367" spans="2:4" ht="20.25" customHeight="1">
      <c r="B367" s="108" t="s">
        <v>2432</v>
      </c>
      <c r="C367" s="146" t="s">
        <v>2433</v>
      </c>
      <c r="D367" s="139">
        <v>44992</v>
      </c>
    </row>
    <row r="368" spans="2:4" ht="20.25" customHeight="1">
      <c r="B368" s="108" t="s">
        <v>2434</v>
      </c>
      <c r="C368" s="138" t="s">
        <v>2435</v>
      </c>
      <c r="D368" s="139">
        <v>44961</v>
      </c>
    </row>
    <row r="369" spans="2:4" ht="20.25" customHeight="1">
      <c r="B369" s="108" t="s">
        <v>2436</v>
      </c>
      <c r="C369" s="138" t="s">
        <v>2437</v>
      </c>
      <c r="D369" s="139">
        <v>44961</v>
      </c>
    </row>
    <row r="370" spans="2:4" ht="20.25" customHeight="1">
      <c r="B370" s="108" t="s">
        <v>1872</v>
      </c>
      <c r="C370" s="138" t="s">
        <v>2438</v>
      </c>
      <c r="D370" s="139">
        <v>44961</v>
      </c>
    </row>
    <row r="371" spans="2:4" ht="20.25" customHeight="1">
      <c r="B371" s="108" t="s">
        <v>1874</v>
      </c>
      <c r="C371" s="138" t="s">
        <v>2439</v>
      </c>
      <c r="D371" s="139">
        <v>44961</v>
      </c>
    </row>
    <row r="372" spans="2:4" ht="20.25" customHeight="1">
      <c r="B372" s="108" t="s">
        <v>1876</v>
      </c>
      <c r="C372" s="138" t="s">
        <v>2440</v>
      </c>
      <c r="D372" s="149"/>
    </row>
    <row r="373" spans="2:4" ht="20.25" customHeight="1">
      <c r="B373" s="108" t="s">
        <v>1878</v>
      </c>
      <c r="C373" s="138" t="s">
        <v>2441</v>
      </c>
      <c r="D373" s="139">
        <v>44961</v>
      </c>
    </row>
    <row r="374" spans="2:4" ht="20.25" customHeight="1">
      <c r="B374" s="108" t="s">
        <v>2442</v>
      </c>
      <c r="C374" s="138" t="s">
        <v>2443</v>
      </c>
      <c r="D374" s="149"/>
    </row>
    <row r="375" spans="2:4" ht="20.25" customHeight="1">
      <c r="B375" s="108" t="s">
        <v>2444</v>
      </c>
      <c r="C375" s="138" t="s">
        <v>2445</v>
      </c>
      <c r="D375" s="149"/>
    </row>
    <row r="376" spans="2:4" ht="20.25" customHeight="1">
      <c r="B376" s="108" t="s">
        <v>2446</v>
      </c>
      <c r="C376" s="138" t="s">
        <v>2447</v>
      </c>
      <c r="D376" s="144">
        <v>45106</v>
      </c>
    </row>
    <row r="377" spans="2:4" ht="20.25" customHeight="1">
      <c r="B377" s="108" t="s">
        <v>2448</v>
      </c>
      <c r="C377" s="138" t="s">
        <v>2449</v>
      </c>
      <c r="D377" s="149"/>
    </row>
    <row r="378" spans="2:4" ht="20.25" customHeight="1">
      <c r="B378" s="108" t="s">
        <v>2450</v>
      </c>
      <c r="C378" s="138" t="s">
        <v>371</v>
      </c>
      <c r="D378" s="144">
        <v>45105</v>
      </c>
    </row>
    <row r="379" spans="2:4" ht="20.25" customHeight="1">
      <c r="B379" s="108" t="s">
        <v>2451</v>
      </c>
      <c r="C379" s="138" t="s">
        <v>371</v>
      </c>
      <c r="D379" s="144">
        <v>45148</v>
      </c>
    </row>
    <row r="380" spans="2:4" ht="20.25" customHeight="1">
      <c r="B380" s="108" t="s">
        <v>1799</v>
      </c>
      <c r="C380" s="138" t="s">
        <v>2452</v>
      </c>
      <c r="D380" s="149"/>
    </row>
    <row r="381" spans="2:4" ht="20.25" customHeight="1">
      <c r="B381" s="108" t="s">
        <v>2453</v>
      </c>
      <c r="C381" s="138" t="s">
        <v>2454</v>
      </c>
      <c r="D381" s="149"/>
    </row>
    <row r="382" spans="2:4" ht="20.25" customHeight="1">
      <c r="B382" s="108" t="s">
        <v>2455</v>
      </c>
      <c r="C382" s="138" t="s">
        <v>2456</v>
      </c>
      <c r="D382" s="144">
        <v>45105</v>
      </c>
    </row>
    <row r="383" spans="2:4" ht="20.25" customHeight="1">
      <c r="B383" s="108" t="s">
        <v>2457</v>
      </c>
      <c r="C383" s="138" t="s">
        <v>2458</v>
      </c>
      <c r="D383" s="134" t="s">
        <v>24</v>
      </c>
    </row>
    <row r="384" spans="2:4" ht="20.25" customHeight="1">
      <c r="B384" s="108" t="s">
        <v>2459</v>
      </c>
      <c r="C384" s="138" t="s">
        <v>371</v>
      </c>
      <c r="D384" s="144">
        <v>45148</v>
      </c>
    </row>
    <row r="385" spans="2:4" ht="20.25" customHeight="1">
      <c r="B385" s="108" t="s">
        <v>2460</v>
      </c>
      <c r="C385" s="138" t="s">
        <v>371</v>
      </c>
      <c r="D385" s="149"/>
    </row>
    <row r="386" spans="2:4" ht="20.25" customHeight="1">
      <c r="B386" s="119" t="s">
        <v>1880</v>
      </c>
      <c r="C386" s="138" t="s">
        <v>2461</v>
      </c>
      <c r="D386" s="169"/>
    </row>
    <row r="387" spans="2:4" ht="20.25" customHeight="1">
      <c r="B387" s="108" t="s">
        <v>1882</v>
      </c>
      <c r="C387" s="138" t="s">
        <v>2462</v>
      </c>
      <c r="D387" s="144">
        <v>45148</v>
      </c>
    </row>
    <row r="388" spans="2:4" ht="20.25" customHeight="1">
      <c r="B388" s="108" t="s">
        <v>2463</v>
      </c>
      <c r="C388" s="138" t="s">
        <v>2464</v>
      </c>
      <c r="D388" s="144">
        <v>45148</v>
      </c>
    </row>
    <row r="389" spans="2:4" ht="20.25" customHeight="1">
      <c r="B389" s="108" t="s">
        <v>2465</v>
      </c>
      <c r="C389" s="138" t="s">
        <v>371</v>
      </c>
      <c r="D389" s="144">
        <v>45148</v>
      </c>
    </row>
    <row r="390" spans="2:4" ht="20.25" customHeight="1">
      <c r="B390" s="108" t="s">
        <v>2466</v>
      </c>
      <c r="C390" s="146" t="s">
        <v>2467</v>
      </c>
      <c r="D390" s="145"/>
    </row>
    <row r="391" spans="2:4" ht="20.25" customHeight="1">
      <c r="B391" s="108" t="s">
        <v>2468</v>
      </c>
      <c r="C391" s="138" t="s">
        <v>2469</v>
      </c>
      <c r="D391" s="144">
        <v>45148</v>
      </c>
    </row>
    <row r="392" spans="2:4" ht="20.25" customHeight="1">
      <c r="B392" s="108" t="s">
        <v>2470</v>
      </c>
      <c r="C392" s="138" t="s">
        <v>2471</v>
      </c>
      <c r="D392" s="144">
        <v>45148</v>
      </c>
    </row>
    <row r="393" spans="2:4" ht="20.25" customHeight="1">
      <c r="B393" s="108" t="s">
        <v>2472</v>
      </c>
      <c r="C393" s="138" t="s">
        <v>2473</v>
      </c>
      <c r="D393" s="144">
        <v>45148</v>
      </c>
    </row>
    <row r="394" spans="2:4" ht="20.25" customHeight="1">
      <c r="B394" s="108" t="s">
        <v>2474</v>
      </c>
      <c r="C394" s="138" t="s">
        <v>2475</v>
      </c>
      <c r="D394" s="144">
        <v>45105</v>
      </c>
    </row>
    <row r="395" spans="2:4" ht="20.25" customHeight="1">
      <c r="B395" s="108" t="s">
        <v>2476</v>
      </c>
      <c r="C395" s="138" t="s">
        <v>2477</v>
      </c>
      <c r="D395" s="139">
        <v>44961</v>
      </c>
    </row>
    <row r="396" spans="2:4" ht="20.25" customHeight="1">
      <c r="B396" s="108" t="s">
        <v>2478</v>
      </c>
      <c r="C396" s="138" t="s">
        <v>2479</v>
      </c>
      <c r="D396" s="139">
        <v>44961</v>
      </c>
    </row>
    <row r="397" spans="2:4" ht="20.25" customHeight="1">
      <c r="B397" s="108" t="s">
        <v>2480</v>
      </c>
      <c r="C397" s="138" t="s">
        <v>2481</v>
      </c>
      <c r="D397" s="139">
        <v>44992</v>
      </c>
    </row>
    <row r="398" spans="2:4" ht="20.25" customHeight="1">
      <c r="B398" s="108" t="s">
        <v>2482</v>
      </c>
      <c r="C398" s="146" t="s">
        <v>2483</v>
      </c>
      <c r="D398" s="139">
        <v>44992</v>
      </c>
    </row>
    <row r="399" spans="2:4" ht="20.25" customHeight="1">
      <c r="B399" s="108" t="s">
        <v>2484</v>
      </c>
      <c r="C399" s="138" t="s">
        <v>2485</v>
      </c>
      <c r="D399" s="149"/>
    </row>
    <row r="400" spans="2:4" ht="20.25" customHeight="1">
      <c r="B400" s="108" t="s">
        <v>2486</v>
      </c>
      <c r="C400" s="138" t="s">
        <v>2487</v>
      </c>
      <c r="D400" s="149"/>
    </row>
    <row r="401" spans="2:4" ht="20.25" customHeight="1">
      <c r="B401" s="119" t="s">
        <v>2488</v>
      </c>
      <c r="C401" s="138" t="s">
        <v>2489</v>
      </c>
      <c r="D401" s="149"/>
    </row>
    <row r="402" spans="2:4" ht="20.25" customHeight="1">
      <c r="B402" s="119" t="s">
        <v>2490</v>
      </c>
      <c r="C402" s="138" t="s">
        <v>2491</v>
      </c>
      <c r="D402" s="144">
        <v>45105</v>
      </c>
    </row>
    <row r="403" spans="2:4" ht="20.25" customHeight="1">
      <c r="B403" s="108" t="s">
        <v>2492</v>
      </c>
      <c r="C403" s="138" t="s">
        <v>2493</v>
      </c>
      <c r="D403" s="139">
        <v>44961</v>
      </c>
    </row>
    <row r="404" spans="2:4" ht="20.25" customHeight="1">
      <c r="B404" s="108" t="s">
        <v>2494</v>
      </c>
      <c r="C404" s="138" t="s">
        <v>371</v>
      </c>
      <c r="D404" s="139">
        <v>44961</v>
      </c>
    </row>
    <row r="405" spans="2:4" ht="20.25" customHeight="1">
      <c r="B405" s="108" t="s">
        <v>2495</v>
      </c>
      <c r="C405" s="138" t="s">
        <v>2496</v>
      </c>
      <c r="D405" s="144">
        <v>45105</v>
      </c>
    </row>
    <row r="406" spans="2:4" ht="20.25" customHeight="1">
      <c r="B406" s="108" t="s">
        <v>2497</v>
      </c>
      <c r="C406" s="138" t="s">
        <v>2498</v>
      </c>
      <c r="D406" s="139">
        <v>44961</v>
      </c>
    </row>
    <row r="407" spans="2:4" ht="20.25" customHeight="1">
      <c r="B407" s="108" t="s">
        <v>2499</v>
      </c>
      <c r="C407" s="138" t="s">
        <v>2500</v>
      </c>
      <c r="D407" s="144">
        <v>45105</v>
      </c>
    </row>
    <row r="408" spans="2:4" ht="20.25" customHeight="1">
      <c r="B408" s="108" t="s">
        <v>2501</v>
      </c>
      <c r="C408" s="138" t="s">
        <v>2502</v>
      </c>
      <c r="D408" s="139">
        <v>44961</v>
      </c>
    </row>
    <row r="409" spans="2:4" ht="20.25" customHeight="1">
      <c r="B409" s="108" t="s">
        <v>2503</v>
      </c>
      <c r="C409" s="138" t="s">
        <v>2504</v>
      </c>
      <c r="D409" s="149"/>
    </row>
    <row r="410" spans="2:4" ht="20.25" customHeight="1">
      <c r="B410" s="108" t="s">
        <v>2505</v>
      </c>
      <c r="C410" s="138" t="s">
        <v>2506</v>
      </c>
      <c r="D410" s="149"/>
    </row>
    <row r="411" spans="2:4" ht="20.25" customHeight="1">
      <c r="B411" s="108" t="s">
        <v>1884</v>
      </c>
      <c r="C411" s="138" t="s">
        <v>2507</v>
      </c>
      <c r="D411" s="139">
        <v>44992</v>
      </c>
    </row>
    <row r="412" spans="2:4" ht="20.25" customHeight="1">
      <c r="B412" s="108" t="s">
        <v>2508</v>
      </c>
      <c r="C412" s="138" t="s">
        <v>2509</v>
      </c>
      <c r="D412" s="149"/>
    </row>
    <row r="413" spans="2:4" ht="20.25" customHeight="1">
      <c r="B413" s="108" t="s">
        <v>2510</v>
      </c>
      <c r="C413" s="138" t="s">
        <v>2511</v>
      </c>
      <c r="D413" s="149"/>
    </row>
    <row r="414" spans="2:4" ht="20.25" customHeight="1">
      <c r="B414" s="108" t="s">
        <v>2512</v>
      </c>
      <c r="C414" s="138" t="s">
        <v>371</v>
      </c>
      <c r="D414" s="144">
        <v>45148</v>
      </c>
    </row>
    <row r="415" spans="2:4" ht="20.25" customHeight="1">
      <c r="B415" s="108" t="s">
        <v>2513</v>
      </c>
      <c r="C415" s="138" t="s">
        <v>2514</v>
      </c>
      <c r="D415" s="139">
        <v>44889</v>
      </c>
    </row>
    <row r="416" spans="2:4" ht="20.25" customHeight="1">
      <c r="B416" s="108" t="s">
        <v>2515</v>
      </c>
      <c r="C416" s="146" t="s">
        <v>2516</v>
      </c>
      <c r="D416" s="139">
        <v>44889</v>
      </c>
    </row>
    <row r="417" spans="2:4" ht="20.25" customHeight="1">
      <c r="B417" s="108" t="s">
        <v>2517</v>
      </c>
      <c r="C417" s="138" t="s">
        <v>2518</v>
      </c>
      <c r="D417" s="139">
        <v>44992</v>
      </c>
    </row>
    <row r="418" spans="2:4" ht="20.25" customHeight="1">
      <c r="B418" s="108" t="s">
        <v>2519</v>
      </c>
      <c r="C418" s="138" t="s">
        <v>2520</v>
      </c>
      <c r="D418" s="148">
        <v>45111</v>
      </c>
    </row>
    <row r="419" spans="2:4" ht="20.25" customHeight="1">
      <c r="B419" s="108" t="s">
        <v>2521</v>
      </c>
      <c r="C419" s="146" t="s">
        <v>2522</v>
      </c>
      <c r="D419" s="134" t="s">
        <v>24</v>
      </c>
    </row>
    <row r="420" spans="2:4" ht="20.25" customHeight="1">
      <c r="B420" s="108" t="s">
        <v>1812</v>
      </c>
      <c r="C420" s="138" t="s">
        <v>2523</v>
      </c>
      <c r="D420" s="134" t="s">
        <v>24</v>
      </c>
    </row>
    <row r="421" spans="2:4" ht="20.25" customHeight="1">
      <c r="B421" s="108" t="s">
        <v>2524</v>
      </c>
      <c r="C421" s="146" t="s">
        <v>2525</v>
      </c>
      <c r="D421" s="134" t="s">
        <v>24</v>
      </c>
    </row>
    <row r="422" spans="2:4" ht="20.25" customHeight="1">
      <c r="B422" s="108" t="s">
        <v>2526</v>
      </c>
      <c r="C422" s="138" t="s">
        <v>2527</v>
      </c>
      <c r="D422" s="149"/>
    </row>
    <row r="423" spans="2:4" ht="20.25" customHeight="1">
      <c r="B423" s="108" t="s">
        <v>2528</v>
      </c>
      <c r="C423" s="146" t="s">
        <v>2529</v>
      </c>
      <c r="D423" s="149"/>
    </row>
    <row r="424" spans="2:4" ht="20.25" customHeight="1">
      <c r="B424" s="108" t="s">
        <v>2530</v>
      </c>
      <c r="C424" s="146" t="s">
        <v>2531</v>
      </c>
      <c r="D424" s="149"/>
    </row>
    <row r="425" spans="2:4" ht="20.25" customHeight="1">
      <c r="B425" s="108" t="s">
        <v>2532</v>
      </c>
      <c r="C425" s="138" t="s">
        <v>2533</v>
      </c>
      <c r="D425" s="149"/>
    </row>
    <row r="426" spans="2:4" ht="20.25" customHeight="1">
      <c r="B426" s="108" t="s">
        <v>2534</v>
      </c>
      <c r="C426" s="138" t="s">
        <v>2535</v>
      </c>
      <c r="D426" s="139">
        <v>44816</v>
      </c>
    </row>
    <row r="427" spans="2:4" ht="20.25" customHeight="1">
      <c r="B427" s="108" t="s">
        <v>2536</v>
      </c>
      <c r="C427" s="146" t="s">
        <v>2537</v>
      </c>
      <c r="D427" s="139">
        <v>44910</v>
      </c>
    </row>
    <row r="428" spans="2:4" ht="20.25" customHeight="1">
      <c r="B428" s="108" t="s">
        <v>2538</v>
      </c>
      <c r="C428" s="146" t="s">
        <v>2537</v>
      </c>
      <c r="D428" s="139">
        <v>44816</v>
      </c>
    </row>
    <row r="429" spans="2:4" ht="20.25" customHeight="1">
      <c r="B429" s="108" t="s">
        <v>2539</v>
      </c>
      <c r="C429" s="138" t="s">
        <v>2540</v>
      </c>
      <c r="D429" s="134" t="s">
        <v>24</v>
      </c>
    </row>
    <row r="430" spans="2:4" ht="20.25" customHeight="1">
      <c r="B430" s="108" t="s">
        <v>2541</v>
      </c>
      <c r="C430" s="138" t="s">
        <v>2542</v>
      </c>
      <c r="D430" s="139">
        <v>44923</v>
      </c>
    </row>
    <row r="431" spans="2:4" ht="20.25" customHeight="1">
      <c r="B431" s="108" t="s">
        <v>1801</v>
      </c>
      <c r="C431" s="146" t="s">
        <v>2543</v>
      </c>
      <c r="D431" s="134"/>
    </row>
    <row r="432" spans="2:4" ht="20.25" customHeight="1">
      <c r="B432" s="108" t="s">
        <v>2544</v>
      </c>
      <c r="C432" s="146" t="s">
        <v>2545</v>
      </c>
      <c r="D432" s="139">
        <v>45013</v>
      </c>
    </row>
    <row r="433" spans="2:4" ht="20.25" customHeight="1">
      <c r="B433" s="108" t="s">
        <v>2546</v>
      </c>
      <c r="C433" s="146" t="s">
        <v>2547</v>
      </c>
      <c r="D433" s="139">
        <v>44923</v>
      </c>
    </row>
    <row r="434" spans="2:4" ht="20.25" customHeight="1">
      <c r="B434" s="108" t="s">
        <v>2548</v>
      </c>
      <c r="C434" s="146" t="s">
        <v>2549</v>
      </c>
      <c r="D434" s="139">
        <v>44923</v>
      </c>
    </row>
    <row r="435" spans="2:4" ht="20.25" customHeight="1">
      <c r="B435" s="108" t="s">
        <v>1803</v>
      </c>
      <c r="C435" s="146" t="s">
        <v>2550</v>
      </c>
      <c r="D435" s="139">
        <v>44816</v>
      </c>
    </row>
    <row r="436" spans="2:4" ht="20.25" customHeight="1">
      <c r="B436" s="108" t="s">
        <v>1886</v>
      </c>
      <c r="C436" s="146" t="s">
        <v>2551</v>
      </c>
      <c r="D436" s="134" t="s">
        <v>24</v>
      </c>
    </row>
    <row r="437" spans="2:4" ht="20.25" customHeight="1">
      <c r="B437" s="108" t="s">
        <v>2552</v>
      </c>
      <c r="C437" s="138" t="s">
        <v>2553</v>
      </c>
      <c r="D437" s="134" t="s">
        <v>24</v>
      </c>
    </row>
    <row r="438" spans="2:4" ht="20.25" customHeight="1">
      <c r="B438" s="108" t="s">
        <v>1805</v>
      </c>
      <c r="C438" s="138" t="s">
        <v>2554</v>
      </c>
      <c r="D438" s="139">
        <v>44816</v>
      </c>
    </row>
    <row r="439" spans="2:4" ht="20.25" customHeight="1">
      <c r="B439" s="108" t="s">
        <v>2555</v>
      </c>
      <c r="C439" s="146" t="s">
        <v>2556</v>
      </c>
      <c r="D439" s="139">
        <v>44816</v>
      </c>
    </row>
    <row r="440" spans="2:4" ht="20.25" customHeight="1">
      <c r="B440" s="108" t="s">
        <v>1800</v>
      </c>
      <c r="C440" s="138" t="s">
        <v>2557</v>
      </c>
      <c r="D440" s="139">
        <v>44816</v>
      </c>
    </row>
    <row r="441" spans="2:4" ht="20.25" customHeight="1">
      <c r="B441" s="108" t="s">
        <v>2558</v>
      </c>
      <c r="C441" s="138" t="s">
        <v>2559</v>
      </c>
      <c r="D441" s="134" t="s">
        <v>24</v>
      </c>
    </row>
    <row r="442" spans="2:4" ht="20.25" customHeight="1">
      <c r="B442" s="108" t="s">
        <v>2560</v>
      </c>
      <c r="C442" s="146" t="s">
        <v>2561</v>
      </c>
      <c r="D442" s="161">
        <v>45034</v>
      </c>
    </row>
    <row r="443" spans="2:4" ht="20.25" customHeight="1">
      <c r="B443" s="108" t="s">
        <v>2562</v>
      </c>
      <c r="C443" s="146" t="s">
        <v>2563</v>
      </c>
      <c r="D443" s="139">
        <v>44992</v>
      </c>
    </row>
    <row r="444" spans="2:4" ht="20.25" customHeight="1">
      <c r="B444" s="108" t="s">
        <v>2564</v>
      </c>
      <c r="C444" s="146" t="s">
        <v>2565</v>
      </c>
      <c r="D444" s="139">
        <v>44992</v>
      </c>
    </row>
    <row r="445" spans="2:4" ht="20.25" customHeight="1">
      <c r="B445" s="108" t="s">
        <v>1807</v>
      </c>
      <c r="C445" s="138" t="s">
        <v>2566</v>
      </c>
      <c r="D445" s="161">
        <v>45034</v>
      </c>
    </row>
    <row r="446" spans="2:4" ht="20.25" customHeight="1">
      <c r="B446" s="108" t="s">
        <v>2567</v>
      </c>
      <c r="C446" s="138" t="s">
        <v>2568</v>
      </c>
      <c r="D446" s="134" t="s">
        <v>24</v>
      </c>
    </row>
    <row r="447" spans="2:4" ht="20.25" customHeight="1">
      <c r="B447" s="108" t="s">
        <v>2569</v>
      </c>
      <c r="C447" s="138" t="s">
        <v>2570</v>
      </c>
      <c r="D447" s="134" t="s">
        <v>24</v>
      </c>
    </row>
    <row r="448" spans="2:4" ht="20.25" customHeight="1">
      <c r="B448" s="108" t="s">
        <v>1798</v>
      </c>
      <c r="C448" s="138" t="s">
        <v>2571</v>
      </c>
      <c r="D448" s="134" t="s">
        <v>24</v>
      </c>
    </row>
    <row r="449" spans="2:4" ht="20.25" customHeight="1">
      <c r="B449" s="108" t="s">
        <v>1811</v>
      </c>
      <c r="C449" s="138" t="s">
        <v>2572</v>
      </c>
      <c r="D449" s="139">
        <v>44862</v>
      </c>
    </row>
    <row r="450" spans="2:4" ht="20.25" customHeight="1">
      <c r="B450" s="119" t="s">
        <v>1810</v>
      </c>
      <c r="C450" s="138" t="s">
        <v>2573</v>
      </c>
      <c r="D450" s="134" t="s">
        <v>24</v>
      </c>
    </row>
    <row r="451" spans="2:4" ht="20.25" customHeight="1">
      <c r="B451" s="108" t="s">
        <v>2574</v>
      </c>
      <c r="C451" s="138" t="s">
        <v>2575</v>
      </c>
      <c r="D451" s="139">
        <v>44862</v>
      </c>
    </row>
    <row r="452" spans="2:4" ht="20.25" customHeight="1">
      <c r="B452" s="108" t="s">
        <v>1802</v>
      </c>
      <c r="C452" s="138" t="s">
        <v>2576</v>
      </c>
      <c r="D452" s="161">
        <v>45040</v>
      </c>
    </row>
    <row r="453" spans="2:4" ht="20.25" customHeight="1">
      <c r="B453" s="108" t="s">
        <v>1813</v>
      </c>
      <c r="C453" s="146" t="s">
        <v>2577</v>
      </c>
      <c r="D453" s="134" t="s">
        <v>24</v>
      </c>
    </row>
    <row r="454" spans="2:4" ht="20.25" customHeight="1">
      <c r="B454" s="108" t="s">
        <v>2578</v>
      </c>
      <c r="C454" s="138" t="s">
        <v>2579</v>
      </c>
      <c r="D454" s="134" t="s">
        <v>24</v>
      </c>
    </row>
    <row r="455" spans="2:4" ht="20.25" customHeight="1">
      <c r="B455" s="108" t="s">
        <v>2580</v>
      </c>
      <c r="C455" s="146" t="s">
        <v>2581</v>
      </c>
      <c r="D455" s="134" t="s">
        <v>24</v>
      </c>
    </row>
    <row r="456" spans="2:4" ht="20.25" customHeight="1">
      <c r="B456" s="108" t="s">
        <v>2582</v>
      </c>
      <c r="C456" s="138" t="s">
        <v>2583</v>
      </c>
      <c r="D456" s="134" t="s">
        <v>24</v>
      </c>
    </row>
    <row r="457" spans="2:4" ht="20.25" customHeight="1">
      <c r="B457" s="108" t="s">
        <v>2584</v>
      </c>
      <c r="C457" s="138" t="s">
        <v>2585</v>
      </c>
      <c r="D457" s="139">
        <v>44910</v>
      </c>
    </row>
    <row r="458" spans="2:4" ht="20.25" customHeight="1">
      <c r="B458" s="108" t="s">
        <v>2586</v>
      </c>
      <c r="C458" s="138" t="s">
        <v>2587</v>
      </c>
      <c r="D458" s="161">
        <v>45034</v>
      </c>
    </row>
    <row r="459" spans="2:4" ht="20.25" customHeight="1">
      <c r="B459" s="108" t="s">
        <v>2588</v>
      </c>
      <c r="C459" s="138" t="s">
        <v>2589</v>
      </c>
      <c r="D459" s="139">
        <v>44923</v>
      </c>
    </row>
    <row r="460" spans="2:4" ht="20.25" customHeight="1">
      <c r="B460" s="108" t="s">
        <v>1814</v>
      </c>
      <c r="C460" s="146" t="s">
        <v>2590</v>
      </c>
      <c r="D460" s="139">
        <v>44816</v>
      </c>
    </row>
    <row r="461" spans="2:4" ht="20.25" customHeight="1">
      <c r="B461" s="108" t="s">
        <v>1816</v>
      </c>
      <c r="C461" s="138" t="s">
        <v>2591</v>
      </c>
      <c r="D461" s="139">
        <v>44925</v>
      </c>
    </row>
    <row r="462" spans="2:4" ht="20.25" customHeight="1">
      <c r="B462" s="108" t="s">
        <v>2592</v>
      </c>
      <c r="C462" s="138" t="s">
        <v>2593</v>
      </c>
      <c r="D462" s="139">
        <v>44816</v>
      </c>
    </row>
    <row r="463" spans="2:4" ht="20.25" customHeight="1">
      <c r="B463" s="108" t="s">
        <v>2594</v>
      </c>
      <c r="C463" s="138" t="s">
        <v>2595</v>
      </c>
      <c r="D463" s="139">
        <v>44816</v>
      </c>
    </row>
    <row r="464" spans="2:4" ht="20.25" customHeight="1">
      <c r="B464" s="108" t="s">
        <v>2596</v>
      </c>
      <c r="C464" s="138" t="s">
        <v>2597</v>
      </c>
      <c r="D464" s="139">
        <v>44816</v>
      </c>
    </row>
    <row r="465" spans="2:4" ht="20.25" customHeight="1">
      <c r="B465" s="108" t="s">
        <v>2598</v>
      </c>
      <c r="C465" s="138" t="s">
        <v>2599</v>
      </c>
      <c r="D465" s="144">
        <v>45065</v>
      </c>
    </row>
    <row r="466" spans="2:4" ht="20.25" customHeight="1">
      <c r="B466" s="108" t="s">
        <v>2600</v>
      </c>
      <c r="C466" s="138" t="s">
        <v>2601</v>
      </c>
      <c r="D466" s="144">
        <v>45148</v>
      </c>
    </row>
    <row r="467" spans="2:4" ht="20.25" customHeight="1">
      <c r="B467" s="108" t="s">
        <v>2602</v>
      </c>
      <c r="C467" s="138" t="s">
        <v>2603</v>
      </c>
      <c r="D467" s="139">
        <v>44922</v>
      </c>
    </row>
    <row r="468" spans="2:4" ht="20.25" customHeight="1">
      <c r="B468" s="108" t="s">
        <v>2604</v>
      </c>
      <c r="C468" s="138" t="s">
        <v>2605</v>
      </c>
      <c r="D468" s="139">
        <v>44910</v>
      </c>
    </row>
    <row r="469" spans="2:4" ht="20.25" customHeight="1">
      <c r="B469" s="108" t="s">
        <v>2606</v>
      </c>
      <c r="C469" s="138" t="s">
        <v>2607</v>
      </c>
      <c r="D469" s="139">
        <v>44816</v>
      </c>
    </row>
    <row r="470" spans="2:4" ht="20.25" customHeight="1">
      <c r="B470" s="108" t="s">
        <v>2608</v>
      </c>
      <c r="C470" s="138" t="s">
        <v>2609</v>
      </c>
      <c r="D470" s="139">
        <v>44816</v>
      </c>
    </row>
    <row r="471" spans="2:4" ht="20.25" customHeight="1">
      <c r="B471" s="108" t="s">
        <v>2610</v>
      </c>
      <c r="C471" s="138" t="s">
        <v>2611</v>
      </c>
      <c r="D471" s="139">
        <v>44816</v>
      </c>
    </row>
    <row r="472" spans="2:4" ht="20.25" customHeight="1">
      <c r="B472" s="108" t="s">
        <v>2612</v>
      </c>
      <c r="C472" s="138" t="s">
        <v>2613</v>
      </c>
      <c r="D472" s="139">
        <v>44816</v>
      </c>
    </row>
    <row r="473" spans="2:4" ht="20.25" customHeight="1">
      <c r="B473" s="108" t="s">
        <v>2614</v>
      </c>
      <c r="C473" s="138" t="s">
        <v>2615</v>
      </c>
      <c r="D473" s="139">
        <v>44923</v>
      </c>
    </row>
    <row r="474" spans="2:4" ht="20.25" customHeight="1">
      <c r="B474" s="108" t="s">
        <v>2616</v>
      </c>
      <c r="C474" s="138" t="s">
        <v>2617</v>
      </c>
      <c r="D474" s="149"/>
    </row>
    <row r="475" spans="2:4" ht="20.25" customHeight="1">
      <c r="B475" s="108" t="s">
        <v>2618</v>
      </c>
      <c r="C475" s="138" t="s">
        <v>2619</v>
      </c>
      <c r="D475" s="179" t="s">
        <v>24</v>
      </c>
    </row>
    <row r="476" spans="2:4" ht="20.25" customHeight="1">
      <c r="B476" s="108" t="s">
        <v>2620</v>
      </c>
      <c r="C476" s="138" t="s">
        <v>2621</v>
      </c>
      <c r="D476" s="179" t="s">
        <v>24</v>
      </c>
    </row>
    <row r="477" spans="2:4" ht="20.25" customHeight="1">
      <c r="B477" s="108" t="s">
        <v>2622</v>
      </c>
      <c r="C477" s="138" t="s">
        <v>2623</v>
      </c>
      <c r="D477" s="161">
        <v>45013</v>
      </c>
    </row>
    <row r="478" spans="2:4" ht="20.25" customHeight="1">
      <c r="B478" s="108" t="s">
        <v>2624</v>
      </c>
      <c r="C478" s="138" t="s">
        <v>2625</v>
      </c>
      <c r="D478" s="139">
        <v>44889</v>
      </c>
    </row>
    <row r="479" spans="2:4" ht="20.25" customHeight="1">
      <c r="B479" s="108" t="s">
        <v>2626</v>
      </c>
      <c r="C479" s="138" t="s">
        <v>2627</v>
      </c>
      <c r="D479" s="140"/>
    </row>
    <row r="480" spans="2:4" ht="20.25" customHeight="1">
      <c r="B480" s="108" t="s">
        <v>2628</v>
      </c>
      <c r="C480" s="138" t="s">
        <v>2629</v>
      </c>
      <c r="D480" s="139">
        <v>44877</v>
      </c>
    </row>
    <row r="481" spans="2:4" ht="20.25" customHeight="1">
      <c r="B481" s="108" t="s">
        <v>2630</v>
      </c>
      <c r="C481" s="138" t="s">
        <v>2631</v>
      </c>
      <c r="D481" s="134" t="s">
        <v>24</v>
      </c>
    </row>
    <row r="482" spans="2:4" ht="20.25" customHeight="1">
      <c r="B482" s="108" t="s">
        <v>2632</v>
      </c>
      <c r="C482" s="146" t="s">
        <v>2633</v>
      </c>
      <c r="D482" s="134" t="s">
        <v>24</v>
      </c>
    </row>
    <row r="483" spans="2:4" ht="20.25" customHeight="1">
      <c r="B483" s="108" t="s">
        <v>2634</v>
      </c>
      <c r="C483" s="146" t="s">
        <v>2635</v>
      </c>
      <c r="D483" s="134" t="s">
        <v>24</v>
      </c>
    </row>
    <row r="484" spans="2:4" ht="20.25" customHeight="1">
      <c r="B484" s="108" t="s">
        <v>2636</v>
      </c>
      <c r="C484" s="146" t="s">
        <v>2637</v>
      </c>
      <c r="D484" s="134" t="s">
        <v>24</v>
      </c>
    </row>
    <row r="485" spans="2:4" ht="20.25" customHeight="1">
      <c r="B485" s="108" t="s">
        <v>2638</v>
      </c>
      <c r="C485" s="138" t="s">
        <v>2639</v>
      </c>
      <c r="D485" s="139">
        <v>44889</v>
      </c>
    </row>
    <row r="486" spans="2:4" ht="20.25" customHeight="1">
      <c r="B486" s="108" t="s">
        <v>2640</v>
      </c>
      <c r="C486" s="138" t="s">
        <v>2641</v>
      </c>
      <c r="D486" s="139">
        <v>44862</v>
      </c>
    </row>
    <row r="487" spans="2:4" ht="20.25" customHeight="1">
      <c r="B487" s="108" t="s">
        <v>2642</v>
      </c>
      <c r="C487" s="138" t="s">
        <v>2643</v>
      </c>
      <c r="D487" s="139">
        <v>44869</v>
      </c>
    </row>
    <row r="488" spans="2:4" ht="20.25" customHeight="1">
      <c r="B488" s="108" t="s">
        <v>2644</v>
      </c>
      <c r="C488" s="138" t="s">
        <v>2645</v>
      </c>
      <c r="D488" s="134" t="s">
        <v>24</v>
      </c>
    </row>
    <row r="489" spans="2:4" ht="20.25" customHeight="1">
      <c r="B489" s="108" t="s">
        <v>2646</v>
      </c>
      <c r="C489" s="146" t="s">
        <v>2647</v>
      </c>
      <c r="D489" s="134" t="s">
        <v>24</v>
      </c>
    </row>
    <row r="490" spans="2:4" ht="20.25" customHeight="1">
      <c r="B490" s="108" t="s">
        <v>2648</v>
      </c>
      <c r="C490" s="146" t="s">
        <v>2649</v>
      </c>
      <c r="D490" s="134" t="s">
        <v>24</v>
      </c>
    </row>
    <row r="491" spans="2:4" ht="20.25" customHeight="1">
      <c r="B491" s="108" t="s">
        <v>1818</v>
      </c>
      <c r="C491" s="146" t="s">
        <v>2650</v>
      </c>
      <c r="D491" s="161">
        <v>45014</v>
      </c>
    </row>
    <row r="492" spans="2:4" ht="20.25" customHeight="1">
      <c r="B492" s="108" t="s">
        <v>1820</v>
      </c>
      <c r="C492" s="138" t="s">
        <v>2651</v>
      </c>
      <c r="D492" s="144">
        <v>45065</v>
      </c>
    </row>
    <row r="493" spans="2:4" ht="20.25" customHeight="1">
      <c r="B493" s="108" t="s">
        <v>2652</v>
      </c>
      <c r="C493" s="138" t="s">
        <v>2653</v>
      </c>
      <c r="D493" s="139">
        <v>45056</v>
      </c>
    </row>
    <row r="494" spans="2:4" ht="20.25" customHeight="1">
      <c r="B494" s="108" t="s">
        <v>2654</v>
      </c>
      <c r="C494" s="138" t="s">
        <v>2655</v>
      </c>
      <c r="D494" s="144">
        <v>45049</v>
      </c>
    </row>
    <row r="495" spans="2:4" ht="20.25" customHeight="1">
      <c r="B495" s="108" t="s">
        <v>2656</v>
      </c>
      <c r="C495" s="138" t="s">
        <v>2657</v>
      </c>
      <c r="D495" s="139">
        <v>45056</v>
      </c>
    </row>
    <row r="496" spans="2:4" ht="20.25" customHeight="1">
      <c r="B496" s="108" t="s">
        <v>1822</v>
      </c>
      <c r="C496" s="146" t="s">
        <v>2658</v>
      </c>
      <c r="D496" s="134" t="s">
        <v>24</v>
      </c>
    </row>
    <row r="497" spans="2:4" ht="20.25" customHeight="1">
      <c r="B497" s="108" t="s">
        <v>2659</v>
      </c>
      <c r="C497" s="138" t="s">
        <v>2660</v>
      </c>
      <c r="D497" s="139">
        <v>44862</v>
      </c>
    </row>
    <row r="498" spans="2:4" ht="20.25" customHeight="1">
      <c r="B498" s="108" t="s">
        <v>2661</v>
      </c>
      <c r="C498" s="138" t="s">
        <v>2662</v>
      </c>
      <c r="D498" s="139">
        <v>44910</v>
      </c>
    </row>
    <row r="499" spans="2:4" ht="20.25" customHeight="1">
      <c r="B499" s="108" t="s">
        <v>2663</v>
      </c>
      <c r="C499" s="146" t="s">
        <v>2664</v>
      </c>
      <c r="D499" s="134" t="s">
        <v>24</v>
      </c>
    </row>
    <row r="500" spans="2:4" ht="20.25" customHeight="1">
      <c r="B500" s="108" t="s">
        <v>2665</v>
      </c>
      <c r="C500" s="138" t="s">
        <v>2666</v>
      </c>
      <c r="D500" s="134" t="s">
        <v>24</v>
      </c>
    </row>
    <row r="501" spans="2:4" ht="20.25" customHeight="1">
      <c r="B501" s="108" t="s">
        <v>2667</v>
      </c>
      <c r="C501" s="146" t="s">
        <v>2668</v>
      </c>
      <c r="D501" s="139">
        <v>44890</v>
      </c>
    </row>
    <row r="502" spans="2:4" ht="20.25" customHeight="1">
      <c r="B502" s="108" t="s">
        <v>1888</v>
      </c>
      <c r="C502" s="146" t="s">
        <v>2669</v>
      </c>
      <c r="D502" s="139">
        <v>44869</v>
      </c>
    </row>
    <row r="503" spans="2:4" ht="20.25" customHeight="1">
      <c r="B503" s="108" t="s">
        <v>2670</v>
      </c>
      <c r="C503" s="138" t="s">
        <v>2671</v>
      </c>
      <c r="D503" s="139">
        <v>44867</v>
      </c>
    </row>
    <row r="504" spans="2:4" ht="20.25" customHeight="1">
      <c r="B504" s="108" t="s">
        <v>2672</v>
      </c>
      <c r="C504" s="138" t="s">
        <v>2673</v>
      </c>
      <c r="D504" s="134" t="s">
        <v>24</v>
      </c>
    </row>
    <row r="505" spans="2:4" ht="20.25" customHeight="1">
      <c r="B505" s="108" t="s">
        <v>1824</v>
      </c>
      <c r="C505" s="146" t="s">
        <v>2674</v>
      </c>
      <c r="D505" s="134" t="s">
        <v>24</v>
      </c>
    </row>
    <row r="506" spans="2:4" ht="20.25" customHeight="1">
      <c r="B506" s="119" t="s">
        <v>2675</v>
      </c>
      <c r="C506" s="146" t="s">
        <v>2676</v>
      </c>
      <c r="D506" s="134" t="s">
        <v>24</v>
      </c>
    </row>
    <row r="507" spans="2:4" ht="20.25" customHeight="1">
      <c r="B507" s="108" t="s">
        <v>2677</v>
      </c>
      <c r="C507" s="146" t="s">
        <v>2678</v>
      </c>
      <c r="D507" s="144">
        <v>45049</v>
      </c>
    </row>
    <row r="508" spans="2:4" ht="20.25" customHeight="1">
      <c r="B508" s="108" t="s">
        <v>2679</v>
      </c>
      <c r="C508" s="138" t="s">
        <v>2680</v>
      </c>
      <c r="D508" s="139">
        <v>44923</v>
      </c>
    </row>
    <row r="509" spans="2:4" ht="20.25" customHeight="1">
      <c r="B509" s="108" t="s">
        <v>2681</v>
      </c>
      <c r="C509" s="138" t="s">
        <v>2682</v>
      </c>
      <c r="D509" s="134" t="s">
        <v>24</v>
      </c>
    </row>
    <row r="510" spans="2:4" ht="20.25" customHeight="1">
      <c r="B510" s="108" t="s">
        <v>1825</v>
      </c>
      <c r="C510" s="146" t="s">
        <v>2683</v>
      </c>
      <c r="D510" s="139">
        <v>44877</v>
      </c>
    </row>
    <row r="511" spans="2:4" ht="20.25" customHeight="1">
      <c r="B511" s="108" t="s">
        <v>2684</v>
      </c>
      <c r="C511" s="146" t="s">
        <v>2685</v>
      </c>
      <c r="D511" s="139">
        <v>44862</v>
      </c>
    </row>
    <row r="512" spans="2:4" ht="20.25" customHeight="1">
      <c r="B512" s="119" t="s">
        <v>2686</v>
      </c>
      <c r="C512" s="146" t="s">
        <v>2687</v>
      </c>
      <c r="D512" s="139">
        <v>44862</v>
      </c>
    </row>
    <row r="513" spans="2:4" ht="20.25" customHeight="1">
      <c r="B513" s="108" t="s">
        <v>2688</v>
      </c>
      <c r="C513" s="138" t="s">
        <v>2689</v>
      </c>
      <c r="D513" s="134" t="s">
        <v>24</v>
      </c>
    </row>
    <row r="514" spans="2:4" ht="20.25" customHeight="1">
      <c r="B514" s="108" t="s">
        <v>2690</v>
      </c>
      <c r="C514" s="146" t="s">
        <v>2691</v>
      </c>
      <c r="D514" s="139">
        <v>44889</v>
      </c>
    </row>
    <row r="515" spans="2:4" ht="20.25" customHeight="1">
      <c r="B515" s="108" t="s">
        <v>1827</v>
      </c>
      <c r="C515" s="146" t="s">
        <v>2692</v>
      </c>
      <c r="D515" s="134" t="s">
        <v>24</v>
      </c>
    </row>
    <row r="516" spans="2:4" ht="20.25" customHeight="1">
      <c r="B516" s="108" t="s">
        <v>2693</v>
      </c>
      <c r="C516" s="146" t="s">
        <v>2694</v>
      </c>
      <c r="D516" s="134" t="s">
        <v>24</v>
      </c>
    </row>
    <row r="517" spans="2:4" ht="20.25" customHeight="1">
      <c r="B517" s="108" t="s">
        <v>2695</v>
      </c>
      <c r="C517" s="138" t="s">
        <v>2696</v>
      </c>
      <c r="D517" s="134" t="s">
        <v>24</v>
      </c>
    </row>
    <row r="518" spans="2:4" ht="20.25" customHeight="1">
      <c r="B518" s="108" t="s">
        <v>2697</v>
      </c>
      <c r="C518" s="146" t="s">
        <v>2698</v>
      </c>
      <c r="D518" s="139">
        <v>44862</v>
      </c>
    </row>
    <row r="519" spans="2:4" ht="20.25" customHeight="1">
      <c r="B519" s="108" t="s">
        <v>2699</v>
      </c>
      <c r="C519" s="138" t="s">
        <v>2700</v>
      </c>
      <c r="D519" s="139">
        <v>44862</v>
      </c>
    </row>
    <row r="520" spans="2:4" ht="20.25" customHeight="1">
      <c r="B520" s="108" t="s">
        <v>2701</v>
      </c>
      <c r="C520" s="146" t="s">
        <v>2702</v>
      </c>
      <c r="D520" s="139">
        <v>44889</v>
      </c>
    </row>
    <row r="521" spans="2:4" ht="20.25" customHeight="1">
      <c r="B521" s="108" t="s">
        <v>1890</v>
      </c>
      <c r="C521" s="138" t="s">
        <v>2703</v>
      </c>
      <c r="D521" s="139">
        <v>44869</v>
      </c>
    </row>
    <row r="522" spans="2:4" ht="20.25" customHeight="1">
      <c r="B522" s="108" t="s">
        <v>2704</v>
      </c>
      <c r="C522" s="146" t="s">
        <v>2705</v>
      </c>
      <c r="D522" s="147">
        <v>45013</v>
      </c>
    </row>
    <row r="523" spans="2:4" ht="20.25" customHeight="1">
      <c r="B523" s="108" t="s">
        <v>2706</v>
      </c>
      <c r="C523" s="146" t="s">
        <v>2707</v>
      </c>
      <c r="D523" s="147">
        <v>45013</v>
      </c>
    </row>
    <row r="524" spans="2:4" ht="20.25" customHeight="1">
      <c r="B524" s="108" t="s">
        <v>2708</v>
      </c>
      <c r="C524" s="146" t="s">
        <v>2709</v>
      </c>
      <c r="D524" s="139">
        <v>44816</v>
      </c>
    </row>
    <row r="525" spans="2:4" ht="20.25" customHeight="1">
      <c r="B525" s="108" t="s">
        <v>2710</v>
      </c>
      <c r="C525" s="146" t="s">
        <v>2711</v>
      </c>
      <c r="D525" s="134" t="s">
        <v>24</v>
      </c>
    </row>
    <row r="526" spans="2:4" ht="20.25" customHeight="1">
      <c r="B526" s="108" t="s">
        <v>2712</v>
      </c>
      <c r="C526" s="146" t="s">
        <v>2713</v>
      </c>
      <c r="D526" s="134" t="s">
        <v>24</v>
      </c>
    </row>
    <row r="527" spans="2:4" ht="20.25" customHeight="1">
      <c r="B527" s="108" t="s">
        <v>2714</v>
      </c>
      <c r="C527" s="138" t="s">
        <v>2715</v>
      </c>
      <c r="D527" s="134" t="s">
        <v>24</v>
      </c>
    </row>
    <row r="528" spans="2:4" ht="20.25" customHeight="1">
      <c r="B528" s="108" t="s">
        <v>2716</v>
      </c>
      <c r="C528" s="138" t="s">
        <v>2717</v>
      </c>
      <c r="D528" s="134" t="s">
        <v>24</v>
      </c>
    </row>
    <row r="529" spans="2:4" ht="20.25" customHeight="1">
      <c r="B529" s="108" t="s">
        <v>1892</v>
      </c>
      <c r="C529" s="138" t="s">
        <v>2718</v>
      </c>
      <c r="D529" s="134" t="s">
        <v>24</v>
      </c>
    </row>
    <row r="530" spans="2:4" ht="20.25" customHeight="1">
      <c r="B530" s="108" t="s">
        <v>1894</v>
      </c>
      <c r="C530" s="138" t="s">
        <v>2719</v>
      </c>
      <c r="D530" s="134" t="s">
        <v>24</v>
      </c>
    </row>
    <row r="531" spans="2:4" ht="20.25" customHeight="1">
      <c r="B531" s="108" t="s">
        <v>2720</v>
      </c>
      <c r="C531" s="138" t="s">
        <v>2721</v>
      </c>
      <c r="D531" s="134" t="s">
        <v>24</v>
      </c>
    </row>
    <row r="532" spans="2:4" ht="20.25" customHeight="1">
      <c r="B532" s="108" t="s">
        <v>2722</v>
      </c>
      <c r="C532" s="138" t="s">
        <v>2723</v>
      </c>
      <c r="D532" s="134" t="s">
        <v>24</v>
      </c>
    </row>
    <row r="533" spans="2:4" ht="20.25" customHeight="1">
      <c r="B533" s="108" t="s">
        <v>2724</v>
      </c>
      <c r="C533" s="138" t="s">
        <v>2725</v>
      </c>
      <c r="D533" s="139">
        <v>44869</v>
      </c>
    </row>
    <row r="534" spans="2:4" ht="20.25" customHeight="1">
      <c r="B534" s="108" t="s">
        <v>2726</v>
      </c>
      <c r="C534" s="138" t="s">
        <v>2727</v>
      </c>
      <c r="D534" s="139">
        <v>44862</v>
      </c>
    </row>
    <row r="535" spans="2:4" ht="20.25" customHeight="1">
      <c r="B535" s="108" t="s">
        <v>1896</v>
      </c>
      <c r="C535" s="138" t="s">
        <v>2728</v>
      </c>
      <c r="D535" s="139">
        <v>44869</v>
      </c>
    </row>
    <row r="536" spans="2:4" ht="20.25" customHeight="1">
      <c r="B536" s="108" t="s">
        <v>2729</v>
      </c>
      <c r="C536" s="138" t="s">
        <v>2730</v>
      </c>
      <c r="D536" s="134" t="s">
        <v>24</v>
      </c>
    </row>
    <row r="537" spans="2:4" ht="20.25" customHeight="1">
      <c r="B537" s="108" t="s">
        <v>2731</v>
      </c>
      <c r="C537" s="146" t="s">
        <v>2732</v>
      </c>
      <c r="D537" s="134" t="s">
        <v>24</v>
      </c>
    </row>
    <row r="538" spans="2:4" ht="20.25" customHeight="1">
      <c r="B538" s="108" t="s">
        <v>2733</v>
      </c>
      <c r="C538" s="138" t="s">
        <v>2734</v>
      </c>
      <c r="D538" s="134" t="s">
        <v>24</v>
      </c>
    </row>
    <row r="539" spans="2:4" ht="20.25" customHeight="1">
      <c r="B539" s="108" t="s">
        <v>2735</v>
      </c>
      <c r="C539" s="138" t="s">
        <v>2736</v>
      </c>
      <c r="D539" s="139">
        <v>44889</v>
      </c>
    </row>
    <row r="540" spans="2:4" ht="20.25" customHeight="1">
      <c r="B540" s="108" t="s">
        <v>2737</v>
      </c>
      <c r="C540" s="138" t="s">
        <v>2738</v>
      </c>
      <c r="D540" s="139">
        <v>44910</v>
      </c>
    </row>
    <row r="541" spans="2:4" ht="20.25" customHeight="1">
      <c r="B541" s="108" t="s">
        <v>2739</v>
      </c>
      <c r="C541" s="138" t="s">
        <v>2740</v>
      </c>
      <c r="D541" s="139">
        <v>44869</v>
      </c>
    </row>
    <row r="542" spans="2:4" ht="20.25" customHeight="1">
      <c r="B542" s="108" t="s">
        <v>2741</v>
      </c>
      <c r="C542" s="138" t="s">
        <v>2742</v>
      </c>
      <c r="D542" s="139">
        <v>44889</v>
      </c>
    </row>
    <row r="543" spans="2:4" ht="20.25" customHeight="1">
      <c r="B543" s="108" t="s">
        <v>2743</v>
      </c>
      <c r="C543" s="146" t="s">
        <v>2744</v>
      </c>
      <c r="D543" s="139">
        <v>44910</v>
      </c>
    </row>
    <row r="544" spans="2:4" ht="20.25" customHeight="1">
      <c r="B544" s="108" t="s">
        <v>2745</v>
      </c>
      <c r="C544" s="146" t="s">
        <v>2746</v>
      </c>
      <c r="D544" s="139">
        <v>44889</v>
      </c>
    </row>
    <row r="545" spans="2:4" ht="20.25" customHeight="1">
      <c r="B545" s="108" t="s">
        <v>2747</v>
      </c>
      <c r="C545" s="146" t="s">
        <v>2748</v>
      </c>
      <c r="D545" s="139">
        <v>44910</v>
      </c>
    </row>
    <row r="546" spans="2:4" ht="20.25" customHeight="1">
      <c r="B546" s="108" t="s">
        <v>2749</v>
      </c>
      <c r="C546" s="146" t="s">
        <v>2750</v>
      </c>
      <c r="D546" s="139">
        <v>44877</v>
      </c>
    </row>
    <row r="547" spans="2:4" ht="20.25" customHeight="1">
      <c r="B547" s="108" t="s">
        <v>1829</v>
      </c>
      <c r="C547" s="146" t="s">
        <v>2751</v>
      </c>
      <c r="D547" s="139">
        <v>44862</v>
      </c>
    </row>
    <row r="548" spans="2:4" ht="20.25" customHeight="1">
      <c r="B548" s="108" t="s">
        <v>2752</v>
      </c>
      <c r="C548" s="146" t="s">
        <v>2753</v>
      </c>
      <c r="D548" s="134" t="s">
        <v>24</v>
      </c>
    </row>
    <row r="549" spans="2:4" ht="20.25" customHeight="1">
      <c r="B549" s="108" t="s">
        <v>2754</v>
      </c>
      <c r="C549" s="146" t="s">
        <v>2755</v>
      </c>
      <c r="D549" s="134" t="s">
        <v>24</v>
      </c>
    </row>
    <row r="550" spans="2:4" ht="20.25" customHeight="1">
      <c r="B550" s="108" t="s">
        <v>2756</v>
      </c>
      <c r="C550" s="146" t="s">
        <v>2757</v>
      </c>
      <c r="D550" s="134" t="s">
        <v>24</v>
      </c>
    </row>
    <row r="551" spans="2:4" ht="20.25" customHeight="1">
      <c r="B551" s="108" t="s">
        <v>2758</v>
      </c>
      <c r="C551" s="138" t="s">
        <v>2759</v>
      </c>
      <c r="D551" s="134" t="s">
        <v>24</v>
      </c>
    </row>
    <row r="552" spans="2:4" ht="20.25" customHeight="1">
      <c r="B552" s="108" t="s">
        <v>2760</v>
      </c>
      <c r="C552" s="138" t="s">
        <v>2761</v>
      </c>
      <c r="D552" s="139">
        <v>44816</v>
      </c>
    </row>
    <row r="553" spans="2:4" ht="20.25" customHeight="1">
      <c r="B553" s="108" t="s">
        <v>2762</v>
      </c>
      <c r="C553" s="138" t="s">
        <v>2763</v>
      </c>
      <c r="D553" s="139">
        <v>44961</v>
      </c>
    </row>
    <row r="554" spans="2:4" ht="20.25" customHeight="1">
      <c r="B554" s="108" t="s">
        <v>2764</v>
      </c>
      <c r="C554" s="138" t="s">
        <v>2765</v>
      </c>
      <c r="D554" s="134" t="s">
        <v>24</v>
      </c>
    </row>
    <row r="555" spans="2:4" ht="20.25" customHeight="1">
      <c r="B555" s="108" t="s">
        <v>2766</v>
      </c>
      <c r="C555" s="138" t="s">
        <v>2767</v>
      </c>
      <c r="D555" s="139">
        <v>44889</v>
      </c>
    </row>
    <row r="556" spans="2:4" ht="20.25" customHeight="1">
      <c r="B556" s="108" t="s">
        <v>1830</v>
      </c>
      <c r="C556" s="146" t="s">
        <v>2768</v>
      </c>
      <c r="D556" s="139">
        <v>44816</v>
      </c>
    </row>
    <row r="557" spans="2:4" ht="20.25" customHeight="1">
      <c r="B557" s="108" t="s">
        <v>2769</v>
      </c>
      <c r="C557" s="146" t="s">
        <v>2770</v>
      </c>
      <c r="D557" s="139">
        <v>44961</v>
      </c>
    </row>
    <row r="558" spans="2:4" ht="20.25" customHeight="1">
      <c r="B558" s="108" t="s">
        <v>2771</v>
      </c>
      <c r="C558" s="138" t="s">
        <v>100</v>
      </c>
      <c r="D558" s="139">
        <v>44910</v>
      </c>
    </row>
    <row r="559" spans="2:4" ht="20.25" customHeight="1">
      <c r="B559" s="108" t="s">
        <v>2772</v>
      </c>
      <c r="C559" s="146" t="s">
        <v>2773</v>
      </c>
      <c r="D559" s="139">
        <v>44889</v>
      </c>
    </row>
    <row r="560" spans="2:4" ht="20.25" customHeight="1">
      <c r="B560" s="112" t="s">
        <v>2774</v>
      </c>
      <c r="C560" s="146" t="s">
        <v>2775</v>
      </c>
      <c r="D560" s="139">
        <v>44816</v>
      </c>
    </row>
    <row r="561" spans="2:4" ht="20.25" customHeight="1">
      <c r="B561" s="108" t="s">
        <v>2776</v>
      </c>
      <c r="C561" s="138" t="s">
        <v>2777</v>
      </c>
      <c r="D561" s="139">
        <v>44889</v>
      </c>
    </row>
    <row r="562" spans="2:4" ht="20.25" customHeight="1">
      <c r="B562" s="108" t="s">
        <v>2778</v>
      </c>
      <c r="C562" s="138" t="s">
        <v>2779</v>
      </c>
      <c r="D562" s="139">
        <v>44816</v>
      </c>
    </row>
    <row r="563" spans="2:4" ht="20.25" customHeight="1">
      <c r="B563" s="108" t="s">
        <v>2780</v>
      </c>
      <c r="C563" s="146" t="s">
        <v>2781</v>
      </c>
      <c r="D563" s="134" t="s">
        <v>24</v>
      </c>
    </row>
    <row r="564" spans="2:4" ht="20.25" customHeight="1">
      <c r="B564" s="108" t="s">
        <v>2782</v>
      </c>
      <c r="C564" s="146" t="s">
        <v>2783</v>
      </c>
      <c r="D564" s="134" t="s">
        <v>24</v>
      </c>
    </row>
    <row r="565" spans="2:4" ht="20.25" customHeight="1">
      <c r="B565" s="108" t="s">
        <v>1897</v>
      </c>
      <c r="C565" s="146" t="s">
        <v>2784</v>
      </c>
      <c r="D565" s="134" t="s">
        <v>24</v>
      </c>
    </row>
    <row r="566" spans="2:4" ht="20.25" customHeight="1">
      <c r="B566" s="108" t="s">
        <v>1899</v>
      </c>
      <c r="C566" s="146" t="s">
        <v>2785</v>
      </c>
      <c r="D566" s="139">
        <v>44889</v>
      </c>
    </row>
    <row r="567" spans="2:4" ht="20.25" customHeight="1">
      <c r="B567" s="108" t="s">
        <v>2786</v>
      </c>
      <c r="C567" s="138" t="s">
        <v>2787</v>
      </c>
      <c r="D567" s="134" t="s">
        <v>24</v>
      </c>
    </row>
    <row r="568" spans="2:4" ht="20.25" customHeight="1">
      <c r="B568" s="108" t="s">
        <v>1901</v>
      </c>
      <c r="C568" s="138" t="s">
        <v>2788</v>
      </c>
      <c r="D568" s="134" t="s">
        <v>24</v>
      </c>
    </row>
    <row r="569" spans="2:4" ht="20.25" customHeight="1">
      <c r="B569" s="108" t="s">
        <v>2789</v>
      </c>
      <c r="C569" s="138" t="s">
        <v>2790</v>
      </c>
      <c r="D569" s="139">
        <v>44889</v>
      </c>
    </row>
    <row r="570" spans="2:4" ht="20.25" customHeight="1">
      <c r="B570" s="108" t="s">
        <v>2791</v>
      </c>
      <c r="C570" s="146" t="s">
        <v>2792</v>
      </c>
      <c r="D570" s="139">
        <v>44889</v>
      </c>
    </row>
    <row r="571" spans="2:4" ht="20.25" customHeight="1">
      <c r="B571" s="108" t="s">
        <v>2793</v>
      </c>
      <c r="C571" s="138" t="s">
        <v>2794</v>
      </c>
      <c r="D571" s="139"/>
    </row>
    <row r="572" spans="2:4" ht="20.25" customHeight="1">
      <c r="B572" s="108" t="s">
        <v>2795</v>
      </c>
      <c r="C572" s="138" t="s">
        <v>2796</v>
      </c>
      <c r="D572" s="139">
        <v>45097</v>
      </c>
    </row>
    <row r="573" spans="2:4" ht="20.25" customHeight="1">
      <c r="B573" s="108" t="s">
        <v>1831</v>
      </c>
      <c r="C573" s="146" t="s">
        <v>2797</v>
      </c>
      <c r="D573" s="139">
        <v>44910</v>
      </c>
    </row>
    <row r="574" spans="2:4" ht="20.25" customHeight="1">
      <c r="B574" s="107" t="s">
        <v>1832</v>
      </c>
      <c r="C574" s="146" t="s">
        <v>2798</v>
      </c>
      <c r="D574" s="139">
        <v>44923</v>
      </c>
    </row>
    <row r="575" spans="2:4" ht="20.25" customHeight="1">
      <c r="B575" s="108" t="s">
        <v>2799</v>
      </c>
      <c r="C575" s="146"/>
      <c r="D575" s="139">
        <v>44923</v>
      </c>
    </row>
    <row r="576" spans="2:4" ht="20.25" customHeight="1">
      <c r="B576" s="108" t="s">
        <v>2800</v>
      </c>
      <c r="C576" s="146" t="s">
        <v>2801</v>
      </c>
      <c r="D576" s="139">
        <v>44910</v>
      </c>
    </row>
    <row r="577" spans="2:4" ht="20.25" customHeight="1">
      <c r="B577" s="108" t="s">
        <v>2802</v>
      </c>
      <c r="C577" s="146" t="s">
        <v>2803</v>
      </c>
      <c r="D577" s="139">
        <v>44910</v>
      </c>
    </row>
    <row r="578" spans="2:4" ht="20.25" customHeight="1">
      <c r="B578" s="108" t="s">
        <v>1836</v>
      </c>
      <c r="C578" s="138" t="s">
        <v>2804</v>
      </c>
      <c r="D578" s="134" t="s">
        <v>24</v>
      </c>
    </row>
    <row r="579" spans="2:4" ht="20.25" customHeight="1">
      <c r="B579" s="108" t="s">
        <v>2805</v>
      </c>
      <c r="C579" s="146" t="s">
        <v>2806</v>
      </c>
      <c r="D579" s="139">
        <v>44923</v>
      </c>
    </row>
    <row r="580" spans="2:4" ht="20.25" customHeight="1">
      <c r="B580" s="108" t="s">
        <v>2807</v>
      </c>
      <c r="C580" s="138" t="s">
        <v>2808</v>
      </c>
      <c r="D580" s="139">
        <v>44910</v>
      </c>
    </row>
    <row r="581" spans="2:4" ht="20.25" customHeight="1">
      <c r="B581" s="108" t="s">
        <v>1840</v>
      </c>
      <c r="C581" s="138" t="s">
        <v>2809</v>
      </c>
      <c r="D581" s="139">
        <v>44923</v>
      </c>
    </row>
    <row r="582" spans="2:4" ht="20.25" customHeight="1">
      <c r="B582" s="108" t="s">
        <v>2810</v>
      </c>
      <c r="C582" s="138" t="s">
        <v>2811</v>
      </c>
      <c r="D582" s="139">
        <v>44910</v>
      </c>
    </row>
    <row r="583" spans="2:4" ht="20.25" customHeight="1">
      <c r="B583" s="108" t="s">
        <v>1903</v>
      </c>
      <c r="C583" s="138" t="s">
        <v>2812</v>
      </c>
      <c r="D583" s="139">
        <v>44910</v>
      </c>
    </row>
    <row r="584" spans="2:4" ht="20.25" customHeight="1">
      <c r="B584" s="108" t="s">
        <v>1905</v>
      </c>
      <c r="C584" s="138" t="s">
        <v>2813</v>
      </c>
      <c r="D584" s="139">
        <v>44869</v>
      </c>
    </row>
    <row r="585" spans="2:4" ht="20.25" customHeight="1">
      <c r="B585" s="108" t="s">
        <v>2814</v>
      </c>
      <c r="C585" s="138" t="s">
        <v>2815</v>
      </c>
      <c r="D585" s="139">
        <v>44869</v>
      </c>
    </row>
    <row r="586" spans="2:4" ht="20.25" customHeight="1">
      <c r="B586" s="108" t="s">
        <v>2816</v>
      </c>
      <c r="C586" s="146" t="s">
        <v>2817</v>
      </c>
      <c r="D586" s="139">
        <v>44876</v>
      </c>
    </row>
    <row r="587" spans="2:4" ht="20.25" customHeight="1">
      <c r="B587" s="107" t="s">
        <v>1826</v>
      </c>
      <c r="C587" s="146" t="s">
        <v>2818</v>
      </c>
      <c r="D587" s="134" t="s">
        <v>24</v>
      </c>
    </row>
    <row r="588" spans="2:4" ht="20.25" customHeight="1">
      <c r="B588" s="108" t="s">
        <v>2819</v>
      </c>
      <c r="C588" s="146" t="s">
        <v>2820</v>
      </c>
      <c r="D588" s="139">
        <v>44869</v>
      </c>
    </row>
    <row r="589" spans="2:4" ht="20.25" customHeight="1">
      <c r="B589" s="108" t="s">
        <v>2821</v>
      </c>
      <c r="C589" s="146" t="s">
        <v>2822</v>
      </c>
      <c r="D589" s="134" t="s">
        <v>24</v>
      </c>
    </row>
    <row r="590" spans="2:4" ht="20.25" customHeight="1">
      <c r="B590" s="108" t="s">
        <v>2823</v>
      </c>
      <c r="C590" s="138" t="s">
        <v>2824</v>
      </c>
      <c r="D590" s="134" t="s">
        <v>24</v>
      </c>
    </row>
    <row r="591" spans="2:4" ht="20.25" customHeight="1">
      <c r="B591" s="108" t="s">
        <v>2825</v>
      </c>
      <c r="C591" s="138" t="s">
        <v>2826</v>
      </c>
      <c r="D591" s="134" t="s">
        <v>24</v>
      </c>
    </row>
    <row r="592" spans="2:4" ht="20.25" customHeight="1">
      <c r="B592" s="108" t="s">
        <v>1907</v>
      </c>
      <c r="C592" s="146" t="s">
        <v>2827</v>
      </c>
      <c r="D592" s="134" t="s">
        <v>24</v>
      </c>
    </row>
    <row r="593" spans="2:4" ht="20.25" customHeight="1">
      <c r="B593" s="108" t="s">
        <v>2828</v>
      </c>
      <c r="C593" s="138" t="s">
        <v>2829</v>
      </c>
      <c r="D593" s="134" t="s">
        <v>24</v>
      </c>
    </row>
    <row r="594" spans="2:4" ht="20.25" customHeight="1">
      <c r="B594" s="108" t="s">
        <v>2830</v>
      </c>
      <c r="C594" s="146" t="s">
        <v>2831</v>
      </c>
      <c r="D594" s="134" t="s">
        <v>24</v>
      </c>
    </row>
    <row r="595" spans="2:4" ht="20.25" customHeight="1">
      <c r="B595" s="108" t="s">
        <v>2832</v>
      </c>
      <c r="C595" s="138" t="s">
        <v>2833</v>
      </c>
      <c r="D595" s="134" t="s">
        <v>24</v>
      </c>
    </row>
    <row r="596" spans="2:4" ht="20.25" customHeight="1">
      <c r="B596" s="108" t="s">
        <v>2834</v>
      </c>
      <c r="C596" s="138" t="s">
        <v>2835</v>
      </c>
      <c r="D596" s="134" t="s">
        <v>24</v>
      </c>
    </row>
    <row r="597" spans="2:4" ht="20.25" customHeight="1">
      <c r="B597" s="108" t="s">
        <v>2836</v>
      </c>
      <c r="C597" s="138" t="s">
        <v>2837</v>
      </c>
      <c r="D597" s="134" t="s">
        <v>24</v>
      </c>
    </row>
    <row r="598" spans="2:4" ht="20.25" customHeight="1">
      <c r="B598" s="108" t="s">
        <v>2838</v>
      </c>
      <c r="C598" s="138" t="s">
        <v>100</v>
      </c>
      <c r="D598" s="134" t="s">
        <v>24</v>
      </c>
    </row>
    <row r="599" spans="2:4" ht="20.25" customHeight="1">
      <c r="B599" s="108" t="s">
        <v>2839</v>
      </c>
      <c r="C599" s="138" t="s">
        <v>100</v>
      </c>
      <c r="D599" s="134" t="s">
        <v>24</v>
      </c>
    </row>
    <row r="600" spans="2:4" ht="20.25" customHeight="1">
      <c r="B600" s="108" t="s">
        <v>2840</v>
      </c>
      <c r="C600" s="138" t="s">
        <v>2841</v>
      </c>
      <c r="D600" s="134" t="s">
        <v>24</v>
      </c>
    </row>
    <row r="601" spans="2:4" ht="20.25" customHeight="1">
      <c r="B601" s="108" t="s">
        <v>2842</v>
      </c>
      <c r="C601" s="138" t="s">
        <v>2843</v>
      </c>
      <c r="D601" s="134" t="s">
        <v>24</v>
      </c>
    </row>
    <row r="602" spans="2:4" ht="20.25" customHeight="1">
      <c r="B602" s="108" t="s">
        <v>2844</v>
      </c>
      <c r="C602" s="138" t="s">
        <v>2835</v>
      </c>
      <c r="D602" s="139">
        <v>44910</v>
      </c>
    </row>
    <row r="603" spans="2:4" ht="20.25" customHeight="1">
      <c r="B603" s="108" t="s">
        <v>1846</v>
      </c>
      <c r="C603" s="138" t="s">
        <v>2845</v>
      </c>
      <c r="D603" s="134" t="s">
        <v>24</v>
      </c>
    </row>
    <row r="604" spans="2:4" ht="20.25" customHeight="1">
      <c r="B604" s="108" t="s">
        <v>2846</v>
      </c>
      <c r="C604" s="138" t="s">
        <v>2847</v>
      </c>
      <c r="D604" s="139">
        <v>44910</v>
      </c>
    </row>
    <row r="605" spans="2:4" ht="20.25" customHeight="1">
      <c r="B605" s="108" t="s">
        <v>2848</v>
      </c>
      <c r="C605" s="138" t="s">
        <v>2849</v>
      </c>
      <c r="D605" s="134" t="s">
        <v>24</v>
      </c>
    </row>
    <row r="606" spans="2:4" ht="20.25" customHeight="1">
      <c r="B606" s="108" t="s">
        <v>2850</v>
      </c>
      <c r="C606" s="138" t="s">
        <v>2851</v>
      </c>
      <c r="D606" s="139">
        <v>44910</v>
      </c>
    </row>
    <row r="607" spans="2:4" ht="20.25" customHeight="1">
      <c r="B607" s="108" t="s">
        <v>2852</v>
      </c>
      <c r="C607" s="138" t="s">
        <v>2853</v>
      </c>
      <c r="D607" s="134" t="s">
        <v>24</v>
      </c>
    </row>
    <row r="608" spans="2:4" ht="20.25" customHeight="1">
      <c r="B608" s="112" t="s">
        <v>2854</v>
      </c>
      <c r="C608" s="138" t="s">
        <v>2855</v>
      </c>
      <c r="D608" s="134" t="s">
        <v>24</v>
      </c>
    </row>
    <row r="609" spans="2:4" ht="20.25" customHeight="1">
      <c r="B609" s="108" t="s">
        <v>2856</v>
      </c>
      <c r="C609" s="138" t="s">
        <v>2857</v>
      </c>
      <c r="D609" s="134" t="s">
        <v>24</v>
      </c>
    </row>
    <row r="610" spans="2:4" ht="20.25" customHeight="1">
      <c r="B610" s="108" t="s">
        <v>2858</v>
      </c>
      <c r="C610" s="138" t="s">
        <v>2859</v>
      </c>
      <c r="D610" s="134" t="s">
        <v>24</v>
      </c>
    </row>
    <row r="611" spans="2:4" ht="20.25" customHeight="1">
      <c r="B611" s="108" t="s">
        <v>1821</v>
      </c>
      <c r="C611" s="138" t="s">
        <v>2860</v>
      </c>
      <c r="D611" s="144">
        <v>45065</v>
      </c>
    </row>
    <row r="612" spans="2:4" ht="20.25" customHeight="1">
      <c r="B612" s="108" t="s">
        <v>2861</v>
      </c>
      <c r="C612" s="138" t="s">
        <v>2862</v>
      </c>
      <c r="D612" s="144">
        <v>45148</v>
      </c>
    </row>
    <row r="613" spans="2:4" ht="20.25" customHeight="1">
      <c r="B613" s="108" t="s">
        <v>2863</v>
      </c>
      <c r="C613" s="138" t="s">
        <v>2864</v>
      </c>
      <c r="D613" s="139">
        <v>44910</v>
      </c>
    </row>
    <row r="614" spans="2:4" ht="20.25" customHeight="1">
      <c r="B614" s="108" t="s">
        <v>2865</v>
      </c>
      <c r="C614" s="138" t="s">
        <v>2866</v>
      </c>
      <c r="D614" s="161">
        <v>45040</v>
      </c>
    </row>
    <row r="615" spans="2:4" ht="20.25" customHeight="1">
      <c r="B615" s="108" t="s">
        <v>2867</v>
      </c>
      <c r="C615" s="138" t="s">
        <v>2868</v>
      </c>
      <c r="D615" s="134" t="s">
        <v>24</v>
      </c>
    </row>
    <row r="616" spans="2:4" ht="20.25" customHeight="1">
      <c r="B616" s="108" t="s">
        <v>2869</v>
      </c>
      <c r="C616" s="138" t="s">
        <v>2870</v>
      </c>
      <c r="D616" s="144">
        <v>45065</v>
      </c>
    </row>
    <row r="617" spans="2:4" ht="20.25" customHeight="1">
      <c r="B617" s="108" t="s">
        <v>2871</v>
      </c>
      <c r="C617" s="146" t="s">
        <v>2872</v>
      </c>
      <c r="D617" s="134" t="s">
        <v>24</v>
      </c>
    </row>
    <row r="618" spans="2:4" ht="20.25" customHeight="1">
      <c r="B618" s="108" t="s">
        <v>2873</v>
      </c>
      <c r="C618" s="138" t="s">
        <v>2874</v>
      </c>
      <c r="D618" s="161">
        <v>45040</v>
      </c>
    </row>
    <row r="619" spans="2:4" ht="20.25" customHeight="1">
      <c r="B619" s="108" t="s">
        <v>2875</v>
      </c>
      <c r="C619" s="138" t="s">
        <v>2876</v>
      </c>
      <c r="D619" s="139">
        <v>44923</v>
      </c>
    </row>
    <row r="620" spans="2:4" ht="20.25" customHeight="1">
      <c r="B620" s="108" t="s">
        <v>2877</v>
      </c>
      <c r="C620" s="138" t="s">
        <v>2878</v>
      </c>
      <c r="D620" s="144">
        <v>45065</v>
      </c>
    </row>
    <row r="621" spans="2:4" ht="20.25" customHeight="1">
      <c r="B621" s="108" t="s">
        <v>2879</v>
      </c>
      <c r="C621" s="138" t="s">
        <v>2880</v>
      </c>
      <c r="D621" s="134" t="s">
        <v>24</v>
      </c>
    </row>
    <row r="622" spans="2:4" ht="20.25" customHeight="1">
      <c r="B622" s="108" t="s">
        <v>2881</v>
      </c>
      <c r="C622" s="138" t="s">
        <v>2882</v>
      </c>
      <c r="D622" s="134" t="s">
        <v>24</v>
      </c>
    </row>
    <row r="623" spans="2:4" ht="20.25" customHeight="1">
      <c r="B623" s="108" t="s">
        <v>2883</v>
      </c>
      <c r="C623" s="146" t="s">
        <v>2884</v>
      </c>
      <c r="D623" s="139">
        <v>44910</v>
      </c>
    </row>
    <row r="624" spans="2:4" ht="20.25" customHeight="1">
      <c r="B624" s="108" t="s">
        <v>2885</v>
      </c>
      <c r="C624" s="138" t="s">
        <v>2886</v>
      </c>
      <c r="D624" s="139">
        <v>44923</v>
      </c>
    </row>
    <row r="625" spans="2:4" ht="20.25" customHeight="1">
      <c r="B625" s="108" t="s">
        <v>2887</v>
      </c>
      <c r="C625" s="138" t="s">
        <v>2888</v>
      </c>
      <c r="D625" s="139">
        <v>44910</v>
      </c>
    </row>
    <row r="626" spans="2:4" ht="20.25" customHeight="1">
      <c r="B626" s="107" t="s">
        <v>1851</v>
      </c>
      <c r="C626" s="138" t="s">
        <v>2889</v>
      </c>
      <c r="D626" s="139">
        <v>44869</v>
      </c>
    </row>
    <row r="627" spans="2:4" ht="20.25" customHeight="1">
      <c r="B627" s="108" t="s">
        <v>2890</v>
      </c>
      <c r="C627" s="138" t="s">
        <v>2891</v>
      </c>
      <c r="D627" s="139">
        <v>44910</v>
      </c>
    </row>
    <row r="628" spans="2:4" ht="20.25" customHeight="1">
      <c r="B628" s="108" t="s">
        <v>2892</v>
      </c>
      <c r="C628" s="138" t="s">
        <v>2893</v>
      </c>
      <c r="D628" s="134"/>
    </row>
    <row r="629" spans="2:4" ht="20.25" customHeight="1">
      <c r="B629" s="108" t="s">
        <v>2894</v>
      </c>
      <c r="C629" s="138" t="s">
        <v>2895</v>
      </c>
      <c r="D629" s="139">
        <v>44910</v>
      </c>
    </row>
    <row r="630" spans="2:4" ht="20.25" customHeight="1">
      <c r="B630" s="108" t="s">
        <v>1909</v>
      </c>
      <c r="C630" s="138" t="s">
        <v>2896</v>
      </c>
      <c r="D630" s="134" t="s">
        <v>24</v>
      </c>
    </row>
    <row r="631" spans="2:4" ht="20.25" customHeight="1">
      <c r="B631" s="108" t="s">
        <v>2897</v>
      </c>
      <c r="C631" s="138" t="s">
        <v>2898</v>
      </c>
      <c r="D631" s="139">
        <v>44923</v>
      </c>
    </row>
    <row r="632" spans="2:4" ht="20.25" customHeight="1">
      <c r="B632" s="108" t="s">
        <v>2899</v>
      </c>
      <c r="C632" s="138" t="s">
        <v>2900</v>
      </c>
      <c r="D632" s="139">
        <v>44910</v>
      </c>
    </row>
    <row r="633" spans="2:4" ht="20.25" customHeight="1">
      <c r="B633" s="108" t="s">
        <v>2901</v>
      </c>
      <c r="C633" s="138" t="s">
        <v>2902</v>
      </c>
      <c r="D633" s="139">
        <v>44910</v>
      </c>
    </row>
    <row r="634" spans="2:4" ht="20.25" customHeight="1">
      <c r="B634" s="108" t="s">
        <v>2903</v>
      </c>
      <c r="C634" s="138" t="s">
        <v>2904</v>
      </c>
      <c r="D634" s="134"/>
    </row>
    <row r="635" spans="2:4" ht="20.25" customHeight="1">
      <c r="B635" s="108" t="s">
        <v>2905</v>
      </c>
      <c r="C635" s="138" t="s">
        <v>2906</v>
      </c>
      <c r="D635" s="149"/>
    </row>
    <row r="636" spans="2:4" ht="20.25" customHeight="1">
      <c r="B636" s="108" t="s">
        <v>1843</v>
      </c>
      <c r="C636" s="138" t="s">
        <v>2907</v>
      </c>
      <c r="D636" s="149"/>
    </row>
    <row r="637" spans="2:4" ht="20.25" customHeight="1">
      <c r="B637" s="108" t="s">
        <v>2908</v>
      </c>
      <c r="C637" s="138" t="s">
        <v>2909</v>
      </c>
      <c r="D637" s="149"/>
    </row>
    <row r="638" spans="2:4" ht="20.25" customHeight="1">
      <c r="B638" s="108" t="s">
        <v>2910</v>
      </c>
      <c r="C638" s="138" t="s">
        <v>2911</v>
      </c>
      <c r="D638" s="149"/>
    </row>
    <row r="639" spans="2:4" ht="20.25" customHeight="1">
      <c r="B639" s="108" t="s">
        <v>2912</v>
      </c>
      <c r="C639" s="138" t="s">
        <v>2913</v>
      </c>
      <c r="D639" s="149"/>
    </row>
    <row r="640" spans="2:4" ht="20.25" customHeight="1">
      <c r="B640" s="108" t="s">
        <v>2914</v>
      </c>
      <c r="C640" s="138" t="s">
        <v>2915</v>
      </c>
      <c r="D640" s="149"/>
    </row>
    <row r="641" spans="2:4" ht="20.25" customHeight="1">
      <c r="B641" s="108" t="s">
        <v>2916</v>
      </c>
      <c r="C641" s="146" t="s">
        <v>2917</v>
      </c>
      <c r="D641" s="149"/>
    </row>
    <row r="642" spans="2:4" ht="20.25" customHeight="1">
      <c r="B642" s="108" t="s">
        <v>1853</v>
      </c>
      <c r="C642" s="146" t="s">
        <v>2918</v>
      </c>
      <c r="D642" s="149"/>
    </row>
    <row r="643" spans="2:4" ht="20.25" customHeight="1">
      <c r="B643" s="108" t="s">
        <v>2919</v>
      </c>
      <c r="C643" s="138" t="s">
        <v>2915</v>
      </c>
      <c r="D643" s="149"/>
    </row>
    <row r="644" spans="2:4" ht="20.25" customHeight="1">
      <c r="B644" s="108" t="s">
        <v>2920</v>
      </c>
      <c r="C644" s="146" t="s">
        <v>2921</v>
      </c>
      <c r="D644" s="149"/>
    </row>
    <row r="645" spans="2:4" ht="20.25" customHeight="1">
      <c r="B645" s="112" t="s">
        <v>2922</v>
      </c>
      <c r="C645" s="146" t="s">
        <v>2918</v>
      </c>
      <c r="D645" s="149"/>
    </row>
    <row r="646" spans="2:4" ht="20.25" customHeight="1">
      <c r="B646" s="108" t="s">
        <v>2923</v>
      </c>
      <c r="C646" s="146" t="s">
        <v>2918</v>
      </c>
      <c r="D646" s="149"/>
    </row>
    <row r="647" spans="2:4" ht="20.25" customHeight="1">
      <c r="B647" s="108" t="s">
        <v>2924</v>
      </c>
      <c r="C647" s="146" t="s">
        <v>2921</v>
      </c>
      <c r="D647" s="149"/>
    </row>
    <row r="648" spans="2:4" ht="20.25" customHeight="1">
      <c r="B648" s="112" t="s">
        <v>1855</v>
      </c>
      <c r="C648" s="146" t="s">
        <v>2925</v>
      </c>
      <c r="D648" s="149"/>
    </row>
    <row r="649" spans="2:4" ht="20.25" customHeight="1">
      <c r="B649" s="108" t="s">
        <v>2926</v>
      </c>
      <c r="C649" s="146" t="s">
        <v>2927</v>
      </c>
      <c r="D649" s="149"/>
    </row>
    <row r="650" spans="2:4" ht="20.25" customHeight="1">
      <c r="B650" s="108" t="s">
        <v>2928</v>
      </c>
      <c r="C650" s="146" t="s">
        <v>2929</v>
      </c>
      <c r="D650" s="149"/>
    </row>
    <row r="651" spans="2:4" ht="20.25" customHeight="1">
      <c r="B651" s="108" t="s">
        <v>2930</v>
      </c>
      <c r="C651" s="146" t="s">
        <v>2537</v>
      </c>
      <c r="D651" s="149"/>
    </row>
    <row r="652" spans="2:4" ht="20.25" customHeight="1">
      <c r="B652" s="108" t="s">
        <v>2931</v>
      </c>
      <c r="C652" s="146" t="s">
        <v>2537</v>
      </c>
      <c r="D652" s="149"/>
    </row>
    <row r="653" spans="2:4" ht="20.25" customHeight="1">
      <c r="B653" s="112" t="s">
        <v>2932</v>
      </c>
      <c r="C653" s="138" t="s">
        <v>2933</v>
      </c>
      <c r="D653" s="149"/>
    </row>
    <row r="654" spans="2:4" ht="20.25" customHeight="1">
      <c r="B654" s="108" t="s">
        <v>2934</v>
      </c>
      <c r="C654" s="146" t="s">
        <v>2935</v>
      </c>
      <c r="D654" s="149"/>
    </row>
    <row r="655" spans="2:4" ht="20.25" customHeight="1">
      <c r="B655" s="108" t="s">
        <v>2936</v>
      </c>
      <c r="C655" s="146" t="s">
        <v>2937</v>
      </c>
      <c r="D655" s="149"/>
    </row>
    <row r="656" spans="2:4" ht="20.25" customHeight="1">
      <c r="B656" s="119" t="s">
        <v>1911</v>
      </c>
      <c r="C656" s="146" t="s">
        <v>2938</v>
      </c>
      <c r="D656" s="149"/>
    </row>
    <row r="657" spans="2:4" ht="20.25" customHeight="1">
      <c r="B657" s="112" t="s">
        <v>2939</v>
      </c>
      <c r="C657" s="138" t="s">
        <v>2940</v>
      </c>
      <c r="D657" s="134" t="s">
        <v>24</v>
      </c>
    </row>
    <row r="658" spans="2:4" ht="20.25" customHeight="1">
      <c r="B658" s="108" t="s">
        <v>2941</v>
      </c>
      <c r="C658" s="146" t="s">
        <v>2537</v>
      </c>
      <c r="D658" s="134" t="s">
        <v>24</v>
      </c>
    </row>
    <row r="659" spans="2:4" ht="20.25" customHeight="1">
      <c r="B659" s="108" t="s">
        <v>1913</v>
      </c>
      <c r="C659" s="146" t="s">
        <v>2537</v>
      </c>
      <c r="D659" s="134" t="s">
        <v>24</v>
      </c>
    </row>
    <row r="660" spans="2:4" ht="20.25" customHeight="1">
      <c r="B660" s="108" t="s">
        <v>1915</v>
      </c>
      <c r="C660" s="146" t="s">
        <v>2537</v>
      </c>
      <c r="D660" s="149" t="s">
        <v>24</v>
      </c>
    </row>
    <row r="661" spans="2:4" ht="20.25" customHeight="1">
      <c r="B661" s="108" t="s">
        <v>1834</v>
      </c>
      <c r="C661" s="138" t="s">
        <v>2942</v>
      </c>
      <c r="D661" s="149"/>
    </row>
    <row r="662" spans="2:4" ht="20.25" customHeight="1">
      <c r="B662" s="108" t="s">
        <v>1917</v>
      </c>
      <c r="C662" s="138" t="s">
        <v>2943</v>
      </c>
      <c r="D662" s="149"/>
    </row>
    <row r="663" spans="2:4" ht="20.25" customHeight="1">
      <c r="B663" s="108" t="s">
        <v>2944</v>
      </c>
      <c r="C663" s="138" t="s">
        <v>2945</v>
      </c>
      <c r="D663" s="149"/>
    </row>
    <row r="664" spans="2:4" ht="20.25" customHeight="1">
      <c r="B664" s="108" t="s">
        <v>2946</v>
      </c>
      <c r="C664" s="146" t="s">
        <v>2947</v>
      </c>
      <c r="D664" s="149"/>
    </row>
    <row r="665" spans="2:4" ht="20.25" customHeight="1">
      <c r="B665" s="108" t="s">
        <v>1806</v>
      </c>
      <c r="C665" s="138" t="s">
        <v>2948</v>
      </c>
      <c r="D665" s="149"/>
    </row>
    <row r="666" spans="2:4" ht="20.25" customHeight="1">
      <c r="B666" s="108" t="s">
        <v>1856</v>
      </c>
      <c r="C666" s="138" t="s">
        <v>2949</v>
      </c>
      <c r="D666" s="149"/>
    </row>
    <row r="667" spans="2:4" ht="20.25" customHeight="1">
      <c r="B667" s="108" t="s">
        <v>2950</v>
      </c>
      <c r="C667" s="146" t="s">
        <v>2951</v>
      </c>
      <c r="D667" s="149"/>
    </row>
    <row r="668" spans="2:4" ht="20.25" customHeight="1">
      <c r="B668" s="108" t="s">
        <v>2952</v>
      </c>
      <c r="C668" s="146" t="s">
        <v>2953</v>
      </c>
      <c r="D668" s="149"/>
    </row>
    <row r="669" spans="2:4" ht="20.25" customHeight="1">
      <c r="B669" s="108" t="s">
        <v>2954</v>
      </c>
      <c r="C669" s="138" t="s">
        <v>2955</v>
      </c>
      <c r="D669" s="149"/>
    </row>
    <row r="670" spans="2:4" ht="20.25" customHeight="1">
      <c r="B670" s="108" t="s">
        <v>2956</v>
      </c>
      <c r="C670" s="146" t="s">
        <v>2537</v>
      </c>
      <c r="D670" s="149"/>
    </row>
    <row r="671" spans="2:4" ht="20.25" customHeight="1">
      <c r="B671" s="108" t="s">
        <v>2957</v>
      </c>
      <c r="C671" s="146" t="s">
        <v>2958</v>
      </c>
      <c r="D671" s="149"/>
    </row>
    <row r="672" spans="2:4" ht="20.25" customHeight="1">
      <c r="B672" s="108" t="s">
        <v>2959</v>
      </c>
      <c r="C672" s="138" t="s">
        <v>2960</v>
      </c>
      <c r="D672" s="149"/>
    </row>
    <row r="673" spans="2:4" ht="20.25" customHeight="1">
      <c r="B673" s="108" t="s">
        <v>2961</v>
      </c>
      <c r="C673" s="146" t="s">
        <v>2962</v>
      </c>
      <c r="D673" s="149"/>
    </row>
    <row r="674" spans="2:4" ht="20.25" customHeight="1">
      <c r="B674" s="108" t="s">
        <v>1918</v>
      </c>
      <c r="C674" s="146" t="s">
        <v>371</v>
      </c>
      <c r="D674" s="149"/>
    </row>
    <row r="675" spans="2:4" ht="20.25" customHeight="1">
      <c r="B675" s="108" t="s">
        <v>2963</v>
      </c>
      <c r="C675" s="138" t="s">
        <v>2964</v>
      </c>
      <c r="D675" s="149"/>
    </row>
    <row r="676" spans="2:4" ht="20.25" customHeight="1">
      <c r="B676" s="108" t="s">
        <v>2965</v>
      </c>
      <c r="C676" s="138" t="s">
        <v>2966</v>
      </c>
      <c r="D676" s="161">
        <v>45040</v>
      </c>
    </row>
    <row r="677" spans="2:4" ht="20.25" customHeight="1">
      <c r="B677" s="108" t="s">
        <v>2967</v>
      </c>
      <c r="C677" s="146" t="s">
        <v>2537</v>
      </c>
      <c r="D677" s="149"/>
    </row>
    <row r="678" spans="2:4" ht="20.25" customHeight="1">
      <c r="B678" s="108" t="s">
        <v>2968</v>
      </c>
      <c r="C678" s="146" t="s">
        <v>2537</v>
      </c>
      <c r="D678" s="149"/>
    </row>
    <row r="679" spans="2:4" ht="20.25" customHeight="1">
      <c r="B679" s="108" t="s">
        <v>2969</v>
      </c>
      <c r="C679" s="146" t="s">
        <v>2970</v>
      </c>
      <c r="D679" s="134"/>
    </row>
    <row r="680" spans="2:4" ht="20.25" customHeight="1">
      <c r="B680" s="108" t="s">
        <v>2971</v>
      </c>
      <c r="C680" s="138" t="s">
        <v>2972</v>
      </c>
      <c r="D680" s="149"/>
    </row>
    <row r="681" spans="2:4" ht="20.25" customHeight="1">
      <c r="B681" s="108" t="s">
        <v>2973</v>
      </c>
      <c r="C681" s="138" t="s">
        <v>2974</v>
      </c>
      <c r="D681" s="149"/>
    </row>
    <row r="682" spans="2:4" ht="20.25" customHeight="1">
      <c r="B682" s="108" t="s">
        <v>2975</v>
      </c>
      <c r="C682" s="146" t="s">
        <v>2976</v>
      </c>
      <c r="D682" s="139">
        <v>44922</v>
      </c>
    </row>
    <row r="683" spans="2:4" ht="20.25" customHeight="1">
      <c r="B683" s="108" t="s">
        <v>2977</v>
      </c>
      <c r="C683" s="138" t="s">
        <v>2978</v>
      </c>
      <c r="D683" s="149"/>
    </row>
    <row r="684" spans="2:4" ht="20.25" customHeight="1">
      <c r="B684" s="108" t="s">
        <v>2979</v>
      </c>
      <c r="C684" s="138" t="s">
        <v>371</v>
      </c>
      <c r="D684" s="149"/>
    </row>
    <row r="685" spans="2:4" ht="20.25" customHeight="1">
      <c r="B685" s="108" t="s">
        <v>2980</v>
      </c>
      <c r="C685" s="146" t="s">
        <v>2981</v>
      </c>
      <c r="D685" s="149"/>
    </row>
    <row r="686" spans="2:4" ht="20.25" customHeight="1">
      <c r="B686" s="108" t="s">
        <v>2982</v>
      </c>
      <c r="C686" s="138" t="s">
        <v>2983</v>
      </c>
      <c r="D686" s="149"/>
    </row>
    <row r="687" spans="2:4" ht="20.25" customHeight="1">
      <c r="B687" s="108" t="s">
        <v>1857</v>
      </c>
      <c r="C687" s="146" t="s">
        <v>2984</v>
      </c>
      <c r="D687" s="149" t="s">
        <v>24</v>
      </c>
    </row>
    <row r="688" spans="2:4" ht="20.25" customHeight="1">
      <c r="B688" s="108" t="s">
        <v>2985</v>
      </c>
      <c r="C688" s="180" t="s">
        <v>2986</v>
      </c>
      <c r="D688" s="149" t="s">
        <v>24</v>
      </c>
    </row>
    <row r="689" spans="2:4" ht="20.25" customHeight="1">
      <c r="B689" s="108" t="s">
        <v>2987</v>
      </c>
      <c r="C689" s="146" t="s">
        <v>2537</v>
      </c>
      <c r="D689" s="149"/>
    </row>
    <row r="690" spans="2:4" ht="20.25" customHeight="1">
      <c r="B690" s="108" t="s">
        <v>2988</v>
      </c>
      <c r="C690" s="146" t="s">
        <v>2989</v>
      </c>
      <c r="D690" s="149" t="s">
        <v>24</v>
      </c>
    </row>
    <row r="691" spans="2:4" ht="20.25" customHeight="1">
      <c r="B691" s="108" t="s">
        <v>1838</v>
      </c>
      <c r="C691" s="138" t="s">
        <v>2990</v>
      </c>
      <c r="D691" s="149"/>
    </row>
    <row r="692" spans="2:4" ht="20.25" customHeight="1">
      <c r="B692" s="108" t="s">
        <v>2991</v>
      </c>
      <c r="C692" s="138" t="s">
        <v>2992</v>
      </c>
      <c r="D692" s="149"/>
    </row>
    <row r="693" spans="2:4" ht="20.25" customHeight="1">
      <c r="B693" s="108" t="s">
        <v>2993</v>
      </c>
      <c r="C693" s="180" t="s">
        <v>2994</v>
      </c>
      <c r="D693" s="149"/>
    </row>
    <row r="694" spans="2:4" ht="20.25" customHeight="1">
      <c r="B694" s="108" t="s">
        <v>2995</v>
      </c>
      <c r="C694" s="138" t="s">
        <v>2996</v>
      </c>
      <c r="D694" s="134" t="s">
        <v>24</v>
      </c>
    </row>
    <row r="695" spans="2:4" ht="20.25" customHeight="1">
      <c r="B695" s="108" t="s">
        <v>2997</v>
      </c>
      <c r="C695" s="146" t="s">
        <v>2998</v>
      </c>
      <c r="D695" s="161">
        <v>45040</v>
      </c>
    </row>
    <row r="696" spans="2:4" ht="20.25" customHeight="1">
      <c r="B696" s="108" t="s">
        <v>2999</v>
      </c>
      <c r="C696" s="146" t="s">
        <v>3000</v>
      </c>
      <c r="D696" s="149"/>
    </row>
    <row r="697" spans="2:4" ht="20.25" customHeight="1">
      <c r="B697" s="108" t="s">
        <v>3001</v>
      </c>
      <c r="C697" s="138" t="s">
        <v>3000</v>
      </c>
      <c r="D697" s="134" t="s">
        <v>24</v>
      </c>
    </row>
    <row r="698" spans="2:4" ht="20.25" customHeight="1">
      <c r="B698" s="108" t="s">
        <v>3002</v>
      </c>
      <c r="C698" s="138" t="s">
        <v>3003</v>
      </c>
      <c r="D698" s="144">
        <v>45148</v>
      </c>
    </row>
    <row r="699" spans="2:4" ht="20.25" customHeight="1">
      <c r="B699" s="108" t="s">
        <v>3004</v>
      </c>
      <c r="C699" s="146" t="s">
        <v>3005</v>
      </c>
      <c r="D699" s="149"/>
    </row>
    <row r="700" spans="2:4" ht="20.25" customHeight="1">
      <c r="B700" s="108" t="s">
        <v>3006</v>
      </c>
      <c r="C700" s="146" t="s">
        <v>3007</v>
      </c>
      <c r="D700" s="144">
        <v>45049</v>
      </c>
    </row>
    <row r="701" spans="2:4" ht="20.25" customHeight="1">
      <c r="B701" s="108" t="s">
        <v>3008</v>
      </c>
      <c r="C701" s="138" t="s">
        <v>3009</v>
      </c>
      <c r="D701" s="134" t="s">
        <v>24</v>
      </c>
    </row>
    <row r="702" spans="2:4" ht="20.25" customHeight="1">
      <c r="B702" s="108" t="s">
        <v>3010</v>
      </c>
      <c r="C702" s="146" t="s">
        <v>3011</v>
      </c>
      <c r="D702" s="149" t="s">
        <v>24</v>
      </c>
    </row>
    <row r="703" spans="2:4" ht="20.25" customHeight="1">
      <c r="B703" s="108" t="s">
        <v>3012</v>
      </c>
      <c r="C703" s="138" t="s">
        <v>3013</v>
      </c>
      <c r="D703" s="149"/>
    </row>
    <row r="704" spans="2:4" ht="20.25" customHeight="1">
      <c r="B704" s="108" t="s">
        <v>3014</v>
      </c>
      <c r="C704" s="146" t="s">
        <v>3015</v>
      </c>
      <c r="D704" s="149"/>
    </row>
    <row r="705" spans="2:4" ht="20.25" customHeight="1">
      <c r="B705" s="108" t="s">
        <v>3016</v>
      </c>
      <c r="C705" s="138" t="s">
        <v>3017</v>
      </c>
      <c r="D705" s="144">
        <v>45049</v>
      </c>
    </row>
    <row r="706" spans="2:4" ht="20.25" customHeight="1">
      <c r="B706" s="108" t="s">
        <v>3018</v>
      </c>
      <c r="C706" s="138" t="s">
        <v>3019</v>
      </c>
      <c r="D706" s="139">
        <v>45058</v>
      </c>
    </row>
    <row r="707" spans="2:4" ht="20.25" customHeight="1">
      <c r="B707" s="108" t="s">
        <v>3020</v>
      </c>
      <c r="C707" s="146" t="s">
        <v>3021</v>
      </c>
      <c r="D707" s="149"/>
    </row>
    <row r="708" spans="2:4" ht="20.25" customHeight="1">
      <c r="B708" s="108" t="s">
        <v>3022</v>
      </c>
      <c r="C708" s="146" t="s">
        <v>2537</v>
      </c>
      <c r="D708" s="161">
        <v>45040</v>
      </c>
    </row>
    <row r="709" spans="2:4" ht="20.25" customHeight="1">
      <c r="B709" s="108" t="s">
        <v>3023</v>
      </c>
      <c r="C709" s="146" t="s">
        <v>3024</v>
      </c>
      <c r="D709" s="149"/>
    </row>
    <row r="710" spans="2:4" ht="20.25" customHeight="1">
      <c r="B710" s="108" t="s">
        <v>3025</v>
      </c>
      <c r="C710" s="146" t="s">
        <v>3026</v>
      </c>
      <c r="D710" s="134" t="s">
        <v>24</v>
      </c>
    </row>
    <row r="711" spans="2:4" ht="20.25" customHeight="1">
      <c r="B711" s="108" t="s">
        <v>3027</v>
      </c>
      <c r="C711" s="146" t="s">
        <v>3028</v>
      </c>
      <c r="D711" s="149"/>
    </row>
    <row r="712" spans="2:4" ht="20.25" customHeight="1">
      <c r="B712" s="108" t="s">
        <v>3029</v>
      </c>
      <c r="C712" s="138" t="s">
        <v>3030</v>
      </c>
      <c r="D712" s="149"/>
    </row>
    <row r="713" spans="2:4" ht="20.25" customHeight="1">
      <c r="B713" s="108" t="s">
        <v>3031</v>
      </c>
      <c r="C713" s="146" t="s">
        <v>3032</v>
      </c>
      <c r="D713" s="149"/>
    </row>
    <row r="714" spans="2:4" ht="20.25" customHeight="1">
      <c r="B714" s="108" t="s">
        <v>3033</v>
      </c>
      <c r="C714" s="138" t="s">
        <v>3034</v>
      </c>
      <c r="D714" s="134" t="s">
        <v>24</v>
      </c>
    </row>
    <row r="715" spans="2:4" ht="20.25" customHeight="1">
      <c r="B715" s="108" t="s">
        <v>3035</v>
      </c>
      <c r="C715" s="138" t="s">
        <v>3036</v>
      </c>
      <c r="D715" s="149"/>
    </row>
    <row r="716" spans="2:4" ht="20.25" customHeight="1">
      <c r="B716" s="108" t="s">
        <v>3037</v>
      </c>
      <c r="C716" s="146" t="s">
        <v>371</v>
      </c>
      <c r="D716" s="149"/>
    </row>
    <row r="717" spans="2:4" ht="20.25" customHeight="1">
      <c r="B717" s="108" t="s">
        <v>3038</v>
      </c>
      <c r="C717" s="146" t="s">
        <v>2537</v>
      </c>
      <c r="D717" s="149"/>
    </row>
    <row r="718" spans="2:4" ht="20.25" customHeight="1">
      <c r="B718" s="108" t="s">
        <v>3039</v>
      </c>
      <c r="C718" s="138" t="s">
        <v>3040</v>
      </c>
      <c r="D718" s="134" t="s">
        <v>24</v>
      </c>
    </row>
    <row r="719" spans="2:4" ht="20.25" customHeight="1">
      <c r="B719" s="108" t="s">
        <v>3041</v>
      </c>
      <c r="C719" s="138" t="s">
        <v>3042</v>
      </c>
      <c r="D719" s="134" t="s">
        <v>24</v>
      </c>
    </row>
    <row r="720" spans="2:4" ht="20.25" customHeight="1">
      <c r="B720" s="108" t="s">
        <v>3043</v>
      </c>
      <c r="C720" s="146" t="s">
        <v>3044</v>
      </c>
      <c r="D720" s="149"/>
    </row>
    <row r="721" spans="2:4" ht="20.25" customHeight="1">
      <c r="B721" s="108" t="s">
        <v>3045</v>
      </c>
      <c r="C721" s="146" t="s">
        <v>3046</v>
      </c>
      <c r="D721" s="134" t="s">
        <v>24</v>
      </c>
    </row>
    <row r="722" spans="2:4" ht="20.25" customHeight="1">
      <c r="B722" s="108" t="s">
        <v>3047</v>
      </c>
      <c r="C722" s="138" t="s">
        <v>3048</v>
      </c>
      <c r="D722" s="149"/>
    </row>
    <row r="723" spans="2:4" ht="20.25" customHeight="1">
      <c r="B723" s="108" t="s">
        <v>3049</v>
      </c>
      <c r="C723" s="138" t="s">
        <v>3050</v>
      </c>
      <c r="D723" s="149"/>
    </row>
    <row r="724" spans="2:4" ht="20.25" customHeight="1">
      <c r="B724" s="108" t="s">
        <v>3051</v>
      </c>
      <c r="C724" s="146" t="s">
        <v>3052</v>
      </c>
      <c r="D724" s="134" t="s">
        <v>24</v>
      </c>
    </row>
    <row r="725" spans="2:4" ht="20.25" customHeight="1">
      <c r="B725" s="108" t="s">
        <v>3053</v>
      </c>
      <c r="C725" s="138" t="s">
        <v>3054</v>
      </c>
      <c r="D725" s="161">
        <v>45040</v>
      </c>
    </row>
    <row r="726" spans="2:4" ht="20.25" customHeight="1">
      <c r="B726" s="108" t="s">
        <v>3055</v>
      </c>
      <c r="C726" s="138" t="s">
        <v>3056</v>
      </c>
      <c r="D726" s="149"/>
    </row>
    <row r="727" spans="2:4" ht="20.25" customHeight="1">
      <c r="B727" s="108" t="s">
        <v>1920</v>
      </c>
      <c r="C727" s="138" t="s">
        <v>3057</v>
      </c>
      <c r="D727" s="134" t="s">
        <v>24</v>
      </c>
    </row>
    <row r="728" spans="2:4" ht="20.25" customHeight="1">
      <c r="B728" s="108" t="s">
        <v>3058</v>
      </c>
      <c r="C728" s="138" t="s">
        <v>3059</v>
      </c>
      <c r="D728" s="139">
        <v>44923</v>
      </c>
    </row>
    <row r="729" spans="2:4" ht="20.25" customHeight="1">
      <c r="B729" s="108" t="s">
        <v>3060</v>
      </c>
      <c r="C729" s="146" t="s">
        <v>3061</v>
      </c>
      <c r="D729" s="149"/>
    </row>
    <row r="730" spans="2:4" ht="20.25" customHeight="1">
      <c r="B730" s="108" t="s">
        <v>3062</v>
      </c>
      <c r="C730" s="138" t="s">
        <v>2537</v>
      </c>
      <c r="D730" s="139">
        <v>44877</v>
      </c>
    </row>
    <row r="731" spans="2:4" ht="20.25" customHeight="1">
      <c r="B731" s="108" t="s">
        <v>3063</v>
      </c>
      <c r="C731" s="138" t="s">
        <v>3064</v>
      </c>
      <c r="D731" s="149"/>
    </row>
    <row r="732" spans="2:4" ht="20.25" customHeight="1">
      <c r="B732" s="108" t="s">
        <v>3065</v>
      </c>
      <c r="C732" s="146" t="s">
        <v>3066</v>
      </c>
      <c r="D732" s="149"/>
    </row>
    <row r="733" spans="2:4" ht="20.25" customHeight="1">
      <c r="B733" s="108" t="s">
        <v>3067</v>
      </c>
      <c r="C733" s="138" t="s">
        <v>2537</v>
      </c>
      <c r="D733" s="161">
        <v>45040</v>
      </c>
    </row>
    <row r="734" spans="2:4" ht="20.25" customHeight="1">
      <c r="B734" s="108" t="s">
        <v>3068</v>
      </c>
      <c r="C734" s="138" t="s">
        <v>3069</v>
      </c>
      <c r="D734" s="134" t="s">
        <v>24</v>
      </c>
    </row>
    <row r="735" spans="2:4" ht="20.25" customHeight="1">
      <c r="B735" s="110" t="s">
        <v>1815</v>
      </c>
      <c r="C735" s="146" t="s">
        <v>2537</v>
      </c>
      <c r="D735" s="149"/>
    </row>
    <row r="736" spans="2:4" ht="20.25" customHeight="1">
      <c r="B736" s="108" t="s">
        <v>1922</v>
      </c>
      <c r="C736" s="146" t="s">
        <v>371</v>
      </c>
      <c r="D736" s="149"/>
    </row>
    <row r="737" spans="2:4" ht="20.25" customHeight="1">
      <c r="B737" s="108" t="s">
        <v>3070</v>
      </c>
      <c r="C737" s="146" t="s">
        <v>3071</v>
      </c>
      <c r="D737" s="149"/>
    </row>
    <row r="738" spans="2:4" ht="20.25" customHeight="1">
      <c r="B738" s="108" t="s">
        <v>3072</v>
      </c>
      <c r="C738" s="138" t="s">
        <v>3073</v>
      </c>
      <c r="D738" s="149"/>
    </row>
    <row r="739" spans="2:4" ht="20.25" customHeight="1">
      <c r="B739" s="108" t="s">
        <v>1924</v>
      </c>
      <c r="C739" s="146" t="s">
        <v>3074</v>
      </c>
      <c r="D739" s="149"/>
    </row>
    <row r="740" spans="2:4" ht="20.25" customHeight="1">
      <c r="B740" s="108" t="s">
        <v>3075</v>
      </c>
      <c r="C740" s="146" t="s">
        <v>3076</v>
      </c>
      <c r="D740" s="149"/>
    </row>
    <row r="741" spans="2:4" ht="20.25" customHeight="1">
      <c r="B741" s="108" t="s">
        <v>3077</v>
      </c>
      <c r="C741" s="146" t="s">
        <v>371</v>
      </c>
      <c r="D741" s="149"/>
    </row>
    <row r="742" spans="2:4" ht="20.25" customHeight="1">
      <c r="B742" s="119" t="s">
        <v>1926</v>
      </c>
      <c r="C742" s="146" t="s">
        <v>371</v>
      </c>
      <c r="D742" s="149"/>
    </row>
    <row r="743" spans="2:4" ht="20.25" customHeight="1">
      <c r="B743" s="108" t="s">
        <v>3078</v>
      </c>
      <c r="C743" s="146" t="s">
        <v>371</v>
      </c>
      <c r="D743" s="149"/>
    </row>
    <row r="744" spans="2:4" ht="20.25" customHeight="1">
      <c r="B744" s="108" t="s">
        <v>3079</v>
      </c>
      <c r="C744" s="146" t="s">
        <v>371</v>
      </c>
      <c r="D744" s="149"/>
    </row>
    <row r="745" spans="2:4" ht="20.25" customHeight="1">
      <c r="B745" s="108" t="s">
        <v>3080</v>
      </c>
      <c r="C745" s="146" t="s">
        <v>371</v>
      </c>
      <c r="D745" s="144">
        <v>45049</v>
      </c>
    </row>
    <row r="746" spans="2:4" ht="20.25" customHeight="1">
      <c r="B746" s="108" t="s">
        <v>3081</v>
      </c>
      <c r="C746" s="146" t="s">
        <v>371</v>
      </c>
      <c r="D746" s="161">
        <v>45040</v>
      </c>
    </row>
    <row r="747" spans="2:4" ht="20.25" customHeight="1">
      <c r="B747" s="108" t="s">
        <v>3082</v>
      </c>
      <c r="C747" s="146" t="s">
        <v>371</v>
      </c>
      <c r="D747" s="149"/>
    </row>
    <row r="748" spans="2:4" ht="20.25" customHeight="1">
      <c r="B748" s="108" t="s">
        <v>3083</v>
      </c>
      <c r="C748" s="138" t="s">
        <v>2804</v>
      </c>
      <c r="D748" s="149"/>
    </row>
    <row r="749" spans="2:4" ht="20.25" customHeight="1">
      <c r="B749" s="111" t="s">
        <v>3084</v>
      </c>
      <c r="C749" s="146" t="s">
        <v>3085</v>
      </c>
      <c r="D749" s="134" t="s">
        <v>24</v>
      </c>
    </row>
    <row r="750" spans="2:4" ht="20.25" customHeight="1">
      <c r="B750" s="108" t="s">
        <v>3086</v>
      </c>
      <c r="C750" s="138" t="s">
        <v>3087</v>
      </c>
      <c r="D750" s="149"/>
    </row>
    <row r="751" spans="2:4" ht="20.25" customHeight="1">
      <c r="B751" s="108" t="s">
        <v>3088</v>
      </c>
      <c r="C751" s="146" t="s">
        <v>371</v>
      </c>
      <c r="D751" s="149"/>
    </row>
    <row r="752" spans="2:4" ht="20.25" customHeight="1">
      <c r="B752" s="108" t="s">
        <v>3089</v>
      </c>
      <c r="C752" s="146" t="s">
        <v>3090</v>
      </c>
      <c r="D752" s="149"/>
    </row>
    <row r="753" spans="2:4" ht="20.25" customHeight="1">
      <c r="B753" s="108" t="s">
        <v>3091</v>
      </c>
      <c r="C753" s="138" t="s">
        <v>3092</v>
      </c>
      <c r="D753" s="149"/>
    </row>
    <row r="754" spans="2:4" ht="20.25" customHeight="1">
      <c r="B754" s="108" t="s">
        <v>3093</v>
      </c>
      <c r="C754" s="146" t="s">
        <v>371</v>
      </c>
      <c r="D754" s="149"/>
    </row>
    <row r="755" spans="2:4" ht="20.25" customHeight="1">
      <c r="B755" s="108" t="s">
        <v>3094</v>
      </c>
      <c r="C755" s="146" t="s">
        <v>371</v>
      </c>
      <c r="D755" s="149"/>
    </row>
    <row r="756" spans="2:4" ht="20.25" customHeight="1">
      <c r="B756" s="108" t="s">
        <v>3095</v>
      </c>
      <c r="C756" s="146" t="s">
        <v>3096</v>
      </c>
      <c r="D756" s="134" t="s">
        <v>24</v>
      </c>
    </row>
    <row r="757" spans="2:4" ht="20.25" customHeight="1">
      <c r="B757" s="108" t="s">
        <v>3097</v>
      </c>
      <c r="C757" s="146" t="s">
        <v>371</v>
      </c>
      <c r="D757" s="144">
        <v>45105</v>
      </c>
    </row>
    <row r="758" spans="2:4" ht="20.25" customHeight="1">
      <c r="B758" s="108" t="s">
        <v>3098</v>
      </c>
      <c r="C758" s="146" t="s">
        <v>371</v>
      </c>
      <c r="D758" s="161">
        <v>45040</v>
      </c>
    </row>
    <row r="759" spans="2:4" ht="20.25" customHeight="1">
      <c r="B759" s="108" t="s">
        <v>3099</v>
      </c>
      <c r="C759" s="146" t="s">
        <v>2537</v>
      </c>
      <c r="D759" s="149"/>
    </row>
    <row r="760" spans="2:4" ht="20.25" customHeight="1">
      <c r="B760" s="108" t="s">
        <v>3100</v>
      </c>
      <c r="C760" s="138" t="s">
        <v>3101</v>
      </c>
      <c r="D760" s="134" t="s">
        <v>24</v>
      </c>
    </row>
    <row r="761" spans="2:4" ht="20.25" customHeight="1">
      <c r="B761" s="108" t="s">
        <v>3102</v>
      </c>
      <c r="C761" s="138" t="s">
        <v>3103</v>
      </c>
      <c r="D761" s="134" t="s">
        <v>24</v>
      </c>
    </row>
    <row r="762" spans="2:4" ht="20.25" customHeight="1">
      <c r="B762" s="108" t="s">
        <v>3104</v>
      </c>
      <c r="C762" s="146" t="s">
        <v>3105</v>
      </c>
      <c r="D762" s="149"/>
    </row>
    <row r="763" spans="2:4" ht="20.25" customHeight="1">
      <c r="B763" s="108" t="s">
        <v>3106</v>
      </c>
      <c r="C763" s="138" t="s">
        <v>2537</v>
      </c>
      <c r="D763" s="149"/>
    </row>
    <row r="764" spans="2:4" ht="20.25" customHeight="1">
      <c r="B764" s="108" t="s">
        <v>3107</v>
      </c>
      <c r="C764" s="138" t="s">
        <v>3108</v>
      </c>
      <c r="D764" s="149"/>
    </row>
    <row r="765" spans="2:4" ht="20.25" customHeight="1">
      <c r="B765" s="108" t="s">
        <v>1819</v>
      </c>
      <c r="C765" s="138" t="s">
        <v>3109</v>
      </c>
      <c r="D765" s="134" t="s">
        <v>24</v>
      </c>
    </row>
    <row r="766" spans="2:4" ht="20.25" customHeight="1">
      <c r="B766" s="108" t="s">
        <v>1808</v>
      </c>
      <c r="C766" s="138" t="s">
        <v>2537</v>
      </c>
      <c r="D766" s="149"/>
    </row>
    <row r="767" spans="2:4" ht="20.25" customHeight="1">
      <c r="B767" s="108" t="s">
        <v>3110</v>
      </c>
      <c r="C767" s="146" t="s">
        <v>371</v>
      </c>
      <c r="D767" s="139">
        <v>44910</v>
      </c>
    </row>
    <row r="768" spans="2:4" ht="20.25" customHeight="1">
      <c r="B768" s="108" t="s">
        <v>3111</v>
      </c>
      <c r="C768" s="146" t="s">
        <v>3112</v>
      </c>
      <c r="D768" s="149"/>
    </row>
    <row r="769" spans="2:4" ht="20.25" customHeight="1">
      <c r="B769" s="108" t="s">
        <v>3113</v>
      </c>
      <c r="C769" s="138" t="s">
        <v>3114</v>
      </c>
      <c r="D769" s="134" t="s">
        <v>24</v>
      </c>
    </row>
    <row r="770" spans="2:4" ht="20.25" customHeight="1">
      <c r="B770" s="108" t="s">
        <v>3115</v>
      </c>
      <c r="C770" s="138" t="s">
        <v>3116</v>
      </c>
      <c r="D770" s="149"/>
    </row>
    <row r="771" spans="2:4" ht="20.25" customHeight="1">
      <c r="B771" s="108" t="s">
        <v>3117</v>
      </c>
      <c r="C771" s="138" t="s">
        <v>3118</v>
      </c>
      <c r="D771" s="149"/>
    </row>
    <row r="772" spans="2:4" ht="20.25" customHeight="1">
      <c r="B772" s="108" t="s">
        <v>3119</v>
      </c>
      <c r="C772" s="146" t="s">
        <v>3120</v>
      </c>
      <c r="D772" s="149"/>
    </row>
    <row r="773" spans="2:4" ht="20.25" customHeight="1">
      <c r="B773" s="108" t="s">
        <v>3121</v>
      </c>
      <c r="C773" s="138" t="s">
        <v>3122</v>
      </c>
      <c r="D773" s="149"/>
    </row>
    <row r="774" spans="2:4" ht="20.25" customHeight="1">
      <c r="B774" s="108" t="s">
        <v>3123</v>
      </c>
      <c r="C774" s="138" t="s">
        <v>3124</v>
      </c>
      <c r="D774" s="161">
        <v>45040</v>
      </c>
    </row>
    <row r="775" spans="2:4" ht="20.25" customHeight="1">
      <c r="B775" s="108" t="s">
        <v>3125</v>
      </c>
      <c r="C775" s="138" t="s">
        <v>3126</v>
      </c>
      <c r="D775" s="161">
        <v>45040</v>
      </c>
    </row>
    <row r="776" spans="2:4" ht="20.25" customHeight="1">
      <c r="B776" s="108" t="s">
        <v>3127</v>
      </c>
      <c r="C776" s="146" t="s">
        <v>3128</v>
      </c>
      <c r="D776" s="149"/>
    </row>
    <row r="777" spans="2:4" ht="20.25" customHeight="1">
      <c r="B777" s="108" t="s">
        <v>3129</v>
      </c>
      <c r="C777" s="146" t="s">
        <v>3128</v>
      </c>
      <c r="D777" s="149"/>
    </row>
    <row r="778" spans="2:4" ht="20.25" customHeight="1">
      <c r="B778" s="108" t="s">
        <v>3130</v>
      </c>
      <c r="C778" s="138" t="s">
        <v>3131</v>
      </c>
      <c r="D778" s="161">
        <v>45040</v>
      </c>
    </row>
    <row r="779" spans="2:4" ht="20.25" customHeight="1">
      <c r="B779" s="108" t="s">
        <v>3132</v>
      </c>
      <c r="C779" s="138" t="s">
        <v>3133</v>
      </c>
      <c r="D779" s="139">
        <v>44890</v>
      </c>
    </row>
    <row r="780" spans="2:4" ht="20.25" customHeight="1">
      <c r="B780" s="108" t="s">
        <v>3134</v>
      </c>
      <c r="C780" s="138" t="s">
        <v>371</v>
      </c>
      <c r="D780" s="149"/>
    </row>
    <row r="781" spans="2:4" ht="20.25" customHeight="1">
      <c r="B781" s="108" t="s">
        <v>3135</v>
      </c>
      <c r="C781" s="138" t="s">
        <v>371</v>
      </c>
      <c r="D781" s="161">
        <v>45040</v>
      </c>
    </row>
    <row r="782" spans="2:4" ht="20.25" customHeight="1">
      <c r="B782" s="108" t="s">
        <v>3136</v>
      </c>
      <c r="C782" s="146" t="s">
        <v>3137</v>
      </c>
      <c r="D782" s="145"/>
    </row>
    <row r="783" spans="2:4" ht="20.25" customHeight="1">
      <c r="B783" s="108" t="s">
        <v>3138</v>
      </c>
      <c r="C783" s="138" t="s">
        <v>3139</v>
      </c>
      <c r="D783" s="149"/>
    </row>
    <row r="784" spans="2:4" ht="20.25" customHeight="1">
      <c r="B784" s="108" t="s">
        <v>3140</v>
      </c>
      <c r="C784" s="138" t="s">
        <v>3141</v>
      </c>
      <c r="D784" s="161">
        <v>45040</v>
      </c>
    </row>
    <row r="785" spans="2:4" ht="20.25" customHeight="1">
      <c r="B785" s="108" t="s">
        <v>3142</v>
      </c>
      <c r="C785" s="146" t="s">
        <v>3143</v>
      </c>
      <c r="D785" s="149"/>
    </row>
    <row r="786" spans="2:4" ht="20.25" customHeight="1">
      <c r="B786" s="108" t="s">
        <v>3144</v>
      </c>
      <c r="C786" s="146" t="s">
        <v>3145</v>
      </c>
      <c r="D786" s="149"/>
    </row>
    <row r="787" spans="2:4" ht="20.25" customHeight="1">
      <c r="B787" s="108" t="s">
        <v>3146</v>
      </c>
      <c r="C787" s="146" t="s">
        <v>1835</v>
      </c>
      <c r="D787" s="161">
        <v>45040</v>
      </c>
    </row>
    <row r="788" spans="2:4" ht="20.25" customHeight="1">
      <c r="B788" s="108" t="s">
        <v>1841</v>
      </c>
      <c r="C788" s="146" t="s">
        <v>3147</v>
      </c>
      <c r="D788" s="139">
        <v>44922</v>
      </c>
    </row>
    <row r="789" spans="2:4" ht="20.25" customHeight="1">
      <c r="B789" s="108" t="s">
        <v>1844</v>
      </c>
      <c r="C789" s="146" t="s">
        <v>3148</v>
      </c>
      <c r="D789" s="149"/>
    </row>
    <row r="790" spans="2:4" ht="20.25" customHeight="1">
      <c r="B790" s="108" t="s">
        <v>1848</v>
      </c>
      <c r="C790" s="146" t="s">
        <v>3149</v>
      </c>
      <c r="D790" s="149"/>
    </row>
    <row r="791" spans="2:4" ht="20.25" customHeight="1">
      <c r="B791" s="108" t="s">
        <v>3150</v>
      </c>
      <c r="C791" s="146" t="s">
        <v>3151</v>
      </c>
      <c r="D791" s="134" t="s">
        <v>24</v>
      </c>
    </row>
    <row r="792" spans="2:4" ht="20.25" customHeight="1">
      <c r="B792" s="108" t="s">
        <v>3152</v>
      </c>
      <c r="C792" s="146" t="s">
        <v>3153</v>
      </c>
      <c r="D792" s="139">
        <v>45056</v>
      </c>
    </row>
    <row r="793" spans="2:4" ht="20.25" customHeight="1">
      <c r="B793" s="108" t="s">
        <v>1928</v>
      </c>
      <c r="C793" s="138" t="s">
        <v>3154</v>
      </c>
      <c r="D793" s="149"/>
    </row>
    <row r="794" spans="2:4" ht="20.25" customHeight="1">
      <c r="B794" s="108" t="s">
        <v>1930</v>
      </c>
      <c r="C794" s="138" t="s">
        <v>3155</v>
      </c>
      <c r="D794" s="134" t="s">
        <v>24</v>
      </c>
    </row>
    <row r="795" spans="2:4" ht="20.25" customHeight="1">
      <c r="B795" s="108" t="s">
        <v>3156</v>
      </c>
      <c r="C795" s="138" t="s">
        <v>3157</v>
      </c>
      <c r="D795" s="149" t="s">
        <v>24</v>
      </c>
    </row>
    <row r="796" spans="2:4" ht="20.25" customHeight="1">
      <c r="B796" s="108" t="s">
        <v>3158</v>
      </c>
      <c r="C796" s="138" t="s">
        <v>3159</v>
      </c>
      <c r="D796" s="134" t="s">
        <v>24</v>
      </c>
    </row>
    <row r="797" spans="2:4" ht="20.25" customHeight="1">
      <c r="B797" s="108" t="s">
        <v>3160</v>
      </c>
      <c r="C797" s="138" t="s">
        <v>3161</v>
      </c>
      <c r="D797" s="149"/>
    </row>
    <row r="798" spans="2:4" ht="20.25" customHeight="1">
      <c r="B798" s="108" t="s">
        <v>3162</v>
      </c>
      <c r="C798" s="138" t="s">
        <v>3163</v>
      </c>
      <c r="D798" s="149"/>
    </row>
    <row r="799" spans="2:4" ht="20.25" customHeight="1">
      <c r="B799" s="108" t="s">
        <v>3164</v>
      </c>
      <c r="C799" s="138" t="s">
        <v>3165</v>
      </c>
      <c r="D799" s="149"/>
    </row>
    <row r="800" spans="2:4" ht="20.25" customHeight="1">
      <c r="B800" s="108" t="s">
        <v>3166</v>
      </c>
      <c r="C800" s="138" t="s">
        <v>3167</v>
      </c>
      <c r="D800" s="149"/>
    </row>
    <row r="801" spans="2:4" ht="20.25" customHeight="1">
      <c r="B801" s="108" t="s">
        <v>3168</v>
      </c>
      <c r="C801" s="138" t="s">
        <v>3169</v>
      </c>
      <c r="D801" s="149"/>
    </row>
    <row r="802" spans="2:4" ht="20.25" customHeight="1">
      <c r="B802" s="108" t="s">
        <v>3170</v>
      </c>
      <c r="C802" s="146" t="s">
        <v>3171</v>
      </c>
      <c r="D802" s="149"/>
    </row>
    <row r="803" spans="2:4" ht="20.25" customHeight="1">
      <c r="B803" s="108" t="s">
        <v>3172</v>
      </c>
      <c r="C803" s="146" t="s">
        <v>3173</v>
      </c>
      <c r="D803" s="149"/>
    </row>
    <row r="804" spans="2:4" ht="20.25" customHeight="1">
      <c r="B804" s="108" t="s">
        <v>3174</v>
      </c>
      <c r="C804" s="138" t="s">
        <v>3175</v>
      </c>
      <c r="D804" s="149"/>
    </row>
    <row r="805" spans="2:4" ht="20.25" customHeight="1">
      <c r="B805" s="108" t="s">
        <v>3176</v>
      </c>
      <c r="C805" s="138" t="s">
        <v>3177</v>
      </c>
      <c r="D805" s="149"/>
    </row>
    <row r="806" spans="2:4" ht="20.25" customHeight="1">
      <c r="B806" s="108" t="s">
        <v>3178</v>
      </c>
      <c r="C806" s="138" t="s">
        <v>3179</v>
      </c>
      <c r="D806" s="149"/>
    </row>
    <row r="807" spans="2:4" ht="20.25" customHeight="1">
      <c r="B807" s="108" t="s">
        <v>3180</v>
      </c>
      <c r="C807" s="146" t="s">
        <v>371</v>
      </c>
      <c r="D807" s="134" t="s">
        <v>24</v>
      </c>
    </row>
    <row r="808" spans="2:4" ht="20.25" customHeight="1">
      <c r="B808" s="108" t="s">
        <v>3181</v>
      </c>
      <c r="C808" s="146" t="s">
        <v>3182</v>
      </c>
      <c r="D808" s="134" t="s">
        <v>24</v>
      </c>
    </row>
    <row r="809" spans="2:4" ht="20.25" customHeight="1">
      <c r="B809" s="108" t="s">
        <v>3183</v>
      </c>
      <c r="C809" s="138" t="s">
        <v>2537</v>
      </c>
      <c r="D809" s="134" t="s">
        <v>24</v>
      </c>
    </row>
    <row r="810" spans="2:4" ht="20.25" customHeight="1">
      <c r="B810" s="108" t="s">
        <v>3184</v>
      </c>
      <c r="C810" s="138" t="s">
        <v>3185</v>
      </c>
      <c r="D810" s="150"/>
    </row>
    <row r="811" spans="2:4" ht="20.25" customHeight="1">
      <c r="B811" s="108" t="s">
        <v>3186</v>
      </c>
      <c r="C811" s="138" t="s">
        <v>3187</v>
      </c>
      <c r="D811" s="149"/>
    </row>
    <row r="812" spans="2:4" ht="20.25" customHeight="1">
      <c r="B812" s="108" t="s">
        <v>3188</v>
      </c>
      <c r="C812" s="138" t="s">
        <v>3189</v>
      </c>
      <c r="D812" s="149"/>
    </row>
    <row r="813" spans="2:4" ht="20.25" customHeight="1">
      <c r="B813" s="108" t="s">
        <v>3190</v>
      </c>
      <c r="C813" s="146" t="s">
        <v>3191</v>
      </c>
      <c r="D813" s="149"/>
    </row>
    <row r="814" spans="2:4" ht="20.25" customHeight="1">
      <c r="B814" s="108" t="s">
        <v>3192</v>
      </c>
      <c r="C814" s="138" t="s">
        <v>3193</v>
      </c>
      <c r="D814" s="149"/>
    </row>
    <row r="815" spans="2:4" ht="20.25" customHeight="1">
      <c r="B815" s="109" t="s">
        <v>3194</v>
      </c>
      <c r="C815" s="138" t="s">
        <v>3195</v>
      </c>
      <c r="D815" s="149"/>
    </row>
    <row r="816" spans="2:4" ht="20.25" customHeight="1">
      <c r="B816" s="109" t="s">
        <v>3196</v>
      </c>
      <c r="C816" s="138" t="s">
        <v>3197</v>
      </c>
      <c r="D816" s="149"/>
    </row>
    <row r="817" spans="2:4" ht="20.25" customHeight="1">
      <c r="B817" s="108" t="s">
        <v>1859</v>
      </c>
      <c r="C817" s="181" t="s">
        <v>1839</v>
      </c>
      <c r="D817" s="149"/>
    </row>
    <row r="818" spans="2:4" ht="20.25" customHeight="1">
      <c r="B818" s="109" t="s">
        <v>3198</v>
      </c>
      <c r="C818" s="146" t="s">
        <v>2537</v>
      </c>
      <c r="D818" s="149"/>
    </row>
    <row r="819" spans="2:4" ht="20.25" customHeight="1">
      <c r="B819" s="109" t="s">
        <v>3199</v>
      </c>
      <c r="C819" s="138" t="s">
        <v>371</v>
      </c>
      <c r="D819" s="149"/>
    </row>
    <row r="820" spans="2:4" ht="20.25" customHeight="1">
      <c r="B820" s="109" t="s">
        <v>3200</v>
      </c>
      <c r="C820" s="146" t="s">
        <v>371</v>
      </c>
      <c r="D820" s="149"/>
    </row>
    <row r="821" spans="2:4" ht="20.25" customHeight="1">
      <c r="B821" s="109" t="s">
        <v>3201</v>
      </c>
      <c r="C821" s="138" t="s">
        <v>3202</v>
      </c>
      <c r="D821" s="149"/>
    </row>
    <row r="822" spans="2:4" ht="20.25" customHeight="1">
      <c r="B822" s="109" t="s">
        <v>3203</v>
      </c>
      <c r="C822" s="146" t="s">
        <v>371</v>
      </c>
      <c r="D822" s="149"/>
    </row>
    <row r="823" spans="2:4" ht="20.25" customHeight="1">
      <c r="B823" s="109" t="s">
        <v>3204</v>
      </c>
      <c r="C823" s="146" t="s">
        <v>371</v>
      </c>
      <c r="D823" s="149"/>
    </row>
    <row r="824" spans="2:4" ht="20.25" customHeight="1">
      <c r="B824" s="109" t="s">
        <v>3205</v>
      </c>
      <c r="C824" s="138" t="s">
        <v>3206</v>
      </c>
      <c r="D824" s="149"/>
    </row>
    <row r="825" spans="2:4" ht="20.25" customHeight="1">
      <c r="B825" s="109" t="s">
        <v>3207</v>
      </c>
      <c r="C825" s="138" t="s">
        <v>3208</v>
      </c>
      <c r="D825" s="149"/>
    </row>
    <row r="826" spans="2:4" ht="20.25" customHeight="1">
      <c r="B826" s="109" t="s">
        <v>3209</v>
      </c>
      <c r="C826" s="138" t="s">
        <v>3210</v>
      </c>
      <c r="D826" s="149"/>
    </row>
    <row r="827" spans="2:4" ht="20.25" customHeight="1">
      <c r="B827" s="109" t="s">
        <v>3211</v>
      </c>
      <c r="C827" s="146" t="s">
        <v>2537</v>
      </c>
      <c r="D827" s="149"/>
    </row>
    <row r="828" spans="2:4" ht="20.25" customHeight="1">
      <c r="B828" s="109" t="s">
        <v>3212</v>
      </c>
      <c r="C828" s="138" t="s">
        <v>3213</v>
      </c>
      <c r="D828" s="149"/>
    </row>
    <row r="829" spans="2:4" ht="20.25" customHeight="1">
      <c r="B829" s="109" t="s">
        <v>3214</v>
      </c>
      <c r="C829" s="138" t="s">
        <v>3215</v>
      </c>
      <c r="D829" s="149"/>
    </row>
    <row r="830" spans="2:4" ht="20.25" customHeight="1">
      <c r="B830" s="109" t="s">
        <v>3216</v>
      </c>
      <c r="C830" s="146" t="s">
        <v>371</v>
      </c>
      <c r="D830" s="149"/>
    </row>
    <row r="831" spans="2:4" ht="20.25" customHeight="1">
      <c r="B831" s="109" t="s">
        <v>3217</v>
      </c>
      <c r="C831" s="138" t="s">
        <v>3218</v>
      </c>
      <c r="D831" s="149"/>
    </row>
    <row r="832" spans="2:4" ht="20.25" customHeight="1">
      <c r="B832" s="109" t="s">
        <v>3219</v>
      </c>
      <c r="C832" s="146" t="s">
        <v>2537</v>
      </c>
      <c r="D832" s="149"/>
    </row>
    <row r="833" spans="2:4" ht="20.25" customHeight="1">
      <c r="B833" s="109" t="s">
        <v>3220</v>
      </c>
      <c r="C833" s="146" t="s">
        <v>371</v>
      </c>
      <c r="D833" s="149"/>
    </row>
    <row r="834" spans="2:4" ht="20.25" customHeight="1">
      <c r="B834" s="109" t="s">
        <v>3221</v>
      </c>
      <c r="C834" s="138" t="s">
        <v>3222</v>
      </c>
      <c r="D834" s="149"/>
    </row>
    <row r="835" spans="2:4" ht="20.25" customHeight="1">
      <c r="B835" s="109" t="s">
        <v>3223</v>
      </c>
      <c r="C835" s="138" t="s">
        <v>3224</v>
      </c>
      <c r="D835" s="149"/>
    </row>
    <row r="836" spans="2:4" ht="20.25" customHeight="1">
      <c r="B836" s="109" t="s">
        <v>3225</v>
      </c>
      <c r="C836" s="146" t="s">
        <v>371</v>
      </c>
      <c r="D836" s="149"/>
    </row>
    <row r="837" spans="2:4" ht="20.25" customHeight="1">
      <c r="B837" s="109" t="s">
        <v>3226</v>
      </c>
      <c r="C837" s="138" t="s">
        <v>3227</v>
      </c>
      <c r="D837" s="149"/>
    </row>
    <row r="838" spans="2:4" ht="20.25" customHeight="1">
      <c r="B838" s="109" t="s">
        <v>3228</v>
      </c>
      <c r="C838" s="138" t="s">
        <v>3229</v>
      </c>
      <c r="D838" s="149"/>
    </row>
    <row r="839" spans="2:4" ht="20.25" customHeight="1">
      <c r="B839" s="109" t="s">
        <v>3230</v>
      </c>
      <c r="C839" s="138" t="s">
        <v>3231</v>
      </c>
      <c r="D839" s="149"/>
    </row>
    <row r="840" spans="2:4" ht="20.25" customHeight="1">
      <c r="B840" s="109" t="s">
        <v>3232</v>
      </c>
      <c r="C840" s="138" t="s">
        <v>3233</v>
      </c>
      <c r="D840" s="149"/>
    </row>
    <row r="841" spans="2:4" ht="20.25" customHeight="1">
      <c r="B841" s="109" t="s">
        <v>3234</v>
      </c>
      <c r="C841" s="138" t="s">
        <v>3235</v>
      </c>
      <c r="D841" s="149"/>
    </row>
    <row r="842" spans="2:4" ht="20.25" customHeight="1">
      <c r="B842" s="109" t="s">
        <v>3236</v>
      </c>
      <c r="C842" s="138" t="s">
        <v>3237</v>
      </c>
      <c r="D842" s="149"/>
    </row>
    <row r="843" spans="2:4" ht="20.25" customHeight="1">
      <c r="B843" s="109" t="s">
        <v>3238</v>
      </c>
      <c r="C843" s="138" t="s">
        <v>3239</v>
      </c>
      <c r="D843" s="149"/>
    </row>
    <row r="844" spans="2:4" ht="20.25" customHeight="1">
      <c r="B844" s="109" t="s">
        <v>3240</v>
      </c>
      <c r="C844" s="138" t="s">
        <v>3241</v>
      </c>
      <c r="D844" s="134" t="s">
        <v>24</v>
      </c>
    </row>
    <row r="845" spans="2:4" ht="20.25" customHeight="1">
      <c r="B845" s="109" t="s">
        <v>3242</v>
      </c>
      <c r="C845" s="138" t="s">
        <v>2537</v>
      </c>
      <c r="D845" s="149"/>
    </row>
    <row r="846" spans="2:4" ht="20.25" customHeight="1">
      <c r="B846" s="109" t="s">
        <v>1837</v>
      </c>
      <c r="C846" s="138" t="s">
        <v>3243</v>
      </c>
      <c r="D846" s="149"/>
    </row>
    <row r="847" spans="2:4" ht="20.25" customHeight="1">
      <c r="B847" s="109" t="s">
        <v>1932</v>
      </c>
      <c r="C847" s="146" t="s">
        <v>3244</v>
      </c>
      <c r="D847" s="149"/>
    </row>
    <row r="848" spans="2:4" ht="20.25" customHeight="1">
      <c r="B848" s="109" t="s">
        <v>3245</v>
      </c>
      <c r="C848" s="138" t="s">
        <v>3246</v>
      </c>
      <c r="D848" s="149"/>
    </row>
    <row r="849" spans="2:4" ht="20.25" customHeight="1">
      <c r="B849" s="109" t="s">
        <v>3247</v>
      </c>
      <c r="C849" s="138" t="s">
        <v>3248</v>
      </c>
      <c r="D849" s="144">
        <v>45065</v>
      </c>
    </row>
    <row r="850" spans="2:4" ht="20.25" customHeight="1">
      <c r="B850" s="109" t="s">
        <v>1852</v>
      </c>
      <c r="C850" s="138" t="s">
        <v>3248</v>
      </c>
      <c r="D850" s="134" t="s">
        <v>24</v>
      </c>
    </row>
    <row r="851" spans="2:4" ht="20.25" customHeight="1">
      <c r="B851" s="109" t="s">
        <v>3249</v>
      </c>
      <c r="C851" s="146" t="s">
        <v>2537</v>
      </c>
      <c r="D851" s="144">
        <v>45148</v>
      </c>
    </row>
    <row r="852" spans="2:4" ht="20.25" customHeight="1">
      <c r="B852" s="109" t="s">
        <v>3250</v>
      </c>
      <c r="C852" s="146" t="s">
        <v>2537</v>
      </c>
      <c r="D852" s="134" t="s">
        <v>24</v>
      </c>
    </row>
    <row r="853" spans="2:4" ht="20.25" customHeight="1">
      <c r="B853" s="109" t="s">
        <v>1934</v>
      </c>
      <c r="C853" s="146" t="s">
        <v>3251</v>
      </c>
      <c r="D853" s="134" t="s">
        <v>24</v>
      </c>
    </row>
    <row r="854" spans="2:4" ht="20.25" customHeight="1">
      <c r="B854" s="110"/>
      <c r="C854" s="138" t="s">
        <v>3252</v>
      </c>
      <c r="D854" s="149"/>
    </row>
    <row r="855" spans="2:4" ht="20.25" customHeight="1">
      <c r="B855" s="110"/>
      <c r="C855" s="146" t="s">
        <v>3253</v>
      </c>
      <c r="D855" s="149"/>
    </row>
    <row r="856" spans="2:4" ht="20.25" customHeight="1">
      <c r="B856" s="110"/>
      <c r="C856" s="138" t="s">
        <v>3254</v>
      </c>
      <c r="D856" s="149"/>
    </row>
    <row r="857" spans="2:4" ht="20.25" customHeight="1">
      <c r="B857" s="110"/>
      <c r="C857" s="138" t="s">
        <v>3255</v>
      </c>
      <c r="D857" s="139">
        <v>44910</v>
      </c>
    </row>
    <row r="858" spans="2:4" ht="20.25" customHeight="1">
      <c r="B858" s="110"/>
      <c r="C858" s="138" t="s">
        <v>3256</v>
      </c>
      <c r="D858" s="144">
        <v>45065</v>
      </c>
    </row>
    <row r="859" spans="2:4" ht="20.25" customHeight="1">
      <c r="B859" s="110"/>
      <c r="C859" s="146" t="s">
        <v>3257</v>
      </c>
      <c r="D859" s="134" t="s">
        <v>24</v>
      </c>
    </row>
    <row r="860" spans="2:4" ht="20.25" customHeight="1">
      <c r="B860" s="110"/>
      <c r="C860" s="146" t="s">
        <v>3257</v>
      </c>
      <c r="D860" s="134" t="s">
        <v>24</v>
      </c>
    </row>
    <row r="861" spans="2:4" ht="20.25" customHeight="1">
      <c r="B861" s="110"/>
      <c r="C861" s="138" t="s">
        <v>3258</v>
      </c>
      <c r="D861" s="144">
        <v>45049</v>
      </c>
    </row>
    <row r="862" spans="2:4" ht="20.25" customHeight="1">
      <c r="B862" s="110"/>
      <c r="C862" s="146" t="s">
        <v>3259</v>
      </c>
      <c r="D862" s="149"/>
    </row>
    <row r="863" spans="2:4" ht="20.25" customHeight="1">
      <c r="B863" s="110"/>
      <c r="C863" s="138" t="s">
        <v>3260</v>
      </c>
      <c r="D863" s="134" t="s">
        <v>24</v>
      </c>
    </row>
    <row r="864" spans="2:4" ht="20.25" customHeight="1">
      <c r="B864" s="110"/>
      <c r="C864" s="138" t="s">
        <v>3261</v>
      </c>
      <c r="D864" s="161">
        <v>45040</v>
      </c>
    </row>
    <row r="865" spans="2:4" ht="20.25" customHeight="1">
      <c r="B865" s="110"/>
      <c r="C865" s="146" t="s">
        <v>3262</v>
      </c>
      <c r="D865" s="149"/>
    </row>
    <row r="866" spans="2:4" ht="20.25" customHeight="1">
      <c r="B866" s="110"/>
      <c r="C866" s="146" t="s">
        <v>3263</v>
      </c>
      <c r="D866" s="149"/>
    </row>
    <row r="867" spans="2:4" ht="20.25" customHeight="1">
      <c r="B867" s="110"/>
      <c r="C867" s="138" t="s">
        <v>3264</v>
      </c>
      <c r="D867" s="149"/>
    </row>
    <row r="868" spans="2:4" ht="20.25" customHeight="1">
      <c r="B868" s="110"/>
      <c r="C868" s="138" t="s">
        <v>3265</v>
      </c>
      <c r="D868" s="149"/>
    </row>
    <row r="869" spans="2:4" ht="20.25" customHeight="1">
      <c r="B869" s="110"/>
      <c r="C869" s="146" t="s">
        <v>3266</v>
      </c>
      <c r="D869" s="149"/>
    </row>
    <row r="870" spans="2:4" ht="20.25" customHeight="1">
      <c r="B870" s="110"/>
      <c r="C870" s="138" t="s">
        <v>371</v>
      </c>
      <c r="D870" s="149"/>
    </row>
    <row r="871" spans="2:4" ht="20.25" customHeight="1">
      <c r="B871" s="110"/>
      <c r="C871" s="146" t="s">
        <v>2537</v>
      </c>
      <c r="D871" s="149"/>
    </row>
    <row r="872" spans="2:4" ht="20.25" customHeight="1">
      <c r="B872" s="110"/>
      <c r="C872" s="146" t="s">
        <v>2537</v>
      </c>
      <c r="D872" s="149"/>
    </row>
    <row r="873" spans="2:4" ht="20.25" customHeight="1">
      <c r="B873" s="110"/>
      <c r="C873" s="146" t="s">
        <v>2537</v>
      </c>
      <c r="D873" s="149"/>
    </row>
    <row r="874" spans="2:4" ht="20.25" customHeight="1">
      <c r="B874" s="110"/>
      <c r="C874" s="146" t="s">
        <v>3267</v>
      </c>
      <c r="D874" s="149"/>
    </row>
    <row r="875" spans="2:4" ht="20.25" customHeight="1">
      <c r="B875" s="110"/>
      <c r="C875" s="152"/>
      <c r="D875" s="149"/>
    </row>
    <row r="876" spans="2:4" ht="20.25" customHeight="1">
      <c r="B876" s="110"/>
      <c r="C876" s="146" t="s">
        <v>3268</v>
      </c>
      <c r="D876" s="149"/>
    </row>
    <row r="877" spans="2:4" ht="20.25" customHeight="1">
      <c r="B877" s="110"/>
      <c r="C877" s="138" t="s">
        <v>2537</v>
      </c>
      <c r="D877" s="134" t="s">
        <v>24</v>
      </c>
    </row>
    <row r="878" spans="2:4" ht="20.25" customHeight="1">
      <c r="B878" s="110"/>
      <c r="C878" s="138"/>
      <c r="D878" s="149"/>
    </row>
    <row r="879" spans="2:4" ht="20.25" customHeight="1">
      <c r="B879" s="110"/>
      <c r="C879" s="138"/>
      <c r="D879" s="149"/>
    </row>
    <row r="880" spans="2:4" ht="20.25" customHeight="1">
      <c r="B880" s="110"/>
      <c r="C880" s="138"/>
      <c r="D880" s="149"/>
    </row>
    <row r="881" spans="2:4" ht="20.25" customHeight="1">
      <c r="B881" s="110"/>
      <c r="C881" s="138" t="s">
        <v>3269</v>
      </c>
      <c r="D881" s="149"/>
    </row>
    <row r="882" spans="2:4" ht="20.25" customHeight="1">
      <c r="B882" s="110"/>
      <c r="C882" s="146" t="s">
        <v>371</v>
      </c>
      <c r="D882" s="149"/>
    </row>
    <row r="883" spans="2:4" ht="20.25" customHeight="1">
      <c r="B883" s="110"/>
      <c r="C883" s="146" t="s">
        <v>371</v>
      </c>
      <c r="D883" s="149"/>
    </row>
    <row r="884" spans="2:4" ht="20.25" customHeight="1">
      <c r="B884" s="110"/>
      <c r="C884" s="146" t="s">
        <v>3270</v>
      </c>
      <c r="D884" s="149"/>
    </row>
    <row r="885" spans="2:4" ht="20.25" customHeight="1">
      <c r="B885" s="110"/>
      <c r="C885" s="146" t="s">
        <v>3271</v>
      </c>
      <c r="D885" s="149"/>
    </row>
    <row r="886" spans="2:4" ht="20.25" customHeight="1">
      <c r="B886" s="110"/>
      <c r="C886" s="146" t="s">
        <v>3272</v>
      </c>
      <c r="D886" s="149"/>
    </row>
    <row r="887" spans="2:4" ht="20.25" customHeight="1">
      <c r="B887" s="110"/>
      <c r="C887" s="138" t="s">
        <v>371</v>
      </c>
      <c r="D887" s="149"/>
    </row>
    <row r="888" spans="2:4" ht="20.25" customHeight="1">
      <c r="B888" s="110"/>
      <c r="C888" s="146" t="s">
        <v>3273</v>
      </c>
      <c r="D888" s="149"/>
    </row>
    <row r="889" spans="2:4" ht="20.25" customHeight="1">
      <c r="B889" s="110"/>
      <c r="C889" s="138" t="s">
        <v>3274</v>
      </c>
      <c r="D889" s="149"/>
    </row>
    <row r="890" spans="2:4" ht="20.25" customHeight="1">
      <c r="B890" s="110"/>
      <c r="C890" s="146" t="s">
        <v>371</v>
      </c>
      <c r="D890" s="149"/>
    </row>
    <row r="891" spans="2:4" ht="20.25" customHeight="1">
      <c r="B891" s="110"/>
      <c r="C891" s="146" t="s">
        <v>371</v>
      </c>
      <c r="D891" s="149"/>
    </row>
    <row r="892" spans="2:4" ht="20.25" customHeight="1">
      <c r="B892" s="110"/>
      <c r="C892" s="138" t="s">
        <v>3275</v>
      </c>
      <c r="D892" s="149"/>
    </row>
    <row r="893" spans="2:4" ht="20.25" customHeight="1">
      <c r="B893" s="110"/>
      <c r="C893" s="138" t="s">
        <v>2537</v>
      </c>
      <c r="D893" s="149"/>
    </row>
    <row r="894" spans="2:4" ht="20.25" customHeight="1">
      <c r="B894" s="110"/>
      <c r="C894" s="138"/>
      <c r="D894" s="149"/>
    </row>
    <row r="895" spans="2:4" ht="20.25" customHeight="1">
      <c r="B895" s="110"/>
      <c r="C895" s="138"/>
      <c r="D895" s="149"/>
    </row>
    <row r="896" spans="2:4" ht="20.25" customHeight="1">
      <c r="B896" s="110"/>
      <c r="C896" s="138"/>
      <c r="D896" s="149"/>
    </row>
    <row r="897" spans="2:4" ht="20.25" customHeight="1">
      <c r="B897" s="110"/>
      <c r="C897" s="138"/>
      <c r="D897" s="149"/>
    </row>
    <row r="898" spans="2:4" ht="20.25" customHeight="1">
      <c r="B898" s="110"/>
      <c r="C898" s="138"/>
      <c r="D898" s="149"/>
    </row>
    <row r="899" spans="2:4" ht="20.25" customHeight="1">
      <c r="B899" s="110"/>
      <c r="C899" s="138"/>
      <c r="D899" s="149"/>
    </row>
    <row r="900" spans="2:4" ht="20.25" customHeight="1">
      <c r="B900" s="110"/>
      <c r="C900" s="138"/>
      <c r="D900" s="149"/>
    </row>
    <row r="901" spans="2:4" ht="20.25" customHeight="1">
      <c r="B901" s="110"/>
      <c r="C901" s="138"/>
      <c r="D901" s="149"/>
    </row>
    <row r="902" spans="2:4" ht="20.25" customHeight="1">
      <c r="B902" s="110"/>
      <c r="C902" s="146" t="s">
        <v>3276</v>
      </c>
      <c r="D902" s="149"/>
    </row>
    <row r="903" spans="2:4" ht="20.25" customHeight="1">
      <c r="B903" s="110"/>
      <c r="C903" s="146" t="s">
        <v>3277</v>
      </c>
      <c r="D903" s="149"/>
    </row>
    <row r="904" spans="2:4" ht="20.25" customHeight="1">
      <c r="B904" s="110"/>
      <c r="C904" s="146" t="s">
        <v>3278</v>
      </c>
      <c r="D904" s="149"/>
    </row>
    <row r="905" spans="2:4" ht="20.25" customHeight="1">
      <c r="B905" s="110"/>
      <c r="C905" s="138" t="s">
        <v>2537</v>
      </c>
      <c r="D905" s="149"/>
    </row>
    <row r="906" spans="2:4" ht="20.25" customHeight="1">
      <c r="B906" s="110"/>
      <c r="C906" s="146" t="s">
        <v>371</v>
      </c>
      <c r="D906" s="149"/>
    </row>
    <row r="907" spans="2:4" ht="20.25" customHeight="1">
      <c r="B907" s="110"/>
      <c r="C907" s="146" t="s">
        <v>371</v>
      </c>
      <c r="D907" s="149"/>
    </row>
    <row r="908" spans="2:4" ht="20.25" customHeight="1">
      <c r="B908" s="110"/>
      <c r="C908" s="146" t="s">
        <v>371</v>
      </c>
      <c r="D908" s="149"/>
    </row>
    <row r="909" spans="2:4" ht="20.25" customHeight="1">
      <c r="B909" s="110"/>
      <c r="C909" s="138" t="s">
        <v>3279</v>
      </c>
      <c r="D909" s="149"/>
    </row>
    <row r="910" spans="2:4" ht="20.25" customHeight="1">
      <c r="B910" s="110"/>
      <c r="C910" s="138" t="s">
        <v>3280</v>
      </c>
      <c r="D910" s="149"/>
    </row>
    <row r="911" spans="2:4" ht="20.25" customHeight="1">
      <c r="B911" s="106"/>
      <c r="C911" s="138" t="s">
        <v>3281</v>
      </c>
      <c r="D911" s="149"/>
    </row>
    <row r="912" spans="2:4" ht="20.25" customHeight="1">
      <c r="B912" s="106"/>
      <c r="C912" s="138" t="s">
        <v>3282</v>
      </c>
      <c r="D912" s="149"/>
    </row>
    <row r="913" spans="2:4" ht="20.25" customHeight="1">
      <c r="B913" s="106"/>
      <c r="C913" s="138" t="s">
        <v>3283</v>
      </c>
      <c r="D913" s="149"/>
    </row>
    <row r="914" spans="2:4" ht="20.25" customHeight="1">
      <c r="B914" s="106"/>
      <c r="C914" s="138" t="s">
        <v>3284</v>
      </c>
      <c r="D914" s="134" t="s">
        <v>24</v>
      </c>
    </row>
    <row r="915" spans="2:4" ht="20.25" customHeight="1">
      <c r="B915" s="106"/>
      <c r="C915" s="146" t="s">
        <v>2537</v>
      </c>
      <c r="D915" s="134" t="s">
        <v>24</v>
      </c>
    </row>
    <row r="916" spans="2:4" ht="20.25" customHeight="1">
      <c r="B916" s="106"/>
      <c r="C916" s="146" t="s">
        <v>2537</v>
      </c>
      <c r="D916" s="149"/>
    </row>
    <row r="917" spans="2:4" ht="20.25" customHeight="1">
      <c r="B917" s="106"/>
      <c r="C917" s="146" t="s">
        <v>2537</v>
      </c>
      <c r="D917" s="149"/>
    </row>
    <row r="918" spans="2:4" ht="20.25" customHeight="1">
      <c r="B918" s="106"/>
      <c r="C918" s="138" t="s">
        <v>3285</v>
      </c>
      <c r="D918" s="149"/>
    </row>
    <row r="919" spans="2:4" ht="20.25" customHeight="1">
      <c r="B919" s="106"/>
      <c r="C919" s="138" t="s">
        <v>3286</v>
      </c>
      <c r="D919" s="149"/>
    </row>
    <row r="920" spans="2:4" ht="20.25" customHeight="1">
      <c r="B920" s="106"/>
      <c r="C920" s="146" t="s">
        <v>2537</v>
      </c>
      <c r="D920" s="149"/>
    </row>
    <row r="921" spans="2:4" ht="20.25" customHeight="1">
      <c r="B921" s="106"/>
      <c r="C921" s="146" t="s">
        <v>371</v>
      </c>
      <c r="D921" s="149"/>
    </row>
    <row r="922" spans="2:4" ht="20.25" customHeight="1">
      <c r="B922" s="106"/>
      <c r="C922" s="146" t="s">
        <v>2537</v>
      </c>
      <c r="D922" s="149"/>
    </row>
    <row r="923" spans="2:4" ht="20.25" customHeight="1">
      <c r="B923" s="106"/>
      <c r="C923" s="138" t="s">
        <v>371</v>
      </c>
      <c r="D923" s="149"/>
    </row>
    <row r="924" spans="2:4" ht="20.25" customHeight="1">
      <c r="B924" s="106"/>
      <c r="C924" s="146" t="s">
        <v>3287</v>
      </c>
      <c r="D924" s="149"/>
    </row>
    <row r="925" spans="2:4" ht="20.25" customHeight="1">
      <c r="B925" s="106"/>
      <c r="C925" s="180" t="s">
        <v>1842</v>
      </c>
      <c r="D925" s="149"/>
    </row>
    <row r="926" spans="2:4" ht="20.25" customHeight="1">
      <c r="B926" s="106"/>
      <c r="C926" s="180" t="s">
        <v>1845</v>
      </c>
      <c r="D926" s="134" t="s">
        <v>24</v>
      </c>
    </row>
    <row r="927" spans="2:4" ht="20.25" customHeight="1">
      <c r="B927" s="106"/>
      <c r="C927" s="146" t="s">
        <v>1849</v>
      </c>
      <c r="D927" s="134" t="s">
        <v>24</v>
      </c>
    </row>
    <row r="928" spans="2:4" ht="20.25" customHeight="1">
      <c r="B928" s="106"/>
      <c r="C928" s="146" t="s">
        <v>3288</v>
      </c>
      <c r="D928" s="149"/>
    </row>
    <row r="929" spans="2:4" ht="20.25" customHeight="1">
      <c r="B929" s="106"/>
      <c r="C929" s="146" t="s">
        <v>2537</v>
      </c>
      <c r="D929" s="149"/>
    </row>
    <row r="930" spans="2:4" ht="20.25" customHeight="1">
      <c r="B930" s="106"/>
      <c r="C930" s="138" t="s">
        <v>3289</v>
      </c>
      <c r="D930" s="149"/>
    </row>
    <row r="931" spans="2:4" ht="20.25" customHeight="1">
      <c r="B931" s="106"/>
      <c r="C931" s="138" t="s">
        <v>3290</v>
      </c>
      <c r="D931" s="149"/>
    </row>
    <row r="932" spans="2:4" ht="20.25" customHeight="1">
      <c r="B932" s="106"/>
      <c r="C932" s="146" t="s">
        <v>3291</v>
      </c>
      <c r="D932" s="144">
        <v>45049</v>
      </c>
    </row>
    <row r="933" spans="2:4" ht="20.25" customHeight="1">
      <c r="B933" s="106"/>
      <c r="C933" s="138" t="s">
        <v>3292</v>
      </c>
      <c r="D933" s="149"/>
    </row>
    <row r="934" spans="2:4" ht="20.25" customHeight="1">
      <c r="B934" s="106"/>
      <c r="C934" s="138" t="s">
        <v>3293</v>
      </c>
      <c r="D934" s="149"/>
    </row>
    <row r="935" spans="2:4" ht="20.25" customHeight="1">
      <c r="B935" s="106"/>
      <c r="C935" s="146" t="s">
        <v>2537</v>
      </c>
      <c r="D935" s="149"/>
    </row>
    <row r="936" spans="2:4" ht="20.25" customHeight="1">
      <c r="B936" s="106"/>
      <c r="C936" s="138" t="s">
        <v>3294</v>
      </c>
      <c r="D936" s="149"/>
    </row>
    <row r="937" spans="2:4" ht="20.25" customHeight="1">
      <c r="B937" s="106"/>
      <c r="C937" s="146" t="s">
        <v>371</v>
      </c>
      <c r="D937" s="149"/>
    </row>
    <row r="938" spans="2:4" ht="20.25" customHeight="1">
      <c r="B938" s="106"/>
      <c r="C938" s="138" t="s">
        <v>3295</v>
      </c>
      <c r="D938" s="149"/>
    </row>
    <row r="939" spans="2:4" ht="20.25" customHeight="1">
      <c r="B939" s="106"/>
      <c r="C939" s="138" t="s">
        <v>3296</v>
      </c>
      <c r="D939" s="149"/>
    </row>
    <row r="940" spans="2:4" ht="20.25" customHeight="1">
      <c r="B940" s="106"/>
      <c r="C940" s="138" t="s">
        <v>3297</v>
      </c>
      <c r="D940" s="149"/>
    </row>
    <row r="941" spans="2:4" ht="20.25" customHeight="1">
      <c r="B941" s="106"/>
      <c r="C941" s="146" t="s">
        <v>2537</v>
      </c>
      <c r="D941" s="149"/>
    </row>
    <row r="942" spans="2:4" ht="20.25" customHeight="1">
      <c r="B942" s="106"/>
      <c r="C942" s="138" t="s">
        <v>2537</v>
      </c>
      <c r="D942" s="149"/>
    </row>
    <row r="943" spans="2:4" ht="20.25" customHeight="1">
      <c r="B943" s="106"/>
      <c r="C943" s="138" t="s">
        <v>3298</v>
      </c>
      <c r="D943" s="149"/>
    </row>
    <row r="944" spans="2:4" ht="20.25" customHeight="1">
      <c r="B944" s="106"/>
      <c r="C944" s="138" t="s">
        <v>2537</v>
      </c>
      <c r="D944" s="149"/>
    </row>
    <row r="945" spans="2:4" ht="20.25" customHeight="1">
      <c r="B945" s="106"/>
      <c r="C945" s="138" t="s">
        <v>2537</v>
      </c>
      <c r="D945" s="149"/>
    </row>
    <row r="946" spans="2:4" ht="20.25" customHeight="1">
      <c r="B946" s="106"/>
      <c r="C946" s="138" t="s">
        <v>2537</v>
      </c>
      <c r="D946" s="149"/>
    </row>
    <row r="947" spans="2:4" ht="20.25" customHeight="1">
      <c r="B947" s="106"/>
      <c r="C947" s="138" t="s">
        <v>2537</v>
      </c>
      <c r="D947" s="149"/>
    </row>
    <row r="948" spans="2:4" ht="20.25" customHeight="1">
      <c r="B948" s="106"/>
      <c r="C948" s="138" t="s">
        <v>2537</v>
      </c>
      <c r="D948" s="149"/>
    </row>
    <row r="949" spans="2:4" ht="20.25" customHeight="1">
      <c r="B949" s="106"/>
      <c r="C949" s="138" t="s">
        <v>2537</v>
      </c>
      <c r="D949" s="149"/>
    </row>
    <row r="950" spans="2:4" ht="20.25" customHeight="1">
      <c r="B950" s="106"/>
      <c r="C950" s="146" t="s">
        <v>3299</v>
      </c>
      <c r="D950" s="139">
        <v>44961</v>
      </c>
    </row>
    <row r="951" spans="2:4" ht="20.25" customHeight="1">
      <c r="B951" s="106"/>
      <c r="C951" s="146" t="s">
        <v>3299</v>
      </c>
      <c r="D951" s="149"/>
    </row>
    <row r="952" spans="2:4" ht="20.25" customHeight="1">
      <c r="C952" s="154" t="s">
        <v>3300</v>
      </c>
      <c r="D952" s="149"/>
    </row>
    <row r="953" spans="2:4" ht="20.25" customHeight="1">
      <c r="C953" s="154" t="s">
        <v>3301</v>
      </c>
      <c r="D953" s="149"/>
    </row>
    <row r="954" spans="2:4" ht="20.25" customHeight="1">
      <c r="C954" s="152" t="s">
        <v>3302</v>
      </c>
      <c r="D954" s="149"/>
    </row>
    <row r="955" spans="2:4" ht="20.25" customHeight="1">
      <c r="C955" s="154" t="s">
        <v>3303</v>
      </c>
      <c r="D955" s="149"/>
    </row>
    <row r="956" spans="2:4" ht="20.25" customHeight="1">
      <c r="C956" s="154" t="s">
        <v>3304</v>
      </c>
      <c r="D956" s="149"/>
    </row>
    <row r="957" spans="2:4" ht="20.25" customHeight="1">
      <c r="C957" s="154" t="s">
        <v>3305</v>
      </c>
      <c r="D957" s="149"/>
    </row>
    <row r="958" spans="2:4" ht="20.25" customHeight="1">
      <c r="C958" s="154" t="s">
        <v>3306</v>
      </c>
      <c r="D958" s="149"/>
    </row>
    <row r="959" spans="2:4" ht="20.25" customHeight="1">
      <c r="C959" s="154" t="s">
        <v>3307</v>
      </c>
      <c r="D959" s="149"/>
    </row>
    <row r="960" spans="2:4" ht="20.25" customHeight="1">
      <c r="C960" s="154" t="s">
        <v>3308</v>
      </c>
      <c r="D960" s="149"/>
    </row>
    <row r="961" spans="3:4" ht="20.25" customHeight="1">
      <c r="C961" s="154" t="s">
        <v>3309</v>
      </c>
      <c r="D961" s="149"/>
    </row>
    <row r="962" spans="3:4" ht="20.25" customHeight="1">
      <c r="C962" s="154" t="s">
        <v>371</v>
      </c>
      <c r="D962" s="149"/>
    </row>
    <row r="963" spans="3:4" ht="20.25" customHeight="1">
      <c r="C963" s="154" t="s">
        <v>3310</v>
      </c>
      <c r="D963" s="149"/>
    </row>
    <row r="964" spans="3:4" ht="20.25" customHeight="1">
      <c r="C964" s="154" t="s">
        <v>3311</v>
      </c>
      <c r="D964" s="149"/>
    </row>
    <row r="965" spans="3:4" ht="20.25" customHeight="1">
      <c r="C965" s="154" t="s">
        <v>3312</v>
      </c>
      <c r="D965" s="149"/>
    </row>
    <row r="966" spans="3:4" ht="20.25" customHeight="1">
      <c r="C966" s="154" t="s">
        <v>3313</v>
      </c>
      <c r="D966" s="149"/>
    </row>
    <row r="967" spans="3:4" ht="20.25" customHeight="1">
      <c r="C967" s="154" t="s">
        <v>3314</v>
      </c>
      <c r="D967" s="149"/>
    </row>
    <row r="968" spans="3:4" ht="20.25" customHeight="1">
      <c r="C968" s="154" t="s">
        <v>3315</v>
      </c>
      <c r="D968" s="149"/>
    </row>
    <row r="969" spans="3:4" ht="20.25" customHeight="1">
      <c r="C969" s="154" t="s">
        <v>3316</v>
      </c>
      <c r="D969" s="149"/>
    </row>
    <row r="970" spans="3:4" ht="20.25" customHeight="1">
      <c r="C970" s="154" t="s">
        <v>3317</v>
      </c>
      <c r="D970" s="149"/>
    </row>
    <row r="971" spans="3:4" ht="20.25" customHeight="1">
      <c r="C971" s="154" t="s">
        <v>3318</v>
      </c>
      <c r="D971" s="149"/>
    </row>
    <row r="972" spans="3:4" ht="20.25" customHeight="1">
      <c r="C972" s="154" t="s">
        <v>3319</v>
      </c>
      <c r="D972" s="149"/>
    </row>
    <row r="973" spans="3:4" ht="20.25" customHeight="1">
      <c r="C973" s="154" t="s">
        <v>3296</v>
      </c>
      <c r="D973" s="149"/>
    </row>
    <row r="974" spans="3:4" ht="20.25" customHeight="1">
      <c r="C974" s="154" t="s">
        <v>3299</v>
      </c>
      <c r="D974" s="149"/>
    </row>
    <row r="975" spans="3:4" ht="20.25" customHeight="1">
      <c r="C975" s="154" t="s">
        <v>3299</v>
      </c>
      <c r="D975" s="149"/>
    </row>
    <row r="976" spans="3:4" ht="20.25" customHeight="1">
      <c r="C976" s="154" t="s">
        <v>3320</v>
      </c>
      <c r="D976" s="149"/>
    </row>
    <row r="977" spans="3:4" ht="20.25" customHeight="1">
      <c r="C977" s="154" t="s">
        <v>3320</v>
      </c>
      <c r="D977" s="149"/>
    </row>
    <row r="978" spans="3:4" ht="20.25" customHeight="1">
      <c r="C978" s="154" t="s">
        <v>3321</v>
      </c>
      <c r="D978" s="139">
        <v>44961</v>
      </c>
    </row>
    <row r="979" spans="3:4" ht="20.25" customHeight="1">
      <c r="C979" s="154" t="s">
        <v>3322</v>
      </c>
      <c r="D979" s="144">
        <v>45105</v>
      </c>
    </row>
    <row r="980" spans="3:4" ht="20.25" customHeight="1">
      <c r="C980" s="154" t="s">
        <v>3323</v>
      </c>
      <c r="D980" s="144">
        <v>45105</v>
      </c>
    </row>
    <row r="981" spans="3:4" ht="20.25" customHeight="1">
      <c r="C981" s="154" t="s">
        <v>3324</v>
      </c>
      <c r="D981" s="149"/>
    </row>
    <row r="982" spans="3:4" ht="20.25" customHeight="1">
      <c r="C982" s="153" t="s">
        <v>3325</v>
      </c>
      <c r="D982" s="134" t="s">
        <v>24</v>
      </c>
    </row>
    <row r="983" spans="3:4" ht="20.25" customHeight="1">
      <c r="C983" s="154" t="s">
        <v>3326</v>
      </c>
      <c r="D983" s="139">
        <v>44961</v>
      </c>
    </row>
    <row r="984" spans="3:4" ht="20.25" customHeight="1">
      <c r="C984" s="154" t="s">
        <v>3327</v>
      </c>
      <c r="D984" s="149"/>
    </row>
    <row r="985" spans="3:4" ht="20.25" customHeight="1">
      <c r="C985" s="153" t="s">
        <v>3328</v>
      </c>
      <c r="D985" s="134" t="s">
        <v>24</v>
      </c>
    </row>
    <row r="986" spans="3:4" ht="20.25" customHeight="1">
      <c r="C986" s="153" t="s">
        <v>3329</v>
      </c>
      <c r="D986" s="149"/>
    </row>
    <row r="987" spans="3:4" ht="20.25" customHeight="1">
      <c r="C987" s="154" t="s">
        <v>3330</v>
      </c>
      <c r="D987" s="171"/>
    </row>
    <row r="988" spans="3:4" ht="20.25" customHeight="1">
      <c r="C988" s="154" t="s">
        <v>3331</v>
      </c>
      <c r="D988" s="149"/>
    </row>
    <row r="989" spans="3:4" ht="20.25" customHeight="1">
      <c r="C989" s="154" t="s">
        <v>3332</v>
      </c>
      <c r="D989" s="149"/>
    </row>
    <row r="990" spans="3:4" ht="20.25" customHeight="1">
      <c r="C990" s="152"/>
    </row>
    <row r="991" spans="3:4" ht="20.25" customHeight="1">
      <c r="C991" s="160"/>
    </row>
    <row r="992" spans="3:4" ht="20.25" customHeight="1">
      <c r="C992" s="152"/>
    </row>
    <row r="993" spans="3:3" ht="20.25" customHeight="1">
      <c r="C993" s="152"/>
    </row>
    <row r="994" spans="3:3" ht="20.25" customHeight="1">
      <c r="C994" s="152"/>
    </row>
    <row r="995" spans="3:3" ht="20.25" customHeight="1">
      <c r="C995" s="152"/>
    </row>
    <row r="996" spans="3:3" ht="20.25" customHeight="1">
      <c r="C996" s="152"/>
    </row>
    <row r="997" spans="3:3" ht="20.25" customHeight="1">
      <c r="C997" s="152"/>
    </row>
    <row r="998" spans="3:3" ht="20.25" customHeight="1">
      <c r="C998" s="152"/>
    </row>
  </sheetData>
  <conditionalFormatting sqref="B9:B13">
    <cfRule type="duplicateValues" dxfId="46" priority="1696"/>
  </conditionalFormatting>
  <conditionalFormatting sqref="B14:B16">
    <cfRule type="duplicateValues" dxfId="45" priority="1181"/>
  </conditionalFormatting>
  <conditionalFormatting sqref="B17:B20">
    <cfRule type="duplicateValues" dxfId="44" priority="482"/>
  </conditionalFormatting>
  <conditionalFormatting sqref="B21:B32">
    <cfRule type="duplicateValues" dxfId="43" priority="490"/>
  </conditionalFormatting>
  <conditionalFormatting sqref="C9:C13">
    <cfRule type="duplicateValues" dxfId="42" priority="1698"/>
  </conditionalFormatting>
  <conditionalFormatting sqref="C14:C16">
    <cfRule type="duplicateValues" dxfId="41" priority="1188"/>
  </conditionalFormatting>
  <conditionalFormatting sqref="C15">
    <cfRule type="duplicateValues" dxfId="40" priority="245"/>
  </conditionalFormatting>
  <conditionalFormatting sqref="C16 C14">
    <cfRule type="duplicateValues" dxfId="39" priority="1183"/>
  </conditionalFormatting>
  <conditionalFormatting sqref="D14:D20">
    <cfRule type="cellIs" dxfId="38" priority="253" operator="between">
      <formula>36526</formula>
      <formula>402133</formula>
    </cfRule>
  </conditionalFormatting>
  <conditionalFormatting sqref="D17:D20">
    <cfRule type="cellIs" dxfId="37" priority="477" operator="between">
      <formula>36526</formula>
      <formula>47848</formula>
    </cfRule>
    <cfRule type="cellIs" dxfId="36" priority="481" operator="between">
      <formula>36526</formula>
      <formula>"31/12/3000"</formula>
    </cfRule>
  </conditionalFormatting>
  <conditionalFormatting sqref="F3:F4">
    <cfRule type="duplicateValues" dxfId="35" priority="1194"/>
    <cfRule type="duplicateValues" dxfId="34" priority="1195"/>
    <cfRule type="duplicateValues" dxfId="33" priority="1196"/>
    <cfRule type="duplicateValues" dxfId="32" priority="1197"/>
    <cfRule type="duplicateValues" dxfId="31" priority="1681"/>
  </conditionalFormatting>
  <conditionalFormatting sqref="F3:F45 H3:H42">
    <cfRule type="duplicateValues" dxfId="30" priority="1692"/>
  </conditionalFormatting>
  <conditionalFormatting sqref="B5:B8">
    <cfRule type="duplicateValues" dxfId="29" priority="3"/>
  </conditionalFormatting>
  <conditionalFormatting sqref="C5:C8">
    <cfRule type="duplicateValues" dxfId="28" priority="1"/>
  </conditionalFormatting>
  <conditionalFormatting sqref="C5:C8">
    <cfRule type="duplicateValues" dxfId="27" priority="2"/>
  </conditionalFormatting>
  <dataValidations count="1">
    <dataValidation allowBlank="1" showInputMessage="1" showErrorMessage="1" sqref="F4 B87:B118 D189:D211 D227:D231 D140:D143 D312 D281:D283 D248 D610:D611 D323:D325 D276:D279 D287 D641 D589 D489 D427:D429 D512 D638 D103:D138 D486 D484 D545:D549 D591 D593 D600 D645 D625 D540 D565:D569 D294 D984 D747 D556:D563 D726 D88:D98 D289:D291 D305:D308 D442:D446 D553:D554 D361:D362 D367:D371 D409 D261:D262 D709 D422:D424 D373 D100:D101 D448:D453 D606 D502 D542:D543 D472 D527:D533 D319 D251 D396:D399 D456:D462 D412 D951 D643 D707 D85:D86 D233 D415:D418 D734 D236:D245 D364:D365 D303 D148:D149 D259 D776 D677 D83 D785 D523:D524 D496 D478 D492 D759 D696 D782 D494 D793 D573 D265 D271:D274 D152:D166 D145:D146 D865 D296 D213:D225 D613:D616 D618:D620 D168:D187 D404:D405 D407 D328 D285 D317 A23:A86 D14:D16 A5:A19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>
      <selection activeCell="F4" sqref="F4"/>
    </sheetView>
  </sheetViews>
  <sheetFormatPr defaultRowHeight="1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>
      <c r="A1" s="341" t="s">
        <v>3333</v>
      </c>
      <c r="B1" s="341"/>
      <c r="C1" s="59"/>
      <c r="D1" s="59"/>
      <c r="E1" s="341" t="s">
        <v>3334</v>
      </c>
      <c r="F1" s="341"/>
    </row>
    <row r="2" spans="1:6">
      <c r="A2" s="60" t="s">
        <v>39</v>
      </c>
      <c r="B2" s="60" t="s">
        <v>3335</v>
      </c>
      <c r="E2" s="58" t="s">
        <v>39</v>
      </c>
      <c r="F2" s="58" t="s">
        <v>3335</v>
      </c>
    </row>
    <row r="3" spans="1:6">
      <c r="A3" s="8" t="s">
        <v>370</v>
      </c>
      <c r="B3" s="11">
        <v>39</v>
      </c>
      <c r="E3" s="8" t="s">
        <v>370</v>
      </c>
      <c r="F3" s="11">
        <v>54</v>
      </c>
    </row>
    <row r="4" spans="1:6">
      <c r="A4" s="8" t="s">
        <v>3336</v>
      </c>
      <c r="B4" s="11">
        <v>15</v>
      </c>
      <c r="E4" s="8" t="s">
        <v>3337</v>
      </c>
      <c r="F4" s="11">
        <v>13</v>
      </c>
    </row>
    <row r="5" spans="1:6">
      <c r="A5" s="8" t="s">
        <v>3338</v>
      </c>
      <c r="B5" s="11">
        <v>7</v>
      </c>
      <c r="E5" s="8" t="s">
        <v>3338</v>
      </c>
      <c r="F5" s="11">
        <v>15</v>
      </c>
    </row>
    <row r="6" spans="1:6">
      <c r="A6" s="8" t="s">
        <v>3339</v>
      </c>
      <c r="B6" s="11">
        <v>2</v>
      </c>
      <c r="E6" s="8" t="s">
        <v>3339</v>
      </c>
      <c r="F6" s="11">
        <v>9</v>
      </c>
    </row>
    <row r="7" spans="1:6">
      <c r="A7" s="8" t="s">
        <v>3340</v>
      </c>
      <c r="B7" s="11">
        <v>0</v>
      </c>
      <c r="E7" s="8" t="s">
        <v>3340</v>
      </c>
      <c r="F7" s="11">
        <v>9</v>
      </c>
    </row>
    <row r="8" spans="1:6">
      <c r="A8" s="8" t="s">
        <v>3341</v>
      </c>
      <c r="B8" s="11">
        <v>15</v>
      </c>
      <c r="E8" s="8" t="s">
        <v>3341</v>
      </c>
      <c r="F8" s="11">
        <v>21</v>
      </c>
    </row>
    <row r="9" spans="1:6">
      <c r="A9" s="61" t="s">
        <v>3342</v>
      </c>
      <c r="B9" s="62">
        <f>SUM(B3:B8)</f>
        <v>78</v>
      </c>
      <c r="E9" s="61" t="s">
        <v>3342</v>
      </c>
      <c r="F9" s="62">
        <f>SUM(F3:F8)</f>
        <v>121</v>
      </c>
    </row>
    <row r="12" spans="1:6" ht="52.5" customHeight="1"/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3343</v>
      </c>
      <c r="B1" s="5" t="s">
        <v>3344</v>
      </c>
      <c r="C1" s="5" t="s">
        <v>3345</v>
      </c>
      <c r="D1" s="5" t="s">
        <v>3346</v>
      </c>
      <c r="E1" s="5" t="s">
        <v>3347</v>
      </c>
      <c r="F1" s="5" t="s">
        <v>3348</v>
      </c>
      <c r="G1" s="5" t="s">
        <v>3349</v>
      </c>
      <c r="H1" s="5" t="s">
        <v>3350</v>
      </c>
      <c r="I1" s="5" t="s">
        <v>3351</v>
      </c>
      <c r="J1" s="5" t="s">
        <v>3352</v>
      </c>
    </row>
    <row r="2" spans="1:10">
      <c r="A2" s="1" t="s">
        <v>3353</v>
      </c>
      <c r="B2" s="3" t="s">
        <v>3354</v>
      </c>
      <c r="C2" s="3">
        <v>1</v>
      </c>
      <c r="D2" s="3">
        <v>101</v>
      </c>
      <c r="E2" s="24" t="s">
        <v>3355</v>
      </c>
      <c r="F2" s="3" t="s">
        <v>3356</v>
      </c>
      <c r="G2" s="3" t="s">
        <v>15</v>
      </c>
      <c r="H2" s="3" t="s">
        <v>15</v>
      </c>
      <c r="I2" s="3" t="s">
        <v>3357</v>
      </c>
      <c r="J2" s="3" t="s">
        <v>3358</v>
      </c>
    </row>
    <row r="3" spans="1:10">
      <c r="A3" s="1" t="s">
        <v>3359</v>
      </c>
      <c r="B3" s="3" t="s">
        <v>3360</v>
      </c>
      <c r="C3" s="3">
        <v>2</v>
      </c>
      <c r="D3" s="3">
        <v>102</v>
      </c>
      <c r="E3" s="3" t="s">
        <v>3361</v>
      </c>
      <c r="F3" s="6" t="s">
        <v>3362</v>
      </c>
      <c r="G3" s="3" t="s">
        <v>3363</v>
      </c>
      <c r="H3" s="3" t="s">
        <v>3364</v>
      </c>
      <c r="I3" s="3" t="s">
        <v>3365</v>
      </c>
      <c r="J3" s="3" t="s">
        <v>3366</v>
      </c>
    </row>
    <row r="4" spans="1:10">
      <c r="A4" s="1" t="s">
        <v>3367</v>
      </c>
      <c r="B4" s="3" t="s">
        <v>3368</v>
      </c>
      <c r="C4" s="3">
        <v>3</v>
      </c>
      <c r="D4" s="3">
        <v>103</v>
      </c>
      <c r="E4" s="3" t="s">
        <v>3369</v>
      </c>
      <c r="F4" s="3" t="s">
        <v>3370</v>
      </c>
      <c r="G4" s="3" t="s">
        <v>3371</v>
      </c>
      <c r="H4" s="3" t="s">
        <v>3372</v>
      </c>
      <c r="I4" s="3" t="s">
        <v>3373</v>
      </c>
      <c r="J4" s="3" t="s">
        <v>3372</v>
      </c>
    </row>
    <row r="5" spans="1:10">
      <c r="A5" s="1" t="s">
        <v>3374</v>
      </c>
      <c r="B5" s="3" t="s">
        <v>3375</v>
      </c>
      <c r="C5" s="3">
        <v>4</v>
      </c>
      <c r="D5" s="3">
        <v>104</v>
      </c>
      <c r="E5" s="3" t="s">
        <v>3366</v>
      </c>
      <c r="F5" s="3" t="s">
        <v>3376</v>
      </c>
      <c r="G5" s="3" t="s">
        <v>3377</v>
      </c>
      <c r="H5" s="3" t="s">
        <v>3378</v>
      </c>
      <c r="I5" s="3" t="s">
        <v>3372</v>
      </c>
    </row>
    <row r="6" spans="1:10">
      <c r="A6" s="1" t="s">
        <v>3379</v>
      </c>
      <c r="B6" s="3" t="s">
        <v>3380</v>
      </c>
      <c r="C6" s="3">
        <v>5</v>
      </c>
      <c r="D6" s="3">
        <v>201</v>
      </c>
      <c r="E6" s="3" t="s">
        <v>3381</v>
      </c>
      <c r="G6" s="3" t="s">
        <v>3382</v>
      </c>
      <c r="H6" s="3" t="s">
        <v>3383</v>
      </c>
      <c r="I6" s="3" t="s">
        <v>3384</v>
      </c>
    </row>
    <row r="7" spans="1:10">
      <c r="A7" s="1" t="s">
        <v>3385</v>
      </c>
      <c r="B7" s="3" t="s">
        <v>3386</v>
      </c>
      <c r="C7" s="3">
        <v>6</v>
      </c>
      <c r="D7" s="3">
        <v>202</v>
      </c>
      <c r="E7" s="3" t="s">
        <v>3387</v>
      </c>
      <c r="G7" s="3" t="s">
        <v>3388</v>
      </c>
      <c r="I7" s="3" t="s">
        <v>3389</v>
      </c>
    </row>
    <row r="8" spans="1:10">
      <c r="A8" s="1" t="s">
        <v>3390</v>
      </c>
      <c r="B8" s="3" t="s">
        <v>3391</v>
      </c>
      <c r="C8" s="3">
        <v>7</v>
      </c>
      <c r="D8" s="3">
        <v>203</v>
      </c>
      <c r="E8" s="3" t="s">
        <v>3392</v>
      </c>
      <c r="G8" s="3"/>
      <c r="I8" s="3" t="s">
        <v>3393</v>
      </c>
    </row>
    <row r="9" spans="1:10">
      <c r="A9" s="1" t="s">
        <v>3394</v>
      </c>
      <c r="B9" s="3" t="s">
        <v>3395</v>
      </c>
      <c r="C9" s="3">
        <v>8</v>
      </c>
      <c r="D9" s="3">
        <v>204</v>
      </c>
      <c r="E9" s="3" t="s">
        <v>3396</v>
      </c>
    </row>
    <row r="10" spans="1:10">
      <c r="A10" s="1" t="s">
        <v>3397</v>
      </c>
      <c r="B10" s="3" t="s">
        <v>3398</v>
      </c>
      <c r="C10" s="3">
        <v>9</v>
      </c>
      <c r="D10" s="3">
        <v>301</v>
      </c>
      <c r="E10" s="3" t="s">
        <v>3399</v>
      </c>
    </row>
    <row r="11" spans="1:10">
      <c r="A11" s="1" t="s">
        <v>3400</v>
      </c>
      <c r="B11" s="3" t="s">
        <v>3401</v>
      </c>
      <c r="C11" s="3">
        <v>10</v>
      </c>
      <c r="D11" s="3">
        <v>302</v>
      </c>
      <c r="E11" s="3" t="s">
        <v>3402</v>
      </c>
    </row>
    <row r="12" spans="1:10">
      <c r="A12" s="1" t="s">
        <v>3403</v>
      </c>
      <c r="B12" s="3" t="s">
        <v>3404</v>
      </c>
      <c r="C12" s="3">
        <v>11</v>
      </c>
      <c r="D12" s="3">
        <v>303</v>
      </c>
      <c r="E12" s="24" t="s">
        <v>3405</v>
      </c>
    </row>
    <row r="13" spans="1:10">
      <c r="A13" s="1" t="s">
        <v>3406</v>
      </c>
      <c r="B13" s="3" t="s">
        <v>3407</v>
      </c>
      <c r="C13" s="3">
        <v>12</v>
      </c>
      <c r="D13" s="3">
        <v>304</v>
      </c>
      <c r="E13" t="s">
        <v>3408</v>
      </c>
    </row>
    <row r="14" spans="1:10">
      <c r="A14" s="1" t="s">
        <v>3409</v>
      </c>
      <c r="B14" s="3" t="s">
        <v>3410</v>
      </c>
      <c r="C14" s="3">
        <v>13</v>
      </c>
      <c r="D14" s="3">
        <v>401</v>
      </c>
      <c r="E14" s="3" t="s">
        <v>3411</v>
      </c>
    </row>
    <row r="15" spans="1:10">
      <c r="A15" s="1" t="s">
        <v>3412</v>
      </c>
      <c r="B15" s="3" t="s">
        <v>3413</v>
      </c>
      <c r="C15" s="3">
        <v>14</v>
      </c>
      <c r="D15" s="3">
        <v>402</v>
      </c>
      <c r="E15" s="3" t="s">
        <v>3370</v>
      </c>
    </row>
    <row r="16" spans="1:10">
      <c r="A16" s="1" t="s">
        <v>3414</v>
      </c>
      <c r="C16" s="3">
        <v>15</v>
      </c>
      <c r="D16" s="3">
        <v>403</v>
      </c>
      <c r="E16" s="3" t="s">
        <v>3415</v>
      </c>
    </row>
    <row r="17" spans="1:7">
      <c r="A17" s="1" t="s">
        <v>3340</v>
      </c>
      <c r="C17" s="3"/>
      <c r="D17" s="3">
        <v>404</v>
      </c>
      <c r="E17" s="3" t="s">
        <v>3416</v>
      </c>
    </row>
    <row r="18" spans="1:7">
      <c r="A18" s="1" t="s">
        <v>3417</v>
      </c>
      <c r="C18" s="3"/>
      <c r="D18" s="3">
        <v>501</v>
      </c>
      <c r="E18" s="3" t="s">
        <v>3418</v>
      </c>
    </row>
    <row r="19" spans="1:7">
      <c r="A19" s="1" t="s">
        <v>3419</v>
      </c>
      <c r="D19" s="3">
        <v>502</v>
      </c>
      <c r="E19" s="3" t="s">
        <v>3420</v>
      </c>
    </row>
    <row r="20" spans="1:7">
      <c r="A20" s="1" t="s">
        <v>3339</v>
      </c>
      <c r="D20" s="3">
        <v>503</v>
      </c>
      <c r="E20" s="3" t="s">
        <v>3421</v>
      </c>
    </row>
    <row r="21" spans="1:7">
      <c r="A21" s="1" t="s">
        <v>3422</v>
      </c>
      <c r="D21" s="3">
        <v>504</v>
      </c>
      <c r="E21" s="3" t="s">
        <v>3358</v>
      </c>
    </row>
    <row r="22" spans="1:7">
      <c r="A22" s="1" t="s">
        <v>3423</v>
      </c>
      <c r="E22" s="3" t="s">
        <v>3424</v>
      </c>
      <c r="G22" s="3"/>
    </row>
    <row r="23" spans="1:7">
      <c r="A23" s="1" t="s">
        <v>3425</v>
      </c>
      <c r="E23" s="3" t="s">
        <v>3426</v>
      </c>
    </row>
    <row r="24" spans="1:7">
      <c r="A24" s="1" t="s">
        <v>3427</v>
      </c>
    </row>
    <row r="25" spans="1:7">
      <c r="A25" s="1" t="s">
        <v>3341</v>
      </c>
      <c r="G25" s="5"/>
    </row>
    <row r="26" spans="1:7">
      <c r="A26" s="1" t="s">
        <v>3428</v>
      </c>
      <c r="G26" s="3"/>
    </row>
    <row r="27" spans="1:7">
      <c r="A27" s="1" t="s">
        <v>3429</v>
      </c>
      <c r="G27" s="3"/>
    </row>
    <row r="28" spans="1:7">
      <c r="A28" s="1" t="s">
        <v>3430</v>
      </c>
      <c r="G28" s="3"/>
    </row>
    <row r="29" spans="1:7">
      <c r="A29" s="1" t="s">
        <v>3431</v>
      </c>
      <c r="G29" s="3"/>
    </row>
    <row r="30" spans="1:7">
      <c r="A30" s="1" t="s">
        <v>3432</v>
      </c>
      <c r="G30" s="3"/>
    </row>
    <row r="31" spans="1:7">
      <c r="A31" s="1" t="s">
        <v>3433</v>
      </c>
    </row>
    <row r="32" spans="1:7">
      <c r="A32" s="1" t="s">
        <v>3434</v>
      </c>
    </row>
    <row r="33" spans="1:1">
      <c r="A33" s="1" t="s">
        <v>3435</v>
      </c>
    </row>
    <row r="34" spans="1:1">
      <c r="A34" s="1" t="s">
        <v>3436</v>
      </c>
    </row>
    <row r="35" spans="1:1">
      <c r="A35" s="1" t="s">
        <v>3437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3" ht="24.95" customHeight="1">
      <c r="A1" s="56" t="s">
        <v>3438</v>
      </c>
      <c r="B1" s="56" t="s">
        <v>3439</v>
      </c>
    </row>
    <row r="2" spans="1:3" ht="24.95" customHeight="1">
      <c r="A2" s="57" t="s">
        <v>3354</v>
      </c>
      <c r="B2" s="57" t="e">
        <f>COUNTIF(#REF!,'QUANT COND'!A2)</f>
        <v>#REF!</v>
      </c>
    </row>
    <row r="3" spans="1:3" ht="24.95" customHeight="1">
      <c r="A3" s="57" t="s">
        <v>3360</v>
      </c>
      <c r="B3" s="57" t="e">
        <f>COUNTIF(#REF!,'QUANT COND'!A3)</f>
        <v>#REF!</v>
      </c>
    </row>
    <row r="4" spans="1:3" ht="24.95" customHeight="1">
      <c r="A4" s="57" t="s">
        <v>3368</v>
      </c>
      <c r="B4" s="57" t="e">
        <f>COUNTIF(#REF!,'QUANT COND'!A4)</f>
        <v>#REF!</v>
      </c>
      <c r="C4" s="55"/>
    </row>
    <row r="5" spans="1:3" ht="24.95" customHeight="1">
      <c r="A5" s="57" t="s">
        <v>3375</v>
      </c>
      <c r="B5" s="57" t="e">
        <f>COUNTIF(#REF!,'QUANT COND'!A5)</f>
        <v>#REF!</v>
      </c>
    </row>
    <row r="6" spans="1:3" ht="24.95" customHeight="1">
      <c r="A6" s="57" t="s">
        <v>3380</v>
      </c>
      <c r="B6" s="57" t="e">
        <f>COUNTIF(#REF!,'QUANT COND'!A6)</f>
        <v>#REF!</v>
      </c>
    </row>
    <row r="7" spans="1:3" ht="24.95" customHeight="1">
      <c r="A7" s="57" t="s">
        <v>3386</v>
      </c>
      <c r="B7" s="57" t="e">
        <f>COUNTIF(#REF!,'QUANT COND'!A7)</f>
        <v>#REF!</v>
      </c>
    </row>
    <row r="8" spans="1:3" ht="24.95" customHeight="1">
      <c r="A8" s="57" t="s">
        <v>3391</v>
      </c>
      <c r="B8" s="57" t="e">
        <f>COUNTIF(#REF!,'QUANT COND'!A8)</f>
        <v>#REF!</v>
      </c>
    </row>
    <row r="9" spans="1:3" ht="24.95" customHeight="1">
      <c r="A9" s="57" t="s">
        <v>3395</v>
      </c>
      <c r="B9" s="57" t="e">
        <f>COUNTIF(#REF!,'QUANT COND'!A9)</f>
        <v>#REF!</v>
      </c>
    </row>
    <row r="10" spans="1:3" ht="24.95" customHeight="1">
      <c r="A10" s="57" t="s">
        <v>3398</v>
      </c>
      <c r="B10" s="57" t="e">
        <f>COUNTIF(#REF!,'QUANT COND'!A10)</f>
        <v>#REF!</v>
      </c>
    </row>
    <row r="11" spans="1:3" ht="24.95" customHeight="1">
      <c r="A11" s="57" t="s">
        <v>3401</v>
      </c>
      <c r="B11" s="57" t="e">
        <f>COUNTIF(#REF!,'QUANT COND'!A11)</f>
        <v>#REF!</v>
      </c>
    </row>
    <row r="12" spans="1:3" ht="24.95" customHeight="1">
      <c r="A12" s="57" t="s">
        <v>3404</v>
      </c>
      <c r="B12" s="57" t="e">
        <f>COUNTIF(#REF!,'QUANT COND'!A12)</f>
        <v>#REF!</v>
      </c>
    </row>
    <row r="13" spans="1:3" ht="24.95" customHeight="1">
      <c r="A13" s="57" t="s">
        <v>3407</v>
      </c>
      <c r="B13" s="57" t="e">
        <f>COUNTIF(#REF!,'QUANT COND'!A13)</f>
        <v>#REF!</v>
      </c>
    </row>
    <row r="14" spans="1:3" ht="24.95" customHeight="1">
      <c r="A14" s="57" t="s">
        <v>3410</v>
      </c>
      <c r="B14" s="57" t="e">
        <f>COUNTIF(#REF!,'QUANT COND'!A14)</f>
        <v>#REF!</v>
      </c>
    </row>
    <row r="15" spans="1:3" ht="24.95" customHeight="1">
      <c r="A15" s="57" t="s">
        <v>3413</v>
      </c>
      <c r="B15" s="57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120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343" t="s">
        <v>3440</v>
      </c>
      <c r="B1" s="344"/>
      <c r="C1" s="344"/>
      <c r="D1" s="344"/>
      <c r="E1" s="344"/>
      <c r="F1" s="344"/>
      <c r="G1" s="344"/>
      <c r="H1" s="344"/>
      <c r="I1" s="344"/>
      <c r="J1" s="344"/>
      <c r="K1" s="344"/>
      <c r="L1" s="344"/>
      <c r="M1" s="345"/>
    </row>
    <row r="2" spans="1:27" ht="50.25" customHeight="1">
      <c r="A2" s="7" t="s">
        <v>47</v>
      </c>
      <c r="B2" s="7" t="s">
        <v>49</v>
      </c>
      <c r="C2" s="7" t="s">
        <v>3441</v>
      </c>
      <c r="D2" s="12" t="s">
        <v>49</v>
      </c>
      <c r="E2" s="63" t="s">
        <v>3442</v>
      </c>
      <c r="F2" s="63" t="s">
        <v>3443</v>
      </c>
      <c r="G2" s="64" t="s">
        <v>3444</v>
      </c>
      <c r="H2" s="64" t="s">
        <v>3445</v>
      </c>
      <c r="I2" s="41" t="s">
        <v>3446</v>
      </c>
      <c r="J2" s="42" t="s">
        <v>3443</v>
      </c>
      <c r="K2" s="41" t="s">
        <v>3445</v>
      </c>
      <c r="L2" s="53" t="s">
        <v>3447</v>
      </c>
      <c r="M2" s="53" t="s">
        <v>3448</v>
      </c>
      <c r="O2" s="65" t="s">
        <v>3449</v>
      </c>
      <c r="P2" s="66" t="s">
        <v>3439</v>
      </c>
      <c r="Q2" s="66" t="s">
        <v>3450</v>
      </c>
      <c r="R2" s="66" t="s">
        <v>3451</v>
      </c>
      <c r="S2" s="66" t="s">
        <v>3452</v>
      </c>
      <c r="T2" s="43" t="s">
        <v>3453</v>
      </c>
      <c r="Y2" s="45" t="s">
        <v>3454</v>
      </c>
      <c r="Z2" s="45" t="s">
        <v>3455</v>
      </c>
      <c r="AA2" s="44" t="s">
        <v>3456</v>
      </c>
    </row>
    <row r="3" spans="1:27">
      <c r="A3" s="13" t="s">
        <v>3457</v>
      </c>
      <c r="B3" s="67">
        <v>27140979871</v>
      </c>
      <c r="C3" s="68"/>
      <c r="D3" s="69"/>
      <c r="E3" s="9">
        <v>1128</v>
      </c>
      <c r="F3" s="25">
        <v>42972</v>
      </c>
      <c r="G3" s="70" t="s">
        <v>3356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3458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3459</v>
      </c>
      <c r="B4" s="67">
        <v>39200633846</v>
      </c>
      <c r="C4" s="68"/>
      <c r="D4" s="69"/>
      <c r="E4" s="9"/>
      <c r="F4" s="25"/>
      <c r="G4" s="70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3460</v>
      </c>
      <c r="Y4" s="24">
        <v>1517</v>
      </c>
      <c r="Z4" s="24">
        <v>1427</v>
      </c>
      <c r="AA4" s="24">
        <v>1559</v>
      </c>
    </row>
    <row r="5" spans="1:27">
      <c r="A5" s="71" t="s">
        <v>3461</v>
      </c>
      <c r="B5" s="67">
        <v>75489104872</v>
      </c>
      <c r="C5" s="72"/>
      <c r="D5" s="69"/>
      <c r="E5" s="9">
        <v>1752</v>
      </c>
      <c r="F5" s="25">
        <v>43051</v>
      </c>
      <c r="G5" s="70" t="s">
        <v>3356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3462</v>
      </c>
      <c r="Y5" s="24">
        <v>73</v>
      </c>
      <c r="Z5" s="24">
        <v>79</v>
      </c>
      <c r="AA5" s="24">
        <v>28</v>
      </c>
    </row>
    <row r="6" spans="1:27">
      <c r="A6" s="71" t="s">
        <v>3463</v>
      </c>
      <c r="B6" s="67">
        <v>43286003620</v>
      </c>
      <c r="C6" s="72"/>
      <c r="D6" s="69"/>
      <c r="E6" s="9"/>
      <c r="F6" s="25"/>
      <c r="G6" s="70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3464</v>
      </c>
      <c r="Y6" s="24">
        <v>36</v>
      </c>
      <c r="Z6" s="24">
        <v>32</v>
      </c>
      <c r="AA6" s="24">
        <v>11</v>
      </c>
    </row>
    <row r="7" spans="1:27">
      <c r="A7" s="29" t="s">
        <v>3465</v>
      </c>
      <c r="B7" s="67"/>
      <c r="C7" s="18" t="s">
        <v>3466</v>
      </c>
      <c r="D7" s="69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3467</v>
      </c>
      <c r="Y7" s="24">
        <v>224</v>
      </c>
      <c r="Z7" s="24">
        <v>275</v>
      </c>
      <c r="AA7" s="24">
        <v>17</v>
      </c>
    </row>
    <row r="8" spans="1:27">
      <c r="A8" s="71" t="s">
        <v>3468</v>
      </c>
      <c r="B8" s="67">
        <v>97443271620</v>
      </c>
      <c r="C8" s="72"/>
      <c r="D8" s="69"/>
      <c r="E8" s="9">
        <v>1106</v>
      </c>
      <c r="F8" s="25">
        <v>42965</v>
      </c>
      <c r="G8" s="70" t="s">
        <v>3356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71" t="s">
        <v>3469</v>
      </c>
      <c r="B9" s="67">
        <v>98058690597</v>
      </c>
      <c r="C9" s="72"/>
      <c r="D9" s="69"/>
      <c r="E9" s="9">
        <v>423</v>
      </c>
      <c r="F9" s="25">
        <v>43182</v>
      </c>
      <c r="G9" s="70" t="s">
        <v>3356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71" t="s">
        <v>3470</v>
      </c>
      <c r="B10" s="67">
        <v>38088438888</v>
      </c>
      <c r="C10" s="72"/>
      <c r="D10" s="69"/>
      <c r="E10" s="9"/>
      <c r="F10" s="25"/>
      <c r="G10" s="70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71" t="s">
        <v>3471</v>
      </c>
      <c r="B11" s="67">
        <v>26939799869</v>
      </c>
      <c r="C11" s="72"/>
      <c r="D11" s="69"/>
      <c r="E11" s="9">
        <v>573</v>
      </c>
      <c r="F11" s="25">
        <v>43224</v>
      </c>
      <c r="G11" s="70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71" t="s">
        <v>3472</v>
      </c>
      <c r="B12" s="67">
        <v>34470559873</v>
      </c>
      <c r="C12" s="72"/>
      <c r="D12" s="69"/>
      <c r="E12" s="9">
        <v>292</v>
      </c>
      <c r="F12" s="25">
        <v>43168</v>
      </c>
      <c r="G12" s="70" t="s">
        <v>3356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71" t="s">
        <v>3473</v>
      </c>
      <c r="B13" s="67">
        <v>14369564808</v>
      </c>
      <c r="C13" s="72"/>
      <c r="D13" s="69"/>
      <c r="E13" s="9"/>
      <c r="F13" s="25"/>
      <c r="G13" s="70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71" t="s">
        <v>3474</v>
      </c>
      <c r="B14" s="67">
        <v>39544185844</v>
      </c>
      <c r="C14" s="72"/>
      <c r="D14" s="69"/>
      <c r="E14" s="9">
        <v>810</v>
      </c>
      <c r="F14" s="25">
        <v>42915</v>
      </c>
      <c r="G14" s="70" t="s">
        <v>3356</v>
      </c>
      <c r="H14" s="25">
        <v>42921</v>
      </c>
      <c r="I14" s="8"/>
      <c r="J14" s="8"/>
      <c r="K14" s="8"/>
      <c r="L14" s="9" t="s">
        <v>3475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3476</v>
      </c>
      <c r="B15" s="67">
        <v>38772276860</v>
      </c>
      <c r="C15" s="18" t="s">
        <v>3477</v>
      </c>
      <c r="D15" s="69">
        <v>3808243457</v>
      </c>
      <c r="E15" s="9"/>
      <c r="F15" s="25"/>
      <c r="G15" s="70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71" t="s">
        <v>3478</v>
      </c>
      <c r="B16" s="67">
        <v>21538837846</v>
      </c>
      <c r="C16" s="72" t="s">
        <v>3479</v>
      </c>
      <c r="D16" s="69">
        <v>94203180520</v>
      </c>
      <c r="E16" s="9">
        <v>810</v>
      </c>
      <c r="F16" s="25">
        <v>42915</v>
      </c>
      <c r="G16" s="70" t="s">
        <v>3356</v>
      </c>
      <c r="H16" s="25">
        <v>42921</v>
      </c>
      <c r="I16" s="8"/>
      <c r="J16" s="8"/>
      <c r="K16" s="8"/>
      <c r="L16" s="9" t="s">
        <v>3475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71" t="s">
        <v>3480</v>
      </c>
      <c r="B17" s="67">
        <v>57455392591</v>
      </c>
      <c r="C17" s="72"/>
      <c r="D17" s="69"/>
      <c r="E17" s="9"/>
      <c r="F17" s="25"/>
      <c r="G17" s="70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71" t="s">
        <v>3481</v>
      </c>
      <c r="B18" s="67">
        <v>5304941594</v>
      </c>
      <c r="C18" s="72"/>
      <c r="D18" s="69"/>
      <c r="E18" s="9">
        <v>1106</v>
      </c>
      <c r="F18" s="25">
        <v>42965</v>
      </c>
      <c r="G18" s="70" t="s">
        <v>3356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71" t="s">
        <v>3482</v>
      </c>
      <c r="B19" s="67">
        <v>21600057896</v>
      </c>
      <c r="C19" s="72"/>
      <c r="D19" s="69"/>
      <c r="E19" s="9">
        <v>262</v>
      </c>
      <c r="F19" s="25">
        <v>43160</v>
      </c>
      <c r="G19" s="70" t="s">
        <v>3362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9" t="s">
        <v>3483</v>
      </c>
      <c r="B20" s="67">
        <v>18419589802</v>
      </c>
      <c r="C20" s="18" t="s">
        <v>3466</v>
      </c>
      <c r="D20" s="69"/>
      <c r="E20" s="9"/>
      <c r="F20" s="25"/>
      <c r="G20" s="70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3484</v>
      </c>
      <c r="B21" s="67">
        <v>15538537846</v>
      </c>
      <c r="C21" s="72"/>
      <c r="D21" s="69"/>
      <c r="E21" s="9">
        <v>573</v>
      </c>
      <c r="F21" s="25">
        <v>43224</v>
      </c>
      <c r="G21" s="70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71" t="s">
        <v>3485</v>
      </c>
      <c r="B22" s="67">
        <v>899837506</v>
      </c>
      <c r="C22" s="72"/>
      <c r="D22" s="69"/>
      <c r="E22" s="9">
        <v>1824</v>
      </c>
      <c r="F22" s="25">
        <v>43091</v>
      </c>
      <c r="G22" s="70" t="s">
        <v>3356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71" t="s">
        <v>3486</v>
      </c>
      <c r="B23" s="67">
        <v>36197160803</v>
      </c>
      <c r="C23" s="72"/>
      <c r="D23" s="69"/>
      <c r="E23" s="9">
        <v>229</v>
      </c>
      <c r="F23" s="25">
        <v>43151</v>
      </c>
      <c r="G23" s="70" t="s">
        <v>3356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71" t="s">
        <v>3487</v>
      </c>
      <c r="B24" s="67">
        <v>39248826814</v>
      </c>
      <c r="C24" s="72"/>
      <c r="D24" s="69"/>
      <c r="E24" s="9">
        <v>292</v>
      </c>
      <c r="F24" s="25">
        <v>43168</v>
      </c>
      <c r="G24" s="70" t="s">
        <v>3356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3488</v>
      </c>
      <c r="B25" s="67">
        <v>48925276534</v>
      </c>
      <c r="C25" s="72"/>
      <c r="D25" s="69"/>
      <c r="E25" s="9">
        <v>229</v>
      </c>
      <c r="F25" s="25">
        <v>43151</v>
      </c>
      <c r="G25" s="70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9" t="s">
        <v>3489</v>
      </c>
      <c r="B26" s="67"/>
      <c r="C26" s="18" t="s">
        <v>3466</v>
      </c>
      <c r="D26" s="69"/>
      <c r="E26" s="9"/>
      <c r="F26" s="25"/>
      <c r="G26" s="70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71" t="s">
        <v>3490</v>
      </c>
      <c r="B27" s="67">
        <v>25894152810</v>
      </c>
      <c r="C27" s="72" t="s">
        <v>3491</v>
      </c>
      <c r="D27" s="69">
        <v>8263008808</v>
      </c>
      <c r="E27" s="9">
        <v>292</v>
      </c>
      <c r="F27" s="25">
        <v>43168</v>
      </c>
      <c r="G27" s="70" t="s">
        <v>3356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3492</v>
      </c>
      <c r="B28" s="67">
        <v>43026389587</v>
      </c>
      <c r="C28" s="72" t="s">
        <v>3493</v>
      </c>
      <c r="D28" s="69">
        <v>29124464813</v>
      </c>
      <c r="E28" s="9">
        <v>485</v>
      </c>
      <c r="F28" s="25">
        <v>43196</v>
      </c>
      <c r="G28" s="70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71" t="s">
        <v>3494</v>
      </c>
      <c r="B29" s="67">
        <v>26245112885</v>
      </c>
      <c r="C29" s="72"/>
      <c r="D29" s="69"/>
      <c r="E29" s="9">
        <v>262</v>
      </c>
      <c r="F29" s="25">
        <v>43160</v>
      </c>
      <c r="G29" s="70" t="s">
        <v>3362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71" t="s">
        <v>3495</v>
      </c>
      <c r="B30" s="67">
        <v>36531080809</v>
      </c>
      <c r="C30" s="72" t="s">
        <v>3496</v>
      </c>
      <c r="D30" s="69">
        <v>22485483892</v>
      </c>
      <c r="E30" s="9">
        <v>1489</v>
      </c>
      <c r="F30" s="25">
        <v>43038</v>
      </c>
      <c r="G30" s="70" t="s">
        <v>3356</v>
      </c>
      <c r="H30" s="9"/>
      <c r="I30" s="8"/>
      <c r="J30" s="8"/>
      <c r="K30" s="8"/>
      <c r="L30" s="9" t="s">
        <v>3497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71" t="s">
        <v>3498</v>
      </c>
      <c r="B31" s="67">
        <v>28147186819</v>
      </c>
      <c r="C31" s="72" t="s">
        <v>3499</v>
      </c>
      <c r="D31" s="69">
        <v>24499714400</v>
      </c>
      <c r="E31" s="9"/>
      <c r="F31" s="25"/>
      <c r="G31" s="70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73" t="s">
        <v>3500</v>
      </c>
      <c r="B32" s="67">
        <v>37559228860</v>
      </c>
      <c r="C32" s="72" t="s">
        <v>3501</v>
      </c>
      <c r="D32" s="69">
        <v>28072024892</v>
      </c>
      <c r="E32" s="9">
        <v>1555</v>
      </c>
      <c r="F32" s="25">
        <v>43049</v>
      </c>
      <c r="G32" s="9" t="s">
        <v>3356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71" t="s">
        <v>3502</v>
      </c>
      <c r="B33" s="67">
        <v>23635229822</v>
      </c>
      <c r="C33" s="72" t="s">
        <v>3503</v>
      </c>
      <c r="D33" s="69">
        <v>21668057875</v>
      </c>
      <c r="E33" s="9">
        <v>262</v>
      </c>
      <c r="F33" s="25">
        <v>43160</v>
      </c>
      <c r="G33" s="70" t="s">
        <v>3356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9" t="s">
        <v>3504</v>
      </c>
      <c r="B34" s="67"/>
      <c r="C34" s="29" t="s">
        <v>3466</v>
      </c>
      <c r="D34" s="69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3505</v>
      </c>
      <c r="B35" s="67">
        <v>40902634844</v>
      </c>
      <c r="C35" s="72" t="s">
        <v>3506</v>
      </c>
      <c r="D35" s="69">
        <v>23795007895</v>
      </c>
      <c r="E35" s="9">
        <v>117</v>
      </c>
      <c r="F35" s="25">
        <v>43117</v>
      </c>
      <c r="G35" s="70" t="s">
        <v>3356</v>
      </c>
      <c r="H35" s="25">
        <v>43151</v>
      </c>
      <c r="I35" s="8"/>
      <c r="J35" s="8"/>
      <c r="K35" s="8"/>
      <c r="L35" s="9" t="s">
        <v>3507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71" t="s">
        <v>3508</v>
      </c>
      <c r="B36" s="67">
        <v>39615629898</v>
      </c>
      <c r="C36" s="72" t="s">
        <v>3509</v>
      </c>
      <c r="D36" s="69">
        <v>43328275894</v>
      </c>
      <c r="E36" s="9">
        <v>423</v>
      </c>
      <c r="F36" s="25">
        <v>43182</v>
      </c>
      <c r="G36" s="70" t="s">
        <v>3356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71" t="s">
        <v>3510</v>
      </c>
      <c r="B37" s="67"/>
      <c r="C37" s="72"/>
      <c r="D37" s="69"/>
      <c r="E37" s="9"/>
      <c r="F37" s="25"/>
      <c r="G37" s="70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9" t="s">
        <v>3511</v>
      </c>
      <c r="B38" s="67"/>
      <c r="C38" s="29" t="s">
        <v>3512</v>
      </c>
      <c r="D38" s="69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71" t="s">
        <v>3513</v>
      </c>
      <c r="B39" s="67">
        <v>14268808809</v>
      </c>
      <c r="C39" s="72"/>
      <c r="D39" s="69"/>
      <c r="E39" s="9">
        <v>262</v>
      </c>
      <c r="F39" s="25">
        <v>43160</v>
      </c>
      <c r="G39" s="70" t="s">
        <v>3356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71" t="s">
        <v>3514</v>
      </c>
      <c r="B40" s="67">
        <v>29628693867</v>
      </c>
      <c r="C40" s="72"/>
      <c r="D40" s="69"/>
      <c r="E40" s="9">
        <v>292</v>
      </c>
      <c r="F40" s="25">
        <v>43168</v>
      </c>
      <c r="G40" s="9" t="s">
        <v>3356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71" t="s">
        <v>3515</v>
      </c>
      <c r="B41" s="67">
        <v>35762862844</v>
      </c>
      <c r="C41" s="72"/>
      <c r="D41" s="69"/>
      <c r="E41" s="9">
        <v>1106</v>
      </c>
      <c r="F41" s="25">
        <v>42965</v>
      </c>
      <c r="G41" s="70" t="s">
        <v>3356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71" t="s">
        <v>3516</v>
      </c>
      <c r="B42" s="67">
        <v>10201704412</v>
      </c>
      <c r="C42" s="72" t="s">
        <v>3517</v>
      </c>
      <c r="D42" s="69">
        <v>33674895811</v>
      </c>
      <c r="E42" s="9">
        <v>262</v>
      </c>
      <c r="F42" s="25">
        <v>43160</v>
      </c>
      <c r="G42" s="70" t="s">
        <v>3356</v>
      </c>
      <c r="H42" s="25">
        <v>43164</v>
      </c>
      <c r="I42" s="8"/>
      <c r="J42" s="8"/>
      <c r="K42" s="8"/>
      <c r="L42" s="9">
        <v>255</v>
      </c>
      <c r="M42" s="8"/>
      <c r="O42" s="66" t="s">
        <v>3518</v>
      </c>
      <c r="P42" s="66">
        <f t="shared" ref="P42:U42" si="2">SUM(P3:P36)</f>
        <v>1922</v>
      </c>
      <c r="Q42" s="66">
        <f t="shared" si="2"/>
        <v>1514</v>
      </c>
      <c r="R42" s="66">
        <f t="shared" si="2"/>
        <v>83</v>
      </c>
      <c r="S42" s="66">
        <f t="shared" si="2"/>
        <v>36</v>
      </c>
      <c r="T42" s="66">
        <f t="shared" si="2"/>
        <v>289</v>
      </c>
      <c r="U42" s="74">
        <f t="shared" si="2"/>
        <v>1922</v>
      </c>
    </row>
    <row r="43" spans="1:21">
      <c r="A43" s="71" t="s">
        <v>3519</v>
      </c>
      <c r="B43" s="67">
        <v>35271487873</v>
      </c>
      <c r="C43" s="68" t="s">
        <v>3520</v>
      </c>
      <c r="D43" s="69">
        <v>557351502</v>
      </c>
      <c r="E43" s="9">
        <v>1128</v>
      </c>
      <c r="F43" s="25">
        <v>42972</v>
      </c>
      <c r="G43" s="70" t="s">
        <v>3356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3521</v>
      </c>
      <c r="B44" s="67">
        <v>22360217801</v>
      </c>
      <c r="C44" s="68"/>
      <c r="D44" s="69"/>
      <c r="E44" s="9">
        <v>1128</v>
      </c>
      <c r="F44" s="25">
        <v>42972</v>
      </c>
      <c r="G44" s="70" t="s">
        <v>3356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3522</v>
      </c>
      <c r="B45" s="67">
        <v>36930783862</v>
      </c>
      <c r="C45" s="72"/>
      <c r="D45" s="69"/>
      <c r="E45" s="9">
        <v>443</v>
      </c>
      <c r="F45" s="25">
        <v>43188</v>
      </c>
      <c r="G45" s="70"/>
      <c r="H45" s="25">
        <v>43192</v>
      </c>
      <c r="I45" s="8"/>
      <c r="J45" s="8"/>
      <c r="K45" s="8"/>
      <c r="L45" s="8"/>
      <c r="M45" s="8"/>
    </row>
    <row r="46" spans="1:21">
      <c r="A46" s="15" t="s">
        <v>3523</v>
      </c>
      <c r="B46" s="67">
        <v>36647299866</v>
      </c>
      <c r="C46" s="72"/>
      <c r="D46" s="69"/>
      <c r="E46" s="9">
        <v>292</v>
      </c>
      <c r="F46" s="25">
        <v>43168</v>
      </c>
      <c r="G46" s="70" t="s">
        <v>3356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3524</v>
      </c>
      <c r="B47" s="67">
        <v>31801479895</v>
      </c>
      <c r="C47" s="72" t="s">
        <v>3525</v>
      </c>
      <c r="D47" s="69">
        <v>23103908873</v>
      </c>
      <c r="E47" s="9"/>
      <c r="F47" s="25"/>
      <c r="G47" s="70"/>
      <c r="H47" s="9"/>
      <c r="I47" s="8"/>
      <c r="J47" s="8"/>
      <c r="K47" s="8"/>
      <c r="L47" s="8"/>
      <c r="M47" s="8"/>
    </row>
    <row r="48" spans="1:21">
      <c r="A48" s="14" t="s">
        <v>3526</v>
      </c>
      <c r="B48" s="67">
        <v>28638653824</v>
      </c>
      <c r="C48" s="72" t="s">
        <v>3527</v>
      </c>
      <c r="D48" s="69">
        <v>50160249520</v>
      </c>
      <c r="E48" s="9"/>
      <c r="F48" s="25"/>
      <c r="G48" s="70"/>
      <c r="H48" s="9"/>
      <c r="I48" s="8"/>
      <c r="J48" s="8"/>
      <c r="K48" s="8"/>
      <c r="L48" s="8"/>
      <c r="M48" s="8"/>
    </row>
    <row r="49" spans="1:21">
      <c r="A49" s="71" t="s">
        <v>3528</v>
      </c>
      <c r="B49" s="67">
        <v>17766101807</v>
      </c>
      <c r="C49" s="72" t="s">
        <v>3529</v>
      </c>
      <c r="D49" s="69">
        <v>31993041842</v>
      </c>
      <c r="E49" s="9">
        <v>1824</v>
      </c>
      <c r="F49" s="25">
        <v>43091</v>
      </c>
      <c r="G49" s="70" t="s">
        <v>3356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72" t="s">
        <v>3530</v>
      </c>
      <c r="B50" s="67">
        <v>17902799840</v>
      </c>
      <c r="C50" s="72" t="s">
        <v>3531</v>
      </c>
      <c r="D50" s="69">
        <v>44230035896</v>
      </c>
      <c r="E50" s="9"/>
      <c r="F50" s="25"/>
      <c r="G50" s="70"/>
      <c r="H50" s="9"/>
      <c r="I50" s="8"/>
      <c r="J50" s="8"/>
      <c r="K50" s="8"/>
      <c r="L50" s="8"/>
      <c r="M50" s="8"/>
    </row>
    <row r="51" spans="1:21">
      <c r="A51" s="73" t="s">
        <v>3532</v>
      </c>
      <c r="B51" s="67">
        <v>49122403892</v>
      </c>
      <c r="C51" s="75" t="s">
        <v>3533</v>
      </c>
      <c r="D51" s="69">
        <v>1478139560</v>
      </c>
      <c r="E51" s="9">
        <v>608</v>
      </c>
      <c r="F51" s="25">
        <v>43012</v>
      </c>
      <c r="G51" s="70" t="s">
        <v>3356</v>
      </c>
      <c r="H51" s="25">
        <v>43024</v>
      </c>
      <c r="I51" s="8"/>
      <c r="J51" s="8"/>
      <c r="K51" s="8"/>
      <c r="L51" s="8"/>
      <c r="M51" s="8"/>
      <c r="O51" s="342" t="s">
        <v>3534</v>
      </c>
      <c r="P51" s="342"/>
      <c r="Q51" s="342"/>
      <c r="R51" s="342"/>
      <c r="S51" s="342"/>
      <c r="T51" s="342"/>
      <c r="U51" s="342"/>
    </row>
    <row r="52" spans="1:21">
      <c r="A52" s="13" t="s">
        <v>3535</v>
      </c>
      <c r="B52" s="67">
        <v>37534302854</v>
      </c>
      <c r="C52" s="71" t="s">
        <v>3536</v>
      </c>
      <c r="D52" s="67">
        <v>1689246502</v>
      </c>
      <c r="E52" s="9"/>
      <c r="F52" s="25"/>
      <c r="G52" s="70"/>
      <c r="H52" s="9"/>
      <c r="I52" s="8"/>
      <c r="J52" s="8"/>
      <c r="K52" s="8"/>
      <c r="L52" s="8"/>
      <c r="M52" s="8"/>
    </row>
    <row r="53" spans="1:21">
      <c r="A53" s="13" t="s">
        <v>3537</v>
      </c>
      <c r="B53" s="67">
        <v>14699996841</v>
      </c>
      <c r="C53" s="68" t="s">
        <v>3538</v>
      </c>
      <c r="D53" s="69">
        <v>15089706883</v>
      </c>
      <c r="E53" s="9">
        <v>1128</v>
      </c>
      <c r="F53" s="25">
        <v>42972</v>
      </c>
      <c r="G53" s="70" t="s">
        <v>3356</v>
      </c>
      <c r="H53" s="25">
        <v>42979</v>
      </c>
      <c r="I53" s="8"/>
      <c r="J53" s="8"/>
      <c r="K53" s="8"/>
      <c r="L53" s="8"/>
      <c r="M53" s="8"/>
    </row>
    <row r="54" spans="1:21">
      <c r="A54" s="71" t="s">
        <v>3539</v>
      </c>
      <c r="B54" s="67">
        <v>47077408809</v>
      </c>
      <c r="C54" s="68"/>
      <c r="D54" s="69"/>
      <c r="E54" s="9"/>
      <c r="F54" s="25"/>
      <c r="G54" s="70"/>
      <c r="H54" s="9"/>
      <c r="I54" s="8"/>
      <c r="J54" s="8"/>
      <c r="K54" s="8"/>
      <c r="L54" s="8"/>
      <c r="M54" s="8"/>
    </row>
    <row r="55" spans="1:21">
      <c r="A55" s="14" t="s">
        <v>3540</v>
      </c>
      <c r="B55" s="67">
        <v>40396239838</v>
      </c>
      <c r="C55" s="72" t="s">
        <v>3541</v>
      </c>
      <c r="D55" s="69">
        <v>39420747883</v>
      </c>
      <c r="E55" s="9">
        <v>262</v>
      </c>
      <c r="F55" s="25">
        <v>43160</v>
      </c>
      <c r="G55" s="70" t="s">
        <v>3356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3542</v>
      </c>
      <c r="B56" s="67">
        <v>41333062877</v>
      </c>
      <c r="C56" s="72"/>
      <c r="D56" s="69"/>
      <c r="E56" s="9">
        <v>292</v>
      </c>
      <c r="F56" s="25">
        <v>43168</v>
      </c>
      <c r="G56" s="70" t="s">
        <v>3356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9" t="s">
        <v>3543</v>
      </c>
      <c r="B57" s="67">
        <v>38781151802</v>
      </c>
      <c r="C57" s="18" t="s">
        <v>3466</v>
      </c>
      <c r="D57" s="69"/>
      <c r="E57" s="9"/>
      <c r="F57" s="25"/>
      <c r="G57" s="70"/>
      <c r="H57" s="9"/>
      <c r="I57" s="8"/>
      <c r="J57" s="8"/>
      <c r="K57" s="8"/>
      <c r="L57" s="8"/>
      <c r="M57" s="8"/>
    </row>
    <row r="58" spans="1:21">
      <c r="A58" s="15" t="s">
        <v>3544</v>
      </c>
      <c r="B58" s="67"/>
      <c r="C58" s="72"/>
      <c r="D58" s="69"/>
      <c r="E58" s="9"/>
      <c r="F58" s="25"/>
      <c r="G58" s="70"/>
      <c r="H58" s="9"/>
      <c r="I58" s="8"/>
      <c r="J58" s="8"/>
      <c r="K58" s="8"/>
      <c r="L58" s="8"/>
      <c r="M58" s="8"/>
    </row>
    <row r="59" spans="1:21">
      <c r="A59" s="73" t="s">
        <v>3545</v>
      </c>
      <c r="B59" s="67">
        <v>2428277219</v>
      </c>
      <c r="C59" s="72" t="s">
        <v>3546</v>
      </c>
      <c r="D59" s="69">
        <v>909805229</v>
      </c>
      <c r="E59" s="9">
        <v>810</v>
      </c>
      <c r="F59" s="25">
        <v>42915</v>
      </c>
      <c r="G59" s="70" t="s">
        <v>3356</v>
      </c>
      <c r="H59" s="25">
        <v>42921</v>
      </c>
      <c r="I59" s="8"/>
      <c r="J59" s="8"/>
      <c r="K59" s="8"/>
      <c r="L59" s="9" t="s">
        <v>3475</v>
      </c>
      <c r="M59" s="8"/>
    </row>
    <row r="60" spans="1:21">
      <c r="A60" s="71" t="s">
        <v>3547</v>
      </c>
      <c r="B60" s="67">
        <v>16417464830</v>
      </c>
      <c r="C60" s="72"/>
      <c r="D60" s="69"/>
      <c r="E60" s="9"/>
      <c r="F60" s="25"/>
      <c r="G60" s="70"/>
      <c r="H60" s="9"/>
      <c r="I60" s="8"/>
      <c r="J60" s="8"/>
      <c r="K60" s="8"/>
      <c r="L60" s="8"/>
      <c r="M60" s="8"/>
    </row>
    <row r="61" spans="1:21">
      <c r="A61" s="71" t="s">
        <v>3548</v>
      </c>
      <c r="B61" s="67">
        <v>7104481800</v>
      </c>
      <c r="C61" s="72"/>
      <c r="D61" s="69"/>
      <c r="E61" s="9">
        <v>262</v>
      </c>
      <c r="F61" s="25">
        <v>43160</v>
      </c>
      <c r="G61" s="70" t="s">
        <v>3356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71" t="s">
        <v>3549</v>
      </c>
      <c r="B62" s="67">
        <v>25023266800</v>
      </c>
      <c r="C62" s="72"/>
      <c r="D62" s="69"/>
      <c r="E62" s="9"/>
      <c r="F62" s="25"/>
      <c r="G62" s="70"/>
      <c r="H62" s="9"/>
      <c r="I62" s="8"/>
      <c r="J62" s="8"/>
      <c r="K62" s="8"/>
      <c r="L62" s="8"/>
      <c r="M62" s="8"/>
    </row>
    <row r="63" spans="1:21">
      <c r="A63" s="72" t="s">
        <v>3550</v>
      </c>
      <c r="B63" s="67">
        <v>3722493889</v>
      </c>
      <c r="C63" s="72" t="s">
        <v>3551</v>
      </c>
      <c r="D63" s="69">
        <v>32416642871</v>
      </c>
      <c r="E63" s="9"/>
      <c r="F63" s="25"/>
      <c r="G63" s="70"/>
      <c r="H63" s="9"/>
      <c r="I63" s="8"/>
      <c r="J63" s="8"/>
      <c r="K63" s="8"/>
      <c r="L63" s="8"/>
      <c r="M63" s="8"/>
    </row>
    <row r="64" spans="1:21">
      <c r="A64" s="71" t="s">
        <v>3552</v>
      </c>
      <c r="B64" s="67">
        <v>14519340845</v>
      </c>
      <c r="C64" s="72" t="s">
        <v>3553</v>
      </c>
      <c r="D64" s="69">
        <v>88489795568</v>
      </c>
      <c r="E64" s="9">
        <v>262</v>
      </c>
      <c r="F64" s="25">
        <v>43160</v>
      </c>
      <c r="G64" s="70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3554</v>
      </c>
      <c r="B65" s="67">
        <v>19266484806</v>
      </c>
      <c r="C65" s="72"/>
      <c r="D65" s="69"/>
      <c r="E65" s="9"/>
      <c r="F65" s="25"/>
      <c r="G65" s="70"/>
      <c r="H65" s="9"/>
      <c r="I65" s="8"/>
      <c r="J65" s="8"/>
      <c r="K65" s="8"/>
      <c r="L65" s="8"/>
      <c r="M65" s="8"/>
    </row>
    <row r="66" spans="1:13">
      <c r="A66" s="72" t="s">
        <v>3555</v>
      </c>
      <c r="B66" s="67">
        <v>15322188851</v>
      </c>
      <c r="C66" s="72"/>
      <c r="D66" s="69"/>
      <c r="E66" s="9"/>
      <c r="F66" s="25"/>
      <c r="G66" s="70"/>
      <c r="H66" s="9"/>
      <c r="I66" s="8"/>
      <c r="J66" s="8"/>
      <c r="K66" s="8"/>
      <c r="L66" s="8"/>
      <c r="M66" s="8"/>
    </row>
    <row r="67" spans="1:13">
      <c r="A67" s="15" t="s">
        <v>3556</v>
      </c>
      <c r="B67" s="67">
        <v>36392955879</v>
      </c>
      <c r="C67" s="72" t="s">
        <v>3557</v>
      </c>
      <c r="D67" s="69">
        <v>5242864346</v>
      </c>
      <c r="E67" s="9">
        <v>117</v>
      </c>
      <c r="F67" s="25">
        <v>43117</v>
      </c>
      <c r="G67" s="70" t="s">
        <v>3356</v>
      </c>
      <c r="H67" s="25">
        <v>43151</v>
      </c>
      <c r="I67" s="8"/>
      <c r="J67" s="8"/>
      <c r="K67" s="8"/>
      <c r="L67" s="9" t="s">
        <v>3507</v>
      </c>
      <c r="M67" s="8"/>
    </row>
    <row r="68" spans="1:13">
      <c r="A68" s="71" t="s">
        <v>3558</v>
      </c>
      <c r="B68" s="67">
        <v>41482647800</v>
      </c>
      <c r="C68" s="72"/>
      <c r="D68" s="69"/>
      <c r="E68" s="9">
        <v>1262</v>
      </c>
      <c r="F68" s="25">
        <v>42997</v>
      </c>
      <c r="G68" s="70" t="s">
        <v>3356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3559</v>
      </c>
      <c r="B69" s="67">
        <v>47629183852</v>
      </c>
      <c r="C69" s="72"/>
      <c r="D69" s="69"/>
      <c r="E69" s="9"/>
      <c r="F69" s="25"/>
      <c r="G69" s="70"/>
      <c r="H69" s="9"/>
      <c r="I69" s="8"/>
      <c r="J69" s="8"/>
      <c r="K69" s="8"/>
      <c r="L69" s="8"/>
      <c r="M69" s="8"/>
    </row>
    <row r="70" spans="1:13">
      <c r="A70" s="18" t="s">
        <v>3560</v>
      </c>
      <c r="B70" s="67">
        <v>9882942490</v>
      </c>
      <c r="C70" s="18" t="s">
        <v>3561</v>
      </c>
      <c r="D70" s="69">
        <v>9704111460</v>
      </c>
      <c r="E70" s="9"/>
      <c r="F70" s="25"/>
      <c r="G70" s="70"/>
      <c r="H70" s="9"/>
      <c r="I70" s="8"/>
      <c r="J70" s="8"/>
      <c r="K70" s="8"/>
      <c r="L70" s="8"/>
      <c r="M70" s="8"/>
    </row>
    <row r="71" spans="1:13">
      <c r="A71" s="15" t="s">
        <v>3562</v>
      </c>
      <c r="B71" s="67">
        <v>14777572870</v>
      </c>
      <c r="C71" s="72" t="s">
        <v>3563</v>
      </c>
      <c r="D71" s="69">
        <v>12874739898</v>
      </c>
      <c r="E71" s="9">
        <v>1824</v>
      </c>
      <c r="F71" s="25">
        <v>43091</v>
      </c>
      <c r="G71" s="70" t="s">
        <v>3356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71" t="s">
        <v>3564</v>
      </c>
      <c r="B72" s="67">
        <v>31996709895</v>
      </c>
      <c r="C72" s="72"/>
      <c r="D72" s="69"/>
      <c r="E72" s="9"/>
      <c r="F72" s="25"/>
      <c r="G72" s="70"/>
      <c r="H72" s="9"/>
      <c r="I72" s="8"/>
      <c r="J72" s="8"/>
      <c r="K72" s="8"/>
      <c r="L72" s="8"/>
      <c r="M72" s="8"/>
    </row>
    <row r="73" spans="1:13">
      <c r="A73" s="13" t="s">
        <v>3565</v>
      </c>
      <c r="B73" s="67">
        <v>26824046850</v>
      </c>
      <c r="C73" s="68"/>
      <c r="D73" s="69"/>
      <c r="E73" s="9">
        <v>1824</v>
      </c>
      <c r="F73" s="25">
        <v>43091</v>
      </c>
      <c r="G73" s="70" t="s">
        <v>3356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3566</v>
      </c>
      <c r="B74" s="67">
        <v>3523524342</v>
      </c>
      <c r="C74" s="72"/>
      <c r="D74" s="69"/>
      <c r="E74" s="9">
        <v>85</v>
      </c>
      <c r="F74" s="25">
        <v>43109</v>
      </c>
      <c r="G74" s="70" t="s">
        <v>3356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3567</v>
      </c>
      <c r="B75" s="67">
        <v>26940268855</v>
      </c>
      <c r="C75" s="18" t="s">
        <v>3568</v>
      </c>
      <c r="D75" s="69"/>
      <c r="E75" s="9"/>
      <c r="F75" s="25"/>
      <c r="G75" s="70"/>
      <c r="H75" s="9"/>
      <c r="I75" s="8"/>
      <c r="J75" s="8"/>
      <c r="K75" s="8"/>
      <c r="L75" s="8"/>
      <c r="M75" s="8"/>
    </row>
    <row r="76" spans="1:13">
      <c r="A76" s="13" t="s">
        <v>3569</v>
      </c>
      <c r="B76" s="67">
        <v>24828498885</v>
      </c>
      <c r="C76" s="72"/>
      <c r="D76" s="69"/>
      <c r="E76" s="9">
        <v>1489</v>
      </c>
      <c r="F76" s="25">
        <v>43038</v>
      </c>
      <c r="G76" s="70" t="s">
        <v>3356</v>
      </c>
      <c r="H76" s="9"/>
      <c r="I76" s="8"/>
      <c r="J76" s="8"/>
      <c r="K76" s="8"/>
      <c r="L76" s="9" t="s">
        <v>3497</v>
      </c>
      <c r="M76" s="8"/>
    </row>
    <row r="77" spans="1:13">
      <c r="A77" s="15" t="s">
        <v>3570</v>
      </c>
      <c r="B77" s="67">
        <v>11482307855</v>
      </c>
      <c r="C77" s="72"/>
      <c r="D77" s="69"/>
      <c r="E77" s="9">
        <v>85</v>
      </c>
      <c r="F77" s="25">
        <v>43109</v>
      </c>
      <c r="G77" s="70" t="s">
        <v>3356</v>
      </c>
      <c r="H77" s="25">
        <v>43151</v>
      </c>
      <c r="I77" s="8"/>
      <c r="J77" s="8"/>
      <c r="K77" s="8"/>
      <c r="L77" s="8"/>
      <c r="M77" s="8"/>
    </row>
    <row r="78" spans="1:13">
      <c r="A78" s="71" t="s">
        <v>3571</v>
      </c>
      <c r="B78" s="67">
        <v>42352732808</v>
      </c>
      <c r="C78" s="72" t="s">
        <v>3572</v>
      </c>
      <c r="D78" s="69">
        <v>281893373</v>
      </c>
      <c r="E78" s="9">
        <v>1214</v>
      </c>
      <c r="F78" s="25">
        <v>42989</v>
      </c>
      <c r="G78" s="70" t="s">
        <v>3356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3573</v>
      </c>
      <c r="B79" s="67">
        <v>13480043801</v>
      </c>
      <c r="C79" s="18" t="s">
        <v>3574</v>
      </c>
      <c r="D79" s="69">
        <v>67141536604</v>
      </c>
      <c r="E79" s="9"/>
      <c r="F79" s="25"/>
      <c r="G79" s="70"/>
      <c r="H79" s="9"/>
      <c r="I79" s="8"/>
      <c r="J79" s="8"/>
      <c r="K79" s="8"/>
      <c r="L79" s="8"/>
      <c r="M79" s="8"/>
    </row>
    <row r="80" spans="1:13">
      <c r="A80" s="71" t="s">
        <v>3575</v>
      </c>
      <c r="B80" s="67">
        <v>31874522804</v>
      </c>
      <c r="C80" s="72"/>
      <c r="D80" s="69"/>
      <c r="E80" s="9">
        <v>292</v>
      </c>
      <c r="F80" s="25">
        <v>43168</v>
      </c>
      <c r="G80" s="70" t="s">
        <v>3356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71" t="s">
        <v>3576</v>
      </c>
      <c r="B81" s="67">
        <v>28889575824</v>
      </c>
      <c r="C81" s="72"/>
      <c r="D81" s="69"/>
      <c r="E81" s="9">
        <v>1241</v>
      </c>
      <c r="F81" s="25">
        <v>42992</v>
      </c>
      <c r="G81" s="70" t="s">
        <v>3356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3577</v>
      </c>
      <c r="B82" s="67">
        <v>21734589817</v>
      </c>
      <c r="C82" s="72"/>
      <c r="D82" s="69"/>
      <c r="E82" s="9">
        <v>229</v>
      </c>
      <c r="F82" s="25">
        <v>43151</v>
      </c>
      <c r="G82" s="70" t="s">
        <v>3356</v>
      </c>
      <c r="H82" s="9"/>
      <c r="I82" s="8"/>
      <c r="J82" s="8"/>
      <c r="K82" s="8"/>
      <c r="L82" s="9">
        <v>232</v>
      </c>
      <c r="M82" s="8"/>
    </row>
    <row r="83" spans="1:13">
      <c r="A83" s="18" t="s">
        <v>3578</v>
      </c>
      <c r="B83" s="67"/>
      <c r="C83" s="18"/>
      <c r="D83" s="69"/>
      <c r="E83" s="9"/>
      <c r="F83" s="25"/>
      <c r="G83" s="70"/>
      <c r="H83" s="9"/>
      <c r="I83" s="8"/>
      <c r="J83" s="8"/>
      <c r="K83" s="8"/>
      <c r="L83" s="8"/>
      <c r="M83" s="8"/>
    </row>
    <row r="84" spans="1:13">
      <c r="A84" s="19" t="s">
        <v>3579</v>
      </c>
      <c r="B84" s="67">
        <v>18475875858</v>
      </c>
      <c r="C84" s="20"/>
      <c r="D84" s="67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71" t="s">
        <v>3580</v>
      </c>
      <c r="B85" s="67">
        <v>40443882886</v>
      </c>
      <c r="C85" s="72"/>
      <c r="D85" s="69"/>
      <c r="E85" s="9">
        <v>509</v>
      </c>
      <c r="F85" s="25">
        <v>43203</v>
      </c>
      <c r="G85" s="76"/>
      <c r="H85" s="76">
        <v>43213</v>
      </c>
      <c r="I85" s="8"/>
      <c r="J85" s="8"/>
      <c r="K85" s="8"/>
      <c r="L85" s="8"/>
      <c r="M85" s="8"/>
    </row>
    <row r="86" spans="1:13">
      <c r="A86" s="13" t="s">
        <v>3581</v>
      </c>
      <c r="B86" s="67">
        <v>43053250802</v>
      </c>
      <c r="C86" s="68" t="s">
        <v>3582</v>
      </c>
      <c r="D86" s="69">
        <v>35893147880</v>
      </c>
      <c r="E86" s="9">
        <v>1128</v>
      </c>
      <c r="F86" s="25">
        <v>42972</v>
      </c>
      <c r="G86" s="70" t="s">
        <v>3356</v>
      </c>
      <c r="H86" s="9"/>
      <c r="I86" s="8"/>
      <c r="J86" s="8"/>
      <c r="K86" s="8"/>
      <c r="L86" s="8"/>
      <c r="M86" s="8"/>
    </row>
    <row r="87" spans="1:13">
      <c r="A87" s="71" t="s">
        <v>3583</v>
      </c>
      <c r="B87" s="67">
        <v>28255807837</v>
      </c>
      <c r="C87" s="72"/>
      <c r="D87" s="69"/>
      <c r="E87" s="9">
        <v>292</v>
      </c>
      <c r="F87" s="25">
        <v>43168</v>
      </c>
      <c r="G87" s="70" t="s">
        <v>3356</v>
      </c>
      <c r="H87" s="9"/>
      <c r="I87" s="8"/>
      <c r="J87" s="8"/>
      <c r="K87" s="8"/>
      <c r="L87" s="9">
        <v>318</v>
      </c>
      <c r="M87" s="8"/>
    </row>
    <row r="88" spans="1:13">
      <c r="A88" s="73" t="s">
        <v>3584</v>
      </c>
      <c r="B88" s="67">
        <v>33617584837</v>
      </c>
      <c r="C88" s="72" t="s">
        <v>3585</v>
      </c>
      <c r="D88" s="69">
        <v>26520094862</v>
      </c>
      <c r="E88" s="9">
        <v>608</v>
      </c>
      <c r="F88" s="25">
        <v>43012</v>
      </c>
      <c r="G88" s="70" t="s">
        <v>3356</v>
      </c>
      <c r="H88" s="9"/>
      <c r="I88" s="8"/>
      <c r="J88" s="8"/>
      <c r="K88" s="8"/>
      <c r="L88" s="8"/>
      <c r="M88" s="8"/>
    </row>
    <row r="89" spans="1:13">
      <c r="A89" s="14" t="s">
        <v>3586</v>
      </c>
      <c r="B89" s="67">
        <v>38168161858</v>
      </c>
      <c r="C89" s="72" t="s">
        <v>3587</v>
      </c>
      <c r="D89" s="69">
        <v>24059422835</v>
      </c>
      <c r="E89" s="9"/>
      <c r="F89" s="25"/>
      <c r="G89" s="70"/>
      <c r="H89" s="9"/>
      <c r="I89" s="8"/>
      <c r="J89" s="8"/>
      <c r="K89" s="8"/>
      <c r="L89" s="8"/>
      <c r="M89" s="8"/>
    </row>
    <row r="90" spans="1:13">
      <c r="A90" s="71" t="s">
        <v>3588</v>
      </c>
      <c r="B90" s="67">
        <v>38728353862</v>
      </c>
      <c r="C90" s="72" t="s">
        <v>3589</v>
      </c>
      <c r="D90" s="69">
        <v>37650358828</v>
      </c>
      <c r="E90" s="9">
        <v>1417</v>
      </c>
      <c r="F90" s="25">
        <v>43017</v>
      </c>
      <c r="G90" s="70" t="s">
        <v>3356</v>
      </c>
      <c r="H90" s="9"/>
      <c r="I90" s="8"/>
      <c r="J90" s="8"/>
      <c r="K90" s="8"/>
      <c r="L90" s="9" t="s">
        <v>3590</v>
      </c>
      <c r="M90" s="8"/>
    </row>
    <row r="91" spans="1:13">
      <c r="A91" s="15" t="s">
        <v>3591</v>
      </c>
      <c r="B91" s="67">
        <v>29479419858</v>
      </c>
      <c r="C91" s="72" t="s">
        <v>3592</v>
      </c>
      <c r="D91" s="69">
        <v>71909656534</v>
      </c>
      <c r="E91" s="9"/>
      <c r="F91" s="25"/>
      <c r="G91" s="70"/>
      <c r="H91" s="9"/>
      <c r="I91" s="8"/>
      <c r="J91" s="8"/>
      <c r="K91" s="8"/>
      <c r="L91" s="8"/>
      <c r="M91" s="8"/>
    </row>
    <row r="92" spans="1:13">
      <c r="A92" s="71" t="s">
        <v>3593</v>
      </c>
      <c r="B92" s="67">
        <v>37634689866</v>
      </c>
      <c r="C92" s="72"/>
      <c r="D92" s="69"/>
      <c r="E92" s="9">
        <v>443</v>
      </c>
      <c r="F92" s="25">
        <v>43188</v>
      </c>
      <c r="G92" s="70"/>
      <c r="H92" s="9"/>
      <c r="I92" s="8"/>
      <c r="J92" s="8"/>
      <c r="K92" s="8"/>
      <c r="L92" s="8"/>
      <c r="M92" s="8"/>
    </row>
    <row r="93" spans="1:13">
      <c r="A93" s="71" t="s">
        <v>3594</v>
      </c>
      <c r="B93" s="67">
        <v>22656606802</v>
      </c>
      <c r="C93" s="72"/>
      <c r="D93" s="69"/>
      <c r="E93" s="9">
        <v>1555</v>
      </c>
      <c r="F93" s="25">
        <v>43049</v>
      </c>
      <c r="G93" s="70" t="s">
        <v>3356</v>
      </c>
      <c r="H93" s="9"/>
      <c r="I93" s="8"/>
      <c r="J93" s="8"/>
      <c r="K93" s="8"/>
      <c r="L93" s="8"/>
      <c r="M93" s="8"/>
    </row>
    <row r="94" spans="1:13">
      <c r="A94" s="15" t="s">
        <v>3595</v>
      </c>
      <c r="B94" s="67">
        <v>4248144638</v>
      </c>
      <c r="C94" s="72"/>
      <c r="D94" s="69"/>
      <c r="E94" s="9">
        <v>229</v>
      </c>
      <c r="F94" s="25">
        <v>43151</v>
      </c>
      <c r="G94" s="70" t="s">
        <v>3356</v>
      </c>
      <c r="H94" s="9"/>
      <c r="I94" s="8"/>
      <c r="J94" s="8"/>
      <c r="K94" s="8"/>
      <c r="L94" s="9">
        <v>232</v>
      </c>
      <c r="M94" s="8"/>
    </row>
    <row r="95" spans="1:13">
      <c r="A95" s="72" t="s">
        <v>3596</v>
      </c>
      <c r="B95" s="67">
        <v>29998933889</v>
      </c>
      <c r="C95" s="72"/>
      <c r="D95" s="69"/>
      <c r="E95" s="9"/>
      <c r="F95" s="25"/>
      <c r="G95" s="70"/>
      <c r="H95" s="9"/>
      <c r="I95" s="8"/>
      <c r="J95" s="8"/>
      <c r="K95" s="8"/>
      <c r="L95" s="8"/>
      <c r="M95" s="8"/>
    </row>
    <row r="96" spans="1:13">
      <c r="A96" s="71" t="s">
        <v>3597</v>
      </c>
      <c r="B96" s="67">
        <v>2963904533</v>
      </c>
      <c r="C96" s="72"/>
      <c r="D96" s="69"/>
      <c r="E96" s="9">
        <v>1489</v>
      </c>
      <c r="F96" s="25">
        <v>43038</v>
      </c>
      <c r="G96" s="70" t="s">
        <v>3356</v>
      </c>
      <c r="H96" s="9"/>
      <c r="I96" s="8"/>
      <c r="J96" s="8"/>
      <c r="K96" s="8"/>
      <c r="L96" s="9" t="s">
        <v>3497</v>
      </c>
      <c r="M96" s="8"/>
    </row>
    <row r="97" spans="1:13">
      <c r="A97" s="71" t="s">
        <v>3598</v>
      </c>
      <c r="B97" s="67">
        <v>23256005802</v>
      </c>
      <c r="C97" s="72"/>
      <c r="D97" s="69"/>
      <c r="E97" s="9">
        <v>1350</v>
      </c>
      <c r="F97" s="25">
        <v>43006</v>
      </c>
      <c r="G97" s="70" t="s">
        <v>3356</v>
      </c>
      <c r="H97" s="9"/>
      <c r="I97" s="8"/>
      <c r="J97" s="8"/>
      <c r="K97" s="8"/>
      <c r="L97" s="8"/>
      <c r="M97" s="8"/>
    </row>
    <row r="98" spans="1:13">
      <c r="A98" s="29" t="s">
        <v>3599</v>
      </c>
      <c r="B98" s="67">
        <v>3317260505</v>
      </c>
      <c r="C98" s="29" t="s">
        <v>3600</v>
      </c>
      <c r="D98" s="69">
        <v>92396607634</v>
      </c>
      <c r="E98" s="9"/>
      <c r="F98" s="25"/>
      <c r="G98" s="70"/>
      <c r="H98" s="9"/>
      <c r="I98" s="8"/>
      <c r="J98" s="8"/>
      <c r="K98" s="8"/>
      <c r="L98" s="8"/>
      <c r="M98" s="8"/>
    </row>
    <row r="99" spans="1:13">
      <c r="A99" s="71" t="s">
        <v>3601</v>
      </c>
      <c r="B99" s="67">
        <v>36234875890</v>
      </c>
      <c r="C99" s="68"/>
      <c r="D99" s="69"/>
      <c r="E99" s="9">
        <v>1128</v>
      </c>
      <c r="F99" s="25">
        <v>42972</v>
      </c>
      <c r="G99" s="70" t="s">
        <v>3356</v>
      </c>
      <c r="H99" s="9"/>
      <c r="I99" s="8"/>
      <c r="J99" s="8"/>
      <c r="K99" s="8"/>
      <c r="L99" s="8"/>
      <c r="M99" s="8"/>
    </row>
    <row r="100" spans="1:13">
      <c r="A100" s="15" t="s">
        <v>3602</v>
      </c>
      <c r="B100" s="67">
        <v>1243618469</v>
      </c>
      <c r="C100" s="72"/>
      <c r="D100" s="69"/>
      <c r="E100" s="9">
        <v>262</v>
      </c>
      <c r="F100" s="25">
        <v>43160</v>
      </c>
      <c r="G100" s="70" t="s">
        <v>3356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3603</v>
      </c>
      <c r="B101" s="67">
        <v>30978936876</v>
      </c>
      <c r="C101" s="72"/>
      <c r="D101" s="69"/>
      <c r="E101" s="9">
        <v>229</v>
      </c>
      <c r="F101" s="25">
        <v>43151</v>
      </c>
      <c r="G101" s="70" t="s">
        <v>3356</v>
      </c>
      <c r="H101" s="9"/>
      <c r="I101" s="8"/>
      <c r="J101" s="8"/>
      <c r="K101" s="8"/>
      <c r="L101" s="9">
        <v>232</v>
      </c>
      <c r="M101" s="8"/>
    </row>
    <row r="102" spans="1:13">
      <c r="A102" s="71" t="s">
        <v>3604</v>
      </c>
      <c r="B102" s="67">
        <v>37469982809</v>
      </c>
      <c r="C102" s="72"/>
      <c r="D102" s="69"/>
      <c r="E102" s="9">
        <v>262</v>
      </c>
      <c r="F102" s="25">
        <v>43160</v>
      </c>
      <c r="G102" s="70" t="s">
        <v>3356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9" t="s">
        <v>3605</v>
      </c>
      <c r="B103" s="67"/>
      <c r="C103" s="18" t="s">
        <v>3466</v>
      </c>
      <c r="D103" s="69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71" t="s">
        <v>3606</v>
      </c>
      <c r="B104" s="67">
        <v>31416949828</v>
      </c>
      <c r="C104" s="72"/>
      <c r="D104" s="69"/>
      <c r="E104" s="9">
        <v>1106</v>
      </c>
      <c r="F104" s="25">
        <v>42965</v>
      </c>
      <c r="G104" s="70" t="s">
        <v>3356</v>
      </c>
      <c r="H104" s="9"/>
      <c r="I104" s="8"/>
      <c r="J104" s="8"/>
      <c r="K104" s="8"/>
      <c r="L104" s="8"/>
      <c r="M104" s="8"/>
    </row>
    <row r="105" spans="1:13">
      <c r="A105" s="71" t="s">
        <v>3607</v>
      </c>
      <c r="B105" s="67">
        <v>34320505859</v>
      </c>
      <c r="C105" s="72"/>
      <c r="D105" s="69"/>
      <c r="E105" s="9">
        <v>85</v>
      </c>
      <c r="F105" s="25">
        <v>43109</v>
      </c>
      <c r="G105" s="70" t="s">
        <v>3356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3608</v>
      </c>
      <c r="B106" s="67">
        <v>40823037827</v>
      </c>
      <c r="C106" s="72" t="s">
        <v>3609</v>
      </c>
      <c r="D106" s="69">
        <v>46346951890</v>
      </c>
      <c r="E106" s="9"/>
      <c r="F106" s="25"/>
      <c r="G106" s="70"/>
      <c r="H106" s="9"/>
      <c r="I106" s="8"/>
      <c r="J106" s="8"/>
      <c r="K106" s="8"/>
      <c r="L106" s="8"/>
      <c r="M106" s="8"/>
    </row>
    <row r="107" spans="1:13">
      <c r="A107" s="18" t="s">
        <v>3610</v>
      </c>
      <c r="B107" s="67">
        <v>54215625491</v>
      </c>
      <c r="C107" s="18" t="s">
        <v>3611</v>
      </c>
      <c r="D107" s="69">
        <v>86418122453</v>
      </c>
      <c r="E107" s="9"/>
      <c r="F107" s="25"/>
      <c r="G107" s="70"/>
      <c r="H107" s="9"/>
      <c r="I107" s="8"/>
      <c r="J107" s="8"/>
      <c r="K107" s="8"/>
      <c r="L107" s="8"/>
      <c r="M107" s="8"/>
    </row>
    <row r="108" spans="1:13">
      <c r="A108" s="29" t="s">
        <v>3612</v>
      </c>
      <c r="B108" s="67">
        <v>8424740807</v>
      </c>
      <c r="C108" s="18" t="s">
        <v>3466</v>
      </c>
      <c r="D108" s="69"/>
      <c r="E108" s="9"/>
      <c r="F108" s="25"/>
      <c r="G108" s="70"/>
      <c r="H108" s="9"/>
      <c r="I108" s="8"/>
      <c r="J108" s="8"/>
      <c r="K108" s="8"/>
      <c r="L108" s="8"/>
      <c r="M108" s="8"/>
    </row>
    <row r="109" spans="1:13">
      <c r="A109" s="71" t="s">
        <v>3613</v>
      </c>
      <c r="B109" s="67">
        <v>78495857472</v>
      </c>
      <c r="C109" s="72" t="s">
        <v>3614</v>
      </c>
      <c r="D109" s="69">
        <v>148572863</v>
      </c>
      <c r="E109" s="9">
        <v>1752</v>
      </c>
      <c r="F109" s="25">
        <v>43051</v>
      </c>
      <c r="G109" s="70" t="s">
        <v>3356</v>
      </c>
      <c r="H109" s="9"/>
      <c r="I109" s="8"/>
      <c r="J109" s="8"/>
      <c r="K109" s="8"/>
      <c r="L109" s="9">
        <v>1759</v>
      </c>
      <c r="M109" s="8"/>
    </row>
    <row r="110" spans="1:13">
      <c r="A110" s="71" t="s">
        <v>3615</v>
      </c>
      <c r="B110" s="67">
        <v>33210228850</v>
      </c>
      <c r="C110" s="72"/>
      <c r="D110" s="69"/>
      <c r="E110" s="9">
        <v>443</v>
      </c>
      <c r="F110" s="25">
        <v>43188</v>
      </c>
      <c r="G110" s="70"/>
      <c r="H110" s="9"/>
      <c r="I110" s="8"/>
      <c r="J110" s="8"/>
      <c r="K110" s="8"/>
      <c r="L110" s="8"/>
      <c r="M110" s="8"/>
    </row>
    <row r="111" spans="1:13">
      <c r="A111" s="71" t="s">
        <v>3616</v>
      </c>
      <c r="B111" s="67">
        <v>40979216818</v>
      </c>
      <c r="C111" s="72"/>
      <c r="D111" s="69"/>
      <c r="E111" s="9">
        <v>1106</v>
      </c>
      <c r="F111" s="25">
        <v>42965</v>
      </c>
      <c r="G111" s="70" t="s">
        <v>3356</v>
      </c>
      <c r="H111" s="9"/>
      <c r="I111" s="8"/>
      <c r="J111" s="8"/>
      <c r="K111" s="8"/>
      <c r="L111" s="8"/>
      <c r="M111" s="8"/>
    </row>
    <row r="112" spans="1:13">
      <c r="A112" s="71" t="s">
        <v>3617</v>
      </c>
      <c r="B112" s="67">
        <v>42994820854</v>
      </c>
      <c r="C112" s="72"/>
      <c r="D112" s="69"/>
      <c r="E112" s="9"/>
      <c r="F112" s="25"/>
      <c r="G112" s="70"/>
      <c r="H112" s="9"/>
      <c r="I112" s="8"/>
      <c r="J112" s="8"/>
      <c r="K112" s="8"/>
      <c r="L112" s="8"/>
      <c r="M112" s="8"/>
    </row>
    <row r="113" spans="1:13">
      <c r="A113" s="14" t="s">
        <v>3618</v>
      </c>
      <c r="B113" s="67">
        <v>44444325860</v>
      </c>
      <c r="C113" s="72" t="s">
        <v>3619</v>
      </c>
      <c r="D113" s="69">
        <v>36636133805</v>
      </c>
      <c r="E113" s="9">
        <v>292</v>
      </c>
      <c r="F113" s="25">
        <v>43168</v>
      </c>
      <c r="G113" s="70" t="s">
        <v>3356</v>
      </c>
      <c r="H113" s="9"/>
      <c r="I113" s="8"/>
      <c r="J113" s="8"/>
      <c r="K113" s="8"/>
      <c r="L113" s="9">
        <v>318</v>
      </c>
      <c r="M113" s="8"/>
    </row>
    <row r="114" spans="1:13">
      <c r="A114" s="71" t="s">
        <v>3620</v>
      </c>
      <c r="B114" s="67">
        <v>39701017862</v>
      </c>
      <c r="C114" s="72" t="s">
        <v>3621</v>
      </c>
      <c r="D114" s="69">
        <v>38933316892</v>
      </c>
      <c r="E114" s="9">
        <v>1350</v>
      </c>
      <c r="F114" s="25">
        <v>43006</v>
      </c>
      <c r="G114" s="70" t="s">
        <v>3356</v>
      </c>
      <c r="H114" s="9"/>
      <c r="I114" s="8"/>
      <c r="J114" s="8"/>
      <c r="K114" s="8"/>
      <c r="L114" s="8"/>
      <c r="M114" s="8"/>
    </row>
    <row r="115" spans="1:13">
      <c r="A115" s="71" t="s">
        <v>3622</v>
      </c>
      <c r="B115" s="67">
        <v>40003107809</v>
      </c>
      <c r="C115" s="72" t="s">
        <v>3623</v>
      </c>
      <c r="D115" s="69">
        <v>37929345823</v>
      </c>
      <c r="E115" s="9">
        <v>262</v>
      </c>
      <c r="F115" s="25">
        <v>43160</v>
      </c>
      <c r="G115" s="70" t="s">
        <v>3356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9" t="s">
        <v>3624</v>
      </c>
      <c r="B116" s="67">
        <v>38786146831</v>
      </c>
      <c r="C116" s="29" t="s">
        <v>3625</v>
      </c>
      <c r="D116" s="69">
        <v>34301254803</v>
      </c>
      <c r="E116" s="9"/>
      <c r="F116" s="25"/>
      <c r="G116" s="70"/>
      <c r="H116" s="9"/>
      <c r="I116" s="8"/>
      <c r="J116" s="8"/>
      <c r="K116" s="8"/>
      <c r="L116" s="8"/>
      <c r="M116" s="8"/>
    </row>
    <row r="117" spans="1:13">
      <c r="A117" s="71" t="s">
        <v>3626</v>
      </c>
      <c r="B117" s="67">
        <v>35101090824</v>
      </c>
      <c r="C117" s="72"/>
      <c r="D117" s="69"/>
      <c r="E117" s="9">
        <v>1824</v>
      </c>
      <c r="F117" s="25">
        <v>43091</v>
      </c>
      <c r="G117" s="70" t="s">
        <v>3370</v>
      </c>
      <c r="H117" s="9"/>
      <c r="I117" s="8"/>
      <c r="J117" s="8"/>
      <c r="K117" s="8"/>
      <c r="L117" s="9">
        <v>1828</v>
      </c>
      <c r="M117" s="8"/>
    </row>
    <row r="118" spans="1:13">
      <c r="A118" s="71" t="s">
        <v>3627</v>
      </c>
      <c r="B118" s="67">
        <v>3486705598</v>
      </c>
      <c r="C118" s="72" t="s">
        <v>3628</v>
      </c>
      <c r="D118" s="69">
        <v>3581817551</v>
      </c>
      <c r="E118" s="9">
        <v>1752</v>
      </c>
      <c r="F118" s="25">
        <v>43051</v>
      </c>
      <c r="G118" s="70" t="s">
        <v>3356</v>
      </c>
      <c r="H118" s="9"/>
      <c r="I118" s="8"/>
      <c r="J118" s="8"/>
      <c r="K118" s="8"/>
      <c r="L118" s="9">
        <v>1759</v>
      </c>
      <c r="M118" s="8"/>
    </row>
    <row r="119" spans="1:13">
      <c r="A119" s="72" t="s">
        <v>3629</v>
      </c>
      <c r="B119" s="67">
        <v>37051125893</v>
      </c>
      <c r="C119" s="72" t="s">
        <v>3630</v>
      </c>
      <c r="D119" s="69">
        <v>4303791458</v>
      </c>
      <c r="E119" s="9">
        <v>292</v>
      </c>
      <c r="F119" s="25">
        <v>43168</v>
      </c>
      <c r="G119" s="9" t="s">
        <v>3356</v>
      </c>
      <c r="H119" s="9"/>
      <c r="I119" s="8"/>
      <c r="J119" s="8"/>
      <c r="K119" s="8"/>
      <c r="L119" s="9">
        <v>318</v>
      </c>
      <c r="M119" s="8"/>
    </row>
    <row r="120" spans="1:13">
      <c r="A120" s="71" t="s">
        <v>3631</v>
      </c>
      <c r="B120" s="67">
        <v>40099157810</v>
      </c>
      <c r="C120" s="72"/>
      <c r="D120" s="69"/>
      <c r="E120" s="9">
        <v>292</v>
      </c>
      <c r="F120" s="25">
        <v>43168</v>
      </c>
      <c r="G120" s="70"/>
      <c r="H120" s="9"/>
      <c r="I120" s="8"/>
      <c r="J120" s="8"/>
      <c r="K120" s="8"/>
      <c r="L120" s="9">
        <v>318</v>
      </c>
      <c r="M120" s="8"/>
    </row>
    <row r="121" spans="1:13">
      <c r="A121" s="72" t="s">
        <v>3632</v>
      </c>
      <c r="B121" s="67">
        <v>6533732609</v>
      </c>
      <c r="C121" s="72"/>
      <c r="D121" s="69"/>
      <c r="E121" s="9"/>
      <c r="F121" s="25"/>
      <c r="G121" s="70"/>
      <c r="H121" s="9"/>
      <c r="I121" s="8"/>
      <c r="J121" s="8"/>
      <c r="K121" s="8"/>
      <c r="L121" s="8"/>
      <c r="M121" s="8"/>
    </row>
    <row r="122" spans="1:13">
      <c r="A122" s="71" t="s">
        <v>3633</v>
      </c>
      <c r="B122" s="67">
        <v>91303141515</v>
      </c>
      <c r="C122" s="72"/>
      <c r="D122" s="69"/>
      <c r="E122" s="9">
        <v>262</v>
      </c>
      <c r="F122" s="25">
        <v>43160</v>
      </c>
      <c r="G122" s="70" t="s">
        <v>3356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71" t="s">
        <v>3634</v>
      </c>
      <c r="B123" s="67">
        <v>33879586845</v>
      </c>
      <c r="C123" s="77" t="s">
        <v>3635</v>
      </c>
      <c r="D123" s="69">
        <v>2296117880</v>
      </c>
      <c r="E123" s="9">
        <v>563</v>
      </c>
      <c r="F123" s="25">
        <v>43217</v>
      </c>
      <c r="G123" s="70"/>
      <c r="H123" s="9"/>
      <c r="I123" s="8"/>
      <c r="J123" s="8"/>
      <c r="K123" s="8"/>
      <c r="L123" s="9" t="s">
        <v>3636</v>
      </c>
      <c r="M123" s="8"/>
    </row>
    <row r="124" spans="1:13">
      <c r="A124" s="72" t="s">
        <v>3637</v>
      </c>
      <c r="B124" s="67">
        <v>12809351899</v>
      </c>
      <c r="C124" s="72"/>
      <c r="D124" s="69"/>
      <c r="E124" s="9"/>
      <c r="F124" s="25"/>
      <c r="G124" s="70"/>
      <c r="H124" s="9"/>
      <c r="I124" s="8"/>
      <c r="J124" s="8"/>
      <c r="K124" s="8"/>
      <c r="L124" s="8"/>
      <c r="M124" s="8"/>
    </row>
    <row r="125" spans="1:13">
      <c r="A125" s="14" t="s">
        <v>3638</v>
      </c>
      <c r="B125" s="67">
        <v>29271022874</v>
      </c>
      <c r="C125" s="72"/>
      <c r="D125" s="69"/>
      <c r="E125" s="9"/>
      <c r="F125" s="25"/>
      <c r="G125" s="70"/>
      <c r="H125" s="9"/>
      <c r="I125" s="8"/>
      <c r="J125" s="8"/>
      <c r="K125" s="8"/>
      <c r="L125" s="8"/>
      <c r="M125" s="8"/>
    </row>
    <row r="126" spans="1:13">
      <c r="A126" s="71" t="s">
        <v>3639</v>
      </c>
      <c r="B126" s="67">
        <v>45851816368</v>
      </c>
      <c r="C126" s="72"/>
      <c r="D126" s="69"/>
      <c r="E126" s="9">
        <v>1214</v>
      </c>
      <c r="F126" s="25">
        <v>42989</v>
      </c>
      <c r="G126" s="70" t="s">
        <v>3356</v>
      </c>
      <c r="H126" s="9"/>
      <c r="I126" s="8"/>
      <c r="J126" s="8"/>
      <c r="K126" s="8"/>
      <c r="L126" s="8"/>
      <c r="M126" s="8"/>
    </row>
    <row r="127" spans="1:13">
      <c r="A127" s="72" t="s">
        <v>3640</v>
      </c>
      <c r="B127" s="67">
        <v>15401963807</v>
      </c>
      <c r="C127" s="72" t="s">
        <v>3641</v>
      </c>
      <c r="D127" s="69">
        <v>31330836863</v>
      </c>
      <c r="E127" s="9"/>
      <c r="F127" s="25"/>
      <c r="G127" s="70"/>
      <c r="H127" s="9"/>
      <c r="I127" s="8"/>
      <c r="J127" s="8"/>
      <c r="K127" s="8"/>
      <c r="L127" s="8"/>
      <c r="M127" s="8"/>
    </row>
    <row r="128" spans="1:13">
      <c r="A128" s="71" t="s">
        <v>3642</v>
      </c>
      <c r="B128" s="67">
        <v>2022016351</v>
      </c>
      <c r="C128" s="72" t="s">
        <v>3643</v>
      </c>
      <c r="D128" s="69">
        <v>84914270315</v>
      </c>
      <c r="E128" s="9">
        <v>1106</v>
      </c>
      <c r="F128" s="25">
        <v>42965</v>
      </c>
      <c r="G128" s="70" t="s">
        <v>3356</v>
      </c>
      <c r="H128" s="9"/>
      <c r="I128" s="8"/>
      <c r="J128" s="8"/>
      <c r="K128" s="8"/>
      <c r="L128" s="8"/>
      <c r="M128" s="8"/>
    </row>
    <row r="129" spans="1:13">
      <c r="A129" s="71" t="s">
        <v>3644</v>
      </c>
      <c r="B129" s="67">
        <v>12711354857</v>
      </c>
      <c r="C129" s="72"/>
      <c r="D129" s="69"/>
      <c r="E129" s="9"/>
      <c r="F129" s="25"/>
      <c r="G129" s="70"/>
      <c r="H129" s="9"/>
      <c r="I129" s="8"/>
      <c r="J129" s="8"/>
      <c r="K129" s="8"/>
      <c r="L129" s="8"/>
      <c r="M129" s="8"/>
    </row>
    <row r="130" spans="1:13">
      <c r="A130" s="71" t="s">
        <v>3645</v>
      </c>
      <c r="B130" s="78">
        <v>35389190890</v>
      </c>
      <c r="C130" s="77"/>
      <c r="D130" s="69"/>
      <c r="E130" s="9"/>
      <c r="F130" s="25"/>
      <c r="G130" s="70"/>
      <c r="H130" s="9"/>
      <c r="I130" s="8"/>
      <c r="J130" s="8"/>
      <c r="K130" s="8"/>
      <c r="L130" s="8"/>
      <c r="M130" s="8"/>
    </row>
    <row r="131" spans="1:13">
      <c r="A131" s="15" t="s">
        <v>3646</v>
      </c>
      <c r="B131" s="67">
        <v>43827049873</v>
      </c>
      <c r="C131" s="72"/>
      <c r="D131" s="69"/>
      <c r="E131" s="9">
        <v>85</v>
      </c>
      <c r="F131" s="25">
        <v>43109</v>
      </c>
      <c r="G131" s="70" t="s">
        <v>3356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3647</v>
      </c>
      <c r="B132" s="67">
        <v>1860886558</v>
      </c>
      <c r="C132" s="72" t="s">
        <v>3648</v>
      </c>
      <c r="D132" s="69">
        <v>35132798845</v>
      </c>
      <c r="E132" s="9">
        <v>229</v>
      </c>
      <c r="F132" s="25">
        <v>43151</v>
      </c>
      <c r="G132" s="70" t="s">
        <v>3356</v>
      </c>
      <c r="H132" s="9"/>
      <c r="I132" s="8"/>
      <c r="J132" s="8"/>
      <c r="K132" s="8"/>
      <c r="L132" s="9">
        <v>232</v>
      </c>
      <c r="M132" s="8"/>
    </row>
    <row r="133" spans="1:13">
      <c r="A133" s="72" t="s">
        <v>3649</v>
      </c>
      <c r="B133" s="67">
        <v>8891318809</v>
      </c>
      <c r="C133" s="72"/>
      <c r="D133" s="69"/>
      <c r="E133" s="9">
        <v>292</v>
      </c>
      <c r="F133" s="25">
        <v>43168</v>
      </c>
      <c r="G133" s="9" t="s">
        <v>3356</v>
      </c>
      <c r="H133" s="9"/>
      <c r="I133" s="8"/>
      <c r="J133" s="8"/>
      <c r="K133" s="8"/>
      <c r="L133" s="9">
        <v>318</v>
      </c>
      <c r="M133" s="8"/>
    </row>
    <row r="134" spans="1:13">
      <c r="A134" s="71" t="s">
        <v>3650</v>
      </c>
      <c r="B134" s="67">
        <v>5125083569</v>
      </c>
      <c r="C134" s="73"/>
      <c r="D134" s="69"/>
      <c r="E134" s="9">
        <v>573</v>
      </c>
      <c r="F134" s="25">
        <v>43224</v>
      </c>
      <c r="G134" s="70"/>
      <c r="H134" s="9"/>
      <c r="I134" s="8"/>
      <c r="J134" s="8"/>
      <c r="K134" s="8"/>
      <c r="L134" s="8"/>
      <c r="M134" s="8"/>
    </row>
    <row r="135" spans="1:13">
      <c r="A135" s="71" t="s">
        <v>3651</v>
      </c>
      <c r="B135" s="67">
        <v>3082802885</v>
      </c>
      <c r="C135" s="72"/>
      <c r="D135" s="69"/>
      <c r="E135" s="9"/>
      <c r="F135" s="25"/>
      <c r="G135" s="70"/>
      <c r="H135" s="9"/>
      <c r="I135" s="8"/>
      <c r="J135" s="8"/>
      <c r="K135" s="8"/>
      <c r="L135" s="8"/>
      <c r="M135" s="8"/>
    </row>
    <row r="136" spans="1:13">
      <c r="A136" s="71" t="s">
        <v>3652</v>
      </c>
      <c r="B136" s="67">
        <v>11193531810</v>
      </c>
      <c r="C136" s="72"/>
      <c r="D136" s="69"/>
      <c r="E136" s="9">
        <v>1752</v>
      </c>
      <c r="F136" s="25">
        <v>43051</v>
      </c>
      <c r="G136" s="70" t="s">
        <v>3356</v>
      </c>
      <c r="H136" s="9"/>
      <c r="I136" s="8"/>
      <c r="J136" s="8"/>
      <c r="K136" s="8"/>
      <c r="L136" s="9">
        <v>1759</v>
      </c>
      <c r="M136" s="8"/>
    </row>
    <row r="137" spans="1:13">
      <c r="A137" s="71" t="s">
        <v>3653</v>
      </c>
      <c r="B137" s="67">
        <v>41229734813</v>
      </c>
      <c r="C137" s="72"/>
      <c r="D137" s="69"/>
      <c r="E137" s="9">
        <v>292</v>
      </c>
      <c r="F137" s="25">
        <v>43168</v>
      </c>
      <c r="G137" s="70" t="s">
        <v>3356</v>
      </c>
      <c r="H137" s="9"/>
      <c r="I137" s="8"/>
      <c r="J137" s="8"/>
      <c r="K137" s="8"/>
      <c r="L137" s="9">
        <v>318</v>
      </c>
      <c r="M137" s="8"/>
    </row>
    <row r="138" spans="1:13">
      <c r="A138" s="71" t="s">
        <v>3654</v>
      </c>
      <c r="B138" s="67">
        <v>42262731845</v>
      </c>
      <c r="C138" s="72" t="s">
        <v>3655</v>
      </c>
      <c r="D138" s="69">
        <v>34728432840</v>
      </c>
      <c r="E138" s="9">
        <v>1824</v>
      </c>
      <c r="F138" s="25">
        <v>43091</v>
      </c>
      <c r="G138" s="70" t="s">
        <v>3356</v>
      </c>
      <c r="H138" s="9"/>
      <c r="I138" s="8"/>
      <c r="J138" s="8"/>
      <c r="K138" s="8"/>
      <c r="L138" s="9">
        <v>1828</v>
      </c>
      <c r="M138" s="8"/>
    </row>
    <row r="139" spans="1:13">
      <c r="A139" s="71" t="s">
        <v>3656</v>
      </c>
      <c r="B139" s="67">
        <v>35481524813</v>
      </c>
      <c r="C139" s="72"/>
      <c r="D139" s="69"/>
      <c r="E139" s="9">
        <v>262</v>
      </c>
      <c r="F139" s="25">
        <v>43160</v>
      </c>
      <c r="G139" s="70" t="s">
        <v>3356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71" t="s">
        <v>3657</v>
      </c>
      <c r="B140" s="67">
        <v>41446773892</v>
      </c>
      <c r="C140" s="72" t="s">
        <v>3658</v>
      </c>
      <c r="D140" s="69">
        <v>38180353850</v>
      </c>
      <c r="E140" s="9">
        <v>292</v>
      </c>
      <c r="F140" s="25">
        <v>43168</v>
      </c>
      <c r="G140" s="9" t="s">
        <v>3356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3659</v>
      </c>
      <c r="B141" s="67">
        <v>1436459354</v>
      </c>
      <c r="C141" s="72" t="s">
        <v>3660</v>
      </c>
      <c r="D141" s="69">
        <v>4149263310</v>
      </c>
      <c r="E141" s="9">
        <v>229</v>
      </c>
      <c r="F141" s="25">
        <v>43151</v>
      </c>
      <c r="G141" s="70" t="s">
        <v>3356</v>
      </c>
      <c r="H141" s="9"/>
      <c r="I141" s="8"/>
      <c r="J141" s="8"/>
      <c r="K141" s="8"/>
      <c r="L141" s="9">
        <v>232</v>
      </c>
      <c r="M141" s="8"/>
    </row>
    <row r="142" spans="1:13">
      <c r="A142" s="29" t="s">
        <v>3661</v>
      </c>
      <c r="B142" s="67">
        <v>39953063818</v>
      </c>
      <c r="C142" s="29" t="s">
        <v>3662</v>
      </c>
      <c r="D142" s="69">
        <v>39464033878</v>
      </c>
      <c r="E142" s="9"/>
      <c r="F142" s="25"/>
      <c r="G142" s="70"/>
      <c r="H142" s="9"/>
      <c r="I142" s="8"/>
      <c r="J142" s="8"/>
      <c r="K142" s="8"/>
      <c r="L142" s="8"/>
      <c r="M142" s="8"/>
    </row>
    <row r="143" spans="1:13">
      <c r="A143" s="79" t="s">
        <v>3663</v>
      </c>
      <c r="B143" s="80">
        <v>15371893873</v>
      </c>
      <c r="C143" s="81" t="s">
        <v>3664</v>
      </c>
      <c r="D143" s="82">
        <v>28731800807</v>
      </c>
      <c r="E143" s="47">
        <v>292</v>
      </c>
      <c r="F143" s="48">
        <v>43168</v>
      </c>
      <c r="G143" s="83"/>
      <c r="H143" s="47"/>
      <c r="I143" s="49"/>
      <c r="J143" s="49"/>
      <c r="K143" s="49"/>
      <c r="L143" s="9">
        <v>318</v>
      </c>
      <c r="M143" s="49"/>
    </row>
    <row r="144" spans="1:13">
      <c r="A144" s="71" t="s">
        <v>3665</v>
      </c>
      <c r="B144" s="67">
        <v>30339203811</v>
      </c>
      <c r="C144" s="72"/>
      <c r="D144" s="69"/>
      <c r="E144" s="9">
        <v>810</v>
      </c>
      <c r="F144" s="25">
        <v>42915</v>
      </c>
      <c r="G144" s="70" t="s">
        <v>3356</v>
      </c>
      <c r="H144" s="9"/>
      <c r="I144" s="8"/>
      <c r="J144" s="8"/>
      <c r="K144" s="8"/>
      <c r="L144" s="9" t="s">
        <v>3475</v>
      </c>
      <c r="M144" s="8"/>
    </row>
    <row r="145" spans="1:13">
      <c r="A145" s="73" t="s">
        <v>3666</v>
      </c>
      <c r="B145" s="67">
        <v>50773453334</v>
      </c>
      <c r="C145" s="72" t="s">
        <v>3667</v>
      </c>
      <c r="D145" s="69">
        <v>51551365391</v>
      </c>
      <c r="E145" s="9">
        <v>1106</v>
      </c>
      <c r="F145" s="25">
        <v>42965</v>
      </c>
      <c r="G145" s="70" t="s">
        <v>3362</v>
      </c>
      <c r="H145" s="9"/>
      <c r="I145" s="8"/>
      <c r="J145" s="8"/>
      <c r="K145" s="8"/>
      <c r="L145" s="8"/>
      <c r="M145" s="8"/>
    </row>
    <row r="146" spans="1:13">
      <c r="A146" s="71" t="s">
        <v>3668</v>
      </c>
      <c r="B146" s="67">
        <v>37805884803</v>
      </c>
      <c r="C146" s="72" t="s">
        <v>3669</v>
      </c>
      <c r="D146" s="69">
        <v>35792474842</v>
      </c>
      <c r="E146" s="9">
        <v>262</v>
      </c>
      <c r="F146" s="25">
        <v>43160</v>
      </c>
      <c r="G146" s="9" t="s">
        <v>3356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73" t="s">
        <v>3670</v>
      </c>
      <c r="B147" s="67">
        <v>38072219804</v>
      </c>
      <c r="C147" s="72" t="s">
        <v>3671</v>
      </c>
      <c r="D147" s="69">
        <v>37125330800</v>
      </c>
      <c r="E147" s="9">
        <v>292</v>
      </c>
      <c r="F147" s="25">
        <v>43168</v>
      </c>
      <c r="G147" s="70" t="s">
        <v>3356</v>
      </c>
      <c r="H147" s="9"/>
      <c r="I147" s="8"/>
      <c r="J147" s="8"/>
      <c r="K147" s="8"/>
      <c r="L147" s="9">
        <v>318</v>
      </c>
      <c r="M147" s="8"/>
    </row>
    <row r="148" spans="1:13">
      <c r="A148" s="71" t="s">
        <v>3672</v>
      </c>
      <c r="B148" s="67">
        <v>23305485833</v>
      </c>
      <c r="C148" s="72"/>
      <c r="D148" s="69"/>
      <c r="E148" s="9">
        <v>292</v>
      </c>
      <c r="F148" s="25">
        <v>43168</v>
      </c>
      <c r="G148" s="70" t="s">
        <v>3356</v>
      </c>
      <c r="H148" s="9"/>
      <c r="I148" s="8"/>
      <c r="J148" s="8"/>
      <c r="K148" s="8"/>
      <c r="L148" s="9">
        <v>318</v>
      </c>
      <c r="M148" s="8"/>
    </row>
    <row r="149" spans="1:13">
      <c r="A149" s="71" t="s">
        <v>3673</v>
      </c>
      <c r="B149" s="67">
        <v>37378443808</v>
      </c>
      <c r="C149" s="72"/>
      <c r="D149" s="69"/>
      <c r="E149" s="9">
        <v>443</v>
      </c>
      <c r="F149" s="25">
        <v>43188</v>
      </c>
      <c r="G149" s="70"/>
      <c r="H149" s="9"/>
      <c r="I149" s="8"/>
      <c r="J149" s="8"/>
      <c r="K149" s="8"/>
      <c r="L149" s="8"/>
      <c r="M149" s="8"/>
    </row>
    <row r="150" spans="1:13">
      <c r="A150" s="71" t="s">
        <v>3674</v>
      </c>
      <c r="B150" s="67">
        <v>43533063836</v>
      </c>
      <c r="C150" s="72"/>
      <c r="D150" s="69"/>
      <c r="E150" s="9">
        <v>1350</v>
      </c>
      <c r="F150" s="25">
        <v>43006</v>
      </c>
      <c r="G150" s="70" t="s">
        <v>3356</v>
      </c>
      <c r="H150" s="9"/>
      <c r="I150" s="8"/>
      <c r="J150" s="8"/>
      <c r="K150" s="8"/>
      <c r="L150" s="8"/>
      <c r="M150" s="8"/>
    </row>
    <row r="151" spans="1:13">
      <c r="A151" s="72" t="s">
        <v>3675</v>
      </c>
      <c r="B151" s="67">
        <v>31476352879</v>
      </c>
      <c r="C151" s="72" t="s">
        <v>3676</v>
      </c>
      <c r="D151" s="69">
        <v>31481180819</v>
      </c>
      <c r="E151" s="9"/>
      <c r="F151" s="25"/>
      <c r="G151" s="70"/>
      <c r="H151" s="9"/>
      <c r="I151" s="8"/>
      <c r="J151" s="8"/>
      <c r="K151" s="8"/>
      <c r="L151" s="8"/>
      <c r="M151" s="8"/>
    </row>
    <row r="152" spans="1:13">
      <c r="A152" s="13" t="s">
        <v>3677</v>
      </c>
      <c r="B152" s="67">
        <v>41207276880</v>
      </c>
      <c r="C152" s="72"/>
      <c r="D152" s="69"/>
      <c r="E152" s="9">
        <v>1350</v>
      </c>
      <c r="F152" s="25">
        <v>43006</v>
      </c>
      <c r="G152" s="70" t="s">
        <v>3356</v>
      </c>
      <c r="H152" s="9"/>
      <c r="I152" s="8"/>
      <c r="J152" s="8"/>
      <c r="K152" s="8"/>
      <c r="L152" s="8"/>
      <c r="M152" s="8"/>
    </row>
    <row r="153" spans="1:13">
      <c r="A153" s="71" t="s">
        <v>3678</v>
      </c>
      <c r="B153" s="67">
        <v>31388805847</v>
      </c>
      <c r="C153" s="72"/>
      <c r="D153" s="69"/>
      <c r="E153" s="9">
        <v>1106</v>
      </c>
      <c r="F153" s="25">
        <v>42965</v>
      </c>
      <c r="G153" s="70" t="s">
        <v>3356</v>
      </c>
      <c r="H153" s="9"/>
      <c r="I153" s="8"/>
      <c r="J153" s="8"/>
      <c r="K153" s="8"/>
      <c r="L153" s="8"/>
      <c r="M153" s="8"/>
    </row>
    <row r="154" spans="1:13">
      <c r="A154" s="71" t="s">
        <v>3679</v>
      </c>
      <c r="B154" s="67">
        <v>44567535871</v>
      </c>
      <c r="C154" s="72"/>
      <c r="D154" s="69"/>
      <c r="E154" s="9"/>
      <c r="F154" s="25"/>
      <c r="G154" s="70"/>
      <c r="H154" s="9"/>
      <c r="I154" s="8"/>
      <c r="J154" s="8"/>
      <c r="K154" s="8"/>
      <c r="L154" s="8"/>
      <c r="M154" s="8"/>
    </row>
    <row r="155" spans="1:13">
      <c r="A155" s="18" t="s">
        <v>3680</v>
      </c>
      <c r="B155" s="67">
        <v>36142628803</v>
      </c>
      <c r="C155" s="18"/>
      <c r="D155" s="69"/>
      <c r="E155" s="9"/>
      <c r="F155" s="25"/>
      <c r="G155" s="70"/>
      <c r="H155" s="9"/>
      <c r="I155" s="8"/>
      <c r="J155" s="8"/>
      <c r="K155" s="8"/>
      <c r="L155" s="8"/>
      <c r="M155" s="8"/>
    </row>
    <row r="156" spans="1:13">
      <c r="A156" s="71" t="s">
        <v>3681</v>
      </c>
      <c r="B156" s="67">
        <v>29038681828</v>
      </c>
      <c r="C156" s="72"/>
      <c r="D156" s="69"/>
      <c r="E156" s="9"/>
      <c r="F156" s="25"/>
      <c r="G156" s="70"/>
      <c r="H156" s="9"/>
      <c r="I156" s="8"/>
      <c r="J156" s="8"/>
      <c r="K156" s="8"/>
      <c r="L156" s="8"/>
      <c r="M156" s="8"/>
    </row>
    <row r="157" spans="1:13">
      <c r="A157" s="71" t="s">
        <v>3682</v>
      </c>
      <c r="B157" s="67">
        <v>86665944468</v>
      </c>
      <c r="C157" s="72" t="s">
        <v>3683</v>
      </c>
      <c r="D157" s="69">
        <v>28517381866</v>
      </c>
      <c r="E157" s="9">
        <v>443</v>
      </c>
      <c r="F157" s="25">
        <v>43188</v>
      </c>
      <c r="G157" s="70"/>
      <c r="H157" s="9"/>
      <c r="I157" s="8"/>
      <c r="J157" s="8"/>
      <c r="K157" s="8"/>
      <c r="L157" s="8"/>
      <c r="M157" s="8"/>
    </row>
    <row r="158" spans="1:13">
      <c r="A158" s="15" t="s">
        <v>3684</v>
      </c>
      <c r="B158" s="67">
        <v>39747831805</v>
      </c>
      <c r="C158" s="72" t="s">
        <v>3685</v>
      </c>
      <c r="D158" s="69">
        <v>1202056458</v>
      </c>
      <c r="E158" s="9">
        <v>292</v>
      </c>
      <c r="F158" s="25">
        <v>43168</v>
      </c>
      <c r="G158" s="70" t="s">
        <v>3356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3686</v>
      </c>
      <c r="B159" s="67">
        <v>33748171811</v>
      </c>
      <c r="C159" s="68"/>
      <c r="D159" s="69"/>
      <c r="E159" s="9">
        <v>1128</v>
      </c>
      <c r="F159" s="25">
        <v>42972</v>
      </c>
      <c r="G159" s="70" t="s">
        <v>3356</v>
      </c>
      <c r="H159" s="9"/>
      <c r="I159" s="8"/>
      <c r="J159" s="8"/>
      <c r="K159" s="8"/>
      <c r="L159" s="8"/>
      <c r="M159" s="8"/>
    </row>
    <row r="160" spans="1:13">
      <c r="A160" s="29" t="s">
        <v>3687</v>
      </c>
      <c r="B160" s="67"/>
      <c r="C160" s="29" t="s">
        <v>3688</v>
      </c>
      <c r="D160" s="69"/>
      <c r="E160" s="9"/>
      <c r="F160" s="25"/>
      <c r="G160" s="70"/>
      <c r="H160" s="9"/>
      <c r="I160" s="8"/>
      <c r="J160" s="8"/>
      <c r="K160" s="8"/>
      <c r="L160" s="8"/>
      <c r="M160" s="8"/>
    </row>
    <row r="161" spans="1:13">
      <c r="A161" s="71" t="s">
        <v>3689</v>
      </c>
      <c r="B161" s="67">
        <v>38107907884</v>
      </c>
      <c r="C161" s="72" t="s">
        <v>3690</v>
      </c>
      <c r="D161" s="69">
        <v>8669747685</v>
      </c>
      <c r="E161" s="9">
        <v>117</v>
      </c>
      <c r="F161" s="25">
        <v>43117</v>
      </c>
      <c r="G161" s="70" t="s">
        <v>3356</v>
      </c>
      <c r="H161" s="9"/>
      <c r="I161" s="8"/>
      <c r="J161" s="8"/>
      <c r="K161" s="8"/>
      <c r="L161" s="9" t="s">
        <v>3507</v>
      </c>
      <c r="M161" s="8"/>
    </row>
    <row r="162" spans="1:13">
      <c r="A162" s="29" t="s">
        <v>3691</v>
      </c>
      <c r="B162" s="67">
        <v>24759436880</v>
      </c>
      <c r="C162" s="29" t="s">
        <v>3692</v>
      </c>
      <c r="D162" s="69">
        <v>14245918802</v>
      </c>
      <c r="E162" s="9"/>
      <c r="F162" s="25"/>
      <c r="G162" s="70"/>
      <c r="H162" s="9"/>
      <c r="I162" s="8"/>
      <c r="J162" s="8"/>
      <c r="K162" s="8"/>
      <c r="L162" s="8"/>
      <c r="M162" s="8"/>
    </row>
    <row r="163" spans="1:13">
      <c r="A163" s="15" t="s">
        <v>3693</v>
      </c>
      <c r="B163" s="67">
        <v>22728900833</v>
      </c>
      <c r="C163" s="72"/>
      <c r="D163" s="69"/>
      <c r="E163" s="9">
        <v>1824</v>
      </c>
      <c r="F163" s="25">
        <v>43091</v>
      </c>
      <c r="G163" s="70" t="s">
        <v>3356</v>
      </c>
      <c r="H163" s="9"/>
      <c r="I163" s="8"/>
      <c r="J163" s="8"/>
      <c r="K163" s="8"/>
      <c r="L163" s="9">
        <v>1828</v>
      </c>
      <c r="M163" s="8"/>
    </row>
    <row r="164" spans="1:13">
      <c r="A164" s="29" t="s">
        <v>3694</v>
      </c>
      <c r="B164" s="67">
        <v>22537971892</v>
      </c>
      <c r="C164" s="29" t="s">
        <v>3695</v>
      </c>
      <c r="D164" s="69">
        <v>25652143835</v>
      </c>
      <c r="E164" s="9"/>
      <c r="F164" s="25"/>
      <c r="G164" s="70"/>
      <c r="H164" s="9"/>
      <c r="I164" s="8"/>
      <c r="J164" s="8"/>
      <c r="K164" s="8"/>
      <c r="L164" s="8"/>
      <c r="M164" s="8"/>
    </row>
    <row r="165" spans="1:13">
      <c r="A165" s="71" t="s">
        <v>3696</v>
      </c>
      <c r="B165" s="67">
        <v>31362502812</v>
      </c>
      <c r="C165" s="72" t="s">
        <v>3697</v>
      </c>
      <c r="D165" s="69">
        <v>25780435820</v>
      </c>
      <c r="E165" s="9"/>
      <c r="F165" s="25"/>
      <c r="G165" s="70"/>
      <c r="H165" s="9"/>
      <c r="I165" s="8"/>
      <c r="J165" s="8"/>
      <c r="K165" s="8"/>
      <c r="L165" s="8"/>
      <c r="M165" s="8"/>
    </row>
    <row r="166" spans="1:13">
      <c r="A166" s="18" t="s">
        <v>3698</v>
      </c>
      <c r="B166" s="67">
        <v>4625640539</v>
      </c>
      <c r="C166" s="18" t="s">
        <v>3699</v>
      </c>
      <c r="D166" s="69">
        <v>37596848826</v>
      </c>
      <c r="E166" s="9"/>
      <c r="F166" s="25"/>
      <c r="G166" s="70"/>
      <c r="H166" s="9"/>
      <c r="I166" s="8"/>
      <c r="J166" s="8"/>
      <c r="K166" s="8"/>
      <c r="L166" s="8"/>
      <c r="M166" s="8"/>
    </row>
    <row r="167" spans="1:13">
      <c r="A167" s="71" t="s">
        <v>3700</v>
      </c>
      <c r="B167" s="67">
        <v>28920223807</v>
      </c>
      <c r="C167" s="72"/>
      <c r="D167" s="69"/>
      <c r="E167" s="9">
        <v>262</v>
      </c>
      <c r="F167" s="25">
        <v>43160</v>
      </c>
      <c r="G167" s="70" t="s">
        <v>3356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71" t="s">
        <v>3701</v>
      </c>
      <c r="B168" s="67">
        <v>22234108802</v>
      </c>
      <c r="C168" s="72" t="s">
        <v>3702</v>
      </c>
      <c r="D168" s="69"/>
      <c r="E168" s="9"/>
      <c r="F168" s="25"/>
      <c r="G168" s="70" t="s">
        <v>3356</v>
      </c>
      <c r="H168" s="9"/>
      <c r="I168" s="8"/>
      <c r="J168" s="8"/>
      <c r="K168" s="8"/>
      <c r="L168" s="8"/>
      <c r="M168" s="8"/>
    </row>
    <row r="169" spans="1:13">
      <c r="A169" s="30" t="s">
        <v>3703</v>
      </c>
      <c r="B169" s="67">
        <v>37101159818</v>
      </c>
      <c r="C169" s="18"/>
      <c r="D169" s="69"/>
      <c r="E169" s="9"/>
      <c r="F169" s="25"/>
      <c r="G169" s="70"/>
      <c r="H169" s="9"/>
      <c r="I169" s="8"/>
      <c r="J169" s="8"/>
      <c r="K169" s="8"/>
      <c r="L169" s="8"/>
      <c r="M169" s="8"/>
    </row>
    <row r="170" spans="1:13">
      <c r="A170" s="71" t="s">
        <v>3704</v>
      </c>
      <c r="B170" s="67">
        <v>182316599</v>
      </c>
      <c r="C170" s="72" t="s">
        <v>3705</v>
      </c>
      <c r="D170" s="69">
        <v>73673560549</v>
      </c>
      <c r="E170" s="9">
        <v>292</v>
      </c>
      <c r="F170" s="25">
        <v>43168</v>
      </c>
      <c r="G170" s="9" t="s">
        <v>3356</v>
      </c>
      <c r="H170" s="9"/>
      <c r="I170" s="8"/>
      <c r="J170" s="8"/>
      <c r="K170" s="8"/>
      <c r="L170" s="9">
        <v>318</v>
      </c>
      <c r="M170" s="8"/>
    </row>
    <row r="171" spans="1:13">
      <c r="A171" s="71" t="s">
        <v>3706</v>
      </c>
      <c r="B171" s="67">
        <v>2136646400</v>
      </c>
      <c r="C171" s="72"/>
      <c r="D171" s="69"/>
      <c r="E171" s="9">
        <v>1417</v>
      </c>
      <c r="F171" s="25">
        <v>43017</v>
      </c>
      <c r="G171" s="70" t="s">
        <v>3356</v>
      </c>
      <c r="H171" s="9"/>
      <c r="I171" s="8">
        <v>117</v>
      </c>
      <c r="J171" s="26">
        <v>43117</v>
      </c>
      <c r="K171" s="26">
        <v>43151</v>
      </c>
      <c r="L171" s="9" t="s">
        <v>3590</v>
      </c>
      <c r="M171" s="26"/>
    </row>
    <row r="172" spans="1:13">
      <c r="A172" s="71" t="s">
        <v>3707</v>
      </c>
      <c r="B172" s="67">
        <v>15520391882</v>
      </c>
      <c r="C172" s="72"/>
      <c r="D172" s="69"/>
      <c r="E172" s="9">
        <v>1106</v>
      </c>
      <c r="F172" s="25">
        <v>42965</v>
      </c>
      <c r="G172" s="70" t="s">
        <v>3356</v>
      </c>
      <c r="H172" s="9"/>
      <c r="I172" s="8"/>
      <c r="J172" s="8"/>
      <c r="K172" s="8"/>
      <c r="L172" s="8"/>
      <c r="M172" s="8"/>
    </row>
    <row r="173" spans="1:13">
      <c r="A173" s="71" t="s">
        <v>3708</v>
      </c>
      <c r="B173" s="67">
        <v>16703382824</v>
      </c>
      <c r="C173" s="72"/>
      <c r="D173" s="69"/>
      <c r="E173" s="9">
        <v>1824</v>
      </c>
      <c r="F173" s="25">
        <v>43091</v>
      </c>
      <c r="G173" s="70" t="s">
        <v>3356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3709</v>
      </c>
      <c r="B174" s="67">
        <v>12367185859</v>
      </c>
      <c r="C174" s="72"/>
      <c r="D174" s="69"/>
      <c r="E174" s="9"/>
      <c r="F174" s="25"/>
      <c r="G174" s="70"/>
      <c r="H174" s="9"/>
      <c r="I174" s="8"/>
      <c r="J174" s="8"/>
      <c r="K174" s="8"/>
      <c r="L174" s="8"/>
      <c r="M174" s="8"/>
    </row>
    <row r="175" spans="1:13">
      <c r="A175" s="71" t="s">
        <v>3710</v>
      </c>
      <c r="B175" s="67">
        <v>18359976864</v>
      </c>
      <c r="C175" s="72"/>
      <c r="D175" s="69"/>
      <c r="E175" s="9">
        <v>1106</v>
      </c>
      <c r="F175" s="25">
        <v>42965</v>
      </c>
      <c r="G175" s="70" t="s">
        <v>3356</v>
      </c>
      <c r="H175" s="9"/>
      <c r="I175" s="8"/>
      <c r="J175" s="8"/>
      <c r="K175" s="8"/>
      <c r="L175" s="8"/>
      <c r="M175" s="8"/>
    </row>
    <row r="176" spans="1:13">
      <c r="A176" s="71" t="s">
        <v>3711</v>
      </c>
      <c r="B176" s="67">
        <v>36777190899</v>
      </c>
      <c r="C176" s="72" t="s">
        <v>3712</v>
      </c>
      <c r="D176" s="69">
        <v>37104057854</v>
      </c>
      <c r="E176" s="9">
        <v>810</v>
      </c>
      <c r="F176" s="25">
        <v>42915</v>
      </c>
      <c r="G176" s="70" t="s">
        <v>3356</v>
      </c>
      <c r="H176" s="9"/>
      <c r="I176" s="8"/>
      <c r="J176" s="8"/>
      <c r="K176" s="8"/>
      <c r="L176" s="9" t="s">
        <v>3475</v>
      </c>
      <c r="M176" s="8"/>
    </row>
    <row r="177" spans="1:13">
      <c r="A177" s="15" t="s">
        <v>3713</v>
      </c>
      <c r="B177" s="67">
        <v>23599602883</v>
      </c>
      <c r="C177" s="72"/>
      <c r="D177" s="69"/>
      <c r="E177" s="9">
        <v>229</v>
      </c>
      <c r="F177" s="25">
        <v>43151</v>
      </c>
      <c r="G177" s="70" t="s">
        <v>3356</v>
      </c>
      <c r="H177" s="9"/>
      <c r="I177" s="8"/>
      <c r="J177" s="8"/>
      <c r="K177" s="8"/>
      <c r="L177" s="9">
        <v>232</v>
      </c>
      <c r="M177" s="8"/>
    </row>
    <row r="178" spans="1:13">
      <c r="A178" s="72" t="s">
        <v>3714</v>
      </c>
      <c r="B178" s="67">
        <v>32428102877</v>
      </c>
      <c r="C178" s="72" t="s">
        <v>3715</v>
      </c>
      <c r="D178" s="69">
        <v>23908200857</v>
      </c>
      <c r="E178" s="9"/>
      <c r="F178" s="25"/>
      <c r="G178" s="70"/>
      <c r="H178" s="9"/>
      <c r="I178" s="8"/>
      <c r="J178" s="8"/>
      <c r="K178" s="8"/>
      <c r="L178" s="8"/>
      <c r="M178" s="8"/>
    </row>
    <row r="179" spans="1:13">
      <c r="A179" s="71" t="s">
        <v>3716</v>
      </c>
      <c r="B179" s="67">
        <v>28640229821</v>
      </c>
      <c r="C179" s="72" t="s">
        <v>3717</v>
      </c>
      <c r="D179" s="69">
        <v>7752420808</v>
      </c>
      <c r="E179" s="9">
        <v>1106</v>
      </c>
      <c r="F179" s="25">
        <v>42965</v>
      </c>
      <c r="G179" s="70" t="s">
        <v>3356</v>
      </c>
      <c r="H179" s="9"/>
      <c r="I179" s="8"/>
      <c r="J179" s="8"/>
      <c r="K179" s="8"/>
      <c r="L179" s="8"/>
      <c r="M179" s="8"/>
    </row>
    <row r="180" spans="1:13">
      <c r="A180" s="77" t="s">
        <v>3718</v>
      </c>
      <c r="B180" s="67">
        <v>38122976808</v>
      </c>
      <c r="C180" s="29" t="s">
        <v>3719</v>
      </c>
      <c r="D180" s="69">
        <v>38145176875</v>
      </c>
      <c r="E180" s="9"/>
      <c r="F180" s="25"/>
      <c r="G180" s="70"/>
      <c r="H180" s="9"/>
      <c r="I180" s="8"/>
      <c r="J180" s="8"/>
      <c r="K180" s="8"/>
      <c r="L180" s="8"/>
      <c r="M180" s="8"/>
    </row>
    <row r="181" spans="1:13">
      <c r="A181" s="71" t="s">
        <v>3720</v>
      </c>
      <c r="B181" s="67">
        <v>41494645882</v>
      </c>
      <c r="C181" s="72" t="s">
        <v>3721</v>
      </c>
      <c r="D181" s="69">
        <v>23413130862</v>
      </c>
      <c r="E181" s="9">
        <v>1824</v>
      </c>
      <c r="F181" s="25">
        <v>43091</v>
      </c>
      <c r="G181" s="70" t="s">
        <v>3356</v>
      </c>
      <c r="H181" s="9"/>
      <c r="I181" s="8"/>
      <c r="J181" s="8"/>
      <c r="K181" s="8"/>
      <c r="L181" s="9">
        <v>1828</v>
      </c>
      <c r="M181" s="8"/>
    </row>
    <row r="182" spans="1:13">
      <c r="A182" s="71" t="s">
        <v>3722</v>
      </c>
      <c r="B182" s="67">
        <v>34414733880</v>
      </c>
      <c r="C182" s="72"/>
      <c r="D182" s="69"/>
      <c r="E182" s="9">
        <v>1106</v>
      </c>
      <c r="F182" s="25">
        <v>42965</v>
      </c>
      <c r="G182" s="70" t="s">
        <v>3356</v>
      </c>
      <c r="H182" s="9"/>
      <c r="I182" s="8"/>
      <c r="J182" s="8"/>
      <c r="K182" s="8"/>
      <c r="L182" s="8"/>
      <c r="M182" s="8"/>
    </row>
    <row r="183" spans="1:13">
      <c r="A183" s="71" t="s">
        <v>3723</v>
      </c>
      <c r="B183" s="67">
        <v>32882437846</v>
      </c>
      <c r="C183" s="77" t="s">
        <v>3724</v>
      </c>
      <c r="D183" s="69" t="s">
        <v>3725</v>
      </c>
      <c r="E183" s="9"/>
      <c r="F183" s="25"/>
      <c r="G183" s="70"/>
      <c r="H183" s="9"/>
      <c r="I183" s="8"/>
      <c r="J183" s="8"/>
      <c r="K183" s="8"/>
      <c r="L183" s="8"/>
      <c r="M183" s="8"/>
    </row>
    <row r="184" spans="1:13">
      <c r="A184" s="71" t="s">
        <v>3726</v>
      </c>
      <c r="B184" s="67">
        <v>40733908802</v>
      </c>
      <c r="C184" s="72" t="s">
        <v>3727</v>
      </c>
      <c r="D184" s="69"/>
      <c r="E184" s="9">
        <v>1128</v>
      </c>
      <c r="F184" s="25">
        <v>42972</v>
      </c>
      <c r="G184" s="70" t="s">
        <v>3356</v>
      </c>
      <c r="H184" s="9"/>
      <c r="I184" s="8"/>
      <c r="J184" s="8"/>
      <c r="K184" s="8"/>
      <c r="L184" s="8"/>
      <c r="M184" s="8"/>
    </row>
    <row r="185" spans="1:13">
      <c r="A185" s="71" t="s">
        <v>3728</v>
      </c>
      <c r="B185" s="67">
        <v>31408057808</v>
      </c>
      <c r="C185" s="72"/>
      <c r="D185" s="69"/>
      <c r="E185" s="9"/>
      <c r="F185" s="25"/>
      <c r="G185" s="70"/>
      <c r="H185" s="9"/>
      <c r="I185" s="8"/>
      <c r="J185" s="8"/>
      <c r="K185" s="8"/>
      <c r="L185" s="8"/>
      <c r="M185" s="8"/>
    </row>
    <row r="186" spans="1:13">
      <c r="A186" s="14" t="s">
        <v>3729</v>
      </c>
      <c r="B186" s="67">
        <v>31534739866</v>
      </c>
      <c r="C186" s="72"/>
      <c r="D186" s="69"/>
      <c r="E186" s="9">
        <v>262</v>
      </c>
      <c r="F186" s="25">
        <v>43160</v>
      </c>
      <c r="G186" s="70" t="s">
        <v>3356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71" t="s">
        <v>3730</v>
      </c>
      <c r="B187" s="67">
        <v>32321499877</v>
      </c>
      <c r="C187" s="72" t="s">
        <v>3731</v>
      </c>
      <c r="D187" s="69">
        <v>4788348373</v>
      </c>
      <c r="E187" s="9">
        <v>292</v>
      </c>
      <c r="F187" s="25">
        <v>43168</v>
      </c>
      <c r="G187" s="70" t="s">
        <v>3356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3732</v>
      </c>
      <c r="B188" s="67">
        <v>23197474864</v>
      </c>
      <c r="C188" s="72"/>
      <c r="D188" s="69"/>
      <c r="E188" s="9">
        <v>85</v>
      </c>
      <c r="F188" s="25">
        <v>43109</v>
      </c>
      <c r="G188" s="70" t="s">
        <v>3356</v>
      </c>
      <c r="H188" s="25">
        <v>43151</v>
      </c>
      <c r="I188" s="8"/>
      <c r="J188" s="8"/>
      <c r="K188" s="8"/>
      <c r="L188" s="8"/>
      <c r="M188" s="8"/>
    </row>
    <row r="189" spans="1:13">
      <c r="A189" s="71" t="s">
        <v>3733</v>
      </c>
      <c r="B189" s="67">
        <v>31268473820</v>
      </c>
      <c r="C189" s="72"/>
      <c r="D189" s="69"/>
      <c r="E189" s="9">
        <v>1214</v>
      </c>
      <c r="F189" s="25">
        <v>42989</v>
      </c>
      <c r="G189" s="70" t="s">
        <v>3356</v>
      </c>
      <c r="H189" s="9"/>
      <c r="I189" s="8"/>
      <c r="J189" s="8"/>
      <c r="K189" s="8"/>
      <c r="L189" s="8"/>
      <c r="M189" s="8"/>
    </row>
    <row r="190" spans="1:13">
      <c r="A190" s="71" t="s">
        <v>3734</v>
      </c>
      <c r="B190" s="67">
        <v>40951207890</v>
      </c>
      <c r="C190" s="72"/>
      <c r="D190" s="69"/>
      <c r="E190" s="9">
        <v>1555</v>
      </c>
      <c r="F190" s="25">
        <v>43049</v>
      </c>
      <c r="G190" s="70" t="s">
        <v>3370</v>
      </c>
      <c r="H190" s="9"/>
      <c r="I190" s="8"/>
      <c r="J190" s="8"/>
      <c r="K190" s="8"/>
      <c r="L190" s="9" t="s">
        <v>3735</v>
      </c>
      <c r="M190" s="8"/>
    </row>
    <row r="191" spans="1:13">
      <c r="A191" s="13" t="s">
        <v>3736</v>
      </c>
      <c r="B191" s="67">
        <v>43882835842</v>
      </c>
      <c r="C191" s="72"/>
      <c r="D191" s="69"/>
      <c r="E191" s="9">
        <v>1350</v>
      </c>
      <c r="F191" s="25">
        <v>43006</v>
      </c>
      <c r="G191" s="70" t="s">
        <v>3356</v>
      </c>
      <c r="H191" s="9"/>
      <c r="I191" s="8"/>
      <c r="J191" s="8"/>
      <c r="K191" s="8"/>
      <c r="L191" s="8"/>
      <c r="M191" s="8"/>
    </row>
    <row r="192" spans="1:13">
      <c r="A192" s="14" t="s">
        <v>3737</v>
      </c>
      <c r="B192" s="67">
        <v>16700300835</v>
      </c>
      <c r="C192" s="72" t="s">
        <v>3738</v>
      </c>
      <c r="D192" s="69">
        <v>28699951809</v>
      </c>
      <c r="E192" s="9">
        <v>262</v>
      </c>
      <c r="F192" s="25">
        <v>43160</v>
      </c>
      <c r="G192" s="70" t="s">
        <v>3356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71" t="s">
        <v>3739</v>
      </c>
      <c r="B193" s="67">
        <v>33595120817</v>
      </c>
      <c r="C193" s="68" t="s">
        <v>3740</v>
      </c>
      <c r="D193" s="69">
        <v>38449158850</v>
      </c>
      <c r="E193" s="9"/>
      <c r="F193" s="25"/>
      <c r="G193" s="70"/>
      <c r="H193" s="9"/>
      <c r="I193" s="8"/>
      <c r="J193" s="8"/>
      <c r="K193" s="8"/>
      <c r="L193" s="8"/>
      <c r="M193" s="8"/>
    </row>
    <row r="194" spans="1:13">
      <c r="A194" s="13" t="s">
        <v>3741</v>
      </c>
      <c r="B194" s="67">
        <v>40386203873</v>
      </c>
      <c r="C194" s="68" t="s">
        <v>3742</v>
      </c>
      <c r="D194" s="69">
        <v>27988479822</v>
      </c>
      <c r="E194" s="9">
        <v>1128</v>
      </c>
      <c r="F194" s="25">
        <v>42972</v>
      </c>
      <c r="G194" s="70" t="s">
        <v>3356</v>
      </c>
      <c r="H194" s="9"/>
      <c r="I194" s="8"/>
      <c r="J194" s="8"/>
      <c r="K194" s="8"/>
      <c r="L194" s="8"/>
      <c r="M194" s="8"/>
    </row>
    <row r="195" spans="1:13">
      <c r="A195" s="71" t="s">
        <v>3743</v>
      </c>
      <c r="B195" s="67">
        <v>23408598835</v>
      </c>
      <c r="C195" s="72"/>
      <c r="D195" s="69"/>
      <c r="E195" s="9">
        <v>573</v>
      </c>
      <c r="F195" s="25">
        <v>43224</v>
      </c>
      <c r="G195" s="70"/>
      <c r="H195" s="9"/>
      <c r="I195" s="8"/>
      <c r="J195" s="8"/>
      <c r="K195" s="8"/>
      <c r="L195" s="8"/>
      <c r="M195" s="8"/>
    </row>
    <row r="196" spans="1:13">
      <c r="A196" s="15" t="s">
        <v>3744</v>
      </c>
      <c r="B196" s="67">
        <v>26195293873</v>
      </c>
      <c r="C196" s="72"/>
      <c r="D196" s="69"/>
      <c r="E196" s="9"/>
      <c r="F196" s="25"/>
      <c r="G196" s="70"/>
      <c r="H196" s="9"/>
      <c r="I196" s="8"/>
      <c r="J196" s="8"/>
      <c r="K196" s="8"/>
      <c r="L196" s="8"/>
      <c r="M196" s="8"/>
    </row>
    <row r="197" spans="1:13">
      <c r="A197" s="15" t="s">
        <v>3745</v>
      </c>
      <c r="B197" s="67">
        <v>23473254851</v>
      </c>
      <c r="C197" s="72" t="s">
        <v>3746</v>
      </c>
      <c r="D197" s="69">
        <v>32944503898</v>
      </c>
      <c r="E197" s="9">
        <v>85</v>
      </c>
      <c r="F197" s="25">
        <v>43109</v>
      </c>
      <c r="G197" s="70" t="s">
        <v>3356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3747</v>
      </c>
      <c r="B198" s="67">
        <v>7330290866</v>
      </c>
      <c r="C198" s="72"/>
      <c r="D198" s="69"/>
      <c r="E198" s="9">
        <v>1350</v>
      </c>
      <c r="F198" s="25">
        <v>43006</v>
      </c>
      <c r="G198" s="70" t="s">
        <v>3356</v>
      </c>
      <c r="H198" s="9"/>
      <c r="I198" s="8"/>
      <c r="J198" s="8"/>
      <c r="K198" s="8"/>
      <c r="L198" s="8"/>
      <c r="M198" s="8"/>
    </row>
    <row r="199" spans="1:13">
      <c r="A199" s="15" t="s">
        <v>3748</v>
      </c>
      <c r="B199" s="67">
        <v>40128893893</v>
      </c>
      <c r="C199" s="72"/>
      <c r="D199" s="69"/>
      <c r="E199" s="9">
        <v>229</v>
      </c>
      <c r="F199" s="25">
        <v>43151</v>
      </c>
      <c r="G199" s="70" t="s">
        <v>3356</v>
      </c>
      <c r="H199" s="9"/>
      <c r="I199" s="8"/>
      <c r="J199" s="8"/>
      <c r="K199" s="8"/>
      <c r="L199" s="9">
        <v>232</v>
      </c>
      <c r="M199" s="8"/>
    </row>
    <row r="200" spans="1:13">
      <c r="A200" s="72" t="s">
        <v>3749</v>
      </c>
      <c r="B200" s="67">
        <v>2218915871</v>
      </c>
      <c r="C200" s="72" t="s">
        <v>3750</v>
      </c>
      <c r="D200" s="69">
        <v>1467311820</v>
      </c>
      <c r="E200" s="9">
        <v>443</v>
      </c>
      <c r="F200" s="25">
        <v>43188</v>
      </c>
      <c r="G200" s="70"/>
      <c r="H200" s="9"/>
      <c r="I200" s="8"/>
      <c r="J200" s="8"/>
      <c r="K200" s="8"/>
      <c r="L200" s="8"/>
      <c r="M200" s="8"/>
    </row>
    <row r="201" spans="1:13">
      <c r="A201" s="71" t="s">
        <v>3751</v>
      </c>
      <c r="B201" s="67">
        <v>66761255520</v>
      </c>
      <c r="C201" s="72"/>
      <c r="D201" s="69"/>
      <c r="E201" s="9"/>
      <c r="F201" s="25"/>
      <c r="G201" s="70"/>
      <c r="H201" s="9"/>
      <c r="I201" s="8"/>
      <c r="J201" s="8"/>
      <c r="K201" s="8"/>
      <c r="L201" s="8"/>
      <c r="M201" s="8"/>
    </row>
    <row r="202" spans="1:13">
      <c r="A202" s="13" t="s">
        <v>3752</v>
      </c>
      <c r="B202" s="67">
        <v>35799104854</v>
      </c>
      <c r="C202" s="72"/>
      <c r="D202" s="69"/>
      <c r="E202" s="9"/>
      <c r="F202" s="25"/>
      <c r="G202" s="70"/>
      <c r="H202" s="9"/>
      <c r="I202" s="8"/>
      <c r="J202" s="8"/>
      <c r="K202" s="8"/>
      <c r="L202" s="8"/>
      <c r="M202" s="8"/>
    </row>
    <row r="203" spans="1:13">
      <c r="A203" s="72" t="s">
        <v>3753</v>
      </c>
      <c r="B203" s="67">
        <v>31793836825</v>
      </c>
      <c r="C203" s="72" t="s">
        <v>990</v>
      </c>
      <c r="D203" s="69">
        <v>26401573880</v>
      </c>
      <c r="E203" s="9"/>
      <c r="F203" s="25"/>
      <c r="G203" s="70"/>
      <c r="H203" s="9"/>
      <c r="I203" s="8"/>
      <c r="J203" s="8"/>
      <c r="K203" s="8"/>
      <c r="L203" s="8"/>
      <c r="M203" s="8"/>
    </row>
    <row r="204" spans="1:13">
      <c r="A204" s="29" t="s">
        <v>3754</v>
      </c>
      <c r="B204" s="67">
        <v>41307266843</v>
      </c>
      <c r="C204" s="18" t="s">
        <v>3755</v>
      </c>
      <c r="D204" s="69">
        <v>18718910866</v>
      </c>
      <c r="E204" s="9"/>
      <c r="F204" s="25"/>
      <c r="G204" s="70"/>
      <c r="H204" s="9"/>
      <c r="I204" s="8"/>
      <c r="J204" s="8"/>
      <c r="K204" s="8"/>
      <c r="L204" s="8"/>
      <c r="M204" s="8"/>
    </row>
    <row r="205" spans="1:13">
      <c r="A205" s="71" t="s">
        <v>3756</v>
      </c>
      <c r="B205" s="67">
        <v>96683295549</v>
      </c>
      <c r="C205" s="72"/>
      <c r="D205" s="69"/>
      <c r="E205" s="9"/>
      <c r="F205" s="25"/>
      <c r="G205" s="70" t="s">
        <v>3356</v>
      </c>
      <c r="H205" s="9"/>
      <c r="I205" s="8"/>
      <c r="J205" s="8"/>
      <c r="K205" s="8"/>
      <c r="L205" s="8"/>
      <c r="M205" s="8"/>
    </row>
    <row r="206" spans="1:13">
      <c r="A206" s="15" t="s">
        <v>3757</v>
      </c>
      <c r="B206" s="67">
        <v>18965913888</v>
      </c>
      <c r="C206" s="72" t="s">
        <v>3758</v>
      </c>
      <c r="D206" s="69">
        <v>30385646801</v>
      </c>
      <c r="E206" s="9">
        <v>117</v>
      </c>
      <c r="F206" s="25">
        <v>43117</v>
      </c>
      <c r="G206" s="70" t="s">
        <v>3356</v>
      </c>
      <c r="H206" s="9"/>
      <c r="I206" s="8"/>
      <c r="J206" s="8"/>
      <c r="K206" s="8"/>
      <c r="L206" s="9" t="s">
        <v>3507</v>
      </c>
      <c r="M206" s="8"/>
    </row>
    <row r="207" spans="1:13">
      <c r="A207" s="29" t="s">
        <v>3759</v>
      </c>
      <c r="B207" s="67">
        <v>52371501875</v>
      </c>
      <c r="C207" s="18" t="s">
        <v>3466</v>
      </c>
      <c r="D207" s="69"/>
      <c r="E207" s="9"/>
      <c r="F207" s="25"/>
      <c r="G207" s="70"/>
      <c r="H207" s="9"/>
      <c r="I207" s="8"/>
      <c r="J207" s="8"/>
      <c r="K207" s="8"/>
      <c r="L207" s="8"/>
      <c r="M207" s="8"/>
    </row>
    <row r="208" spans="1:13">
      <c r="A208" s="29" t="s">
        <v>3760</v>
      </c>
      <c r="B208" s="67"/>
      <c r="C208" s="18" t="s">
        <v>3466</v>
      </c>
      <c r="D208" s="69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3761</v>
      </c>
      <c r="B209" s="67">
        <v>29938760821</v>
      </c>
      <c r="C209" s="72"/>
      <c r="D209" s="69"/>
      <c r="E209" s="9">
        <v>509</v>
      </c>
      <c r="F209" s="25">
        <v>43203</v>
      </c>
      <c r="G209" s="76"/>
      <c r="H209" s="76">
        <v>43213</v>
      </c>
      <c r="I209" s="8"/>
      <c r="J209" s="8"/>
      <c r="K209" s="8"/>
      <c r="L209" s="8"/>
      <c r="M209" s="8"/>
    </row>
    <row r="210" spans="1:13">
      <c r="A210" s="71" t="s">
        <v>3762</v>
      </c>
      <c r="B210" s="67">
        <v>35004723893</v>
      </c>
      <c r="C210" s="72"/>
      <c r="D210" s="69"/>
      <c r="E210" s="9">
        <v>573</v>
      </c>
      <c r="F210" s="25">
        <v>43224</v>
      </c>
      <c r="G210" s="70"/>
      <c r="H210" s="70"/>
      <c r="I210" s="8"/>
      <c r="J210" s="8"/>
      <c r="K210" s="8"/>
      <c r="L210" s="8"/>
      <c r="M210" s="8"/>
    </row>
    <row r="211" spans="1:13">
      <c r="A211" s="13" t="s">
        <v>3763</v>
      </c>
      <c r="B211" s="67">
        <v>91982154420</v>
      </c>
      <c r="C211" s="68"/>
      <c r="D211" s="69"/>
      <c r="E211" s="9">
        <v>1128</v>
      </c>
      <c r="F211" s="25">
        <v>42972</v>
      </c>
      <c r="G211" s="70" t="s">
        <v>3362</v>
      </c>
      <c r="H211" s="9"/>
      <c r="I211" s="8"/>
      <c r="J211" s="8"/>
      <c r="K211" s="8"/>
      <c r="L211" s="8"/>
      <c r="M211" s="8"/>
    </row>
    <row r="212" spans="1:13">
      <c r="A212" s="14" t="s">
        <v>3764</v>
      </c>
      <c r="B212" s="67">
        <v>25897391840</v>
      </c>
      <c r="C212" s="72" t="s">
        <v>3765</v>
      </c>
      <c r="D212" s="69">
        <v>31859827896</v>
      </c>
      <c r="E212" s="9"/>
      <c r="F212" s="25"/>
      <c r="G212" s="70"/>
      <c r="H212" s="70"/>
      <c r="I212" s="8"/>
      <c r="J212" s="8"/>
      <c r="K212" s="8"/>
      <c r="L212" s="8"/>
      <c r="M212" s="8"/>
    </row>
    <row r="213" spans="1:13">
      <c r="A213" s="72" t="s">
        <v>3766</v>
      </c>
      <c r="B213" s="67">
        <v>22605780805</v>
      </c>
      <c r="C213" s="72"/>
      <c r="D213" s="69"/>
      <c r="E213" s="9"/>
      <c r="F213" s="25"/>
      <c r="G213" s="70"/>
      <c r="H213" s="70"/>
      <c r="I213" s="8"/>
      <c r="J213" s="8"/>
      <c r="K213" s="8"/>
      <c r="L213" s="8"/>
      <c r="M213" s="8"/>
    </row>
    <row r="214" spans="1:13">
      <c r="A214" s="71" t="s">
        <v>3767</v>
      </c>
      <c r="B214" s="67">
        <v>13456595808</v>
      </c>
      <c r="C214" s="72"/>
      <c r="D214" s="69"/>
      <c r="E214" s="9">
        <v>443</v>
      </c>
      <c r="F214" s="25">
        <v>43188</v>
      </c>
      <c r="G214" s="70"/>
      <c r="H214" s="70"/>
      <c r="I214" s="8"/>
      <c r="J214" s="8"/>
      <c r="K214" s="8"/>
      <c r="L214" s="8"/>
      <c r="M214" s="8"/>
    </row>
    <row r="215" spans="1:13">
      <c r="A215" s="71" t="s">
        <v>3768</v>
      </c>
      <c r="B215" s="67">
        <v>32841222810</v>
      </c>
      <c r="C215" s="72" t="s">
        <v>3769</v>
      </c>
      <c r="D215" s="69">
        <v>80906176549</v>
      </c>
      <c r="E215" s="9">
        <v>262</v>
      </c>
      <c r="F215" s="25">
        <v>43160</v>
      </c>
      <c r="G215" s="70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71" t="s">
        <v>3770</v>
      </c>
      <c r="B216" s="67">
        <v>32242692860</v>
      </c>
      <c r="C216" s="72" t="s">
        <v>3771</v>
      </c>
      <c r="D216" s="69">
        <v>43538893896</v>
      </c>
      <c r="E216" s="9">
        <v>485</v>
      </c>
      <c r="F216" s="25">
        <v>43196</v>
      </c>
      <c r="G216" s="70"/>
      <c r="H216" s="70"/>
      <c r="I216" s="8"/>
      <c r="J216" s="8"/>
      <c r="K216" s="8"/>
      <c r="L216" s="9">
        <v>483</v>
      </c>
      <c r="M216" s="8"/>
    </row>
    <row r="217" spans="1:13">
      <c r="A217" s="71" t="s">
        <v>3772</v>
      </c>
      <c r="B217" s="67">
        <v>7105559462</v>
      </c>
      <c r="C217" s="72"/>
      <c r="D217" s="69"/>
      <c r="E217" s="9">
        <v>573</v>
      </c>
      <c r="F217" s="25">
        <v>43224</v>
      </c>
      <c r="G217" s="70"/>
      <c r="H217" s="70"/>
      <c r="I217" s="8"/>
      <c r="J217" s="8"/>
      <c r="K217" s="8"/>
      <c r="L217" s="8"/>
      <c r="M217" s="8"/>
    </row>
    <row r="218" spans="1:13">
      <c r="A218" s="71" t="s">
        <v>3773</v>
      </c>
      <c r="B218" s="67">
        <v>35157366892</v>
      </c>
      <c r="C218" s="72" t="s">
        <v>3774</v>
      </c>
      <c r="D218" s="69">
        <v>7540659440</v>
      </c>
      <c r="E218" s="9">
        <v>262</v>
      </c>
      <c r="F218" s="25">
        <v>43160</v>
      </c>
      <c r="G218" s="70" t="s">
        <v>3356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3775</v>
      </c>
      <c r="B219" s="67">
        <v>28951720802</v>
      </c>
      <c r="C219" s="72"/>
      <c r="D219" s="69"/>
      <c r="E219" s="9">
        <v>1350</v>
      </c>
      <c r="F219" s="25">
        <v>43006</v>
      </c>
      <c r="G219" s="70" t="s">
        <v>3356</v>
      </c>
      <c r="H219" s="70"/>
      <c r="I219" s="8"/>
      <c r="J219" s="8"/>
      <c r="K219" s="8"/>
      <c r="L219" s="8"/>
      <c r="M219" s="8"/>
    </row>
    <row r="220" spans="1:13">
      <c r="A220" s="15" t="s">
        <v>3776</v>
      </c>
      <c r="B220" s="67">
        <v>86052484594</v>
      </c>
      <c r="C220" s="72" t="s">
        <v>3777</v>
      </c>
      <c r="D220" s="69">
        <v>5551698556</v>
      </c>
      <c r="E220" s="9">
        <v>117</v>
      </c>
      <c r="F220" s="25">
        <v>43117</v>
      </c>
      <c r="G220" s="70" t="s">
        <v>3356</v>
      </c>
      <c r="H220" s="70"/>
      <c r="I220" s="8"/>
      <c r="J220" s="8"/>
      <c r="K220" s="8"/>
      <c r="L220" s="9" t="s">
        <v>3507</v>
      </c>
      <c r="M220" s="8"/>
    </row>
    <row r="221" spans="1:13">
      <c r="A221" s="15" t="s">
        <v>3778</v>
      </c>
      <c r="B221" s="67">
        <v>32193061874</v>
      </c>
      <c r="C221" s="72" t="s">
        <v>3779</v>
      </c>
      <c r="D221" s="69">
        <v>31315741865</v>
      </c>
      <c r="E221" s="9"/>
      <c r="F221" s="25"/>
      <c r="G221" s="70"/>
      <c r="H221" s="70"/>
      <c r="I221" s="8"/>
      <c r="J221" s="8"/>
      <c r="K221" s="8"/>
      <c r="L221" s="8"/>
      <c r="M221" s="8"/>
    </row>
    <row r="222" spans="1:13">
      <c r="A222" s="29" t="s">
        <v>3780</v>
      </c>
      <c r="B222" s="67">
        <v>32729382810</v>
      </c>
      <c r="C222" s="29" t="s">
        <v>3781</v>
      </c>
      <c r="D222" s="69">
        <v>27801639847</v>
      </c>
      <c r="E222" s="9"/>
      <c r="F222" s="25"/>
      <c r="G222" s="70"/>
      <c r="H222" s="70"/>
      <c r="I222" s="8"/>
      <c r="J222" s="8"/>
      <c r="K222" s="8"/>
      <c r="L222" s="8"/>
      <c r="M222" s="8"/>
    </row>
    <row r="223" spans="1:13">
      <c r="A223" s="71" t="s">
        <v>3782</v>
      </c>
      <c r="B223" s="67">
        <v>32554462879</v>
      </c>
      <c r="C223" s="72" t="s">
        <v>3783</v>
      </c>
      <c r="D223" s="69">
        <v>22395211800</v>
      </c>
      <c r="E223" s="9">
        <v>573</v>
      </c>
      <c r="F223" s="25">
        <v>43224</v>
      </c>
      <c r="G223" s="70"/>
      <c r="H223" s="70"/>
      <c r="I223" s="8"/>
      <c r="J223" s="8"/>
      <c r="K223" s="8"/>
      <c r="L223" s="8"/>
      <c r="M223" s="8"/>
    </row>
    <row r="224" spans="1:13">
      <c r="A224" s="71" t="s">
        <v>3784</v>
      </c>
      <c r="B224" s="67">
        <v>25897850895</v>
      </c>
      <c r="C224" s="72"/>
      <c r="D224" s="69"/>
      <c r="E224" s="9">
        <v>527</v>
      </c>
      <c r="F224" s="25">
        <v>43210</v>
      </c>
      <c r="G224" s="70"/>
      <c r="H224" s="70"/>
      <c r="I224" s="8"/>
      <c r="J224" s="8"/>
      <c r="K224" s="8"/>
      <c r="L224" s="9">
        <v>528</v>
      </c>
      <c r="M224" s="8"/>
    </row>
    <row r="225" spans="1:13">
      <c r="A225" s="71" t="s">
        <v>3785</v>
      </c>
      <c r="B225" s="67">
        <v>31983130826</v>
      </c>
      <c r="C225" s="72"/>
      <c r="D225" s="69"/>
      <c r="E225" s="9">
        <v>527</v>
      </c>
      <c r="F225" s="25">
        <v>43210</v>
      </c>
      <c r="G225" s="70"/>
      <c r="H225" s="70"/>
      <c r="I225" s="8"/>
      <c r="J225" s="8"/>
      <c r="K225" s="8"/>
      <c r="L225" s="9">
        <v>528</v>
      </c>
      <c r="M225" s="8"/>
    </row>
    <row r="226" spans="1:13">
      <c r="A226" s="71" t="s">
        <v>3786</v>
      </c>
      <c r="B226" s="67">
        <v>21867202808</v>
      </c>
      <c r="C226" s="72"/>
      <c r="D226" s="69"/>
      <c r="E226" s="9"/>
      <c r="F226" s="25"/>
      <c r="G226" s="70"/>
      <c r="H226" s="70"/>
      <c r="I226" s="8"/>
      <c r="J226" s="8"/>
      <c r="K226" s="8"/>
      <c r="L226" s="8"/>
      <c r="M226" s="8"/>
    </row>
    <row r="227" spans="1:13">
      <c r="A227" s="71" t="s">
        <v>3787</v>
      </c>
      <c r="B227" s="67">
        <v>31785766813</v>
      </c>
      <c r="C227" s="72"/>
      <c r="D227" s="69"/>
      <c r="E227" s="9">
        <v>810</v>
      </c>
      <c r="F227" s="25">
        <v>42915</v>
      </c>
      <c r="G227" s="70" t="s">
        <v>3356</v>
      </c>
      <c r="H227" s="70"/>
      <c r="I227" s="8"/>
      <c r="J227" s="8"/>
      <c r="K227" s="8"/>
      <c r="L227" s="9" t="s">
        <v>3475</v>
      </c>
      <c r="M227" s="8"/>
    </row>
    <row r="228" spans="1:13">
      <c r="A228" s="72" t="s">
        <v>3788</v>
      </c>
      <c r="B228" s="67">
        <v>39961258878</v>
      </c>
      <c r="C228" s="72" t="s">
        <v>3789</v>
      </c>
      <c r="D228" s="69">
        <v>36141502830</v>
      </c>
      <c r="E228" s="9"/>
      <c r="F228" s="25"/>
      <c r="G228" s="70"/>
      <c r="H228" s="70"/>
      <c r="I228" s="8"/>
      <c r="J228" s="8"/>
      <c r="K228" s="8"/>
      <c r="L228" s="8"/>
      <c r="M228" s="8"/>
    </row>
    <row r="229" spans="1:13">
      <c r="A229" s="31" t="s">
        <v>3790</v>
      </c>
      <c r="B229" s="67">
        <v>47054624831</v>
      </c>
      <c r="C229" s="29"/>
      <c r="D229" s="69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71" t="s">
        <v>3791</v>
      </c>
      <c r="B230" s="67">
        <v>35719819878</v>
      </c>
      <c r="C230" s="72" t="s">
        <v>3792</v>
      </c>
      <c r="D230" s="69">
        <v>11407737473</v>
      </c>
      <c r="E230" s="9">
        <v>1214</v>
      </c>
      <c r="F230" s="25">
        <v>42989</v>
      </c>
      <c r="G230" s="70" t="s">
        <v>3356</v>
      </c>
      <c r="H230" s="70"/>
      <c r="I230" s="8"/>
      <c r="J230" s="8"/>
      <c r="K230" s="8"/>
      <c r="L230" s="8"/>
      <c r="M230" s="8"/>
    </row>
    <row r="231" spans="1:13">
      <c r="A231" s="13" t="s">
        <v>3793</v>
      </c>
      <c r="B231" s="67">
        <v>45813645829</v>
      </c>
      <c r="C231" s="68" t="s">
        <v>3794</v>
      </c>
      <c r="D231" s="69">
        <v>40890894841</v>
      </c>
      <c r="E231" s="9">
        <v>1752</v>
      </c>
      <c r="F231" s="25">
        <v>43051</v>
      </c>
      <c r="G231" s="70" t="s">
        <v>3356</v>
      </c>
      <c r="H231" s="70"/>
      <c r="I231" s="8"/>
      <c r="J231" s="8"/>
      <c r="K231" s="8"/>
      <c r="L231" s="9">
        <v>1759</v>
      </c>
      <c r="M231" s="8"/>
    </row>
    <row r="232" spans="1:13">
      <c r="A232" s="15" t="s">
        <v>3795</v>
      </c>
      <c r="B232" s="67">
        <v>43811085824</v>
      </c>
      <c r="C232" s="15" t="s">
        <v>3796</v>
      </c>
      <c r="D232" s="69">
        <v>42304979890</v>
      </c>
      <c r="E232" s="9"/>
      <c r="F232" s="25"/>
      <c r="G232" s="70"/>
      <c r="H232" s="70"/>
      <c r="I232" s="8"/>
      <c r="J232" s="8"/>
      <c r="K232" s="8"/>
      <c r="L232" s="8"/>
      <c r="M232" s="8"/>
    </row>
    <row r="233" spans="1:13">
      <c r="A233" s="71" t="s">
        <v>3797</v>
      </c>
      <c r="B233" s="67">
        <v>50470146818</v>
      </c>
      <c r="C233" s="77"/>
      <c r="D233" s="69"/>
      <c r="E233" s="9">
        <v>563</v>
      </c>
      <c r="F233" s="25">
        <v>43217</v>
      </c>
      <c r="G233" s="70"/>
      <c r="H233" s="70"/>
      <c r="I233" s="8"/>
      <c r="J233" s="8"/>
      <c r="K233" s="8"/>
      <c r="L233" s="9" t="s">
        <v>3636</v>
      </c>
      <c r="M233" s="8"/>
    </row>
    <row r="234" spans="1:13">
      <c r="A234" s="29" t="s">
        <v>3798</v>
      </c>
      <c r="B234" s="67"/>
      <c r="C234" s="18" t="s">
        <v>3466</v>
      </c>
      <c r="D234" s="69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3799</v>
      </c>
      <c r="B235" s="67">
        <v>33287840800</v>
      </c>
      <c r="C235" s="72"/>
      <c r="D235" s="69"/>
      <c r="E235" s="9"/>
      <c r="F235" s="25"/>
      <c r="G235" s="70"/>
      <c r="H235" s="70"/>
      <c r="I235" s="8"/>
      <c r="J235" s="8"/>
      <c r="K235" s="8"/>
      <c r="L235" s="8"/>
      <c r="M235" s="8"/>
    </row>
    <row r="236" spans="1:13">
      <c r="A236" s="71" t="s">
        <v>3800</v>
      </c>
      <c r="B236" s="67">
        <v>31518758827</v>
      </c>
      <c r="C236" s="72"/>
      <c r="D236" s="69"/>
      <c r="E236" s="9">
        <v>292</v>
      </c>
      <c r="F236" s="25">
        <v>43168</v>
      </c>
      <c r="G236" s="70" t="s">
        <v>3356</v>
      </c>
      <c r="H236" s="70"/>
      <c r="I236" s="8"/>
      <c r="J236" s="8"/>
      <c r="K236" s="8"/>
      <c r="L236" s="9">
        <v>318</v>
      </c>
      <c r="M236" s="8"/>
    </row>
    <row r="237" spans="1:13">
      <c r="A237" s="71" t="s">
        <v>3801</v>
      </c>
      <c r="B237" s="67">
        <v>86221152593</v>
      </c>
      <c r="C237" s="72" t="s">
        <v>3802</v>
      </c>
      <c r="D237" s="69">
        <v>3688414560</v>
      </c>
      <c r="E237" s="9">
        <v>1214</v>
      </c>
      <c r="F237" s="25">
        <v>42989</v>
      </c>
      <c r="G237" s="70" t="s">
        <v>3356</v>
      </c>
      <c r="H237" s="70"/>
      <c r="I237" s="8"/>
      <c r="J237" s="8"/>
      <c r="K237" s="8"/>
      <c r="L237" s="8"/>
      <c r="M237" s="8"/>
    </row>
    <row r="238" spans="1:13">
      <c r="A238" s="15" t="s">
        <v>3803</v>
      </c>
      <c r="B238" s="67">
        <v>5918222456</v>
      </c>
      <c r="C238" s="72" t="s">
        <v>3804</v>
      </c>
      <c r="D238" s="69">
        <v>22995243800</v>
      </c>
      <c r="E238" s="9"/>
      <c r="F238" s="25"/>
      <c r="G238" s="70"/>
      <c r="H238" s="70"/>
      <c r="I238" s="8"/>
      <c r="J238" s="8"/>
      <c r="K238" s="8"/>
      <c r="L238" s="8"/>
      <c r="M238" s="8"/>
    </row>
    <row r="239" spans="1:13">
      <c r="A239" s="71" t="s">
        <v>3805</v>
      </c>
      <c r="B239" s="67">
        <v>37239200809</v>
      </c>
      <c r="C239" s="72" t="s">
        <v>3806</v>
      </c>
      <c r="D239" s="69">
        <v>36014828869</v>
      </c>
      <c r="E239" s="9">
        <v>1350</v>
      </c>
      <c r="F239" s="25">
        <v>43006</v>
      </c>
      <c r="G239" s="70" t="s">
        <v>3356</v>
      </c>
      <c r="H239" s="70"/>
      <c r="I239" s="8"/>
      <c r="J239" s="8"/>
      <c r="K239" s="8"/>
      <c r="L239" s="8"/>
      <c r="M239" s="8"/>
    </row>
    <row r="240" spans="1:13">
      <c r="A240" s="71" t="s">
        <v>3807</v>
      </c>
      <c r="B240" s="67">
        <v>6620279813</v>
      </c>
      <c r="C240" s="72" t="s">
        <v>3808</v>
      </c>
      <c r="D240" s="69">
        <v>18461089855</v>
      </c>
      <c r="E240" s="9">
        <v>1824</v>
      </c>
      <c r="F240" s="25">
        <v>43091</v>
      </c>
      <c r="G240" s="70" t="s">
        <v>3356</v>
      </c>
      <c r="H240" s="70"/>
      <c r="I240" s="8"/>
      <c r="J240" s="8"/>
      <c r="K240" s="8"/>
      <c r="L240" s="9">
        <v>1828</v>
      </c>
      <c r="M240" s="8"/>
    </row>
    <row r="241" spans="1:13">
      <c r="A241" s="84" t="s">
        <v>3809</v>
      </c>
      <c r="B241" s="67">
        <v>11805424874</v>
      </c>
      <c r="C241" s="77" t="s">
        <v>3810</v>
      </c>
      <c r="D241" s="69">
        <v>13513057865</v>
      </c>
      <c r="E241" s="9"/>
      <c r="F241" s="25"/>
      <c r="G241" s="70"/>
      <c r="H241" s="70"/>
      <c r="I241" s="8"/>
      <c r="J241" s="8"/>
      <c r="K241" s="8"/>
      <c r="L241" s="8"/>
      <c r="M241" s="8"/>
    </row>
    <row r="242" spans="1:13">
      <c r="A242" s="14" t="s">
        <v>3811</v>
      </c>
      <c r="B242" s="67">
        <v>39444568822</v>
      </c>
      <c r="C242" s="72"/>
      <c r="D242" s="69"/>
      <c r="E242" s="9">
        <v>262</v>
      </c>
      <c r="F242" s="25">
        <v>43160</v>
      </c>
      <c r="G242" s="70" t="s">
        <v>3356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3812</v>
      </c>
      <c r="B243" s="67">
        <v>39423733867</v>
      </c>
      <c r="C243" s="72"/>
      <c r="D243" s="69"/>
      <c r="E243" s="9">
        <v>85</v>
      </c>
      <c r="F243" s="25">
        <v>43109</v>
      </c>
      <c r="G243" s="70" t="s">
        <v>3356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3813</v>
      </c>
      <c r="B244" s="67">
        <v>34001342871</v>
      </c>
      <c r="C244" s="18" t="s">
        <v>3814</v>
      </c>
      <c r="D244" s="69">
        <v>87924803300</v>
      </c>
      <c r="E244" s="9"/>
      <c r="F244" s="25"/>
      <c r="G244" s="70"/>
      <c r="H244" s="70"/>
      <c r="I244" s="8"/>
      <c r="J244" s="8"/>
      <c r="K244" s="8"/>
      <c r="L244" s="8"/>
      <c r="M244" s="8"/>
    </row>
    <row r="245" spans="1:13">
      <c r="A245" s="71" t="s">
        <v>3815</v>
      </c>
      <c r="B245" s="67">
        <v>31939758858</v>
      </c>
      <c r="C245" s="72"/>
      <c r="D245" s="69"/>
      <c r="E245" s="9">
        <v>262</v>
      </c>
      <c r="F245" s="25">
        <v>43160</v>
      </c>
      <c r="G245" s="70" t="s">
        <v>3356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71" t="s">
        <v>3816</v>
      </c>
      <c r="B246" s="67">
        <v>18199193824</v>
      </c>
      <c r="C246" s="72"/>
      <c r="D246" s="69"/>
      <c r="E246" s="9">
        <v>527</v>
      </c>
      <c r="F246" s="25">
        <v>43210</v>
      </c>
      <c r="G246" s="70"/>
      <c r="H246" s="70"/>
      <c r="I246" s="8"/>
      <c r="J246" s="8"/>
      <c r="K246" s="8"/>
      <c r="L246" s="9">
        <v>528</v>
      </c>
      <c r="M246" s="8"/>
    </row>
    <row r="247" spans="1:13">
      <c r="A247" s="14" t="s">
        <v>3817</v>
      </c>
      <c r="B247" s="67">
        <v>1308082533</v>
      </c>
      <c r="C247" s="72" t="s">
        <v>3818</v>
      </c>
      <c r="D247" s="69">
        <v>73690139520</v>
      </c>
      <c r="E247" s="9">
        <v>262</v>
      </c>
      <c r="F247" s="25">
        <v>43160</v>
      </c>
      <c r="G247" s="70" t="s">
        <v>3356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3819</v>
      </c>
      <c r="B248" s="67">
        <v>27084998829</v>
      </c>
      <c r="C248" s="72"/>
      <c r="D248" s="69"/>
      <c r="E248" s="9">
        <v>117</v>
      </c>
      <c r="F248" s="25">
        <v>43117</v>
      </c>
      <c r="G248" s="70" t="s">
        <v>3356</v>
      </c>
      <c r="H248" s="70"/>
      <c r="I248" s="8"/>
      <c r="J248" s="8"/>
      <c r="K248" s="8"/>
      <c r="L248" s="9" t="s">
        <v>3507</v>
      </c>
      <c r="M248" s="8"/>
    </row>
    <row r="249" spans="1:13">
      <c r="A249" s="71" t="s">
        <v>3820</v>
      </c>
      <c r="B249" s="67">
        <v>4068496846</v>
      </c>
      <c r="C249" s="72" t="s">
        <v>3821</v>
      </c>
      <c r="D249" s="69">
        <v>26922524896</v>
      </c>
      <c r="E249" s="9">
        <v>1752</v>
      </c>
      <c r="F249" s="25">
        <v>43051</v>
      </c>
      <c r="G249" s="70" t="s">
        <v>3356</v>
      </c>
      <c r="H249" s="70"/>
      <c r="I249" s="8"/>
      <c r="J249" s="8"/>
      <c r="K249" s="8"/>
      <c r="L249" s="9">
        <v>1759</v>
      </c>
      <c r="M249" s="8"/>
    </row>
    <row r="250" spans="1:13">
      <c r="A250" s="15" t="s">
        <v>3822</v>
      </c>
      <c r="B250" s="67">
        <v>92175163849</v>
      </c>
      <c r="C250" s="72" t="s">
        <v>3823</v>
      </c>
      <c r="D250" s="69">
        <v>21955511861</v>
      </c>
      <c r="E250" s="9"/>
      <c r="F250" s="25"/>
      <c r="G250" s="70"/>
      <c r="H250" s="70"/>
      <c r="I250" s="8"/>
      <c r="J250" s="8"/>
      <c r="K250" s="8"/>
      <c r="L250" s="8"/>
      <c r="M250" s="8"/>
    </row>
    <row r="251" spans="1:13">
      <c r="A251" s="18" t="s">
        <v>3824</v>
      </c>
      <c r="B251" s="67">
        <v>76906388304</v>
      </c>
      <c r="C251" s="18" t="s">
        <v>3825</v>
      </c>
      <c r="D251" s="69">
        <v>93161590</v>
      </c>
      <c r="E251" s="9"/>
      <c r="F251" s="25"/>
      <c r="G251" s="70"/>
      <c r="H251" s="70"/>
      <c r="I251" s="8"/>
      <c r="J251" s="8"/>
      <c r="K251" s="8"/>
      <c r="L251" s="8"/>
      <c r="M251" s="8"/>
    </row>
    <row r="252" spans="1:13">
      <c r="A252" s="15" t="s">
        <v>3826</v>
      </c>
      <c r="B252" s="67">
        <v>25569397884</v>
      </c>
      <c r="C252" s="72"/>
      <c r="D252" s="69"/>
      <c r="E252" s="9">
        <v>117</v>
      </c>
      <c r="F252" s="25">
        <v>43117</v>
      </c>
      <c r="G252" s="70" t="s">
        <v>3356</v>
      </c>
      <c r="H252" s="70"/>
      <c r="I252" s="8"/>
      <c r="J252" s="8"/>
      <c r="K252" s="8"/>
      <c r="L252" s="9" t="s">
        <v>3507</v>
      </c>
      <c r="M252" s="8"/>
    </row>
    <row r="253" spans="1:13">
      <c r="A253" s="71" t="s">
        <v>3827</v>
      </c>
      <c r="B253" s="67">
        <v>2925106323</v>
      </c>
      <c r="C253" s="72" t="s">
        <v>3828</v>
      </c>
      <c r="D253" s="69">
        <v>16131378851</v>
      </c>
      <c r="E253" s="9">
        <v>1214</v>
      </c>
      <c r="F253" s="25">
        <v>42989</v>
      </c>
      <c r="G253" s="70" t="s">
        <v>3356</v>
      </c>
      <c r="H253" s="70"/>
      <c r="I253" s="8"/>
      <c r="J253" s="8"/>
      <c r="K253" s="8"/>
      <c r="L253" s="8"/>
      <c r="M253" s="8"/>
    </row>
    <row r="254" spans="1:13">
      <c r="A254" s="13" t="s">
        <v>3829</v>
      </c>
      <c r="B254" s="67">
        <v>33865569811</v>
      </c>
      <c r="C254" s="68"/>
      <c r="D254" s="69"/>
      <c r="E254" s="9">
        <v>1267</v>
      </c>
      <c r="F254" s="25">
        <v>42998</v>
      </c>
      <c r="G254" s="70" t="s">
        <v>3356</v>
      </c>
      <c r="H254" s="70"/>
      <c r="I254" s="8"/>
      <c r="J254" s="8"/>
      <c r="K254" s="8"/>
      <c r="L254" s="8"/>
      <c r="M254" s="8"/>
    </row>
    <row r="255" spans="1:13">
      <c r="A255" s="13" t="s">
        <v>3830</v>
      </c>
      <c r="B255" s="67">
        <v>30871120895</v>
      </c>
      <c r="C255" s="68" t="s">
        <v>3831</v>
      </c>
      <c r="D255" s="69">
        <v>7635106457</v>
      </c>
      <c r="E255" s="9">
        <v>1241</v>
      </c>
      <c r="F255" s="25">
        <v>42992</v>
      </c>
      <c r="G255" s="70" t="s">
        <v>3356</v>
      </c>
      <c r="H255" s="70"/>
      <c r="I255" s="8"/>
      <c r="J255" s="8"/>
      <c r="K255" s="8"/>
      <c r="L255" s="8"/>
      <c r="M255" s="8"/>
    </row>
    <row r="256" spans="1:13">
      <c r="A256" s="71" t="s">
        <v>3832</v>
      </c>
      <c r="B256" s="67">
        <v>32016102837</v>
      </c>
      <c r="C256" s="72" t="s">
        <v>3833</v>
      </c>
      <c r="D256" s="69">
        <v>25077406553</v>
      </c>
      <c r="E256" s="9">
        <v>292</v>
      </c>
      <c r="F256" s="25">
        <v>43168</v>
      </c>
      <c r="G256" s="70" t="s">
        <v>3356</v>
      </c>
      <c r="H256" s="70"/>
      <c r="I256" s="8"/>
      <c r="J256" s="8"/>
      <c r="K256" s="8"/>
      <c r="L256" s="9">
        <v>318</v>
      </c>
      <c r="M256" s="8"/>
    </row>
    <row r="257" spans="1:13">
      <c r="A257" s="72" t="s">
        <v>3834</v>
      </c>
      <c r="B257" s="67">
        <v>14226894847</v>
      </c>
      <c r="C257" s="72"/>
      <c r="D257" s="69"/>
      <c r="E257" s="9"/>
      <c r="F257" s="25"/>
      <c r="G257" s="70"/>
      <c r="H257" s="70"/>
      <c r="I257" s="8"/>
      <c r="J257" s="8"/>
      <c r="K257" s="8"/>
      <c r="L257" s="8"/>
      <c r="M257" s="8"/>
    </row>
    <row r="258" spans="1:13">
      <c r="A258" s="72" t="s">
        <v>3835</v>
      </c>
      <c r="B258" s="67">
        <v>98689622772</v>
      </c>
      <c r="C258" s="72"/>
      <c r="D258" s="69"/>
      <c r="E258" s="9"/>
      <c r="F258" s="25"/>
      <c r="G258" s="70"/>
      <c r="H258" s="70"/>
      <c r="I258" s="8"/>
      <c r="J258" s="8"/>
      <c r="K258" s="8"/>
      <c r="L258" s="8"/>
      <c r="M258" s="8"/>
    </row>
    <row r="259" spans="1:13">
      <c r="A259" s="71" t="s">
        <v>3836</v>
      </c>
      <c r="B259" s="67">
        <v>9722798812</v>
      </c>
      <c r="C259" s="72"/>
      <c r="D259" s="69"/>
      <c r="E259" s="9"/>
      <c r="F259" s="25"/>
      <c r="G259" s="70"/>
      <c r="H259" s="70"/>
      <c r="I259" s="8"/>
      <c r="J259" s="8"/>
      <c r="K259" s="8"/>
      <c r="L259" s="8"/>
      <c r="M259" s="8"/>
    </row>
    <row r="260" spans="1:13">
      <c r="A260" s="71" t="s">
        <v>3837</v>
      </c>
      <c r="B260" s="67">
        <v>23448937843</v>
      </c>
      <c r="C260" s="72"/>
      <c r="D260" s="69"/>
      <c r="E260" s="9">
        <v>1439</v>
      </c>
      <c r="F260" s="25">
        <v>43025</v>
      </c>
      <c r="G260" s="70" t="s">
        <v>3356</v>
      </c>
      <c r="H260" s="70"/>
      <c r="I260" s="8"/>
      <c r="J260" s="8"/>
      <c r="K260" s="8"/>
      <c r="L260" s="9" t="s">
        <v>3838</v>
      </c>
      <c r="M260" s="8"/>
    </row>
    <row r="261" spans="1:13">
      <c r="A261" s="15" t="s">
        <v>3839</v>
      </c>
      <c r="B261" s="67">
        <v>18856620847</v>
      </c>
      <c r="C261" s="72" t="s">
        <v>3840</v>
      </c>
      <c r="D261" s="69">
        <v>60739592815</v>
      </c>
      <c r="E261" s="9">
        <v>443</v>
      </c>
      <c r="F261" s="25">
        <v>43188</v>
      </c>
      <c r="G261" s="70"/>
      <c r="H261" s="70"/>
      <c r="I261" s="8"/>
      <c r="J261" s="8"/>
      <c r="K261" s="8"/>
      <c r="L261" s="8"/>
      <c r="M261" s="8"/>
    </row>
    <row r="262" spans="1:13">
      <c r="A262" s="13" t="s">
        <v>3841</v>
      </c>
      <c r="B262" s="67">
        <v>9733441805</v>
      </c>
      <c r="C262" s="72"/>
      <c r="D262" s="69"/>
      <c r="E262" s="9"/>
      <c r="F262" s="25"/>
      <c r="G262" s="70"/>
      <c r="H262" s="70"/>
      <c r="I262" s="8"/>
      <c r="J262" s="8"/>
      <c r="K262" s="8"/>
      <c r="L262" s="8"/>
      <c r="M262" s="8"/>
    </row>
    <row r="263" spans="1:13">
      <c r="A263" s="71" t="s">
        <v>3842</v>
      </c>
      <c r="B263" s="67">
        <v>2766966382</v>
      </c>
      <c r="C263" s="72" t="s">
        <v>3843</v>
      </c>
      <c r="D263" s="69">
        <v>2385838303</v>
      </c>
      <c r="E263" s="9">
        <v>262</v>
      </c>
      <c r="F263" s="25">
        <v>43160</v>
      </c>
      <c r="G263" s="70" t="s">
        <v>3356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71" t="s">
        <v>3844</v>
      </c>
      <c r="B264" s="67">
        <v>17092493315</v>
      </c>
      <c r="C264" s="77"/>
      <c r="D264" s="69"/>
      <c r="E264" s="9"/>
      <c r="F264" s="25"/>
      <c r="G264" s="70"/>
      <c r="H264" s="70"/>
      <c r="I264" s="8"/>
      <c r="J264" s="8"/>
      <c r="K264" s="8"/>
      <c r="L264" s="8"/>
      <c r="M264" s="8"/>
    </row>
    <row r="265" spans="1:13">
      <c r="A265" s="15" t="s">
        <v>3845</v>
      </c>
      <c r="B265" s="67">
        <v>15697775865</v>
      </c>
      <c r="C265" s="72"/>
      <c r="D265" s="69"/>
      <c r="E265" s="9">
        <v>229</v>
      </c>
      <c r="F265" s="25">
        <v>43151</v>
      </c>
      <c r="G265" s="70" t="s">
        <v>3356</v>
      </c>
      <c r="H265" s="70"/>
      <c r="I265" s="8"/>
      <c r="J265" s="8"/>
      <c r="K265" s="8"/>
      <c r="L265" s="9">
        <v>232</v>
      </c>
      <c r="M265" s="8"/>
    </row>
    <row r="266" spans="1:13">
      <c r="A266" s="71" t="s">
        <v>3846</v>
      </c>
      <c r="B266" s="67">
        <v>2612745386</v>
      </c>
      <c r="C266" s="72"/>
      <c r="D266" s="69"/>
      <c r="E266" s="9">
        <v>1214</v>
      </c>
      <c r="F266" s="25">
        <v>42989</v>
      </c>
      <c r="G266" s="70" t="s">
        <v>3356</v>
      </c>
      <c r="H266" s="70"/>
      <c r="I266" s="8"/>
      <c r="J266" s="8"/>
      <c r="K266" s="8"/>
      <c r="L266" s="8"/>
      <c r="M266" s="8"/>
    </row>
    <row r="267" spans="1:13">
      <c r="A267" s="71" t="s">
        <v>3847</v>
      </c>
      <c r="B267" s="67">
        <v>22511943808</v>
      </c>
      <c r="C267" s="72"/>
      <c r="D267" s="69"/>
      <c r="E267" s="9">
        <v>292</v>
      </c>
      <c r="F267" s="25">
        <v>43168</v>
      </c>
      <c r="G267" s="70" t="s">
        <v>3356</v>
      </c>
      <c r="H267" s="70"/>
      <c r="I267" s="8"/>
      <c r="J267" s="8"/>
      <c r="K267" s="8"/>
      <c r="L267" s="9">
        <v>318</v>
      </c>
      <c r="M267" s="8"/>
    </row>
    <row r="268" spans="1:13">
      <c r="A268" s="71" t="s">
        <v>3848</v>
      </c>
      <c r="B268" s="67">
        <v>24937124803</v>
      </c>
      <c r="C268" s="72"/>
      <c r="D268" s="69"/>
      <c r="E268" s="9">
        <v>1752</v>
      </c>
      <c r="F268" s="25">
        <v>43051</v>
      </c>
      <c r="G268" s="70" t="s">
        <v>3356</v>
      </c>
      <c r="H268" s="70"/>
      <c r="I268" s="8"/>
      <c r="J268" s="8"/>
      <c r="K268" s="8"/>
      <c r="L268" s="9">
        <v>1759</v>
      </c>
      <c r="M268" s="8"/>
    </row>
    <row r="269" spans="1:13">
      <c r="A269" s="71" t="s">
        <v>3849</v>
      </c>
      <c r="B269" s="67">
        <v>10705957802</v>
      </c>
      <c r="C269" s="72"/>
      <c r="D269" s="69"/>
      <c r="E269" s="9">
        <v>292</v>
      </c>
      <c r="F269" s="25">
        <v>43168</v>
      </c>
      <c r="G269" s="70" t="s">
        <v>3356</v>
      </c>
      <c r="H269" s="70"/>
      <c r="I269" s="8"/>
      <c r="J269" s="8"/>
      <c r="K269" s="8"/>
      <c r="L269" s="9">
        <v>318</v>
      </c>
      <c r="M269" s="8"/>
    </row>
    <row r="270" spans="1:13">
      <c r="A270" s="71" t="s">
        <v>3850</v>
      </c>
      <c r="B270" s="67">
        <v>11697967884</v>
      </c>
      <c r="C270" s="72"/>
      <c r="D270" s="69"/>
      <c r="E270" s="9">
        <v>573</v>
      </c>
      <c r="F270" s="25">
        <v>43224</v>
      </c>
      <c r="G270" s="70"/>
      <c r="H270" s="70"/>
      <c r="I270" s="8"/>
      <c r="J270" s="8"/>
      <c r="K270" s="8"/>
      <c r="L270" s="8"/>
      <c r="M270" s="8"/>
    </row>
    <row r="271" spans="1:13">
      <c r="A271" s="71" t="s">
        <v>3851</v>
      </c>
      <c r="B271" s="67">
        <v>14780099854</v>
      </c>
      <c r="C271" s="72"/>
      <c r="D271" s="69"/>
      <c r="E271" s="9">
        <v>1489</v>
      </c>
      <c r="F271" s="25">
        <v>43038</v>
      </c>
      <c r="G271" s="70" t="s">
        <v>3356</v>
      </c>
      <c r="H271" s="70"/>
      <c r="I271" s="8"/>
      <c r="J271" s="8"/>
      <c r="K271" s="8"/>
      <c r="L271" s="9" t="s">
        <v>3497</v>
      </c>
      <c r="M271" s="8"/>
    </row>
    <row r="272" spans="1:13">
      <c r="A272" s="71" t="s">
        <v>3852</v>
      </c>
      <c r="B272" s="67">
        <v>4788584859</v>
      </c>
      <c r="C272" s="72"/>
      <c r="D272" s="69"/>
      <c r="E272" s="9"/>
      <c r="F272" s="25"/>
      <c r="G272" s="70"/>
      <c r="H272" s="70"/>
      <c r="I272" s="8"/>
      <c r="J272" s="8"/>
      <c r="K272" s="8"/>
      <c r="L272" s="8"/>
      <c r="M272" s="8"/>
    </row>
    <row r="273" spans="1:13">
      <c r="A273" s="71" t="s">
        <v>3853</v>
      </c>
      <c r="B273" s="67">
        <v>32823382879</v>
      </c>
      <c r="C273" s="72"/>
      <c r="D273" s="69"/>
      <c r="E273" s="9">
        <v>1489</v>
      </c>
      <c r="F273" s="25">
        <v>43038</v>
      </c>
      <c r="G273" s="70" t="s">
        <v>3356</v>
      </c>
      <c r="H273" s="70"/>
      <c r="I273" s="8"/>
      <c r="J273" s="8"/>
      <c r="K273" s="8"/>
      <c r="L273" s="9" t="s">
        <v>3497</v>
      </c>
      <c r="M273" s="8"/>
    </row>
    <row r="274" spans="1:13">
      <c r="A274" s="71" t="s">
        <v>3854</v>
      </c>
      <c r="B274" s="67">
        <v>8647099869</v>
      </c>
      <c r="C274" s="72"/>
      <c r="D274" s="69"/>
      <c r="E274" s="9">
        <v>1752</v>
      </c>
      <c r="F274" s="25">
        <v>43051</v>
      </c>
      <c r="G274" s="70" t="s">
        <v>3356</v>
      </c>
      <c r="H274" s="70"/>
      <c r="I274" s="8"/>
      <c r="J274" s="8"/>
      <c r="K274" s="8"/>
      <c r="L274" s="9">
        <v>1759</v>
      </c>
      <c r="M274" s="8"/>
    </row>
    <row r="275" spans="1:13">
      <c r="A275" s="72" t="s">
        <v>3855</v>
      </c>
      <c r="B275" s="67">
        <v>27546228883</v>
      </c>
      <c r="C275" s="72"/>
      <c r="D275" s="69"/>
      <c r="E275" s="9"/>
      <c r="F275" s="25"/>
      <c r="G275" s="70"/>
      <c r="H275" s="70"/>
      <c r="I275" s="8"/>
      <c r="J275" s="8"/>
      <c r="K275" s="8"/>
      <c r="L275" s="8"/>
      <c r="M275" s="8"/>
    </row>
    <row r="276" spans="1:13">
      <c r="A276" s="71" t="s">
        <v>3856</v>
      </c>
      <c r="B276" s="67">
        <v>37354059838</v>
      </c>
      <c r="C276" s="72"/>
      <c r="D276" s="69"/>
      <c r="E276" s="9">
        <v>810</v>
      </c>
      <c r="F276" s="25">
        <v>42915</v>
      </c>
      <c r="G276" s="70" t="s">
        <v>3356</v>
      </c>
      <c r="H276" s="70"/>
      <c r="I276" s="8"/>
      <c r="J276" s="8"/>
      <c r="K276" s="8"/>
      <c r="L276" s="9" t="s">
        <v>3475</v>
      </c>
      <c r="M276" s="8"/>
    </row>
    <row r="277" spans="1:13">
      <c r="A277" s="13" t="s">
        <v>3857</v>
      </c>
      <c r="B277" s="67">
        <v>60319631591</v>
      </c>
      <c r="C277" s="72"/>
      <c r="D277" s="69"/>
      <c r="E277" s="9"/>
      <c r="F277" s="25"/>
      <c r="G277" s="70"/>
      <c r="H277" s="70"/>
      <c r="I277" s="8"/>
      <c r="J277" s="8"/>
      <c r="K277" s="8"/>
      <c r="L277" s="8"/>
      <c r="M277" s="8"/>
    </row>
    <row r="278" spans="1:13">
      <c r="A278" s="71" t="s">
        <v>3858</v>
      </c>
      <c r="B278" s="67">
        <v>27642817819</v>
      </c>
      <c r="C278" s="72"/>
      <c r="D278" s="69"/>
      <c r="E278" s="9">
        <v>1241</v>
      </c>
      <c r="F278" s="25">
        <v>42992</v>
      </c>
      <c r="G278" s="70" t="s">
        <v>3356</v>
      </c>
      <c r="H278" s="70"/>
      <c r="I278" s="8"/>
      <c r="J278" s="8"/>
      <c r="K278" s="8"/>
      <c r="L278" s="8"/>
      <c r="M278" s="8"/>
    </row>
    <row r="279" spans="1:13">
      <c r="A279" s="71" t="s">
        <v>3859</v>
      </c>
      <c r="B279" s="67">
        <v>30096895861</v>
      </c>
      <c r="C279" s="72"/>
      <c r="D279" s="69"/>
      <c r="E279" s="9"/>
      <c r="F279" s="25"/>
      <c r="G279" s="70"/>
      <c r="H279" s="70"/>
      <c r="I279" s="8"/>
      <c r="J279" s="8"/>
      <c r="K279" s="8"/>
      <c r="L279" s="8"/>
      <c r="M279" s="8"/>
    </row>
    <row r="280" spans="1:13">
      <c r="A280" s="14" t="s">
        <v>3860</v>
      </c>
      <c r="B280" s="67">
        <v>85580368887</v>
      </c>
      <c r="C280" s="72"/>
      <c r="D280" s="69"/>
      <c r="E280" s="9">
        <v>262</v>
      </c>
      <c r="F280" s="25">
        <v>43160</v>
      </c>
      <c r="G280" s="70" t="s">
        <v>3356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72" t="s">
        <v>3861</v>
      </c>
      <c r="B281" s="67">
        <v>5261128838</v>
      </c>
      <c r="C281" s="72" t="s">
        <v>3862</v>
      </c>
      <c r="D281" s="69">
        <v>10082825882</v>
      </c>
      <c r="E281" s="9"/>
      <c r="F281" s="25"/>
      <c r="G281" s="70"/>
      <c r="H281" s="70"/>
      <c r="I281" s="8"/>
      <c r="J281" s="8"/>
      <c r="K281" s="8"/>
      <c r="L281" s="8"/>
      <c r="M281" s="8"/>
    </row>
    <row r="282" spans="1:13">
      <c r="A282" s="29" t="s">
        <v>3863</v>
      </c>
      <c r="B282" s="67">
        <v>69929696334</v>
      </c>
      <c r="C282" s="18"/>
      <c r="D282" s="69"/>
      <c r="E282" s="9"/>
      <c r="F282" s="25"/>
      <c r="G282" s="70"/>
      <c r="H282" s="70"/>
      <c r="I282" s="8"/>
      <c r="J282" s="8"/>
      <c r="K282" s="8"/>
      <c r="L282" s="8"/>
      <c r="M282" s="8"/>
    </row>
    <row r="283" spans="1:13">
      <c r="A283" s="71" t="s">
        <v>3864</v>
      </c>
      <c r="B283" s="67">
        <v>37793221885</v>
      </c>
      <c r="C283" s="72"/>
      <c r="D283" s="69"/>
      <c r="E283" s="9">
        <v>443</v>
      </c>
      <c r="F283" s="25">
        <v>43188</v>
      </c>
      <c r="G283" s="70"/>
      <c r="H283" s="70"/>
      <c r="I283" s="8"/>
      <c r="J283" s="8"/>
      <c r="K283" s="8"/>
      <c r="L283" s="8"/>
      <c r="M283" s="8"/>
    </row>
    <row r="284" spans="1:13">
      <c r="A284" s="29" t="s">
        <v>3865</v>
      </c>
      <c r="B284" s="67"/>
      <c r="C284" s="29" t="s">
        <v>3466</v>
      </c>
      <c r="D284" s="69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3866</v>
      </c>
      <c r="B285" s="67">
        <v>87671298891</v>
      </c>
      <c r="C285" s="72"/>
      <c r="D285" s="69"/>
      <c r="E285" s="9">
        <v>262</v>
      </c>
      <c r="F285" s="25">
        <v>43160</v>
      </c>
      <c r="G285" s="70" t="s">
        <v>3356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3867</v>
      </c>
      <c r="B286" s="67">
        <v>60787457868</v>
      </c>
      <c r="C286" s="18"/>
      <c r="D286" s="69"/>
      <c r="E286" s="9"/>
      <c r="F286" s="25"/>
      <c r="G286" s="70"/>
      <c r="H286" s="70"/>
      <c r="I286" s="8"/>
      <c r="J286" s="8"/>
      <c r="K286" s="8"/>
      <c r="L286" s="8"/>
      <c r="M286" s="8"/>
    </row>
    <row r="287" spans="1:13">
      <c r="A287" s="71" t="s">
        <v>3868</v>
      </c>
      <c r="B287" s="67">
        <v>49922300320</v>
      </c>
      <c r="C287" s="72"/>
      <c r="D287" s="69"/>
      <c r="E287" s="9">
        <v>1214</v>
      </c>
      <c r="F287" s="25">
        <v>42989</v>
      </c>
      <c r="G287" s="70" t="s">
        <v>3356</v>
      </c>
      <c r="H287" s="70"/>
      <c r="I287" s="8"/>
      <c r="J287" s="8"/>
      <c r="K287" s="8"/>
      <c r="L287" s="8"/>
      <c r="M287" s="8"/>
    </row>
    <row r="288" spans="1:13">
      <c r="A288" s="15" t="s">
        <v>3869</v>
      </c>
      <c r="B288" s="67">
        <v>14647582809</v>
      </c>
      <c r="C288" s="72"/>
      <c r="D288" s="69"/>
      <c r="E288" s="9">
        <v>262</v>
      </c>
      <c r="F288" s="25">
        <v>43160</v>
      </c>
      <c r="G288" s="70" t="s">
        <v>3356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3870</v>
      </c>
      <c r="B289" s="67">
        <v>80117694304</v>
      </c>
      <c r="C289" s="72" t="s">
        <v>3871</v>
      </c>
      <c r="D289" s="69">
        <v>34557265855</v>
      </c>
      <c r="E289" s="9"/>
      <c r="F289" s="25"/>
      <c r="G289" s="70"/>
      <c r="H289" s="70"/>
      <c r="I289" s="8"/>
      <c r="J289" s="8"/>
      <c r="K289" s="8"/>
      <c r="L289" s="8"/>
      <c r="M289" s="8"/>
    </row>
    <row r="290" spans="1:13">
      <c r="A290" s="18" t="s">
        <v>3872</v>
      </c>
      <c r="B290" s="67">
        <v>18531885817</v>
      </c>
      <c r="C290" s="18"/>
      <c r="D290" s="69"/>
      <c r="E290" s="9"/>
      <c r="F290" s="25"/>
      <c r="G290" s="70"/>
      <c r="H290" s="70"/>
      <c r="I290" s="8"/>
      <c r="J290" s="8"/>
      <c r="K290" s="8"/>
      <c r="L290" s="8"/>
      <c r="M290" s="8"/>
    </row>
    <row r="291" spans="1:13">
      <c r="A291" s="71" t="s">
        <v>3873</v>
      </c>
      <c r="B291" s="67">
        <v>29573283808</v>
      </c>
      <c r="C291" s="72"/>
      <c r="D291" s="69"/>
      <c r="E291" s="9"/>
      <c r="F291" s="25"/>
      <c r="G291" s="70"/>
      <c r="H291" s="70"/>
      <c r="I291" s="8"/>
      <c r="J291" s="8"/>
      <c r="K291" s="8"/>
      <c r="L291" s="8"/>
      <c r="M291" s="8"/>
    </row>
    <row r="292" spans="1:13">
      <c r="A292" s="15" t="s">
        <v>3874</v>
      </c>
      <c r="B292" s="67">
        <v>69227608320</v>
      </c>
      <c r="C292" s="72"/>
      <c r="D292" s="69"/>
      <c r="E292" s="9"/>
      <c r="F292" s="25"/>
      <c r="G292" s="70"/>
      <c r="H292" s="70"/>
      <c r="I292" s="8"/>
      <c r="J292" s="8"/>
      <c r="K292" s="8"/>
      <c r="L292" s="8"/>
      <c r="M292" s="8"/>
    </row>
    <row r="293" spans="1:13">
      <c r="A293" s="71" t="s">
        <v>3875</v>
      </c>
      <c r="B293" s="67">
        <v>78169712734</v>
      </c>
      <c r="C293" s="8"/>
      <c r="D293" s="21"/>
      <c r="E293" s="9"/>
      <c r="F293" s="25"/>
      <c r="G293" s="70"/>
      <c r="H293" s="70"/>
      <c r="I293" s="8"/>
      <c r="J293" s="8"/>
      <c r="K293" s="8"/>
      <c r="L293" s="8"/>
      <c r="M293" s="8"/>
    </row>
    <row r="294" spans="1:13">
      <c r="A294" s="71" t="s">
        <v>3876</v>
      </c>
      <c r="B294" s="67">
        <v>24560747857</v>
      </c>
      <c r="C294" s="72"/>
      <c r="D294" s="69"/>
      <c r="E294" s="9">
        <v>1106</v>
      </c>
      <c r="F294" s="25">
        <v>42965</v>
      </c>
      <c r="G294" s="70" t="s">
        <v>3356</v>
      </c>
      <c r="H294" s="70"/>
      <c r="I294" s="8"/>
      <c r="J294" s="8"/>
      <c r="K294" s="8"/>
      <c r="L294" s="8"/>
      <c r="M294" s="8"/>
    </row>
    <row r="295" spans="1:13">
      <c r="A295" s="71" t="s">
        <v>3877</v>
      </c>
      <c r="B295" s="67">
        <v>27654676840</v>
      </c>
      <c r="C295" s="72"/>
      <c r="D295" s="69"/>
      <c r="E295" s="9">
        <v>292</v>
      </c>
      <c r="F295" s="25">
        <v>43168</v>
      </c>
      <c r="G295" s="9" t="s">
        <v>3356</v>
      </c>
      <c r="H295" s="9"/>
      <c r="I295" s="8"/>
      <c r="J295" s="8"/>
      <c r="K295" s="8"/>
      <c r="L295" s="9">
        <v>318</v>
      </c>
      <c r="M295" s="8"/>
    </row>
    <row r="296" spans="1:13">
      <c r="A296" s="71" t="s">
        <v>3878</v>
      </c>
      <c r="B296" s="67">
        <v>34227913888</v>
      </c>
      <c r="C296" s="72" t="s">
        <v>3879</v>
      </c>
      <c r="D296" s="69">
        <v>22306586896</v>
      </c>
      <c r="E296" s="9">
        <v>1214</v>
      </c>
      <c r="F296" s="25">
        <v>42989</v>
      </c>
      <c r="G296" s="70" t="s">
        <v>3356</v>
      </c>
      <c r="H296" s="70"/>
      <c r="I296" s="8"/>
      <c r="J296" s="8"/>
      <c r="K296" s="8"/>
      <c r="L296" s="8"/>
      <c r="M296" s="8"/>
    </row>
    <row r="297" spans="1:13">
      <c r="A297" s="71" t="s">
        <v>3880</v>
      </c>
      <c r="B297" s="67">
        <v>37708718805</v>
      </c>
      <c r="C297" s="72"/>
      <c r="D297" s="69"/>
      <c r="E297" s="9">
        <v>292</v>
      </c>
      <c r="F297" s="25">
        <v>43168</v>
      </c>
      <c r="G297" s="70" t="s">
        <v>3356</v>
      </c>
      <c r="H297" s="70"/>
      <c r="I297" s="8"/>
      <c r="J297" s="8"/>
      <c r="K297" s="8"/>
      <c r="L297" s="9">
        <v>318</v>
      </c>
      <c r="M297" s="8"/>
    </row>
    <row r="298" spans="1:13">
      <c r="A298" s="71" t="s">
        <v>3881</v>
      </c>
      <c r="B298" s="67">
        <v>32409041876</v>
      </c>
      <c r="C298" s="72"/>
      <c r="D298" s="69"/>
      <c r="E298" s="9">
        <v>1824</v>
      </c>
      <c r="F298" s="25">
        <v>43091</v>
      </c>
      <c r="G298" s="70" t="s">
        <v>3362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3882</v>
      </c>
      <c r="B299" s="67">
        <v>33547844827</v>
      </c>
      <c r="C299" s="72" t="s">
        <v>3883</v>
      </c>
      <c r="D299" s="69">
        <v>4930259444</v>
      </c>
      <c r="E299" s="9"/>
      <c r="F299" s="25"/>
      <c r="G299" s="70"/>
      <c r="H299" s="9"/>
      <c r="I299" s="8"/>
      <c r="J299" s="8"/>
      <c r="K299" s="8"/>
      <c r="L299" s="8"/>
      <c r="M299" s="8"/>
    </row>
    <row r="300" spans="1:13">
      <c r="A300" s="29" t="s">
        <v>3884</v>
      </c>
      <c r="B300" s="67"/>
      <c r="C300" s="18" t="s">
        <v>3466</v>
      </c>
      <c r="D300" s="69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3885</v>
      </c>
      <c r="B301" s="67">
        <v>5212801842</v>
      </c>
      <c r="C301" s="72" t="s">
        <v>3886</v>
      </c>
      <c r="D301" s="69">
        <v>7101207880</v>
      </c>
      <c r="E301" s="9">
        <v>262</v>
      </c>
      <c r="F301" s="25">
        <v>43160</v>
      </c>
      <c r="G301" s="70" t="s">
        <v>3356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71" t="s">
        <v>3887</v>
      </c>
      <c r="B302" s="67">
        <v>33053326892</v>
      </c>
      <c r="C302" s="72"/>
      <c r="D302" s="69"/>
      <c r="E302" s="9">
        <v>810</v>
      </c>
      <c r="F302" s="25">
        <v>42915</v>
      </c>
      <c r="G302" s="70" t="s">
        <v>3356</v>
      </c>
      <c r="H302" s="9"/>
      <c r="I302" s="8"/>
      <c r="J302" s="8"/>
      <c r="K302" s="8"/>
      <c r="L302" s="9" t="s">
        <v>3475</v>
      </c>
      <c r="M302" s="8"/>
    </row>
    <row r="303" spans="1:13">
      <c r="A303" s="71" t="s">
        <v>3888</v>
      </c>
      <c r="B303" s="67">
        <v>32259369871</v>
      </c>
      <c r="C303" s="72"/>
      <c r="D303" s="69"/>
      <c r="E303" s="9">
        <v>1106</v>
      </c>
      <c r="F303" s="25">
        <v>42965</v>
      </c>
      <c r="G303" s="70" t="s">
        <v>3356</v>
      </c>
      <c r="H303" s="9"/>
      <c r="I303" s="8"/>
      <c r="J303" s="8"/>
      <c r="K303" s="8"/>
      <c r="L303" s="8"/>
      <c r="M303" s="8"/>
    </row>
    <row r="304" spans="1:13">
      <c r="A304" s="29" t="s">
        <v>3889</v>
      </c>
      <c r="B304" s="67"/>
      <c r="C304" s="29" t="s">
        <v>3890</v>
      </c>
      <c r="D304" s="69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3891</v>
      </c>
      <c r="B305" s="67">
        <v>34427647855</v>
      </c>
      <c r="C305" s="68"/>
      <c r="D305" s="69"/>
      <c r="E305" s="9">
        <v>1128</v>
      </c>
      <c r="F305" s="25">
        <v>42972</v>
      </c>
      <c r="G305" s="70" t="s">
        <v>3356</v>
      </c>
      <c r="H305" s="9"/>
      <c r="I305" s="8"/>
      <c r="J305" s="8"/>
      <c r="K305" s="8"/>
      <c r="L305" s="8"/>
      <c r="M305" s="8"/>
    </row>
    <row r="306" spans="1:13">
      <c r="A306" s="29" t="s">
        <v>3892</v>
      </c>
      <c r="B306" s="67">
        <v>43257974833</v>
      </c>
      <c r="C306" s="18" t="s">
        <v>3466</v>
      </c>
      <c r="D306" s="69"/>
      <c r="E306" s="9"/>
      <c r="F306" s="25"/>
      <c r="G306" s="70"/>
      <c r="H306" s="9"/>
      <c r="I306" s="8"/>
      <c r="J306" s="8"/>
      <c r="K306" s="8"/>
      <c r="L306" s="8"/>
      <c r="M306" s="8"/>
    </row>
    <row r="307" spans="1:13">
      <c r="A307" s="71" t="s">
        <v>3893</v>
      </c>
      <c r="B307" s="67">
        <v>41704970822</v>
      </c>
      <c r="C307" s="72"/>
      <c r="D307" s="69"/>
      <c r="E307" s="9">
        <v>1350</v>
      </c>
      <c r="F307" s="25">
        <v>43006</v>
      </c>
      <c r="G307" s="70" t="s">
        <v>3356</v>
      </c>
      <c r="H307" s="9"/>
      <c r="I307" s="8"/>
      <c r="J307" s="8"/>
      <c r="K307" s="8"/>
      <c r="L307" s="8"/>
      <c r="M307" s="8"/>
    </row>
    <row r="308" spans="1:13">
      <c r="A308" s="71" t="s">
        <v>3894</v>
      </c>
      <c r="B308" s="67">
        <v>43593261812</v>
      </c>
      <c r="C308" s="72"/>
      <c r="D308" s="69"/>
      <c r="E308" s="9"/>
      <c r="F308" s="25"/>
      <c r="G308" s="70"/>
      <c r="H308" s="9"/>
      <c r="I308" s="8"/>
      <c r="J308" s="8"/>
      <c r="K308" s="8"/>
      <c r="L308" s="8"/>
      <c r="M308" s="8"/>
    </row>
    <row r="309" spans="1:13">
      <c r="A309" s="71" t="s">
        <v>3895</v>
      </c>
      <c r="B309" s="67">
        <v>77718690504</v>
      </c>
      <c r="C309" s="72"/>
      <c r="D309" s="69"/>
      <c r="E309" s="9">
        <v>810</v>
      </c>
      <c r="F309" s="25">
        <v>42915</v>
      </c>
      <c r="G309" s="70" t="s">
        <v>3356</v>
      </c>
      <c r="H309" s="9"/>
      <c r="I309" s="8"/>
      <c r="J309" s="8"/>
      <c r="K309" s="8"/>
      <c r="L309" s="9" t="s">
        <v>3475</v>
      </c>
      <c r="M309" s="8"/>
    </row>
    <row r="310" spans="1:13">
      <c r="A310" s="13" t="s">
        <v>3896</v>
      </c>
      <c r="B310" s="67">
        <v>29377700884</v>
      </c>
      <c r="C310" s="68"/>
      <c r="D310" s="69"/>
      <c r="E310" s="9">
        <v>1128</v>
      </c>
      <c r="F310" s="25">
        <v>42972</v>
      </c>
      <c r="G310" s="70" t="s">
        <v>3356</v>
      </c>
      <c r="H310" s="9"/>
      <c r="I310" s="8"/>
      <c r="J310" s="8"/>
      <c r="K310" s="8"/>
      <c r="L310" s="8"/>
      <c r="M310" s="8"/>
    </row>
    <row r="311" spans="1:13">
      <c r="A311" s="72" t="s">
        <v>3897</v>
      </c>
      <c r="B311" s="67">
        <v>38492510803</v>
      </c>
      <c r="C311" s="72"/>
      <c r="D311" s="69"/>
      <c r="E311" s="9">
        <v>1489</v>
      </c>
      <c r="F311" s="25">
        <v>43038</v>
      </c>
      <c r="G311" s="70" t="s">
        <v>3356</v>
      </c>
      <c r="H311" s="9"/>
      <c r="I311" s="8"/>
      <c r="J311" s="8"/>
      <c r="K311" s="8"/>
      <c r="L311" s="9" t="s">
        <v>3497</v>
      </c>
      <c r="M311" s="8"/>
    </row>
    <row r="312" spans="1:13">
      <c r="A312" s="18" t="s">
        <v>3898</v>
      </c>
      <c r="B312" s="67">
        <v>13018186826</v>
      </c>
      <c r="C312" s="18"/>
      <c r="D312" s="69"/>
      <c r="E312" s="9"/>
      <c r="F312" s="25"/>
      <c r="G312" s="70"/>
      <c r="H312" s="9"/>
      <c r="I312" s="8"/>
      <c r="J312" s="8"/>
      <c r="K312" s="8"/>
      <c r="L312" s="8"/>
      <c r="M312" s="8"/>
    </row>
    <row r="313" spans="1:13">
      <c r="A313" s="13" t="s">
        <v>3899</v>
      </c>
      <c r="B313" s="67">
        <v>32382040840</v>
      </c>
      <c r="C313" s="72"/>
      <c r="D313" s="69"/>
      <c r="E313" s="9">
        <v>1350</v>
      </c>
      <c r="F313" s="25">
        <v>43006</v>
      </c>
      <c r="G313" s="70" t="s">
        <v>3356</v>
      </c>
      <c r="H313" s="9"/>
      <c r="I313" s="8"/>
      <c r="J313" s="8"/>
      <c r="K313" s="8"/>
      <c r="L313" s="8"/>
      <c r="M313" s="8"/>
    </row>
    <row r="314" spans="1:13">
      <c r="A314" s="15" t="s">
        <v>3900</v>
      </c>
      <c r="B314" s="67">
        <v>56647751300</v>
      </c>
      <c r="C314" s="72" t="s">
        <v>3901</v>
      </c>
      <c r="D314" s="69">
        <v>31891324888</v>
      </c>
      <c r="E314" s="9"/>
      <c r="F314" s="25"/>
      <c r="G314" s="70"/>
      <c r="H314" s="9"/>
      <c r="I314" s="8"/>
      <c r="J314" s="8"/>
      <c r="K314" s="8"/>
      <c r="L314" s="8"/>
      <c r="M314" s="8"/>
    </row>
    <row r="315" spans="1:13">
      <c r="A315" s="71" t="s">
        <v>3902</v>
      </c>
      <c r="B315" s="67">
        <v>8805153842</v>
      </c>
      <c r="C315" s="72"/>
      <c r="D315" s="69"/>
      <c r="E315" s="9">
        <v>1489</v>
      </c>
      <c r="F315" s="25">
        <v>43038</v>
      </c>
      <c r="G315" s="70" t="s">
        <v>3356</v>
      </c>
      <c r="H315" s="9"/>
      <c r="I315" s="8"/>
      <c r="J315" s="8"/>
      <c r="K315" s="8"/>
      <c r="L315" s="9" t="s">
        <v>3497</v>
      </c>
      <c r="M315" s="8"/>
    </row>
    <row r="316" spans="1:13">
      <c r="A316" s="71" t="s">
        <v>3903</v>
      </c>
      <c r="B316" s="67">
        <v>62310925500</v>
      </c>
      <c r="C316" s="72"/>
      <c r="D316" s="69"/>
      <c r="E316" s="9"/>
      <c r="F316" s="25"/>
      <c r="G316" s="70"/>
      <c r="H316" s="9"/>
      <c r="I316" s="8"/>
      <c r="J316" s="8"/>
      <c r="K316" s="8"/>
      <c r="L316" s="8"/>
      <c r="M316" s="8"/>
    </row>
    <row r="317" spans="1:13">
      <c r="A317" s="71" t="s">
        <v>3904</v>
      </c>
      <c r="B317" s="67">
        <v>49391283500</v>
      </c>
      <c r="C317" s="72"/>
      <c r="D317" s="69"/>
      <c r="E317" s="9">
        <v>1824</v>
      </c>
      <c r="F317" s="25">
        <v>43091</v>
      </c>
      <c r="G317" s="70" t="s">
        <v>3356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3905</v>
      </c>
      <c r="B318" s="67">
        <v>42049249802</v>
      </c>
      <c r="C318" s="72" t="s">
        <v>3906</v>
      </c>
      <c r="D318" s="69">
        <v>22669338844</v>
      </c>
      <c r="E318" s="9">
        <v>1267</v>
      </c>
      <c r="F318" s="25">
        <v>42998</v>
      </c>
      <c r="G318" s="70" t="s">
        <v>3356</v>
      </c>
      <c r="H318" s="9"/>
      <c r="I318" s="8"/>
      <c r="J318" s="8"/>
      <c r="K318" s="8"/>
      <c r="L318" s="8"/>
      <c r="M318" s="8"/>
    </row>
    <row r="319" spans="1:13">
      <c r="A319" s="71" t="s">
        <v>3907</v>
      </c>
      <c r="B319" s="67">
        <v>22127558804</v>
      </c>
      <c r="C319" s="72"/>
      <c r="D319" s="69"/>
      <c r="E319" s="9">
        <v>608</v>
      </c>
      <c r="F319" s="25">
        <v>43012</v>
      </c>
      <c r="G319" s="70" t="s">
        <v>3356</v>
      </c>
      <c r="H319" s="9"/>
      <c r="I319" s="8"/>
      <c r="J319" s="8"/>
      <c r="K319" s="8"/>
      <c r="L319" s="8"/>
      <c r="M319" s="8"/>
    </row>
    <row r="320" spans="1:13">
      <c r="A320" s="14" t="s">
        <v>3908</v>
      </c>
      <c r="B320" s="67">
        <v>1863847502</v>
      </c>
      <c r="C320" s="72" t="s">
        <v>3909</v>
      </c>
      <c r="D320" s="69">
        <v>1636882579</v>
      </c>
      <c r="E320" s="9">
        <v>292</v>
      </c>
      <c r="F320" s="25">
        <v>43168</v>
      </c>
      <c r="G320" s="70" t="s">
        <v>3356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3910</v>
      </c>
      <c r="B321" s="67">
        <v>24759459820</v>
      </c>
      <c r="C321" s="18" t="s">
        <v>3911</v>
      </c>
      <c r="D321" s="69">
        <v>6107032851</v>
      </c>
      <c r="E321" s="9"/>
      <c r="F321" s="25"/>
      <c r="G321" s="70"/>
      <c r="H321" s="9"/>
      <c r="I321" s="8"/>
      <c r="J321" s="8"/>
      <c r="K321" s="8"/>
      <c r="L321" s="8"/>
      <c r="M321" s="8"/>
    </row>
    <row r="322" spans="1:13">
      <c r="A322" s="71" t="s">
        <v>3912</v>
      </c>
      <c r="B322" s="67">
        <v>67332404591</v>
      </c>
      <c r="C322" s="72"/>
      <c r="D322" s="69"/>
      <c r="E322" s="9">
        <v>1555</v>
      </c>
      <c r="F322" s="25">
        <v>43049</v>
      </c>
      <c r="G322" s="70" t="s">
        <v>3356</v>
      </c>
      <c r="H322" s="9"/>
      <c r="I322" s="8"/>
      <c r="J322" s="8"/>
      <c r="K322" s="8"/>
      <c r="L322" s="9" t="s">
        <v>3735</v>
      </c>
      <c r="M322" s="8"/>
    </row>
    <row r="323" spans="1:13">
      <c r="A323" s="29" t="s">
        <v>3913</v>
      </c>
      <c r="B323" s="67"/>
      <c r="C323" s="18" t="s">
        <v>3466</v>
      </c>
      <c r="D323" s="69"/>
      <c r="E323" s="9"/>
      <c r="F323" s="25"/>
      <c r="G323" s="70"/>
      <c r="H323" s="9"/>
      <c r="I323" s="8"/>
      <c r="J323" s="8"/>
      <c r="K323" s="8"/>
      <c r="L323" s="8"/>
      <c r="M323" s="8"/>
    </row>
    <row r="324" spans="1:13">
      <c r="A324" s="13" t="s">
        <v>3914</v>
      </c>
      <c r="B324" s="67">
        <v>82789193487</v>
      </c>
      <c r="C324" s="68"/>
      <c r="D324" s="69"/>
      <c r="E324" s="9">
        <v>1241</v>
      </c>
      <c r="F324" s="25">
        <v>42992</v>
      </c>
      <c r="G324" s="70" t="s">
        <v>3356</v>
      </c>
      <c r="H324" s="9"/>
      <c r="I324" s="8"/>
      <c r="J324" s="8"/>
      <c r="K324" s="8"/>
      <c r="L324" s="8"/>
      <c r="M324" s="8"/>
    </row>
    <row r="325" spans="1:13">
      <c r="A325" s="71" t="s">
        <v>3915</v>
      </c>
      <c r="B325" s="67">
        <v>5946203734</v>
      </c>
      <c r="C325" s="73"/>
      <c r="D325" s="69"/>
      <c r="E325" s="9"/>
      <c r="F325" s="25"/>
      <c r="G325" s="70"/>
      <c r="H325" s="9"/>
      <c r="I325" s="8"/>
      <c r="J325" s="8"/>
      <c r="K325" s="8"/>
      <c r="L325" s="8"/>
      <c r="M325" s="8"/>
    </row>
    <row r="326" spans="1:13">
      <c r="A326" s="71" t="s">
        <v>3916</v>
      </c>
      <c r="B326" s="67">
        <v>21563505827</v>
      </c>
      <c r="C326" s="72"/>
      <c r="D326" s="69"/>
      <c r="E326" s="9">
        <v>292</v>
      </c>
      <c r="F326" s="25">
        <v>43168</v>
      </c>
      <c r="G326" s="9" t="s">
        <v>3356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3917</v>
      </c>
      <c r="B327" s="67">
        <v>9004484825</v>
      </c>
      <c r="C327" s="72"/>
      <c r="D327" s="69"/>
      <c r="E327" s="9"/>
      <c r="F327" s="25"/>
      <c r="G327" s="70"/>
      <c r="H327" s="9"/>
      <c r="I327" s="8"/>
      <c r="J327" s="8"/>
      <c r="K327" s="8"/>
      <c r="L327" s="8"/>
      <c r="M327" s="8"/>
    </row>
    <row r="328" spans="1:13">
      <c r="A328" s="15" t="s">
        <v>3918</v>
      </c>
      <c r="B328" s="67">
        <v>9744508477</v>
      </c>
      <c r="C328" s="72"/>
      <c r="D328" s="69"/>
      <c r="E328" s="9">
        <v>573</v>
      </c>
      <c r="F328" s="25">
        <v>43224</v>
      </c>
      <c r="G328" s="70"/>
      <c r="H328" s="9"/>
      <c r="I328" s="8"/>
      <c r="J328" s="8"/>
      <c r="K328" s="8"/>
      <c r="L328" s="8"/>
      <c r="M328" s="8"/>
    </row>
    <row r="329" spans="1:13">
      <c r="A329" s="71" t="s">
        <v>3919</v>
      </c>
      <c r="B329" s="67">
        <v>46287051515</v>
      </c>
      <c r="C329" s="72"/>
      <c r="D329" s="69"/>
      <c r="E329" s="9">
        <v>1106</v>
      </c>
      <c r="F329" s="25">
        <v>42965</v>
      </c>
      <c r="G329" s="70" t="s">
        <v>3356</v>
      </c>
      <c r="H329" s="9"/>
      <c r="I329" s="8"/>
      <c r="J329" s="8"/>
      <c r="K329" s="8"/>
      <c r="L329" s="8"/>
      <c r="M329" s="8"/>
    </row>
    <row r="330" spans="1:13">
      <c r="A330" s="71" t="s">
        <v>3920</v>
      </c>
      <c r="B330" s="67">
        <v>3584881846</v>
      </c>
      <c r="C330" s="72"/>
      <c r="D330" s="69"/>
      <c r="E330" s="9">
        <v>292</v>
      </c>
      <c r="F330" s="25">
        <v>43168</v>
      </c>
      <c r="G330" s="70" t="s">
        <v>3356</v>
      </c>
      <c r="H330" s="9"/>
      <c r="I330" s="8"/>
      <c r="J330" s="8"/>
      <c r="K330" s="8"/>
      <c r="L330" s="9">
        <v>318</v>
      </c>
      <c r="M330" s="8"/>
    </row>
    <row r="331" spans="1:13">
      <c r="A331" s="30" t="s">
        <v>3921</v>
      </c>
      <c r="B331" s="67">
        <v>47964283804</v>
      </c>
      <c r="C331" s="72"/>
      <c r="D331" s="69"/>
      <c r="E331" s="9">
        <v>1350</v>
      </c>
      <c r="F331" s="25">
        <v>43006</v>
      </c>
      <c r="G331" s="70" t="s">
        <v>3356</v>
      </c>
      <c r="H331" s="9"/>
      <c r="I331" s="8"/>
      <c r="J331" s="8"/>
      <c r="K331" s="8"/>
      <c r="L331" s="8"/>
      <c r="M331" s="8"/>
    </row>
    <row r="332" spans="1:13">
      <c r="A332" s="71" t="s">
        <v>3922</v>
      </c>
      <c r="B332" s="67">
        <v>43830821816</v>
      </c>
      <c r="C332" s="72" t="s">
        <v>3923</v>
      </c>
      <c r="D332" s="69">
        <v>6074977429</v>
      </c>
      <c r="E332" s="9">
        <v>443</v>
      </c>
      <c r="F332" s="25">
        <v>43188</v>
      </c>
      <c r="G332" s="70"/>
      <c r="H332" s="9"/>
      <c r="I332" s="8"/>
      <c r="J332" s="8"/>
      <c r="K332" s="8"/>
      <c r="L332" s="8"/>
      <c r="M332" s="8"/>
    </row>
    <row r="333" spans="1:13">
      <c r="A333" s="15" t="s">
        <v>3924</v>
      </c>
      <c r="B333" s="67">
        <v>37696346830</v>
      </c>
      <c r="C333" s="72"/>
      <c r="D333" s="69"/>
      <c r="E333" s="9">
        <v>85</v>
      </c>
      <c r="F333" s="25">
        <v>43109</v>
      </c>
      <c r="G333" s="70" t="s">
        <v>3370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3925</v>
      </c>
      <c r="B334" s="67">
        <v>37645683805</v>
      </c>
      <c r="C334" s="68"/>
      <c r="D334" s="69"/>
      <c r="E334" s="9"/>
      <c r="F334" s="25"/>
      <c r="G334" s="70"/>
      <c r="H334" s="9"/>
      <c r="I334" s="8"/>
      <c r="J334" s="8"/>
      <c r="K334" s="8"/>
      <c r="L334" s="8"/>
      <c r="M334" s="8"/>
    </row>
    <row r="335" spans="1:13">
      <c r="A335" s="71" t="s">
        <v>3926</v>
      </c>
      <c r="B335" s="67">
        <v>26501719879</v>
      </c>
      <c r="C335" s="75" t="s">
        <v>3927</v>
      </c>
      <c r="D335" s="69">
        <v>26502973876</v>
      </c>
      <c r="E335" s="9">
        <v>1106</v>
      </c>
      <c r="F335" s="25">
        <v>42965</v>
      </c>
      <c r="G335" s="70" t="s">
        <v>3356</v>
      </c>
      <c r="H335" s="9"/>
      <c r="I335" s="8"/>
      <c r="J335" s="8"/>
      <c r="K335" s="8"/>
      <c r="L335" s="8"/>
      <c r="M335" s="8"/>
    </row>
    <row r="336" spans="1:13">
      <c r="A336" s="13" t="s">
        <v>3928</v>
      </c>
      <c r="B336" s="67">
        <v>38869624587</v>
      </c>
      <c r="C336" s="68"/>
      <c r="D336" s="69"/>
      <c r="E336" s="9">
        <v>1214</v>
      </c>
      <c r="F336" s="25">
        <v>42989</v>
      </c>
      <c r="G336" s="70" t="s">
        <v>3356</v>
      </c>
      <c r="H336" s="9"/>
      <c r="I336" s="8"/>
      <c r="J336" s="8"/>
      <c r="K336" s="8"/>
      <c r="L336" s="8"/>
      <c r="M336" s="8"/>
    </row>
    <row r="337" spans="1:13">
      <c r="A337" s="14" t="s">
        <v>3929</v>
      </c>
      <c r="B337" s="67">
        <v>18311318549</v>
      </c>
      <c r="C337" s="72"/>
      <c r="D337" s="69"/>
      <c r="E337" s="9"/>
      <c r="F337" s="25"/>
      <c r="G337" s="70"/>
      <c r="H337" s="9"/>
      <c r="I337" s="8"/>
      <c r="J337" s="8"/>
      <c r="K337" s="8"/>
      <c r="L337" s="8"/>
      <c r="M337" s="8"/>
    </row>
    <row r="338" spans="1:13">
      <c r="A338" s="71" t="s">
        <v>3930</v>
      </c>
      <c r="B338" s="67">
        <v>88407004472</v>
      </c>
      <c r="C338" s="72"/>
      <c r="D338" s="69"/>
      <c r="E338" s="9">
        <v>1214</v>
      </c>
      <c r="F338" s="25">
        <v>42989</v>
      </c>
      <c r="G338" s="70" t="s">
        <v>3356</v>
      </c>
      <c r="H338" s="9"/>
      <c r="I338" s="8"/>
      <c r="J338" s="8"/>
      <c r="K338" s="8"/>
      <c r="L338" s="8"/>
      <c r="M338" s="8"/>
    </row>
    <row r="339" spans="1:13">
      <c r="A339" s="71" t="s">
        <v>3931</v>
      </c>
      <c r="B339" s="67">
        <v>12523530813</v>
      </c>
      <c r="C339" s="72"/>
      <c r="D339" s="69"/>
      <c r="E339" s="9"/>
      <c r="F339" s="25"/>
      <c r="G339" s="70"/>
      <c r="H339" s="9"/>
      <c r="I339" s="8"/>
      <c r="J339" s="8"/>
      <c r="K339" s="8"/>
      <c r="L339" s="8"/>
      <c r="M339" s="8"/>
    </row>
    <row r="340" spans="1:13">
      <c r="A340" s="71" t="s">
        <v>3932</v>
      </c>
      <c r="B340" s="67">
        <v>17509878802</v>
      </c>
      <c r="C340" s="72"/>
      <c r="D340" s="69"/>
      <c r="E340" s="9"/>
      <c r="F340" s="25"/>
      <c r="G340" s="70"/>
      <c r="H340" s="9"/>
      <c r="I340" s="8"/>
      <c r="J340" s="8"/>
      <c r="K340" s="8"/>
      <c r="L340" s="8"/>
      <c r="M340" s="8"/>
    </row>
    <row r="341" spans="1:13">
      <c r="A341" s="71" t="s">
        <v>3933</v>
      </c>
      <c r="B341" s="67">
        <v>33603802829</v>
      </c>
      <c r="C341" s="72" t="s">
        <v>3934</v>
      </c>
      <c r="D341" s="69">
        <v>26302620813</v>
      </c>
      <c r="E341" s="9">
        <v>1262</v>
      </c>
      <c r="F341" s="25">
        <v>42997</v>
      </c>
      <c r="G341" s="70" t="s">
        <v>3356</v>
      </c>
      <c r="H341" s="9"/>
      <c r="I341" s="8"/>
      <c r="J341" s="8"/>
      <c r="K341" s="8"/>
      <c r="L341" s="8"/>
      <c r="M341" s="8"/>
    </row>
    <row r="342" spans="1:13">
      <c r="A342" s="13" t="s">
        <v>3935</v>
      </c>
      <c r="B342" s="67">
        <v>23802013824</v>
      </c>
      <c r="C342" s="72" t="s">
        <v>3936</v>
      </c>
      <c r="D342" s="69">
        <v>23099249890</v>
      </c>
      <c r="E342" s="9">
        <v>1489</v>
      </c>
      <c r="F342" s="25">
        <v>43038</v>
      </c>
      <c r="G342" s="70" t="s">
        <v>3356</v>
      </c>
      <c r="H342" s="9"/>
      <c r="I342" s="8"/>
      <c r="J342" s="8"/>
      <c r="K342" s="8"/>
      <c r="L342" s="9" t="s">
        <v>3497</v>
      </c>
      <c r="M342" s="8"/>
    </row>
    <row r="343" spans="1:13">
      <c r="A343" s="71" t="s">
        <v>3937</v>
      </c>
      <c r="B343" s="67">
        <v>37189059814</v>
      </c>
      <c r="C343" s="77"/>
      <c r="D343" s="69"/>
      <c r="E343" s="9"/>
      <c r="F343" s="25"/>
      <c r="G343" s="70"/>
      <c r="H343" s="9"/>
      <c r="I343" s="8"/>
      <c r="J343" s="8"/>
      <c r="K343" s="8"/>
      <c r="L343" s="8"/>
      <c r="M343" s="8"/>
    </row>
    <row r="344" spans="1:13">
      <c r="A344" s="71" t="s">
        <v>3938</v>
      </c>
      <c r="B344" s="67">
        <v>39348497847</v>
      </c>
      <c r="C344" s="72" t="s">
        <v>3939</v>
      </c>
      <c r="D344" s="69">
        <v>42681401828</v>
      </c>
      <c r="E344" s="9"/>
      <c r="F344" s="25"/>
      <c r="G344" s="70"/>
      <c r="H344" s="9"/>
      <c r="I344" s="8"/>
      <c r="J344" s="8"/>
      <c r="K344" s="8"/>
      <c r="L344" s="8"/>
      <c r="M344" s="8"/>
    </row>
    <row r="345" spans="1:13">
      <c r="A345" s="72" t="s">
        <v>3940</v>
      </c>
      <c r="B345" s="67">
        <v>35976924867</v>
      </c>
      <c r="C345" s="72"/>
      <c r="D345" s="69"/>
      <c r="E345" s="9">
        <v>1489</v>
      </c>
      <c r="F345" s="25">
        <v>43038</v>
      </c>
      <c r="G345" s="70" t="s">
        <v>3356</v>
      </c>
      <c r="H345" s="9"/>
      <c r="I345" s="8"/>
      <c r="J345" s="8"/>
      <c r="K345" s="8"/>
      <c r="L345" s="9" t="s">
        <v>3497</v>
      </c>
      <c r="M345" s="8"/>
    </row>
    <row r="346" spans="1:13">
      <c r="A346" s="71" t="s">
        <v>3941</v>
      </c>
      <c r="B346" s="67">
        <v>46102945832</v>
      </c>
      <c r="C346" s="72" t="s">
        <v>3942</v>
      </c>
      <c r="D346" s="69">
        <v>48110319890</v>
      </c>
      <c r="E346" s="9">
        <v>262</v>
      </c>
      <c r="F346" s="25">
        <v>43160</v>
      </c>
      <c r="G346" s="70" t="s">
        <v>3356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71" t="s">
        <v>3943</v>
      </c>
      <c r="B347" s="67">
        <v>30499987845</v>
      </c>
      <c r="C347" s="72"/>
      <c r="D347" s="69"/>
      <c r="E347" s="9">
        <v>1106</v>
      </c>
      <c r="F347" s="25">
        <v>42965</v>
      </c>
      <c r="G347" s="70" t="s">
        <v>3356</v>
      </c>
      <c r="H347" s="9"/>
      <c r="I347" s="8"/>
      <c r="J347" s="8"/>
      <c r="K347" s="8"/>
      <c r="L347" s="8"/>
      <c r="M347" s="8"/>
    </row>
    <row r="348" spans="1:13">
      <c r="A348" s="71" t="s">
        <v>3944</v>
      </c>
      <c r="B348" s="67">
        <v>94623953572</v>
      </c>
      <c r="C348" s="72"/>
      <c r="D348" s="69"/>
      <c r="E348" s="9"/>
      <c r="F348" s="25"/>
      <c r="G348" s="70"/>
      <c r="H348" s="9"/>
      <c r="I348" s="8"/>
      <c r="J348" s="8"/>
      <c r="K348" s="8"/>
      <c r="L348" s="8"/>
      <c r="M348" s="8"/>
    </row>
    <row r="349" spans="1:13">
      <c r="A349" s="71" t="s">
        <v>3945</v>
      </c>
      <c r="B349" s="67">
        <v>45679496844</v>
      </c>
      <c r="C349" s="72"/>
      <c r="D349" s="69"/>
      <c r="E349" s="9">
        <v>229</v>
      </c>
      <c r="F349" s="25">
        <v>43151</v>
      </c>
      <c r="G349" s="70" t="s">
        <v>3370</v>
      </c>
      <c r="H349" s="9"/>
      <c r="I349" s="8"/>
      <c r="J349" s="8"/>
      <c r="K349" s="8"/>
      <c r="L349" s="9">
        <v>232</v>
      </c>
      <c r="M349" s="8"/>
    </row>
    <row r="350" spans="1:13">
      <c r="A350" s="71" t="s">
        <v>3946</v>
      </c>
      <c r="B350" s="67">
        <v>37396947855</v>
      </c>
      <c r="C350" s="72"/>
      <c r="D350" s="69"/>
      <c r="E350" s="9">
        <v>292</v>
      </c>
      <c r="F350" s="25">
        <v>43168</v>
      </c>
      <c r="G350" s="70" t="s">
        <v>3356</v>
      </c>
      <c r="H350" s="9"/>
      <c r="I350" s="8"/>
      <c r="J350" s="8"/>
      <c r="K350" s="8"/>
      <c r="L350" s="9">
        <v>318</v>
      </c>
      <c r="M350" s="8"/>
    </row>
    <row r="351" spans="1:13">
      <c r="A351" s="72" t="s">
        <v>3947</v>
      </c>
      <c r="B351" s="67">
        <v>46605291859</v>
      </c>
      <c r="C351" s="72"/>
      <c r="D351" s="69"/>
      <c r="E351" s="9"/>
      <c r="F351" s="25"/>
      <c r="G351" s="70"/>
      <c r="H351" s="9"/>
      <c r="I351" s="8"/>
      <c r="J351" s="8"/>
      <c r="K351" s="8"/>
      <c r="L351" s="8"/>
      <c r="M351" s="8"/>
    </row>
    <row r="352" spans="1:13">
      <c r="A352" s="13" t="s">
        <v>3948</v>
      </c>
      <c r="B352" s="67">
        <v>45468863812</v>
      </c>
      <c r="C352" s="72"/>
      <c r="D352" s="69"/>
      <c r="E352" s="9">
        <v>1350</v>
      </c>
      <c r="F352" s="25">
        <v>43006</v>
      </c>
      <c r="G352" s="70" t="s">
        <v>3356</v>
      </c>
      <c r="H352" s="9"/>
      <c r="I352" s="8"/>
      <c r="J352" s="8"/>
      <c r="K352" s="8"/>
      <c r="L352" s="8"/>
      <c r="M352" s="8"/>
    </row>
    <row r="353" spans="1:13">
      <c r="A353" s="13" t="s">
        <v>3949</v>
      </c>
      <c r="B353" s="67">
        <v>23263173863</v>
      </c>
      <c r="C353" s="72"/>
      <c r="D353" s="69"/>
      <c r="E353" s="9">
        <v>1417</v>
      </c>
      <c r="F353" s="25">
        <v>43017</v>
      </c>
      <c r="G353" s="70" t="s">
        <v>3356</v>
      </c>
      <c r="H353" s="9"/>
      <c r="I353" s="8"/>
      <c r="J353" s="8"/>
      <c r="K353" s="8"/>
      <c r="L353" s="9" t="s">
        <v>3590</v>
      </c>
      <c r="M353" s="8"/>
    </row>
    <row r="354" spans="1:13">
      <c r="A354" s="15" t="s">
        <v>3950</v>
      </c>
      <c r="B354" s="67">
        <v>37738978805</v>
      </c>
      <c r="C354" s="15" t="s">
        <v>3951</v>
      </c>
      <c r="D354" s="69">
        <v>47388546820</v>
      </c>
      <c r="E354" s="9"/>
      <c r="F354" s="25"/>
      <c r="G354" s="70"/>
      <c r="H354" s="9"/>
      <c r="I354" s="8"/>
      <c r="J354" s="8"/>
      <c r="K354" s="8"/>
      <c r="L354" s="8"/>
      <c r="M354" s="8"/>
    </row>
    <row r="355" spans="1:13">
      <c r="A355" s="71" t="s">
        <v>3952</v>
      </c>
      <c r="B355" s="67">
        <v>38525803820</v>
      </c>
      <c r="C355" s="72"/>
      <c r="D355" s="69"/>
      <c r="E355" s="9"/>
      <c r="F355" s="25"/>
      <c r="G355" s="70"/>
      <c r="H355" s="9"/>
      <c r="I355" s="8"/>
      <c r="J355" s="8"/>
      <c r="K355" s="8"/>
      <c r="L355" s="8"/>
      <c r="M355" s="8"/>
    </row>
    <row r="356" spans="1:13">
      <c r="A356" s="15" t="s">
        <v>3953</v>
      </c>
      <c r="B356" s="67">
        <v>37004595803</v>
      </c>
      <c r="C356" s="72"/>
      <c r="D356" s="69"/>
      <c r="E356" s="9"/>
      <c r="F356" s="25"/>
      <c r="G356" s="70"/>
      <c r="H356" s="9"/>
      <c r="I356" s="8"/>
      <c r="J356" s="8"/>
      <c r="K356" s="8"/>
      <c r="L356" s="8"/>
      <c r="M356" s="8"/>
    </row>
    <row r="357" spans="1:13">
      <c r="A357" s="14" t="s">
        <v>3954</v>
      </c>
      <c r="B357" s="67">
        <v>37439665813</v>
      </c>
      <c r="C357" s="72" t="s">
        <v>3955</v>
      </c>
      <c r="D357" s="69">
        <v>29005069805</v>
      </c>
      <c r="E357" s="9">
        <v>563</v>
      </c>
      <c r="F357" s="25">
        <v>43217</v>
      </c>
      <c r="G357" s="70"/>
      <c r="H357" s="9"/>
      <c r="I357" s="8"/>
      <c r="J357" s="8"/>
      <c r="K357" s="8"/>
      <c r="L357" s="9" t="s">
        <v>3636</v>
      </c>
      <c r="M357" s="8"/>
    </row>
    <row r="358" spans="1:13">
      <c r="A358" s="15" t="s">
        <v>3956</v>
      </c>
      <c r="B358" s="67">
        <v>4658881519</v>
      </c>
      <c r="C358" s="72"/>
      <c r="D358" s="69"/>
      <c r="E358" s="9"/>
      <c r="F358" s="25"/>
      <c r="G358" s="70"/>
      <c r="H358" s="9"/>
      <c r="I358" s="8"/>
      <c r="J358" s="8"/>
      <c r="K358" s="8"/>
      <c r="L358" s="8"/>
      <c r="M358" s="8"/>
    </row>
    <row r="359" spans="1:13">
      <c r="A359" s="14" t="s">
        <v>3957</v>
      </c>
      <c r="B359" s="67">
        <v>40141684844</v>
      </c>
      <c r="C359" s="72"/>
      <c r="D359" s="69"/>
      <c r="E359" s="9"/>
      <c r="F359" s="25"/>
      <c r="G359" s="70"/>
      <c r="H359" s="9"/>
      <c r="I359" s="8"/>
      <c r="J359" s="8"/>
      <c r="K359" s="8"/>
      <c r="L359" s="8"/>
      <c r="M359" s="8"/>
    </row>
    <row r="360" spans="1:13">
      <c r="A360" s="13" t="s">
        <v>3958</v>
      </c>
      <c r="B360" s="67">
        <v>8882122409</v>
      </c>
      <c r="C360" s="72"/>
      <c r="D360" s="69"/>
      <c r="E360" s="9">
        <v>1439</v>
      </c>
      <c r="F360" s="25">
        <v>43025</v>
      </c>
      <c r="G360" s="70" t="s">
        <v>3356</v>
      </c>
      <c r="H360" s="9"/>
      <c r="I360" s="8"/>
      <c r="J360" s="8"/>
      <c r="K360" s="8"/>
      <c r="L360" s="9" t="s">
        <v>3838</v>
      </c>
      <c r="M360" s="8"/>
    </row>
    <row r="361" spans="1:13">
      <c r="A361" s="15" t="s">
        <v>3959</v>
      </c>
      <c r="B361" s="67">
        <v>45131488885</v>
      </c>
      <c r="C361" s="72"/>
      <c r="D361" s="69"/>
      <c r="E361" s="9"/>
      <c r="F361" s="25"/>
      <c r="G361" s="70"/>
      <c r="H361" s="9"/>
      <c r="I361" s="8"/>
      <c r="J361" s="8"/>
      <c r="K361" s="8"/>
      <c r="L361" s="8"/>
      <c r="M361" s="8"/>
    </row>
    <row r="362" spans="1:13">
      <c r="A362" s="14" t="s">
        <v>3960</v>
      </c>
      <c r="B362" s="67">
        <v>39263170860</v>
      </c>
      <c r="C362" s="72" t="s">
        <v>3961</v>
      </c>
      <c r="D362" s="69">
        <v>40387317821</v>
      </c>
      <c r="E362" s="9"/>
      <c r="F362" s="25"/>
      <c r="G362" s="70"/>
      <c r="H362" s="9"/>
      <c r="I362" s="8"/>
      <c r="J362" s="8"/>
      <c r="K362" s="8"/>
      <c r="L362" s="8"/>
      <c r="M362" s="8"/>
    </row>
    <row r="363" spans="1:13">
      <c r="A363" s="71" t="s">
        <v>3962</v>
      </c>
      <c r="B363" s="67">
        <v>17803665829</v>
      </c>
      <c r="C363" s="72" t="s">
        <v>3963</v>
      </c>
      <c r="D363" s="69">
        <v>26130659822</v>
      </c>
      <c r="E363" s="9"/>
      <c r="F363" s="25"/>
      <c r="G363" s="70"/>
      <c r="H363" s="9"/>
      <c r="I363" s="8"/>
      <c r="J363" s="8"/>
      <c r="K363" s="8"/>
      <c r="L363" s="8"/>
      <c r="M363" s="8"/>
    </row>
    <row r="364" spans="1:13">
      <c r="A364" s="71" t="s">
        <v>3964</v>
      </c>
      <c r="B364" s="67">
        <v>39996489884</v>
      </c>
      <c r="C364" s="72" t="s">
        <v>3965</v>
      </c>
      <c r="D364" s="69">
        <v>1225037409</v>
      </c>
      <c r="E364" s="9"/>
      <c r="F364" s="25"/>
      <c r="G364" s="70"/>
      <c r="H364" s="9"/>
      <c r="I364" s="8"/>
      <c r="J364" s="8"/>
      <c r="K364" s="8"/>
      <c r="L364" s="8"/>
      <c r="M364" s="8"/>
    </row>
    <row r="365" spans="1:13">
      <c r="A365" s="15" t="s">
        <v>3966</v>
      </c>
      <c r="B365" s="67">
        <v>45117049888</v>
      </c>
      <c r="C365" s="72"/>
      <c r="D365" s="69"/>
      <c r="E365" s="9">
        <v>85</v>
      </c>
      <c r="F365" s="25">
        <v>43109</v>
      </c>
      <c r="G365" s="70" t="s">
        <v>3356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3967</v>
      </c>
      <c r="B366" s="67">
        <v>36210371876</v>
      </c>
      <c r="C366" s="72" t="s">
        <v>3968</v>
      </c>
      <c r="D366" s="69">
        <v>32340716837</v>
      </c>
      <c r="E366" s="9">
        <v>229</v>
      </c>
      <c r="F366" s="25">
        <v>43151</v>
      </c>
      <c r="G366" s="70" t="s">
        <v>3356</v>
      </c>
      <c r="H366" s="9"/>
      <c r="I366" s="8"/>
      <c r="J366" s="8"/>
      <c r="K366" s="8"/>
      <c r="L366" s="9">
        <v>232</v>
      </c>
      <c r="M366" s="8"/>
    </row>
    <row r="367" spans="1:13">
      <c r="A367" s="73" t="s">
        <v>3969</v>
      </c>
      <c r="B367" s="67">
        <v>42016007850</v>
      </c>
      <c r="C367" s="72" t="s">
        <v>3970</v>
      </c>
      <c r="D367" s="69">
        <v>35228090843</v>
      </c>
      <c r="E367" s="9">
        <v>810</v>
      </c>
      <c r="F367" s="25">
        <v>42915</v>
      </c>
      <c r="G367" s="70" t="s">
        <v>3356</v>
      </c>
      <c r="H367" s="9"/>
      <c r="I367" s="8"/>
      <c r="J367" s="8"/>
      <c r="K367" s="8"/>
      <c r="L367" s="9" t="s">
        <v>3475</v>
      </c>
      <c r="M367" s="8"/>
    </row>
    <row r="368" spans="1:13">
      <c r="A368" s="14" t="s">
        <v>3971</v>
      </c>
      <c r="B368" s="67">
        <v>43462687816</v>
      </c>
      <c r="C368" s="72"/>
      <c r="D368" s="69"/>
      <c r="E368" s="9">
        <v>292</v>
      </c>
      <c r="F368" s="25">
        <v>43168</v>
      </c>
      <c r="G368" s="70" t="s">
        <v>3356</v>
      </c>
      <c r="H368" s="9"/>
      <c r="I368" s="8"/>
      <c r="J368" s="8"/>
      <c r="K368" s="8"/>
      <c r="L368" s="9">
        <v>318</v>
      </c>
      <c r="M368" s="8"/>
    </row>
    <row r="369" spans="1:13">
      <c r="A369" s="71" t="s">
        <v>3972</v>
      </c>
      <c r="B369" s="67">
        <v>37694927810</v>
      </c>
      <c r="C369" s="72"/>
      <c r="D369" s="69"/>
      <c r="E369" s="9">
        <v>1752</v>
      </c>
      <c r="F369" s="25">
        <v>43051</v>
      </c>
      <c r="G369" s="70" t="s">
        <v>3356</v>
      </c>
      <c r="H369" s="9"/>
      <c r="I369" s="8"/>
      <c r="J369" s="8"/>
      <c r="K369" s="8"/>
      <c r="L369" s="9">
        <v>1759</v>
      </c>
      <c r="M369" s="8"/>
    </row>
    <row r="370" spans="1:13">
      <c r="A370" s="71" t="s">
        <v>3973</v>
      </c>
      <c r="B370" s="67">
        <v>41761778889</v>
      </c>
      <c r="C370" s="72"/>
      <c r="D370" s="69"/>
      <c r="E370" s="9">
        <v>292</v>
      </c>
      <c r="F370" s="25">
        <v>43168</v>
      </c>
      <c r="G370" s="70" t="s">
        <v>3356</v>
      </c>
      <c r="H370" s="9"/>
      <c r="I370" s="8"/>
      <c r="J370" s="8"/>
      <c r="K370" s="8"/>
      <c r="L370" s="9">
        <v>318</v>
      </c>
      <c r="M370" s="8"/>
    </row>
    <row r="371" spans="1:13">
      <c r="A371" s="29" t="s">
        <v>3974</v>
      </c>
      <c r="B371" s="67">
        <v>34350558802</v>
      </c>
      <c r="C371" s="18" t="s">
        <v>3975</v>
      </c>
      <c r="D371" s="69">
        <v>33984523882</v>
      </c>
      <c r="E371" s="9"/>
      <c r="F371" s="25"/>
      <c r="G371" s="70"/>
      <c r="H371" s="9"/>
      <c r="I371" s="8"/>
      <c r="J371" s="8"/>
      <c r="K371" s="8"/>
      <c r="L371" s="8"/>
      <c r="M371" s="8"/>
    </row>
    <row r="372" spans="1:13">
      <c r="A372" s="71" t="s">
        <v>3976</v>
      </c>
      <c r="B372" s="67">
        <v>41502336839</v>
      </c>
      <c r="C372" s="77" t="s">
        <v>3977</v>
      </c>
      <c r="D372" s="69">
        <v>42175616878</v>
      </c>
      <c r="E372" s="9"/>
      <c r="F372" s="25"/>
      <c r="G372" s="70"/>
      <c r="H372" s="9"/>
      <c r="I372" s="8"/>
      <c r="J372" s="8"/>
      <c r="K372" s="8"/>
      <c r="L372" s="8"/>
      <c r="M372" s="8"/>
    </row>
    <row r="373" spans="1:13">
      <c r="A373" s="14" t="s">
        <v>3978</v>
      </c>
      <c r="B373" s="67">
        <v>38156943880</v>
      </c>
      <c r="C373" s="72" t="s">
        <v>3979</v>
      </c>
      <c r="D373" s="69">
        <v>35830934884</v>
      </c>
      <c r="E373" s="9">
        <v>262</v>
      </c>
      <c r="F373" s="25">
        <v>43160</v>
      </c>
      <c r="G373" s="70" t="s">
        <v>3356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71" t="s">
        <v>3980</v>
      </c>
      <c r="B374" s="67">
        <v>41261444809</v>
      </c>
      <c r="C374" s="72"/>
      <c r="D374" s="69"/>
      <c r="E374" s="9">
        <v>810</v>
      </c>
      <c r="F374" s="25">
        <v>42915</v>
      </c>
      <c r="G374" s="70" t="s">
        <v>3356</v>
      </c>
      <c r="H374" s="9"/>
      <c r="I374" s="8"/>
      <c r="J374" s="8"/>
      <c r="K374" s="8"/>
      <c r="L374" s="9" t="s">
        <v>3475</v>
      </c>
      <c r="M374" s="8"/>
    </row>
    <row r="375" spans="1:13">
      <c r="A375" s="71" t="s">
        <v>3981</v>
      </c>
      <c r="B375" s="67">
        <v>41776515838</v>
      </c>
      <c r="C375" s="72"/>
      <c r="D375" s="69"/>
      <c r="E375" s="9">
        <v>1106</v>
      </c>
      <c r="F375" s="25">
        <v>42965</v>
      </c>
      <c r="G375" s="70" t="s">
        <v>3356</v>
      </c>
      <c r="H375" s="9"/>
      <c r="I375" s="8"/>
      <c r="J375" s="8"/>
      <c r="K375" s="8"/>
      <c r="L375" s="8"/>
      <c r="M375" s="8"/>
    </row>
    <row r="376" spans="1:13">
      <c r="A376" s="71" t="s">
        <v>3982</v>
      </c>
      <c r="B376" s="67" t="s">
        <v>3983</v>
      </c>
      <c r="C376" s="73" t="s">
        <v>3984</v>
      </c>
      <c r="D376" s="69" t="s">
        <v>3985</v>
      </c>
      <c r="E376" s="9">
        <v>573</v>
      </c>
      <c r="F376" s="25">
        <v>43224</v>
      </c>
      <c r="G376" s="70"/>
      <c r="H376" s="9"/>
      <c r="I376" s="8"/>
      <c r="J376" s="8"/>
      <c r="K376" s="8"/>
      <c r="L376" s="8"/>
      <c r="M376" s="8"/>
    </row>
    <row r="377" spans="1:13">
      <c r="A377" s="73" t="s">
        <v>3986</v>
      </c>
      <c r="B377" s="67">
        <v>41104888858</v>
      </c>
      <c r="C377" s="72" t="s">
        <v>3987</v>
      </c>
      <c r="D377" s="69">
        <v>35714357884</v>
      </c>
      <c r="E377" s="9">
        <v>810</v>
      </c>
      <c r="F377" s="25">
        <v>42915</v>
      </c>
      <c r="G377" s="70" t="s">
        <v>3356</v>
      </c>
      <c r="H377" s="9"/>
      <c r="I377" s="8"/>
      <c r="J377" s="8"/>
      <c r="K377" s="8"/>
      <c r="L377" s="9" t="s">
        <v>3475</v>
      </c>
      <c r="M377" s="8"/>
    </row>
    <row r="378" spans="1:13">
      <c r="A378" s="71" t="s">
        <v>3988</v>
      </c>
      <c r="B378" s="67">
        <v>34954516846</v>
      </c>
      <c r="C378" s="72" t="s">
        <v>3989</v>
      </c>
      <c r="D378" s="69">
        <v>18356312825</v>
      </c>
      <c r="E378" s="9">
        <v>1824</v>
      </c>
      <c r="F378" s="25">
        <v>43091</v>
      </c>
      <c r="G378" s="70" t="s">
        <v>3370</v>
      </c>
      <c r="H378" s="9"/>
      <c r="I378" s="8"/>
      <c r="J378" s="8"/>
      <c r="K378" s="8"/>
      <c r="L378" s="9">
        <v>1828</v>
      </c>
      <c r="M378" s="8"/>
    </row>
    <row r="379" spans="1:13">
      <c r="A379" s="29" t="s">
        <v>3990</v>
      </c>
      <c r="B379" s="67"/>
      <c r="C379" s="29" t="s">
        <v>3991</v>
      </c>
      <c r="D379" s="69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71" t="s">
        <v>3992</v>
      </c>
      <c r="B380" s="67">
        <v>90144082772</v>
      </c>
      <c r="C380" s="72"/>
      <c r="D380" s="69"/>
      <c r="E380" s="9">
        <v>608</v>
      </c>
      <c r="F380" s="25">
        <v>43012</v>
      </c>
      <c r="G380" s="70" t="s">
        <v>3356</v>
      </c>
      <c r="H380" s="9"/>
      <c r="I380" s="8"/>
      <c r="J380" s="8"/>
      <c r="K380" s="8"/>
      <c r="L380" s="8"/>
      <c r="M380" s="8"/>
    </row>
    <row r="381" spans="1:13">
      <c r="A381" s="13" t="s">
        <v>3993</v>
      </c>
      <c r="B381" s="67">
        <v>34023913847</v>
      </c>
      <c r="C381" s="72"/>
      <c r="D381" s="69"/>
      <c r="E381" s="9">
        <v>1489</v>
      </c>
      <c r="F381" s="25">
        <v>43038</v>
      </c>
      <c r="G381" s="70" t="s">
        <v>3356</v>
      </c>
      <c r="H381" s="9"/>
      <c r="I381" s="8"/>
      <c r="J381" s="8"/>
      <c r="K381" s="8"/>
      <c r="L381" s="9" t="s">
        <v>3497</v>
      </c>
      <c r="M381" s="8"/>
    </row>
    <row r="382" spans="1:13">
      <c r="A382" s="71" t="s">
        <v>3994</v>
      </c>
      <c r="B382" s="67">
        <v>14271660809</v>
      </c>
      <c r="C382" s="72"/>
      <c r="D382" s="69"/>
      <c r="E382" s="9">
        <v>443</v>
      </c>
      <c r="F382" s="25">
        <v>43188</v>
      </c>
      <c r="G382" s="70"/>
      <c r="H382" s="9"/>
      <c r="I382" s="8"/>
      <c r="J382" s="8"/>
      <c r="K382" s="8"/>
      <c r="L382" s="8"/>
      <c r="M382" s="8"/>
    </row>
    <row r="383" spans="1:13">
      <c r="A383" s="71" t="s">
        <v>3995</v>
      </c>
      <c r="B383" s="67">
        <v>2509232894</v>
      </c>
      <c r="C383" s="72"/>
      <c r="D383" s="69"/>
      <c r="E383" s="9">
        <v>292</v>
      </c>
      <c r="F383" s="25">
        <v>43168</v>
      </c>
      <c r="G383" s="70" t="s">
        <v>3356</v>
      </c>
      <c r="H383" s="9"/>
      <c r="I383" s="8"/>
      <c r="J383" s="8"/>
      <c r="K383" s="8"/>
      <c r="L383" s="9">
        <v>318</v>
      </c>
      <c r="M383" s="8"/>
    </row>
    <row r="384" spans="1:13">
      <c r="A384" s="71" t="s">
        <v>3996</v>
      </c>
      <c r="B384" s="67">
        <v>37268126875</v>
      </c>
      <c r="C384" s="72"/>
      <c r="D384" s="69"/>
      <c r="E384" s="9">
        <v>1489</v>
      </c>
      <c r="F384" s="25">
        <v>43038</v>
      </c>
      <c r="G384" s="70" t="s">
        <v>3356</v>
      </c>
      <c r="H384" s="9"/>
      <c r="I384" s="8"/>
      <c r="J384" s="8"/>
      <c r="K384" s="8"/>
      <c r="L384" s="9" t="s">
        <v>3497</v>
      </c>
      <c r="M384" s="8"/>
    </row>
    <row r="385" spans="1:13">
      <c r="A385" s="15" t="s">
        <v>3997</v>
      </c>
      <c r="B385" s="67">
        <v>33239238802</v>
      </c>
      <c r="C385" s="72" t="s">
        <v>3998</v>
      </c>
      <c r="D385" s="69">
        <v>33111360806</v>
      </c>
      <c r="E385" s="9"/>
      <c r="F385" s="25"/>
      <c r="G385" s="70"/>
      <c r="H385" s="9"/>
      <c r="I385" s="8"/>
      <c r="J385" s="8"/>
      <c r="K385" s="8"/>
      <c r="L385" s="8"/>
      <c r="M385" s="8"/>
    </row>
    <row r="386" spans="1:13">
      <c r="A386" s="71" t="s">
        <v>3999</v>
      </c>
      <c r="B386" s="67">
        <v>12443686876</v>
      </c>
      <c r="C386" s="72"/>
      <c r="D386" s="69"/>
      <c r="E386" s="9"/>
      <c r="F386" s="25"/>
      <c r="G386" s="70"/>
      <c r="H386" s="9"/>
      <c r="I386" s="8"/>
      <c r="J386" s="8"/>
      <c r="K386" s="8"/>
      <c r="L386" s="8"/>
      <c r="M386" s="8"/>
    </row>
    <row r="387" spans="1:13">
      <c r="A387" s="71" t="s">
        <v>4000</v>
      </c>
      <c r="B387" s="67">
        <v>24867029890</v>
      </c>
      <c r="C387" s="72"/>
      <c r="D387" s="69"/>
      <c r="E387" s="9">
        <v>1106</v>
      </c>
      <c r="F387" s="25">
        <v>42965</v>
      </c>
      <c r="G387" s="70" t="s">
        <v>3356</v>
      </c>
      <c r="H387" s="9"/>
      <c r="I387" s="8"/>
      <c r="J387" s="8"/>
      <c r="K387" s="8"/>
      <c r="L387" s="8"/>
      <c r="M387" s="8"/>
    </row>
    <row r="388" spans="1:13">
      <c r="A388" s="71" t="s">
        <v>4001</v>
      </c>
      <c r="B388" s="67">
        <v>23331926825</v>
      </c>
      <c r="C388" s="72"/>
      <c r="D388" s="69"/>
      <c r="E388" s="9">
        <v>292</v>
      </c>
      <c r="F388" s="25">
        <v>43168</v>
      </c>
      <c r="G388" s="70" t="s">
        <v>3362</v>
      </c>
      <c r="H388" s="9"/>
      <c r="I388" s="8"/>
      <c r="J388" s="8"/>
      <c r="K388" s="8"/>
      <c r="L388" s="9">
        <v>318</v>
      </c>
      <c r="M388" s="8"/>
    </row>
    <row r="389" spans="1:13">
      <c r="A389" s="71" t="s">
        <v>4002</v>
      </c>
      <c r="B389" s="67">
        <v>86351966515</v>
      </c>
      <c r="C389" s="72"/>
      <c r="D389" s="69"/>
      <c r="E389" s="9">
        <v>1752</v>
      </c>
      <c r="F389" s="25">
        <v>43051</v>
      </c>
      <c r="G389" s="70" t="s">
        <v>3356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4003</v>
      </c>
      <c r="B390" s="67">
        <v>13486189816</v>
      </c>
      <c r="C390" s="72" t="s">
        <v>4004</v>
      </c>
      <c r="D390" s="69">
        <v>15745057858</v>
      </c>
      <c r="E390" s="9">
        <v>262</v>
      </c>
      <c r="F390" s="25">
        <v>43160</v>
      </c>
      <c r="G390" s="70" t="s">
        <v>3356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4005</v>
      </c>
      <c r="B391" s="67">
        <v>17852414869</v>
      </c>
      <c r="C391" s="68"/>
      <c r="D391" s="69"/>
      <c r="E391" s="9">
        <v>1824</v>
      </c>
      <c r="F391" s="25">
        <v>43091</v>
      </c>
      <c r="G391" s="70" t="s">
        <v>3356</v>
      </c>
      <c r="H391" s="9"/>
      <c r="I391" s="8"/>
      <c r="J391" s="8"/>
      <c r="K391" s="8"/>
      <c r="L391" s="9">
        <v>1828</v>
      </c>
      <c r="M391" s="8"/>
    </row>
    <row r="392" spans="1:13">
      <c r="A392" s="71" t="s">
        <v>4006</v>
      </c>
      <c r="B392" s="67">
        <v>33426723824</v>
      </c>
      <c r="C392" s="72"/>
      <c r="D392" s="69"/>
      <c r="E392" s="9">
        <v>1214</v>
      </c>
      <c r="F392" s="25">
        <v>42989</v>
      </c>
      <c r="G392" s="70" t="s">
        <v>3356</v>
      </c>
      <c r="H392" s="9"/>
      <c r="I392" s="8"/>
      <c r="J392" s="8"/>
      <c r="K392" s="8"/>
      <c r="L392" s="8"/>
      <c r="M392" s="8"/>
    </row>
    <row r="393" spans="1:13">
      <c r="A393" s="71" t="s">
        <v>4007</v>
      </c>
      <c r="B393" s="67">
        <v>29672702884</v>
      </c>
      <c r="C393" s="72" t="s">
        <v>4008</v>
      </c>
      <c r="D393" s="69">
        <v>28836016820</v>
      </c>
      <c r="E393" s="9">
        <v>262</v>
      </c>
      <c r="F393" s="25">
        <v>43160</v>
      </c>
      <c r="G393" s="70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9" t="s">
        <v>4009</v>
      </c>
      <c r="B394" s="67"/>
      <c r="C394" s="29" t="s">
        <v>3466</v>
      </c>
      <c r="D394" s="69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71" t="s">
        <v>4010</v>
      </c>
      <c r="B395" s="67">
        <v>27895299816</v>
      </c>
      <c r="C395" s="72"/>
      <c r="D395" s="69"/>
      <c r="E395" s="9">
        <v>1350</v>
      </c>
      <c r="F395" s="25">
        <v>43006</v>
      </c>
      <c r="G395" s="70" t="s">
        <v>3356</v>
      </c>
      <c r="H395" s="9"/>
      <c r="I395" s="8"/>
      <c r="J395" s="8"/>
      <c r="K395" s="8"/>
      <c r="L395" s="8"/>
      <c r="M395" s="8"/>
    </row>
    <row r="396" spans="1:13">
      <c r="A396" s="15" t="s">
        <v>4011</v>
      </c>
      <c r="B396" s="67">
        <v>35511781860</v>
      </c>
      <c r="C396" s="72"/>
      <c r="D396" s="69"/>
      <c r="E396" s="9">
        <v>117</v>
      </c>
      <c r="F396" s="25">
        <v>43117</v>
      </c>
      <c r="G396" s="70" t="s">
        <v>3356</v>
      </c>
      <c r="H396" s="9"/>
      <c r="I396" s="8"/>
      <c r="J396" s="8"/>
      <c r="K396" s="8"/>
      <c r="L396" s="9" t="s">
        <v>3507</v>
      </c>
      <c r="M396" s="8"/>
    </row>
    <row r="397" spans="1:13">
      <c r="A397" s="15" t="s">
        <v>4012</v>
      </c>
      <c r="B397" s="67">
        <v>7030224582</v>
      </c>
      <c r="C397" s="72" t="s">
        <v>4013</v>
      </c>
      <c r="D397" s="69">
        <v>4763433563</v>
      </c>
      <c r="E397" s="9"/>
      <c r="F397" s="25"/>
      <c r="G397" s="70"/>
      <c r="H397" s="9"/>
      <c r="I397" s="8"/>
      <c r="J397" s="8"/>
      <c r="K397" s="8"/>
      <c r="L397" s="8"/>
      <c r="M397" s="8"/>
    </row>
    <row r="398" spans="1:13">
      <c r="A398" s="71" t="s">
        <v>4014</v>
      </c>
      <c r="B398" s="67">
        <v>35071048817</v>
      </c>
      <c r="C398" s="72"/>
      <c r="D398" s="69"/>
      <c r="E398" s="9">
        <v>1350</v>
      </c>
      <c r="F398" s="25">
        <v>43006</v>
      </c>
      <c r="G398" s="70" t="s">
        <v>3356</v>
      </c>
      <c r="H398" s="9"/>
      <c r="I398" s="8"/>
      <c r="J398" s="8"/>
      <c r="K398" s="8"/>
      <c r="L398" s="8"/>
      <c r="M398" s="8"/>
    </row>
    <row r="399" spans="1:13">
      <c r="A399" s="72" t="s">
        <v>4015</v>
      </c>
      <c r="B399" s="67">
        <v>39783437895</v>
      </c>
      <c r="C399" s="72" t="s">
        <v>4016</v>
      </c>
      <c r="D399" s="69">
        <v>12062296754</v>
      </c>
      <c r="E399" s="9">
        <v>292</v>
      </c>
      <c r="F399" s="25">
        <v>43168</v>
      </c>
      <c r="G399" s="9" t="s">
        <v>3356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4017</v>
      </c>
      <c r="B400" s="67">
        <v>41759713864</v>
      </c>
      <c r="C400" s="72" t="s">
        <v>4018</v>
      </c>
      <c r="D400" s="69">
        <v>38653116877</v>
      </c>
      <c r="E400" s="9">
        <v>1824</v>
      </c>
      <c r="F400" s="25">
        <v>43091</v>
      </c>
      <c r="G400" s="70" t="s">
        <v>3356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4019</v>
      </c>
      <c r="B401" s="67">
        <v>37686754839</v>
      </c>
      <c r="C401" s="72" t="s">
        <v>4020</v>
      </c>
      <c r="D401" s="69">
        <v>23445605807</v>
      </c>
      <c r="E401" s="9"/>
      <c r="F401" s="25"/>
      <c r="G401" s="70"/>
      <c r="H401" s="9"/>
      <c r="I401" s="8"/>
      <c r="J401" s="8"/>
      <c r="K401" s="8"/>
      <c r="L401" s="8"/>
      <c r="M401" s="8"/>
    </row>
    <row r="402" spans="1:13">
      <c r="A402" s="29" t="s">
        <v>4021</v>
      </c>
      <c r="B402" s="67"/>
      <c r="C402" s="29" t="s">
        <v>4022</v>
      </c>
      <c r="D402" s="69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71" t="s">
        <v>4023</v>
      </c>
      <c r="B403" s="67">
        <v>45525905884</v>
      </c>
      <c r="C403" s="72"/>
      <c r="D403" s="69"/>
      <c r="E403" s="9">
        <v>1350</v>
      </c>
      <c r="F403" s="25">
        <v>43006</v>
      </c>
      <c r="G403" s="70" t="s">
        <v>3356</v>
      </c>
      <c r="H403" s="9"/>
      <c r="I403" s="8"/>
      <c r="J403" s="8"/>
      <c r="K403" s="8"/>
      <c r="L403" s="8"/>
      <c r="M403" s="8"/>
    </row>
    <row r="404" spans="1:13">
      <c r="A404" s="71" t="s">
        <v>4024</v>
      </c>
      <c r="B404" s="67">
        <v>44864217874</v>
      </c>
      <c r="C404" s="72" t="s">
        <v>4025</v>
      </c>
      <c r="D404" s="69">
        <v>37462441888</v>
      </c>
      <c r="E404" s="9"/>
      <c r="F404" s="25"/>
      <c r="G404" s="70"/>
      <c r="H404" s="9"/>
      <c r="I404" s="8"/>
      <c r="J404" s="8"/>
      <c r="K404" s="8"/>
      <c r="L404" s="8"/>
      <c r="M404" s="8"/>
    </row>
    <row r="405" spans="1:13">
      <c r="A405" s="14" t="s">
        <v>4026</v>
      </c>
      <c r="B405" s="67">
        <v>40516592831</v>
      </c>
      <c r="C405" s="72"/>
      <c r="D405" s="69"/>
      <c r="E405" s="9">
        <v>1417</v>
      </c>
      <c r="F405" s="25">
        <v>43017</v>
      </c>
      <c r="G405" s="70" t="s">
        <v>3356</v>
      </c>
      <c r="H405" s="9"/>
      <c r="I405" s="8"/>
      <c r="J405" s="8"/>
      <c r="K405" s="8"/>
      <c r="L405" s="9" t="s">
        <v>3590</v>
      </c>
      <c r="M405" s="8"/>
    </row>
    <row r="406" spans="1:13">
      <c r="A406" s="15" t="s">
        <v>4027</v>
      </c>
      <c r="B406" s="67">
        <v>17509978866</v>
      </c>
      <c r="C406" s="72"/>
      <c r="D406" s="69"/>
      <c r="E406" s="9">
        <v>117</v>
      </c>
      <c r="F406" s="25">
        <v>43117</v>
      </c>
      <c r="G406" s="70" t="s">
        <v>3356</v>
      </c>
      <c r="H406" s="9"/>
      <c r="I406" s="8"/>
      <c r="J406" s="8"/>
      <c r="K406" s="8"/>
      <c r="L406" s="9" t="s">
        <v>3507</v>
      </c>
      <c r="M406" s="8"/>
    </row>
    <row r="407" spans="1:13">
      <c r="A407" s="13" t="s">
        <v>4028</v>
      </c>
      <c r="B407" s="67">
        <v>1329442512</v>
      </c>
      <c r="C407" s="68" t="s">
        <v>4029</v>
      </c>
      <c r="D407" s="69">
        <v>1320825516</v>
      </c>
      <c r="E407" s="9">
        <v>1214</v>
      </c>
      <c r="F407" s="25">
        <v>42989</v>
      </c>
      <c r="G407" s="70" t="s">
        <v>3356</v>
      </c>
      <c r="H407" s="9"/>
      <c r="I407" s="8"/>
      <c r="J407" s="8"/>
      <c r="K407" s="8"/>
      <c r="L407" s="8"/>
      <c r="M407" s="8"/>
    </row>
    <row r="408" spans="1:13">
      <c r="A408" s="71" t="s">
        <v>4030</v>
      </c>
      <c r="B408" s="67">
        <v>33270447833</v>
      </c>
      <c r="C408" s="72"/>
      <c r="D408" s="69"/>
      <c r="E408" s="9"/>
      <c r="F408" s="25"/>
      <c r="G408" s="70"/>
      <c r="H408" s="9"/>
      <c r="I408" s="8"/>
      <c r="J408" s="8"/>
      <c r="K408" s="8"/>
      <c r="L408" s="8"/>
      <c r="M408" s="8"/>
    </row>
    <row r="409" spans="1:13">
      <c r="A409" s="71" t="s">
        <v>4031</v>
      </c>
      <c r="B409" s="67">
        <v>28179023869</v>
      </c>
      <c r="C409" s="72"/>
      <c r="D409" s="69"/>
      <c r="E409" s="9"/>
      <c r="F409" s="25"/>
      <c r="G409" s="70"/>
      <c r="H409" s="9"/>
      <c r="I409" s="8"/>
      <c r="J409" s="8"/>
      <c r="K409" s="8"/>
      <c r="L409" s="8"/>
      <c r="M409" s="8"/>
    </row>
    <row r="410" spans="1:13">
      <c r="A410" s="29" t="s">
        <v>4032</v>
      </c>
      <c r="B410" s="67"/>
      <c r="C410" s="29" t="s">
        <v>3466</v>
      </c>
      <c r="D410" s="69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71" t="s">
        <v>4033</v>
      </c>
      <c r="B411" s="67">
        <v>2443078574</v>
      </c>
      <c r="C411" s="72"/>
      <c r="D411" s="69"/>
      <c r="E411" s="9">
        <v>1350</v>
      </c>
      <c r="F411" s="25">
        <v>43006</v>
      </c>
      <c r="G411" s="70" t="s">
        <v>3356</v>
      </c>
      <c r="H411" s="9"/>
      <c r="I411" s="8"/>
      <c r="J411" s="8"/>
      <c r="K411" s="8"/>
      <c r="L411" s="8"/>
      <c r="M411" s="8"/>
    </row>
    <row r="412" spans="1:13">
      <c r="A412" s="71" t="s">
        <v>4034</v>
      </c>
      <c r="B412" s="67">
        <v>35140471892</v>
      </c>
      <c r="C412" s="72"/>
      <c r="D412" s="69"/>
      <c r="E412" s="9">
        <v>292</v>
      </c>
      <c r="F412" s="25">
        <v>43168</v>
      </c>
      <c r="G412" s="70" t="s">
        <v>3356</v>
      </c>
      <c r="H412" s="9"/>
      <c r="I412" s="8"/>
      <c r="J412" s="8"/>
      <c r="K412" s="8"/>
      <c r="L412" s="9">
        <v>318</v>
      </c>
      <c r="M412" s="8"/>
    </row>
    <row r="413" spans="1:13">
      <c r="A413" s="71" t="s">
        <v>4035</v>
      </c>
      <c r="B413" s="67">
        <v>37264939804</v>
      </c>
      <c r="C413" s="72"/>
      <c r="D413" s="69"/>
      <c r="E413" s="9"/>
      <c r="F413" s="25"/>
      <c r="G413" s="70"/>
      <c r="H413" s="9"/>
      <c r="I413" s="8"/>
      <c r="J413" s="8"/>
      <c r="K413" s="8"/>
      <c r="L413" s="8"/>
      <c r="M413" s="8"/>
    </row>
    <row r="414" spans="1:13">
      <c r="A414" s="13" t="s">
        <v>4036</v>
      </c>
      <c r="B414" s="67">
        <v>93440340520</v>
      </c>
      <c r="C414" s="68" t="s">
        <v>4037</v>
      </c>
      <c r="D414" s="69">
        <v>8858333845</v>
      </c>
      <c r="E414" s="9">
        <v>1267</v>
      </c>
      <c r="F414" s="25">
        <v>42998</v>
      </c>
      <c r="G414" s="70" t="s">
        <v>3356</v>
      </c>
      <c r="H414" s="9"/>
      <c r="I414" s="8"/>
      <c r="J414" s="8"/>
      <c r="K414" s="8"/>
      <c r="L414" s="8"/>
      <c r="M414" s="8"/>
    </row>
    <row r="415" spans="1:13">
      <c r="A415" s="29" t="s">
        <v>4038</v>
      </c>
      <c r="B415" s="67">
        <v>21947877801</v>
      </c>
      <c r="C415" s="29" t="s">
        <v>4039</v>
      </c>
      <c r="D415" s="69">
        <v>4921613567</v>
      </c>
      <c r="E415" s="9"/>
      <c r="F415" s="25"/>
      <c r="G415" s="70"/>
      <c r="H415" s="9"/>
      <c r="I415" s="8"/>
      <c r="J415" s="8"/>
      <c r="K415" s="8"/>
      <c r="L415" s="8"/>
      <c r="M415" s="8"/>
    </row>
    <row r="416" spans="1:13">
      <c r="A416" s="71" t="s">
        <v>4040</v>
      </c>
      <c r="B416" s="67">
        <v>31712571818</v>
      </c>
      <c r="C416" s="72"/>
      <c r="D416" s="69"/>
      <c r="E416" s="9">
        <v>1350</v>
      </c>
      <c r="F416" s="25">
        <v>43006</v>
      </c>
      <c r="G416" s="70" t="s">
        <v>3356</v>
      </c>
      <c r="H416" s="9"/>
      <c r="I416" s="8"/>
      <c r="J416" s="8"/>
      <c r="K416" s="8"/>
      <c r="L416" s="8"/>
      <c r="M416" s="8"/>
    </row>
    <row r="417" spans="1:13">
      <c r="A417" s="71" t="s">
        <v>4041</v>
      </c>
      <c r="B417" s="67">
        <v>22358160881</v>
      </c>
      <c r="C417" s="72"/>
      <c r="D417" s="69"/>
      <c r="E417" s="9">
        <v>1752</v>
      </c>
      <c r="F417" s="25">
        <v>43051</v>
      </c>
      <c r="G417" s="70" t="s">
        <v>3356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4042</v>
      </c>
      <c r="B418" s="67">
        <v>29938931812</v>
      </c>
      <c r="C418" s="72"/>
      <c r="D418" s="69"/>
      <c r="E418" s="9">
        <v>1824</v>
      </c>
      <c r="F418" s="25">
        <v>43091</v>
      </c>
      <c r="G418" s="70" t="s">
        <v>3356</v>
      </c>
      <c r="H418" s="9"/>
      <c r="I418" s="8"/>
      <c r="J418" s="8"/>
      <c r="K418" s="8"/>
      <c r="L418" s="9">
        <v>1828</v>
      </c>
      <c r="M418" s="8"/>
    </row>
    <row r="419" spans="1:13">
      <c r="A419" s="71" t="s">
        <v>4043</v>
      </c>
      <c r="B419" s="67">
        <v>84674300444</v>
      </c>
      <c r="C419" s="72"/>
      <c r="D419" s="69"/>
      <c r="E419" s="9">
        <v>85</v>
      </c>
      <c r="F419" s="25">
        <v>43109</v>
      </c>
      <c r="G419" s="70" t="s">
        <v>3356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4044</v>
      </c>
      <c r="B420" s="67">
        <v>71739637372</v>
      </c>
      <c r="C420" s="72"/>
      <c r="D420" s="69"/>
      <c r="E420" s="9">
        <v>1824</v>
      </c>
      <c r="F420" s="25">
        <v>43091</v>
      </c>
      <c r="G420" s="70" t="s">
        <v>3356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4045</v>
      </c>
      <c r="B421" s="67">
        <v>29999729894</v>
      </c>
      <c r="C421" s="18"/>
      <c r="D421" s="69"/>
      <c r="E421" s="9"/>
      <c r="F421" s="25"/>
      <c r="G421" s="70"/>
      <c r="H421" s="9"/>
      <c r="I421" s="8"/>
      <c r="J421" s="8"/>
      <c r="K421" s="8"/>
      <c r="L421" s="8"/>
      <c r="M421" s="8"/>
    </row>
    <row r="422" spans="1:13">
      <c r="A422" s="71" t="s">
        <v>4046</v>
      </c>
      <c r="B422" s="67">
        <v>11163355810</v>
      </c>
      <c r="C422" s="72" t="s">
        <v>4047</v>
      </c>
      <c r="D422" s="69">
        <v>4435148870</v>
      </c>
      <c r="E422" s="9">
        <v>443</v>
      </c>
      <c r="F422" s="25">
        <v>43188</v>
      </c>
      <c r="G422" s="70"/>
      <c r="H422" s="9"/>
      <c r="I422" s="8"/>
      <c r="J422" s="8"/>
      <c r="K422" s="8"/>
      <c r="L422" s="8"/>
      <c r="M422" s="8"/>
    </row>
    <row r="423" spans="1:13">
      <c r="A423" s="13" t="s">
        <v>4048</v>
      </c>
      <c r="B423" s="67">
        <v>12870537859</v>
      </c>
      <c r="C423" s="72" t="s">
        <v>4049</v>
      </c>
      <c r="D423" s="69">
        <v>59856912849</v>
      </c>
      <c r="E423" s="9">
        <v>1417</v>
      </c>
      <c r="F423" s="25">
        <v>43017</v>
      </c>
      <c r="G423" s="70" t="s">
        <v>3356</v>
      </c>
      <c r="H423" s="9"/>
      <c r="I423" s="8"/>
      <c r="J423" s="8"/>
      <c r="K423" s="8"/>
      <c r="L423" s="9" t="s">
        <v>3590</v>
      </c>
      <c r="M423" s="8"/>
    </row>
    <row r="424" spans="1:13">
      <c r="A424" s="14" t="s">
        <v>4050</v>
      </c>
      <c r="B424" s="67">
        <v>22019624800</v>
      </c>
      <c r="C424" s="72"/>
      <c r="D424" s="69"/>
      <c r="E424" s="9">
        <v>262</v>
      </c>
      <c r="F424" s="25">
        <v>43160</v>
      </c>
      <c r="G424" s="70" t="s">
        <v>3356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4051</v>
      </c>
      <c r="B425" s="67">
        <v>3414309513</v>
      </c>
      <c r="C425" s="18"/>
      <c r="D425" s="69"/>
      <c r="E425" s="9"/>
      <c r="F425" s="25"/>
      <c r="G425" s="70"/>
      <c r="H425" s="9"/>
      <c r="I425" s="8"/>
      <c r="J425" s="8"/>
      <c r="K425" s="8"/>
      <c r="L425" s="8"/>
      <c r="M425" s="8"/>
    </row>
    <row r="426" spans="1:13">
      <c r="A426" s="15" t="s">
        <v>4052</v>
      </c>
      <c r="B426" s="67">
        <v>46046277892</v>
      </c>
      <c r="C426" s="72"/>
      <c r="D426" s="69"/>
      <c r="E426" s="9">
        <v>85</v>
      </c>
      <c r="F426" s="25">
        <v>43109</v>
      </c>
      <c r="G426" s="70" t="s">
        <v>3356</v>
      </c>
      <c r="H426" s="25">
        <v>43151</v>
      </c>
      <c r="I426" s="8"/>
      <c r="J426" s="8"/>
      <c r="K426" s="8"/>
      <c r="L426" s="8"/>
      <c r="M426" s="8"/>
    </row>
    <row r="427" spans="1:13">
      <c r="A427" s="71" t="s">
        <v>4053</v>
      </c>
      <c r="B427" s="67">
        <v>35458479858</v>
      </c>
      <c r="C427" s="72"/>
      <c r="D427" s="69"/>
      <c r="E427" s="9">
        <v>1350</v>
      </c>
      <c r="F427" s="25">
        <v>43006</v>
      </c>
      <c r="G427" s="70" t="s">
        <v>3356</v>
      </c>
      <c r="H427" s="9"/>
      <c r="I427" s="8"/>
      <c r="J427" s="8"/>
      <c r="K427" s="8"/>
      <c r="L427" s="8"/>
      <c r="M427" s="8"/>
    </row>
    <row r="428" spans="1:13">
      <c r="A428" s="15" t="s">
        <v>4054</v>
      </c>
      <c r="B428" s="67">
        <v>34133269888</v>
      </c>
      <c r="C428" s="72" t="s">
        <v>4055</v>
      </c>
      <c r="D428" s="69">
        <v>35360635860</v>
      </c>
      <c r="E428" s="9">
        <v>1824</v>
      </c>
      <c r="F428" s="25">
        <v>43091</v>
      </c>
      <c r="G428" s="70" t="s">
        <v>3356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4056</v>
      </c>
      <c r="B429" s="67">
        <v>10690540892</v>
      </c>
      <c r="C429" s="72"/>
      <c r="D429" s="69"/>
      <c r="E429" s="9">
        <v>262</v>
      </c>
      <c r="F429" s="25">
        <v>43160</v>
      </c>
      <c r="G429" s="70" t="s">
        <v>3356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4057</v>
      </c>
      <c r="B430" s="67">
        <v>26370314846</v>
      </c>
      <c r="C430" s="72" t="s">
        <v>4058</v>
      </c>
      <c r="D430" s="69">
        <v>26923862809</v>
      </c>
      <c r="E430" s="9">
        <v>117</v>
      </c>
      <c r="F430" s="25">
        <v>43117</v>
      </c>
      <c r="G430" s="70" t="s">
        <v>3356</v>
      </c>
      <c r="H430" s="9"/>
      <c r="I430" s="8"/>
      <c r="J430" s="8"/>
      <c r="K430" s="8"/>
      <c r="L430" s="9" t="s">
        <v>3507</v>
      </c>
      <c r="M430" s="8"/>
    </row>
    <row r="431" spans="1:13">
      <c r="A431" s="71" t="s">
        <v>4059</v>
      </c>
      <c r="B431" s="67">
        <v>7512836490</v>
      </c>
      <c r="C431" s="77"/>
      <c r="D431" s="69"/>
      <c r="E431" s="9"/>
      <c r="F431" s="25"/>
      <c r="G431" s="70"/>
      <c r="H431" s="9"/>
      <c r="I431" s="8"/>
      <c r="J431" s="8"/>
      <c r="K431" s="8"/>
      <c r="L431" s="8"/>
      <c r="M431" s="8"/>
    </row>
    <row r="432" spans="1:13">
      <c r="A432" s="13" t="s">
        <v>4060</v>
      </c>
      <c r="B432" s="67">
        <v>26406652860</v>
      </c>
      <c r="C432" s="68"/>
      <c r="D432" s="69"/>
      <c r="E432" s="9">
        <v>1241</v>
      </c>
      <c r="F432" s="25">
        <v>42992</v>
      </c>
      <c r="G432" s="70" t="s">
        <v>3356</v>
      </c>
      <c r="H432" s="9"/>
      <c r="I432" s="8"/>
      <c r="J432" s="8"/>
      <c r="K432" s="8"/>
      <c r="L432" s="8"/>
      <c r="M432" s="8"/>
    </row>
    <row r="433" spans="1:13">
      <c r="A433" s="71" t="s">
        <v>4061</v>
      </c>
      <c r="B433" s="67">
        <v>2997846811</v>
      </c>
      <c r="C433" s="72"/>
      <c r="D433" s="69"/>
      <c r="E433" s="9">
        <v>292</v>
      </c>
      <c r="F433" s="25">
        <v>43168</v>
      </c>
      <c r="G433" s="70" t="s">
        <v>3356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4062</v>
      </c>
      <c r="B434" s="67">
        <v>1185289801</v>
      </c>
      <c r="C434" s="68"/>
      <c r="D434" s="69"/>
      <c r="E434" s="9">
        <v>1267</v>
      </c>
      <c r="F434" s="25">
        <v>42998</v>
      </c>
      <c r="G434" s="70" t="s">
        <v>3356</v>
      </c>
      <c r="H434" s="9"/>
      <c r="I434" s="8"/>
      <c r="J434" s="8"/>
      <c r="K434" s="8"/>
      <c r="L434" s="8"/>
      <c r="M434" s="8"/>
    </row>
    <row r="435" spans="1:13">
      <c r="A435" s="71" t="s">
        <v>4063</v>
      </c>
      <c r="B435" s="67">
        <v>7267104827</v>
      </c>
      <c r="C435" s="72"/>
      <c r="D435" s="69"/>
      <c r="E435" s="9">
        <v>1752</v>
      </c>
      <c r="F435" s="25">
        <v>43051</v>
      </c>
      <c r="G435" s="70" t="s">
        <v>3356</v>
      </c>
      <c r="H435" s="9"/>
      <c r="I435" s="8"/>
      <c r="J435" s="8"/>
      <c r="K435" s="8"/>
      <c r="L435" s="9">
        <v>1759</v>
      </c>
      <c r="M435" s="8"/>
    </row>
    <row r="436" spans="1:13">
      <c r="A436" s="29" t="s">
        <v>4064</v>
      </c>
      <c r="B436" s="67"/>
      <c r="C436" s="29" t="s">
        <v>3466</v>
      </c>
      <c r="D436" s="69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71" t="s">
        <v>4065</v>
      </c>
      <c r="B437" s="67">
        <v>37364783806</v>
      </c>
      <c r="C437" s="72"/>
      <c r="D437" s="69"/>
      <c r="E437" s="9">
        <v>117</v>
      </c>
      <c r="F437" s="25">
        <v>43117</v>
      </c>
      <c r="G437" s="70" t="s">
        <v>3370</v>
      </c>
      <c r="H437" s="9"/>
      <c r="I437" s="8"/>
      <c r="J437" s="8"/>
      <c r="K437" s="8"/>
      <c r="L437" s="9" t="s">
        <v>3507</v>
      </c>
      <c r="M437" s="8"/>
    </row>
    <row r="438" spans="1:13">
      <c r="A438" s="71" t="s">
        <v>4066</v>
      </c>
      <c r="B438" s="67">
        <v>28413241847</v>
      </c>
      <c r="C438" s="72" t="s">
        <v>4067</v>
      </c>
      <c r="D438" s="69">
        <v>14661915895</v>
      </c>
      <c r="E438" s="9">
        <v>810</v>
      </c>
      <c r="F438" s="25">
        <v>42915</v>
      </c>
      <c r="G438" s="70" t="s">
        <v>3356</v>
      </c>
      <c r="H438" s="9"/>
      <c r="I438" s="8"/>
      <c r="J438" s="8"/>
      <c r="K438" s="8"/>
      <c r="L438" s="9" t="s">
        <v>3475</v>
      </c>
      <c r="M438" s="8"/>
    </row>
    <row r="439" spans="1:13">
      <c r="A439" s="15" t="s">
        <v>4068</v>
      </c>
      <c r="B439" s="67">
        <v>12898733806</v>
      </c>
      <c r="C439" s="72" t="s">
        <v>4069</v>
      </c>
      <c r="D439" s="69">
        <v>25210307832</v>
      </c>
      <c r="E439" s="9">
        <v>262</v>
      </c>
      <c r="F439" s="25">
        <v>43160</v>
      </c>
      <c r="G439" s="70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72" t="s">
        <v>4070</v>
      </c>
      <c r="B440" s="67">
        <v>1912295636</v>
      </c>
      <c r="C440" s="72"/>
      <c r="D440" s="69"/>
      <c r="E440" s="9">
        <v>292</v>
      </c>
      <c r="F440" s="25">
        <v>43168</v>
      </c>
      <c r="G440" s="9" t="s">
        <v>3356</v>
      </c>
      <c r="H440" s="9"/>
      <c r="I440" s="8"/>
      <c r="J440" s="8"/>
      <c r="K440" s="8"/>
      <c r="L440" s="9">
        <v>318</v>
      </c>
      <c r="M440" s="8"/>
    </row>
    <row r="441" spans="1:13">
      <c r="A441" s="71" t="s">
        <v>4071</v>
      </c>
      <c r="B441" s="67">
        <v>14315745898</v>
      </c>
      <c r="C441" s="72"/>
      <c r="D441" s="69"/>
      <c r="E441" s="9">
        <v>292</v>
      </c>
      <c r="F441" s="25">
        <v>43168</v>
      </c>
      <c r="G441" s="70"/>
      <c r="H441" s="9"/>
      <c r="I441" s="8"/>
      <c r="J441" s="8"/>
      <c r="K441" s="8"/>
      <c r="L441" s="9">
        <v>318</v>
      </c>
      <c r="M441" s="8"/>
    </row>
    <row r="442" spans="1:13">
      <c r="A442" s="29" t="s">
        <v>4072</v>
      </c>
      <c r="B442" s="67">
        <v>667192328</v>
      </c>
      <c r="C442" s="29" t="s">
        <v>4073</v>
      </c>
      <c r="D442" s="69">
        <v>4573662499</v>
      </c>
      <c r="E442" s="9"/>
      <c r="F442" s="25"/>
      <c r="G442" s="70"/>
      <c r="H442" s="9"/>
      <c r="I442" s="8"/>
      <c r="J442" s="8"/>
      <c r="K442" s="8"/>
      <c r="L442" s="8"/>
      <c r="M442" s="8"/>
    </row>
    <row r="443" spans="1:13">
      <c r="A443" s="71" t="s">
        <v>4074</v>
      </c>
      <c r="B443" s="67">
        <v>3474339443</v>
      </c>
      <c r="C443" s="72" t="s">
        <v>4075</v>
      </c>
      <c r="D443" s="69">
        <v>58073604515</v>
      </c>
      <c r="E443" s="9">
        <v>810</v>
      </c>
      <c r="F443" s="25">
        <v>42915</v>
      </c>
      <c r="G443" s="70" t="s">
        <v>3356</v>
      </c>
      <c r="H443" s="9"/>
      <c r="I443" s="8"/>
      <c r="J443" s="8"/>
      <c r="K443" s="8"/>
      <c r="L443" s="9" t="s">
        <v>3475</v>
      </c>
      <c r="M443" s="8"/>
    </row>
    <row r="444" spans="1:13">
      <c r="A444" s="71" t="s">
        <v>4076</v>
      </c>
      <c r="B444" s="67">
        <v>10782322883</v>
      </c>
      <c r="C444" s="72"/>
      <c r="D444" s="69"/>
      <c r="E444" s="9">
        <v>1106</v>
      </c>
      <c r="F444" s="25">
        <v>42965</v>
      </c>
      <c r="G444" s="70" t="s">
        <v>3356</v>
      </c>
      <c r="H444" s="9"/>
      <c r="I444" s="8"/>
      <c r="J444" s="8"/>
      <c r="K444" s="8"/>
      <c r="L444" s="8"/>
      <c r="M444" s="8"/>
    </row>
    <row r="445" spans="1:13">
      <c r="A445" s="14" t="s">
        <v>4077</v>
      </c>
      <c r="B445" s="67">
        <v>30191184845</v>
      </c>
      <c r="C445" s="72"/>
      <c r="D445" s="69"/>
      <c r="E445" s="9"/>
      <c r="F445" s="25"/>
      <c r="G445" s="70"/>
      <c r="H445" s="9"/>
      <c r="I445" s="8"/>
      <c r="J445" s="8"/>
      <c r="K445" s="8"/>
      <c r="L445" s="8"/>
      <c r="M445" s="8"/>
    </row>
    <row r="446" spans="1:13">
      <c r="A446" s="71" t="s">
        <v>4078</v>
      </c>
      <c r="B446" s="67">
        <v>70014140349</v>
      </c>
      <c r="C446" s="72" t="s">
        <v>4079</v>
      </c>
      <c r="D446" s="69">
        <v>16412436863</v>
      </c>
      <c r="E446" s="9">
        <v>1262</v>
      </c>
      <c r="F446" s="25">
        <v>42997</v>
      </c>
      <c r="G446" s="70" t="s">
        <v>3356</v>
      </c>
      <c r="H446" s="9"/>
      <c r="I446" s="8"/>
      <c r="J446" s="8"/>
      <c r="K446" s="8"/>
      <c r="L446" s="8"/>
      <c r="M446" s="8"/>
    </row>
    <row r="447" spans="1:13">
      <c r="A447" s="71" t="s">
        <v>4080</v>
      </c>
      <c r="B447" s="67">
        <v>32144128847</v>
      </c>
      <c r="C447" s="72"/>
      <c r="D447" s="69"/>
      <c r="E447" s="9"/>
      <c r="F447" s="25"/>
      <c r="G447" s="70"/>
      <c r="H447" s="9"/>
      <c r="I447" s="8"/>
      <c r="J447" s="8"/>
      <c r="K447" s="8"/>
      <c r="L447" s="8"/>
      <c r="M447" s="8"/>
    </row>
    <row r="448" spans="1:13">
      <c r="A448" s="73" t="s">
        <v>4081</v>
      </c>
      <c r="B448" s="67">
        <v>29314602818</v>
      </c>
      <c r="C448" s="72"/>
      <c r="D448" s="69"/>
      <c r="E448" s="9">
        <v>1570</v>
      </c>
      <c r="F448" s="25">
        <v>43055</v>
      </c>
      <c r="G448" s="9" t="s">
        <v>3356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9" t="s">
        <v>4082</v>
      </c>
      <c r="B449" s="67">
        <v>42230945807</v>
      </c>
      <c r="C449" s="29" t="s">
        <v>4083</v>
      </c>
      <c r="D449" s="69">
        <v>44852433895</v>
      </c>
      <c r="E449" s="9"/>
      <c r="F449" s="25"/>
      <c r="G449" s="70"/>
      <c r="H449" s="9"/>
      <c r="I449" s="8"/>
      <c r="J449" s="8"/>
      <c r="K449" s="8"/>
      <c r="L449" s="8"/>
      <c r="M449" s="8"/>
    </row>
    <row r="450" spans="1:13">
      <c r="A450" s="71" t="s">
        <v>4084</v>
      </c>
      <c r="B450" s="67">
        <v>36157472839</v>
      </c>
      <c r="C450" s="72"/>
      <c r="D450" s="69"/>
      <c r="E450" s="9">
        <v>262</v>
      </c>
      <c r="F450" s="25">
        <v>43160</v>
      </c>
      <c r="G450" s="70" t="s">
        <v>3356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4085</v>
      </c>
      <c r="B451" s="67">
        <v>37745138809</v>
      </c>
      <c r="C451" s="68"/>
      <c r="D451" s="69"/>
      <c r="E451" s="9">
        <v>1267</v>
      </c>
      <c r="F451" s="25">
        <v>42998</v>
      </c>
      <c r="G451" s="70" t="s">
        <v>3356</v>
      </c>
      <c r="H451" s="9"/>
      <c r="I451" s="8"/>
      <c r="J451" s="8"/>
      <c r="K451" s="8"/>
      <c r="L451" s="8"/>
      <c r="M451" s="8"/>
    </row>
    <row r="452" spans="1:13">
      <c r="A452" s="13" t="s">
        <v>4086</v>
      </c>
      <c r="B452" s="67">
        <v>32560299810</v>
      </c>
      <c r="C452" s="68"/>
      <c r="D452" s="69"/>
      <c r="E452" s="9">
        <v>1489</v>
      </c>
      <c r="F452" s="25">
        <v>43038</v>
      </c>
      <c r="G452" s="70" t="s">
        <v>3356</v>
      </c>
      <c r="H452" s="9"/>
      <c r="I452" s="8"/>
      <c r="J452" s="8"/>
      <c r="K452" s="8"/>
      <c r="L452" s="9" t="s">
        <v>3497</v>
      </c>
      <c r="M452" s="8"/>
    </row>
    <row r="453" spans="1:13">
      <c r="A453" s="71" t="s">
        <v>4087</v>
      </c>
      <c r="B453" s="67">
        <v>7380335456</v>
      </c>
      <c r="C453" s="72" t="s">
        <v>4088</v>
      </c>
      <c r="D453" s="69">
        <v>7548744439</v>
      </c>
      <c r="E453" s="9">
        <v>810</v>
      </c>
      <c r="F453" s="25">
        <v>42915</v>
      </c>
      <c r="G453" s="70" t="s">
        <v>3356</v>
      </c>
      <c r="H453" s="9"/>
      <c r="I453" s="8"/>
      <c r="J453" s="8"/>
      <c r="K453" s="8"/>
      <c r="L453" s="9" t="s">
        <v>3475</v>
      </c>
      <c r="M453" s="8"/>
    </row>
    <row r="454" spans="1:13">
      <c r="A454" s="18" t="s">
        <v>4089</v>
      </c>
      <c r="B454" s="67">
        <v>16488527851</v>
      </c>
      <c r="C454" s="18"/>
      <c r="D454" s="69"/>
      <c r="E454" s="9"/>
      <c r="F454" s="25"/>
      <c r="G454" s="70"/>
      <c r="H454" s="9"/>
      <c r="I454" s="8"/>
      <c r="J454" s="8"/>
      <c r="K454" s="8"/>
      <c r="L454" s="8"/>
      <c r="M454" s="8"/>
    </row>
    <row r="455" spans="1:13">
      <c r="A455" s="71" t="s">
        <v>4090</v>
      </c>
      <c r="B455" s="67">
        <v>38529900847</v>
      </c>
      <c r="C455" s="72" t="s">
        <v>4091</v>
      </c>
      <c r="D455" s="69">
        <v>36056823830</v>
      </c>
      <c r="E455" s="9">
        <v>262</v>
      </c>
      <c r="F455" s="25">
        <v>43160</v>
      </c>
      <c r="G455" s="70" t="s">
        <v>3356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4092</v>
      </c>
      <c r="B456" s="67">
        <v>3294051522</v>
      </c>
      <c r="C456" s="68"/>
      <c r="D456" s="69"/>
      <c r="E456" s="9">
        <v>1417</v>
      </c>
      <c r="F456" s="25">
        <v>43017</v>
      </c>
      <c r="G456" s="70" t="s">
        <v>3356</v>
      </c>
      <c r="H456" s="9"/>
      <c r="I456" s="8"/>
      <c r="J456" s="8"/>
      <c r="K456" s="8"/>
      <c r="L456" s="9" t="s">
        <v>3590</v>
      </c>
      <c r="M456" s="8"/>
    </row>
    <row r="457" spans="1:13">
      <c r="A457" s="13" t="s">
        <v>4093</v>
      </c>
      <c r="B457" s="67">
        <v>40764489879</v>
      </c>
      <c r="C457" s="68"/>
      <c r="D457" s="69"/>
      <c r="E457" s="9">
        <v>1752</v>
      </c>
      <c r="F457" s="25">
        <v>43051</v>
      </c>
      <c r="G457" s="70" t="s">
        <v>3356</v>
      </c>
      <c r="H457" s="9"/>
      <c r="I457" s="8"/>
      <c r="J457" s="8"/>
      <c r="K457" s="8"/>
      <c r="L457" s="9">
        <v>1759</v>
      </c>
      <c r="M457" s="8"/>
    </row>
    <row r="458" spans="1:13">
      <c r="A458" s="71" t="s">
        <v>4094</v>
      </c>
      <c r="B458" s="67">
        <v>30085860824</v>
      </c>
      <c r="C458" s="72"/>
      <c r="D458" s="69"/>
      <c r="E458" s="9">
        <v>85</v>
      </c>
      <c r="F458" s="25">
        <v>43109</v>
      </c>
      <c r="G458" s="70" t="s">
        <v>3356</v>
      </c>
      <c r="H458" s="25">
        <v>43151</v>
      </c>
      <c r="I458" s="8"/>
      <c r="J458" s="8"/>
      <c r="K458" s="8"/>
      <c r="L458" s="8"/>
      <c r="M458" s="8"/>
    </row>
    <row r="459" spans="1:13">
      <c r="A459" s="71" t="s">
        <v>4095</v>
      </c>
      <c r="B459" s="67">
        <v>11806390817</v>
      </c>
      <c r="C459" s="72" t="s">
        <v>4096</v>
      </c>
      <c r="D459" s="69">
        <v>6924399860</v>
      </c>
      <c r="E459" s="9">
        <v>85</v>
      </c>
      <c r="F459" s="25">
        <v>43109</v>
      </c>
      <c r="G459" s="70" t="s">
        <v>3356</v>
      </c>
      <c r="H459" s="25">
        <v>43151</v>
      </c>
      <c r="I459" s="8"/>
      <c r="J459" s="8"/>
      <c r="K459" s="8"/>
      <c r="L459" s="8"/>
      <c r="M459" s="8"/>
    </row>
    <row r="460" spans="1:13">
      <c r="A460" s="72" t="s">
        <v>4097</v>
      </c>
      <c r="B460" s="67">
        <v>38569204809</v>
      </c>
      <c r="C460" s="72"/>
      <c r="D460" s="69"/>
      <c r="E460" s="9"/>
      <c r="F460" s="25"/>
      <c r="G460" s="70"/>
      <c r="H460" s="9"/>
      <c r="I460" s="8"/>
      <c r="J460" s="8"/>
      <c r="K460" s="8"/>
      <c r="L460" s="8"/>
      <c r="M460" s="8"/>
    </row>
    <row r="461" spans="1:13">
      <c r="A461" s="71" t="s">
        <v>4098</v>
      </c>
      <c r="B461" s="67">
        <v>34340995819</v>
      </c>
      <c r="C461" s="72"/>
      <c r="D461" s="69"/>
      <c r="E461" s="9">
        <v>292</v>
      </c>
      <c r="F461" s="25">
        <v>43168</v>
      </c>
      <c r="G461" s="9" t="s">
        <v>3356</v>
      </c>
      <c r="H461" s="9"/>
      <c r="I461" s="8"/>
      <c r="J461" s="8"/>
      <c r="K461" s="8"/>
      <c r="L461" s="9">
        <v>318</v>
      </c>
      <c r="M461" s="8"/>
    </row>
    <row r="462" spans="1:13">
      <c r="A462" s="71" t="s">
        <v>4099</v>
      </c>
      <c r="B462" s="67">
        <v>32734621835</v>
      </c>
      <c r="C462" s="77" t="s">
        <v>4100</v>
      </c>
      <c r="D462" s="69" t="s">
        <v>4101</v>
      </c>
      <c r="E462" s="9"/>
      <c r="F462" s="25"/>
      <c r="G462" s="70"/>
      <c r="H462" s="9"/>
      <c r="I462" s="8"/>
      <c r="J462" s="8"/>
      <c r="K462" s="8"/>
      <c r="L462" s="8"/>
      <c r="M462" s="8"/>
    </row>
    <row r="463" spans="1:13">
      <c r="A463" s="71" t="s">
        <v>4102</v>
      </c>
      <c r="B463" s="67">
        <v>32317321821</v>
      </c>
      <c r="C463" s="72"/>
      <c r="D463" s="69"/>
      <c r="E463" s="9">
        <v>292</v>
      </c>
      <c r="F463" s="25">
        <v>43168</v>
      </c>
      <c r="G463" s="70" t="s">
        <v>3356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4103</v>
      </c>
      <c r="B464" s="67">
        <v>35629470892</v>
      </c>
      <c r="C464" s="72"/>
      <c r="D464" s="69"/>
      <c r="E464" s="9">
        <v>443</v>
      </c>
      <c r="F464" s="25">
        <v>43188</v>
      </c>
      <c r="G464" s="70"/>
      <c r="H464" s="9"/>
      <c r="I464" s="8"/>
      <c r="J464" s="8"/>
      <c r="K464" s="8"/>
      <c r="L464" s="8"/>
      <c r="M464" s="8"/>
    </row>
    <row r="465" spans="1:13">
      <c r="A465" s="13" t="s">
        <v>4104</v>
      </c>
      <c r="B465" s="67">
        <v>31367730805</v>
      </c>
      <c r="C465" s="68" t="s">
        <v>4105</v>
      </c>
      <c r="D465" s="69">
        <v>39532354867</v>
      </c>
      <c r="E465" s="9">
        <v>1350</v>
      </c>
      <c r="F465" s="25">
        <v>43006</v>
      </c>
      <c r="G465" s="70" t="s">
        <v>3356</v>
      </c>
      <c r="H465" s="9"/>
      <c r="I465" s="8"/>
      <c r="J465" s="8"/>
      <c r="K465" s="8"/>
      <c r="L465" s="8"/>
      <c r="M465" s="8"/>
    </row>
    <row r="466" spans="1:13">
      <c r="A466" s="71" t="s">
        <v>4106</v>
      </c>
      <c r="B466" s="67">
        <v>5579867611</v>
      </c>
      <c r="C466" s="72" t="s">
        <v>4107</v>
      </c>
      <c r="D466" s="69">
        <v>40051815893</v>
      </c>
      <c r="E466" s="9"/>
      <c r="F466" s="25"/>
      <c r="G466" s="70"/>
      <c r="H466" s="9"/>
      <c r="I466" s="8"/>
      <c r="J466" s="8"/>
      <c r="K466" s="8"/>
      <c r="L466" s="8"/>
      <c r="M466" s="8"/>
    </row>
    <row r="467" spans="1:13">
      <c r="A467" s="14" t="s">
        <v>4108</v>
      </c>
      <c r="B467" s="67">
        <v>17118545813</v>
      </c>
      <c r="C467" s="72" t="s">
        <v>4109</v>
      </c>
      <c r="D467" s="69">
        <v>29932279803</v>
      </c>
      <c r="E467" s="9">
        <v>262</v>
      </c>
      <c r="F467" s="25">
        <v>43160</v>
      </c>
      <c r="G467" s="70" t="s">
        <v>3356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71" t="s">
        <v>4110</v>
      </c>
      <c r="B468" s="67">
        <v>35031003855</v>
      </c>
      <c r="C468" s="72" t="s">
        <v>4111</v>
      </c>
      <c r="D468" s="69">
        <v>41246529840</v>
      </c>
      <c r="E468" s="9">
        <v>1422</v>
      </c>
      <c r="F468" s="25">
        <v>43018</v>
      </c>
      <c r="G468" s="70" t="s">
        <v>3356</v>
      </c>
      <c r="H468" s="9"/>
      <c r="I468" s="8"/>
      <c r="J468" s="8"/>
      <c r="K468" s="8"/>
      <c r="L468" s="8"/>
      <c r="M468" s="8"/>
    </row>
    <row r="469" spans="1:13">
      <c r="A469" s="32" t="s">
        <v>4112</v>
      </c>
      <c r="B469" s="67">
        <v>17803718884</v>
      </c>
      <c r="C469" s="32" t="s">
        <v>4113</v>
      </c>
      <c r="D469" s="69">
        <v>364628880</v>
      </c>
      <c r="E469" s="9">
        <v>1570</v>
      </c>
      <c r="F469" s="25">
        <v>43077</v>
      </c>
      <c r="G469" s="70" t="s">
        <v>3356</v>
      </c>
      <c r="H469" s="9"/>
      <c r="I469" s="8"/>
      <c r="J469" s="8"/>
      <c r="K469" s="8"/>
      <c r="L469" s="8"/>
      <c r="M469" s="8"/>
    </row>
    <row r="470" spans="1:13">
      <c r="A470" s="71" t="s">
        <v>4114</v>
      </c>
      <c r="B470" s="67">
        <v>99990792534</v>
      </c>
      <c r="C470" s="72"/>
      <c r="D470" s="69"/>
      <c r="E470" s="9">
        <v>117</v>
      </c>
      <c r="F470" s="25">
        <v>43117</v>
      </c>
      <c r="G470" s="70" t="s">
        <v>3356</v>
      </c>
      <c r="H470" s="9"/>
      <c r="I470" s="8"/>
      <c r="J470" s="8"/>
      <c r="K470" s="8"/>
      <c r="L470" s="9" t="s">
        <v>3507</v>
      </c>
      <c r="M470" s="8"/>
    </row>
    <row r="471" spans="1:13">
      <c r="A471" s="13" t="s">
        <v>4115</v>
      </c>
      <c r="B471" s="67">
        <v>26479067851</v>
      </c>
      <c r="C471" s="68"/>
      <c r="D471" s="69"/>
      <c r="E471" s="9">
        <v>1128</v>
      </c>
      <c r="F471" s="25">
        <v>42972</v>
      </c>
      <c r="G471" s="70" t="s">
        <v>3356</v>
      </c>
      <c r="H471" s="9"/>
      <c r="I471" s="8"/>
      <c r="J471" s="8"/>
      <c r="K471" s="8"/>
      <c r="L471" s="8"/>
      <c r="M471" s="8"/>
    </row>
    <row r="472" spans="1:13">
      <c r="A472" s="71" t="s">
        <v>4116</v>
      </c>
      <c r="B472" s="67">
        <v>27206842879</v>
      </c>
      <c r="C472" s="72"/>
      <c r="D472" s="69"/>
      <c r="E472" s="9">
        <v>1267</v>
      </c>
      <c r="F472" s="25">
        <v>42998</v>
      </c>
      <c r="G472" s="70" t="s">
        <v>3356</v>
      </c>
      <c r="H472" s="9"/>
      <c r="I472" s="8"/>
      <c r="J472" s="8"/>
      <c r="K472" s="8"/>
      <c r="L472" s="8"/>
      <c r="M472" s="8"/>
    </row>
    <row r="473" spans="1:13">
      <c r="A473" s="29" t="s">
        <v>4117</v>
      </c>
      <c r="B473" s="67">
        <v>22740303831</v>
      </c>
      <c r="C473" s="18" t="s">
        <v>3466</v>
      </c>
      <c r="D473" s="69"/>
      <c r="E473" s="9"/>
      <c r="F473" s="25"/>
      <c r="G473" s="70"/>
      <c r="H473" s="9"/>
      <c r="I473" s="8"/>
      <c r="J473" s="8"/>
      <c r="K473" s="8"/>
      <c r="L473" s="8"/>
      <c r="M473" s="8"/>
    </row>
    <row r="474" spans="1:13">
      <c r="A474" s="71" t="s">
        <v>4118</v>
      </c>
      <c r="B474" s="67">
        <v>35482535800</v>
      </c>
      <c r="C474" s="72" t="s">
        <v>4119</v>
      </c>
      <c r="D474" s="69">
        <v>31593139802</v>
      </c>
      <c r="E474" s="9">
        <v>262</v>
      </c>
      <c r="F474" s="25">
        <v>43160</v>
      </c>
      <c r="G474" s="70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71" t="s">
        <v>4120</v>
      </c>
      <c r="B475" s="67">
        <v>22213116806</v>
      </c>
      <c r="C475" s="72" t="s">
        <v>4121</v>
      </c>
      <c r="D475" s="69">
        <v>17530281836</v>
      </c>
      <c r="E475" s="9"/>
      <c r="F475" s="25"/>
      <c r="G475" s="70"/>
      <c r="H475" s="9"/>
      <c r="I475" s="8"/>
      <c r="J475" s="8"/>
      <c r="K475" s="8"/>
      <c r="L475" s="8"/>
      <c r="M475" s="8"/>
    </row>
    <row r="476" spans="1:13">
      <c r="A476" s="29" t="s">
        <v>4122</v>
      </c>
      <c r="B476" s="67">
        <v>22168840814</v>
      </c>
      <c r="C476" s="29" t="s">
        <v>4123</v>
      </c>
      <c r="D476" s="69">
        <v>31079104810</v>
      </c>
      <c r="E476" s="9"/>
      <c r="F476" s="25"/>
      <c r="G476" s="70"/>
      <c r="H476" s="9"/>
      <c r="I476" s="8"/>
      <c r="J476" s="8"/>
      <c r="K476" s="8"/>
      <c r="L476" s="8"/>
      <c r="M476" s="8"/>
    </row>
    <row r="477" spans="1:13">
      <c r="A477" s="18" t="s">
        <v>4124</v>
      </c>
      <c r="B477" s="67">
        <v>30609785818</v>
      </c>
      <c r="C477" s="18" t="s">
        <v>4125</v>
      </c>
      <c r="D477" s="69">
        <v>89844122872</v>
      </c>
      <c r="E477" s="9"/>
      <c r="F477" s="25"/>
      <c r="G477" s="70"/>
      <c r="H477" s="9"/>
      <c r="I477" s="8"/>
      <c r="J477" s="8"/>
      <c r="K477" s="8"/>
      <c r="L477" s="8"/>
      <c r="M477" s="8"/>
    </row>
    <row r="478" spans="1:13">
      <c r="A478" s="29" t="s">
        <v>4126</v>
      </c>
      <c r="B478" s="67">
        <v>18515704897</v>
      </c>
      <c r="C478" s="18" t="s">
        <v>3466</v>
      </c>
      <c r="D478" s="69"/>
      <c r="E478" s="9"/>
      <c r="F478" s="25"/>
      <c r="G478" s="70"/>
      <c r="H478" s="9"/>
      <c r="I478" s="8"/>
      <c r="J478" s="8"/>
      <c r="K478" s="8"/>
      <c r="L478" s="8"/>
      <c r="M478" s="8"/>
    </row>
    <row r="479" spans="1:13">
      <c r="A479" s="72" t="s">
        <v>4127</v>
      </c>
      <c r="B479" s="67">
        <v>14683022800</v>
      </c>
      <c r="C479" s="72" t="s">
        <v>4128</v>
      </c>
      <c r="D479" s="69">
        <v>6617596870</v>
      </c>
      <c r="E479" s="9"/>
      <c r="F479" s="25"/>
      <c r="G479" s="70"/>
      <c r="H479" s="9"/>
      <c r="I479" s="8"/>
      <c r="J479" s="8"/>
      <c r="K479" s="8"/>
      <c r="L479" s="8"/>
      <c r="M479" s="8"/>
    </row>
    <row r="480" spans="1:13">
      <c r="A480" s="71" t="s">
        <v>4129</v>
      </c>
      <c r="B480" s="67">
        <v>98984349534</v>
      </c>
      <c r="C480" s="72"/>
      <c r="D480" s="69"/>
      <c r="E480" s="9"/>
      <c r="F480" s="25"/>
      <c r="G480" s="70"/>
      <c r="H480" s="9"/>
      <c r="I480" s="8"/>
      <c r="J480" s="8"/>
      <c r="K480" s="8"/>
      <c r="L480" s="8"/>
      <c r="M480" s="8"/>
    </row>
    <row r="481" spans="1:13">
      <c r="A481" s="71" t="s">
        <v>4130</v>
      </c>
      <c r="B481" s="67">
        <v>25196350888</v>
      </c>
      <c r="C481" s="72"/>
      <c r="D481" s="69"/>
      <c r="E481" s="9">
        <v>292</v>
      </c>
      <c r="F481" s="25">
        <v>43168</v>
      </c>
      <c r="G481" s="70" t="s">
        <v>3356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4131</v>
      </c>
      <c r="B482" s="67">
        <v>17120173812</v>
      </c>
      <c r="C482" s="72"/>
      <c r="D482" s="69"/>
      <c r="E482" s="9"/>
      <c r="F482" s="25"/>
      <c r="G482" s="70"/>
      <c r="H482" s="9"/>
      <c r="I482" s="8"/>
      <c r="J482" s="8"/>
      <c r="K482" s="8"/>
      <c r="L482" s="8"/>
      <c r="M482" s="8"/>
    </row>
    <row r="483" spans="1:13">
      <c r="A483" s="29" t="s">
        <v>4132</v>
      </c>
      <c r="B483" s="67"/>
      <c r="C483" s="29" t="s">
        <v>3466</v>
      </c>
      <c r="D483" s="69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71" t="s">
        <v>4133</v>
      </c>
      <c r="B484" s="67">
        <v>38285179869</v>
      </c>
      <c r="C484" s="72"/>
      <c r="D484" s="69"/>
      <c r="E484" s="9">
        <v>1752</v>
      </c>
      <c r="F484" s="25">
        <v>43051</v>
      </c>
      <c r="G484" s="70" t="s">
        <v>3356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4134</v>
      </c>
      <c r="B485" s="67">
        <v>78767377572</v>
      </c>
      <c r="C485" s="72"/>
      <c r="D485" s="69"/>
      <c r="E485" s="9">
        <v>85</v>
      </c>
      <c r="F485" s="25">
        <v>43109</v>
      </c>
      <c r="G485" s="70" t="s">
        <v>3356</v>
      </c>
      <c r="H485" s="25">
        <v>43151</v>
      </c>
      <c r="I485" s="8"/>
      <c r="J485" s="8"/>
      <c r="K485" s="8"/>
      <c r="L485" s="8"/>
      <c r="M485" s="8"/>
    </row>
    <row r="486" spans="1:13">
      <c r="A486" s="71" t="s">
        <v>4135</v>
      </c>
      <c r="B486" s="67">
        <v>93945507553</v>
      </c>
      <c r="C486" s="72"/>
      <c r="D486" s="69"/>
      <c r="E486" s="9">
        <v>292</v>
      </c>
      <c r="F486" s="25">
        <v>43168</v>
      </c>
      <c r="G486" s="9" t="s">
        <v>3356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4136</v>
      </c>
      <c r="B487" s="67">
        <v>23648065858</v>
      </c>
      <c r="C487" s="72"/>
      <c r="D487" s="69"/>
      <c r="E487" s="9">
        <v>1489</v>
      </c>
      <c r="F487" s="25">
        <v>43038</v>
      </c>
      <c r="G487" s="70" t="s">
        <v>3356</v>
      </c>
      <c r="H487" s="9"/>
      <c r="I487" s="8"/>
      <c r="J487" s="8"/>
      <c r="K487" s="8"/>
      <c r="L487" s="9" t="s">
        <v>3497</v>
      </c>
      <c r="M487" s="8"/>
    </row>
    <row r="488" spans="1:13">
      <c r="A488" s="13" t="s">
        <v>4137</v>
      </c>
      <c r="B488" s="67">
        <v>44298003833</v>
      </c>
      <c r="C488" s="72"/>
      <c r="D488" s="69"/>
      <c r="E488" s="9">
        <v>1350</v>
      </c>
      <c r="F488" s="25">
        <v>43006</v>
      </c>
      <c r="G488" s="70" t="s">
        <v>3356</v>
      </c>
      <c r="H488" s="9"/>
      <c r="I488" s="8"/>
      <c r="J488" s="8"/>
      <c r="K488" s="8"/>
      <c r="L488" s="8"/>
      <c r="M488" s="8"/>
    </row>
    <row r="489" spans="1:13">
      <c r="A489" s="71" t="s">
        <v>4138</v>
      </c>
      <c r="B489" s="67">
        <v>36664921855</v>
      </c>
      <c r="C489" s="72" t="s">
        <v>4139</v>
      </c>
      <c r="D489" s="69">
        <v>28495923823</v>
      </c>
      <c r="E489" s="9">
        <v>117</v>
      </c>
      <c r="F489" s="25">
        <v>43117</v>
      </c>
      <c r="G489" s="70" t="s">
        <v>3362</v>
      </c>
      <c r="H489" s="9"/>
      <c r="I489" s="8"/>
      <c r="J489" s="8"/>
      <c r="K489" s="8"/>
      <c r="L489" s="9" t="s">
        <v>3507</v>
      </c>
      <c r="M489" s="8"/>
    </row>
    <row r="490" spans="1:13">
      <c r="A490" s="79" t="s">
        <v>4140</v>
      </c>
      <c r="B490" s="80">
        <v>22561317854</v>
      </c>
      <c r="C490" s="81" t="s">
        <v>4141</v>
      </c>
      <c r="D490" s="82">
        <v>26718748803</v>
      </c>
      <c r="E490" s="47">
        <v>1106</v>
      </c>
      <c r="F490" s="48">
        <v>42965</v>
      </c>
      <c r="G490" s="83" t="s">
        <v>3362</v>
      </c>
      <c r="H490" s="47"/>
      <c r="I490" s="49"/>
      <c r="J490" s="49"/>
      <c r="K490" s="49"/>
      <c r="L490" s="49"/>
      <c r="M490" s="49"/>
    </row>
    <row r="491" spans="1:13">
      <c r="A491" s="15" t="s">
        <v>4142</v>
      </c>
      <c r="B491" s="67">
        <v>34870463857</v>
      </c>
      <c r="C491" s="72" t="s">
        <v>4143</v>
      </c>
      <c r="D491" s="69">
        <v>7049816531</v>
      </c>
      <c r="E491" s="9">
        <v>292</v>
      </c>
      <c r="F491" s="25">
        <v>43168</v>
      </c>
      <c r="G491" s="70" t="s">
        <v>3356</v>
      </c>
      <c r="H491" s="9"/>
      <c r="I491" s="8"/>
      <c r="J491" s="8"/>
      <c r="K491" s="8"/>
      <c r="L491" s="9">
        <v>318</v>
      </c>
      <c r="M491" s="8"/>
    </row>
    <row r="492" spans="1:13">
      <c r="A492" s="71" t="s">
        <v>4144</v>
      </c>
      <c r="B492" s="67">
        <v>35225854885</v>
      </c>
      <c r="C492" s="72" t="s">
        <v>4145</v>
      </c>
      <c r="D492" s="69">
        <v>12690641852</v>
      </c>
      <c r="E492" s="9"/>
      <c r="F492" s="25"/>
      <c r="G492" s="70"/>
      <c r="H492" s="9"/>
      <c r="I492" s="8"/>
      <c r="J492" s="8"/>
      <c r="K492" s="8"/>
      <c r="L492" s="8"/>
      <c r="M492" s="8"/>
    </row>
    <row r="493" spans="1:13">
      <c r="A493" s="71" t="s">
        <v>4146</v>
      </c>
      <c r="B493" s="67">
        <v>35010044862</v>
      </c>
      <c r="C493" s="72"/>
      <c r="D493" s="69"/>
      <c r="E493" s="9">
        <v>1752</v>
      </c>
      <c r="F493" s="25">
        <v>43051</v>
      </c>
      <c r="G493" s="70" t="s">
        <v>3356</v>
      </c>
      <c r="H493" s="9"/>
      <c r="I493" s="8"/>
      <c r="J493" s="8"/>
      <c r="K493" s="8"/>
      <c r="L493" s="9">
        <v>1759</v>
      </c>
      <c r="M493" s="8"/>
    </row>
    <row r="494" spans="1:13">
      <c r="A494" s="71" t="s">
        <v>4147</v>
      </c>
      <c r="B494" s="67">
        <v>35929092826</v>
      </c>
      <c r="C494" s="72" t="s">
        <v>4148</v>
      </c>
      <c r="D494" s="69">
        <v>29462804893</v>
      </c>
      <c r="E494" s="9">
        <v>1267</v>
      </c>
      <c r="F494" s="25">
        <v>42998</v>
      </c>
      <c r="G494" s="70" t="s">
        <v>3356</v>
      </c>
      <c r="H494" s="9"/>
      <c r="I494" s="8"/>
      <c r="J494" s="8"/>
      <c r="K494" s="8"/>
      <c r="L494" s="8"/>
      <c r="M494" s="8"/>
    </row>
    <row r="495" spans="1:13">
      <c r="A495" s="71" t="s">
        <v>4149</v>
      </c>
      <c r="B495" s="67">
        <v>23232479804</v>
      </c>
      <c r="C495" s="72"/>
      <c r="D495" s="69"/>
      <c r="E495" s="9"/>
      <c r="F495" s="25"/>
      <c r="G495" s="70"/>
      <c r="H495" s="9"/>
      <c r="I495" s="8"/>
      <c r="J495" s="8"/>
      <c r="K495" s="8"/>
      <c r="L495" s="8"/>
      <c r="M495" s="8"/>
    </row>
    <row r="496" spans="1:13">
      <c r="A496" s="71" t="s">
        <v>4150</v>
      </c>
      <c r="B496" s="67">
        <v>13240252805</v>
      </c>
      <c r="C496" s="72"/>
      <c r="D496" s="69"/>
      <c r="E496" s="9"/>
      <c r="F496" s="25"/>
      <c r="G496" s="70"/>
      <c r="H496" s="9"/>
      <c r="I496" s="8"/>
      <c r="J496" s="8"/>
      <c r="K496" s="8"/>
      <c r="L496" s="8"/>
      <c r="M496" s="8"/>
    </row>
    <row r="497" spans="1:13">
      <c r="A497" s="71" t="s">
        <v>4151</v>
      </c>
      <c r="B497" s="67">
        <v>15751265831</v>
      </c>
      <c r="C497" s="77"/>
      <c r="D497" s="69"/>
      <c r="E497" s="9"/>
      <c r="F497" s="25"/>
      <c r="G497" s="70"/>
      <c r="H497" s="9"/>
      <c r="I497" s="8"/>
      <c r="J497" s="8"/>
      <c r="K497" s="8"/>
      <c r="L497" s="8"/>
      <c r="M497" s="8"/>
    </row>
    <row r="498" spans="1:13">
      <c r="A498" s="15" t="s">
        <v>4152</v>
      </c>
      <c r="B498" s="67">
        <v>3182701452</v>
      </c>
      <c r="C498" s="72"/>
      <c r="D498" s="69"/>
      <c r="E498" s="9">
        <v>85</v>
      </c>
      <c r="F498" s="25">
        <v>43109</v>
      </c>
      <c r="G498" s="70" t="s">
        <v>3356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4153</v>
      </c>
      <c r="B499" s="67">
        <v>23564937862</v>
      </c>
      <c r="C499" s="72"/>
      <c r="D499" s="69"/>
      <c r="E499" s="9">
        <v>85</v>
      </c>
      <c r="F499" s="25">
        <v>43109</v>
      </c>
      <c r="G499" s="70" t="s">
        <v>3370</v>
      </c>
      <c r="H499" s="25">
        <v>43151</v>
      </c>
      <c r="I499" s="8"/>
      <c r="J499" s="8"/>
      <c r="K499" s="8"/>
      <c r="L499" s="8"/>
      <c r="M499" s="8"/>
    </row>
    <row r="500" spans="1:13">
      <c r="A500" s="71" t="s">
        <v>4154</v>
      </c>
      <c r="B500" s="67">
        <v>35256834568</v>
      </c>
      <c r="C500" s="72"/>
      <c r="D500" s="69"/>
      <c r="E500" s="9"/>
      <c r="F500" s="25"/>
      <c r="G500" s="70"/>
      <c r="H500" s="9"/>
      <c r="I500" s="8"/>
      <c r="J500" s="8"/>
      <c r="K500" s="8"/>
      <c r="L500" s="8"/>
      <c r="M500" s="8"/>
    </row>
    <row r="501" spans="1:13">
      <c r="A501" s="71" t="s">
        <v>4155</v>
      </c>
      <c r="B501" s="67">
        <v>24660726886</v>
      </c>
      <c r="C501" s="72" t="s">
        <v>4156</v>
      </c>
      <c r="D501" s="69">
        <v>96400951504</v>
      </c>
      <c r="E501" s="9">
        <v>292</v>
      </c>
      <c r="F501" s="25">
        <v>43168</v>
      </c>
      <c r="G501" s="70" t="s">
        <v>3362</v>
      </c>
      <c r="H501" s="9"/>
      <c r="I501" s="8"/>
      <c r="J501" s="8"/>
      <c r="K501" s="8"/>
      <c r="L501" s="9">
        <v>318</v>
      </c>
      <c r="M501" s="8"/>
    </row>
    <row r="502" spans="1:13">
      <c r="A502" s="72" t="s">
        <v>4157</v>
      </c>
      <c r="B502" s="69">
        <v>27863381827</v>
      </c>
      <c r="C502" s="71" t="s">
        <v>4158</v>
      </c>
      <c r="D502" s="67">
        <v>32370356880</v>
      </c>
      <c r="E502" s="9"/>
      <c r="F502" s="25"/>
      <c r="G502" s="70"/>
      <c r="H502" s="9"/>
      <c r="I502" s="8"/>
      <c r="J502" s="8"/>
      <c r="K502" s="8"/>
      <c r="L502" s="8"/>
      <c r="M502" s="8"/>
    </row>
    <row r="503" spans="1:13">
      <c r="A503" s="72" t="s">
        <v>4159</v>
      </c>
      <c r="B503" s="67">
        <v>26551744885</v>
      </c>
      <c r="C503" s="72"/>
      <c r="D503" s="69"/>
      <c r="E503" s="9">
        <v>1752</v>
      </c>
      <c r="F503" s="25">
        <v>43051</v>
      </c>
      <c r="G503" s="70" t="s">
        <v>3356</v>
      </c>
      <c r="H503" s="9"/>
      <c r="I503" s="8"/>
      <c r="J503" s="8"/>
      <c r="K503" s="8"/>
      <c r="L503" s="9">
        <v>1759</v>
      </c>
      <c r="M503" s="8"/>
    </row>
    <row r="504" spans="1:13">
      <c r="A504" s="72" t="s">
        <v>4160</v>
      </c>
      <c r="B504" s="67">
        <v>8177529609</v>
      </c>
      <c r="C504" s="72"/>
      <c r="D504" s="69"/>
      <c r="E504" s="9"/>
      <c r="F504" s="25"/>
      <c r="G504" s="70"/>
      <c r="H504" s="9"/>
      <c r="I504" s="8"/>
      <c r="J504" s="8"/>
      <c r="K504" s="8"/>
      <c r="L504" s="8"/>
      <c r="M504" s="8"/>
    </row>
    <row r="505" spans="1:13">
      <c r="A505" s="71" t="s">
        <v>4161</v>
      </c>
      <c r="B505" s="67">
        <v>25856034821</v>
      </c>
      <c r="C505" s="72" t="s">
        <v>4162</v>
      </c>
      <c r="D505" s="69">
        <v>74821083353</v>
      </c>
      <c r="E505" s="9">
        <v>810</v>
      </c>
      <c r="F505" s="25">
        <v>42915</v>
      </c>
      <c r="G505" s="70" t="s">
        <v>3356</v>
      </c>
      <c r="H505" s="9"/>
      <c r="I505" s="8"/>
      <c r="J505" s="8"/>
      <c r="K505" s="8"/>
      <c r="L505" s="9" t="s">
        <v>3475</v>
      </c>
      <c r="M505" s="8"/>
    </row>
    <row r="506" spans="1:13">
      <c r="A506" s="71" t="s">
        <v>4163</v>
      </c>
      <c r="B506" s="67">
        <v>17011991816</v>
      </c>
      <c r="C506" s="77"/>
      <c r="D506" s="69"/>
      <c r="E506" s="9">
        <v>563</v>
      </c>
      <c r="F506" s="25">
        <v>43217</v>
      </c>
      <c r="G506" s="70"/>
      <c r="H506" s="9"/>
      <c r="I506" s="8"/>
      <c r="J506" s="8"/>
      <c r="K506" s="8"/>
      <c r="L506" s="9" t="s">
        <v>3636</v>
      </c>
      <c r="M506" s="8"/>
    </row>
    <row r="507" spans="1:13">
      <c r="A507" s="71" t="s">
        <v>4164</v>
      </c>
      <c r="B507" s="67">
        <v>39806127838</v>
      </c>
      <c r="C507" s="73"/>
      <c r="D507" s="69"/>
      <c r="E507" s="9"/>
      <c r="F507" s="25"/>
      <c r="G507" s="70"/>
      <c r="H507" s="9"/>
      <c r="I507" s="8"/>
      <c r="J507" s="8"/>
      <c r="K507" s="8"/>
      <c r="L507" s="8"/>
      <c r="M507" s="8"/>
    </row>
    <row r="508" spans="1:13">
      <c r="A508" s="15" t="s">
        <v>4165</v>
      </c>
      <c r="B508" s="67">
        <v>33557321843</v>
      </c>
      <c r="C508" s="72"/>
      <c r="D508" s="69"/>
      <c r="E508" s="9">
        <v>563</v>
      </c>
      <c r="F508" s="25">
        <v>43217</v>
      </c>
      <c r="G508" s="70"/>
      <c r="H508" s="9"/>
      <c r="I508" s="8"/>
      <c r="J508" s="8"/>
      <c r="K508" s="8"/>
      <c r="L508" s="9" t="s">
        <v>3636</v>
      </c>
      <c r="M508" s="8"/>
    </row>
    <row r="509" spans="1:13">
      <c r="A509" s="29" t="s">
        <v>4166</v>
      </c>
      <c r="B509" s="67">
        <v>4802267843</v>
      </c>
      <c r="C509" s="29" t="s">
        <v>4167</v>
      </c>
      <c r="D509" s="69">
        <v>39952851472</v>
      </c>
      <c r="E509" s="9"/>
      <c r="F509" s="25"/>
      <c r="G509" s="70"/>
      <c r="H509" s="9"/>
      <c r="I509" s="8"/>
      <c r="J509" s="8"/>
      <c r="K509" s="8"/>
      <c r="L509" s="8"/>
      <c r="M509" s="8"/>
    </row>
    <row r="510" spans="1:13">
      <c r="A510" s="71" t="s">
        <v>4168</v>
      </c>
      <c r="B510" s="67">
        <v>6672502807</v>
      </c>
      <c r="C510" s="72" t="s">
        <v>4169</v>
      </c>
      <c r="D510" s="69">
        <v>3948605866</v>
      </c>
      <c r="E510" s="9">
        <v>563</v>
      </c>
      <c r="F510" s="25">
        <v>43217</v>
      </c>
      <c r="G510" s="70"/>
      <c r="H510" s="9"/>
      <c r="I510" s="8"/>
      <c r="J510" s="8"/>
      <c r="K510" s="8"/>
      <c r="L510" s="9" t="s">
        <v>3636</v>
      </c>
      <c r="M510" s="8"/>
    </row>
    <row r="511" spans="1:13">
      <c r="A511" s="18" t="s">
        <v>4170</v>
      </c>
      <c r="B511" s="67">
        <v>22596504812</v>
      </c>
      <c r="C511" s="18"/>
      <c r="D511" s="69"/>
      <c r="E511" s="9"/>
      <c r="F511" s="25"/>
      <c r="G511" s="70"/>
      <c r="H511" s="9"/>
      <c r="I511" s="8"/>
      <c r="J511" s="8"/>
      <c r="K511" s="8"/>
      <c r="L511" s="8"/>
      <c r="M511" s="8"/>
    </row>
    <row r="512" spans="1:13">
      <c r="A512" s="14" t="s">
        <v>4171</v>
      </c>
      <c r="B512" s="67">
        <v>33697197894</v>
      </c>
      <c r="C512" s="72"/>
      <c r="D512" s="69"/>
      <c r="E512" s="9">
        <v>443</v>
      </c>
      <c r="F512" s="25">
        <v>43188</v>
      </c>
      <c r="G512" s="70"/>
      <c r="H512" s="9"/>
      <c r="I512" s="8"/>
      <c r="J512" s="8"/>
      <c r="K512" s="8"/>
      <c r="L512" s="8"/>
      <c r="M512" s="8"/>
    </row>
    <row r="513" spans="1:13">
      <c r="A513" s="29" t="s">
        <v>4172</v>
      </c>
      <c r="B513" s="67">
        <v>37233245843</v>
      </c>
      <c r="C513" s="29" t="s">
        <v>4173</v>
      </c>
      <c r="D513" s="69">
        <v>35653055840</v>
      </c>
      <c r="E513" s="9"/>
      <c r="F513" s="25"/>
      <c r="G513" s="70"/>
      <c r="H513" s="9"/>
      <c r="I513" s="8"/>
      <c r="J513" s="8"/>
      <c r="K513" s="8"/>
      <c r="L513" s="8"/>
      <c r="M513" s="8"/>
    </row>
    <row r="514" spans="1:13">
      <c r="A514" s="15" t="s">
        <v>4174</v>
      </c>
      <c r="B514" s="67">
        <v>16381918837</v>
      </c>
      <c r="C514" s="72"/>
      <c r="D514" s="69"/>
      <c r="E514" s="9"/>
      <c r="F514" s="25"/>
      <c r="G514" s="70"/>
      <c r="H514" s="9"/>
      <c r="I514" s="8"/>
      <c r="J514" s="8"/>
      <c r="K514" s="8"/>
      <c r="L514" s="8"/>
      <c r="M514" s="8"/>
    </row>
    <row r="515" spans="1:13">
      <c r="A515" s="71" t="s">
        <v>4175</v>
      </c>
      <c r="B515" s="67">
        <v>33456412835</v>
      </c>
      <c r="C515" s="72" t="s">
        <v>4176</v>
      </c>
      <c r="D515" s="69">
        <v>9387669882</v>
      </c>
      <c r="E515" s="9">
        <v>229</v>
      </c>
      <c r="F515" s="25">
        <v>43151</v>
      </c>
      <c r="G515" s="70" t="s">
        <v>3370</v>
      </c>
      <c r="H515" s="9"/>
      <c r="I515" s="8"/>
      <c r="J515" s="8"/>
      <c r="K515" s="8"/>
      <c r="L515" s="9">
        <v>232</v>
      </c>
      <c r="M515" s="8"/>
    </row>
    <row r="516" spans="1:13">
      <c r="A516" s="71" t="s">
        <v>4177</v>
      </c>
      <c r="B516" s="67">
        <v>32093394812</v>
      </c>
      <c r="C516" s="72"/>
      <c r="D516" s="69"/>
      <c r="E516" s="9">
        <v>1106</v>
      </c>
      <c r="F516" s="25">
        <v>42965</v>
      </c>
      <c r="G516" s="70" t="s">
        <v>3356</v>
      </c>
      <c r="H516" s="9"/>
      <c r="I516" s="8"/>
      <c r="J516" s="8"/>
      <c r="K516" s="8"/>
      <c r="L516" s="8"/>
      <c r="M516" s="8"/>
    </row>
    <row r="517" spans="1:13">
      <c r="A517" s="72" t="s">
        <v>4178</v>
      </c>
      <c r="B517" s="67">
        <v>10317452894</v>
      </c>
      <c r="C517" s="72" t="s">
        <v>4179</v>
      </c>
      <c r="D517" s="69">
        <v>16527669879</v>
      </c>
      <c r="E517" s="9"/>
      <c r="F517" s="25"/>
      <c r="G517" s="70"/>
      <c r="H517" s="9"/>
      <c r="I517" s="8"/>
      <c r="J517" s="8"/>
      <c r="K517" s="8"/>
      <c r="L517" s="8"/>
      <c r="M517" s="8"/>
    </row>
    <row r="518" spans="1:13">
      <c r="A518" s="71" t="s">
        <v>4180</v>
      </c>
      <c r="B518" s="67">
        <v>2554491860</v>
      </c>
      <c r="C518" s="72"/>
      <c r="D518" s="69"/>
      <c r="E518" s="9">
        <v>1106</v>
      </c>
      <c r="F518" s="25">
        <v>42965</v>
      </c>
      <c r="G518" s="70" t="s">
        <v>3356</v>
      </c>
      <c r="H518" s="9"/>
      <c r="I518" s="8"/>
      <c r="J518" s="8"/>
      <c r="K518" s="8"/>
      <c r="L518" s="8"/>
      <c r="M518" s="8"/>
    </row>
    <row r="519" spans="1:13">
      <c r="A519" s="29" t="s">
        <v>4181</v>
      </c>
      <c r="B519" s="67"/>
      <c r="C519" s="29" t="s">
        <v>4182</v>
      </c>
      <c r="D519" s="69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4183</v>
      </c>
      <c r="B520" s="67">
        <v>42782953591</v>
      </c>
      <c r="C520" s="72" t="s">
        <v>4184</v>
      </c>
      <c r="D520" s="69">
        <v>53921186587</v>
      </c>
      <c r="E520" s="9">
        <v>85</v>
      </c>
      <c r="F520" s="25">
        <v>43109</v>
      </c>
      <c r="G520" s="70" t="s">
        <v>3356</v>
      </c>
      <c r="H520" s="25">
        <v>43151</v>
      </c>
      <c r="I520" s="8"/>
      <c r="J520" s="8"/>
      <c r="K520" s="8"/>
      <c r="L520" s="8"/>
      <c r="M520" s="8"/>
    </row>
    <row r="521" spans="1:13">
      <c r="A521" s="71" t="s">
        <v>4185</v>
      </c>
      <c r="B521" s="67">
        <v>3086762896</v>
      </c>
      <c r="C521" s="72" t="s">
        <v>4186</v>
      </c>
      <c r="D521" s="69">
        <v>89632877853</v>
      </c>
      <c r="E521" s="9">
        <v>810</v>
      </c>
      <c r="F521" s="25">
        <v>42915</v>
      </c>
      <c r="G521" s="70" t="s">
        <v>3356</v>
      </c>
      <c r="H521" s="9"/>
      <c r="I521" s="8"/>
      <c r="J521" s="8"/>
      <c r="K521" s="8"/>
      <c r="L521" s="9" t="s">
        <v>3475</v>
      </c>
      <c r="M521" s="8"/>
    </row>
    <row r="522" spans="1:13">
      <c r="A522" s="71" t="s">
        <v>4187</v>
      </c>
      <c r="B522" s="67">
        <v>50196529468</v>
      </c>
      <c r="C522" s="72"/>
      <c r="D522" s="69"/>
      <c r="E522" s="9">
        <v>1214</v>
      </c>
      <c r="F522" s="25">
        <v>42989</v>
      </c>
      <c r="G522" s="70" t="s">
        <v>3356</v>
      </c>
      <c r="H522" s="9"/>
      <c r="I522" s="8"/>
      <c r="J522" s="8"/>
      <c r="K522" s="8"/>
      <c r="L522" s="8"/>
      <c r="M522" s="8"/>
    </row>
    <row r="523" spans="1:13">
      <c r="A523" s="13" t="s">
        <v>4188</v>
      </c>
      <c r="B523" s="67">
        <v>28477638802</v>
      </c>
      <c r="C523" s="72"/>
      <c r="D523" s="69"/>
      <c r="E523" s="9">
        <v>1417</v>
      </c>
      <c r="F523" s="25">
        <v>43017</v>
      </c>
      <c r="G523" s="70" t="s">
        <v>3356</v>
      </c>
      <c r="H523" s="9"/>
      <c r="I523" s="8"/>
      <c r="J523" s="8"/>
      <c r="K523" s="8"/>
      <c r="L523" s="9" t="s">
        <v>3590</v>
      </c>
      <c r="M523" s="8"/>
    </row>
    <row r="524" spans="1:13">
      <c r="A524" s="33" t="s">
        <v>4189</v>
      </c>
      <c r="B524" s="67">
        <v>22624049843</v>
      </c>
      <c r="C524" s="32" t="s">
        <v>4190</v>
      </c>
      <c r="D524" s="69">
        <v>32978302801</v>
      </c>
      <c r="E524" s="9">
        <v>1570</v>
      </c>
      <c r="F524" s="25">
        <v>43077</v>
      </c>
      <c r="G524" s="70" t="s">
        <v>3356</v>
      </c>
      <c r="H524" s="9"/>
      <c r="I524" s="8"/>
      <c r="J524" s="8"/>
      <c r="K524" s="8"/>
      <c r="L524" s="8"/>
      <c r="M524" s="8"/>
    </row>
    <row r="525" spans="1:13">
      <c r="A525" s="15" t="s">
        <v>4191</v>
      </c>
      <c r="B525" s="67">
        <v>18668991809</v>
      </c>
      <c r="C525" s="72"/>
      <c r="D525" s="69"/>
      <c r="E525" s="9"/>
      <c r="F525" s="25"/>
      <c r="G525" s="70"/>
      <c r="H525" s="9"/>
      <c r="I525" s="8"/>
      <c r="J525" s="8"/>
      <c r="K525" s="8"/>
      <c r="L525" s="8"/>
      <c r="M525" s="8"/>
    </row>
    <row r="526" spans="1:13">
      <c r="A526" s="71" t="s">
        <v>4192</v>
      </c>
      <c r="B526" s="67">
        <v>36105789807</v>
      </c>
      <c r="C526" s="72"/>
      <c r="D526" s="69"/>
      <c r="E526" s="9">
        <v>1489</v>
      </c>
      <c r="F526" s="25">
        <v>43038</v>
      </c>
      <c r="G526" s="70" t="s">
        <v>3356</v>
      </c>
      <c r="H526" s="9"/>
      <c r="I526" s="8"/>
      <c r="J526" s="8"/>
      <c r="K526" s="8"/>
      <c r="L526" s="9" t="s">
        <v>3497</v>
      </c>
      <c r="M526" s="8"/>
    </row>
    <row r="527" spans="1:13">
      <c r="A527" s="71" t="s">
        <v>4193</v>
      </c>
      <c r="B527" s="67">
        <v>34370634806</v>
      </c>
      <c r="C527" s="72"/>
      <c r="D527" s="69"/>
      <c r="E527" s="9">
        <v>1824</v>
      </c>
      <c r="F527" s="25">
        <v>43091</v>
      </c>
      <c r="G527" s="70" t="s">
        <v>3356</v>
      </c>
      <c r="H527" s="9"/>
      <c r="I527" s="8"/>
      <c r="J527" s="8"/>
      <c r="K527" s="8"/>
      <c r="L527" s="9">
        <v>1828</v>
      </c>
      <c r="M527" s="8"/>
    </row>
    <row r="528" spans="1:13">
      <c r="A528" s="73" t="s">
        <v>4194</v>
      </c>
      <c r="B528" s="67">
        <v>27112847869</v>
      </c>
      <c r="C528" s="72" t="s">
        <v>4195</v>
      </c>
      <c r="D528" s="69">
        <v>37782363420</v>
      </c>
      <c r="E528" s="9">
        <v>1106</v>
      </c>
      <c r="F528" s="25">
        <v>42965</v>
      </c>
      <c r="G528" s="70" t="s">
        <v>3356</v>
      </c>
      <c r="H528" s="9"/>
      <c r="I528" s="8"/>
      <c r="J528" s="8"/>
      <c r="K528" s="8"/>
      <c r="L528" s="8"/>
      <c r="M528" s="8"/>
    </row>
    <row r="529" spans="1:13">
      <c r="A529" s="15" t="s">
        <v>4196</v>
      </c>
      <c r="B529" s="67">
        <v>32811648895</v>
      </c>
      <c r="C529" s="72" t="s">
        <v>4197</v>
      </c>
      <c r="D529" s="69">
        <v>25428395818</v>
      </c>
      <c r="E529" s="9">
        <v>85</v>
      </c>
      <c r="F529" s="25">
        <v>43109</v>
      </c>
      <c r="G529" s="70" t="s">
        <v>3356</v>
      </c>
      <c r="H529" s="25">
        <v>43151</v>
      </c>
      <c r="I529" s="8"/>
      <c r="J529" s="8"/>
      <c r="K529" s="8"/>
      <c r="L529" s="8"/>
      <c r="M529" s="8"/>
    </row>
    <row r="530" spans="1:13">
      <c r="A530" s="71" t="s">
        <v>4198</v>
      </c>
      <c r="B530" s="67">
        <v>12811159835</v>
      </c>
      <c r="C530" s="72" t="s">
        <v>4199</v>
      </c>
      <c r="D530" s="69">
        <v>2185716824</v>
      </c>
      <c r="E530" s="9"/>
      <c r="F530" s="25"/>
      <c r="G530" s="70"/>
      <c r="H530" s="9"/>
      <c r="I530" s="8"/>
      <c r="J530" s="8"/>
      <c r="K530" s="8"/>
      <c r="L530" s="8"/>
      <c r="M530" s="8"/>
    </row>
    <row r="531" spans="1:13">
      <c r="A531" s="72" t="s">
        <v>4200</v>
      </c>
      <c r="B531" s="67">
        <v>30007328885</v>
      </c>
      <c r="C531" s="72"/>
      <c r="D531" s="69"/>
      <c r="E531" s="9"/>
      <c r="F531" s="25"/>
      <c r="G531" s="70"/>
      <c r="H531" s="9"/>
      <c r="I531" s="8"/>
      <c r="J531" s="8"/>
      <c r="K531" s="8"/>
      <c r="L531" s="8"/>
      <c r="M531" s="8"/>
    </row>
    <row r="532" spans="1:13">
      <c r="A532" s="72" t="s">
        <v>4201</v>
      </c>
      <c r="B532" s="67">
        <v>77389913487</v>
      </c>
      <c r="C532" s="72"/>
      <c r="D532" s="69"/>
      <c r="E532" s="9">
        <v>292</v>
      </c>
      <c r="F532" s="25">
        <v>43168</v>
      </c>
      <c r="G532" s="70"/>
      <c r="H532" s="9"/>
      <c r="I532" s="8"/>
      <c r="J532" s="8"/>
      <c r="K532" s="8"/>
      <c r="L532" s="9">
        <v>318</v>
      </c>
      <c r="M532" s="8"/>
    </row>
    <row r="533" spans="1:13">
      <c r="A533" s="18" t="s">
        <v>4202</v>
      </c>
      <c r="B533" s="67">
        <v>83941010468</v>
      </c>
      <c r="C533" s="18" t="s">
        <v>4203</v>
      </c>
      <c r="D533" s="69">
        <v>14270071877</v>
      </c>
      <c r="E533" s="9"/>
      <c r="F533" s="25"/>
      <c r="G533" s="70"/>
      <c r="H533" s="9"/>
      <c r="I533" s="8"/>
      <c r="J533" s="8"/>
      <c r="K533" s="8"/>
      <c r="L533" s="8"/>
      <c r="M533" s="8"/>
    </row>
    <row r="534" spans="1:13">
      <c r="A534" s="29" t="s">
        <v>4204</v>
      </c>
      <c r="B534" s="67">
        <v>43152462808</v>
      </c>
      <c r="C534" s="29" t="s">
        <v>4205</v>
      </c>
      <c r="D534" s="69">
        <v>43215886855</v>
      </c>
      <c r="E534" s="9"/>
      <c r="F534" s="25"/>
      <c r="G534" s="70"/>
      <c r="H534" s="9"/>
      <c r="I534" s="8"/>
      <c r="J534" s="8"/>
      <c r="K534" s="8"/>
      <c r="L534" s="8"/>
      <c r="M534" s="8"/>
    </row>
    <row r="535" spans="1:13">
      <c r="A535" s="14" t="s">
        <v>4206</v>
      </c>
      <c r="B535" s="67">
        <v>42910405800</v>
      </c>
      <c r="C535" s="72"/>
      <c r="D535" s="69"/>
      <c r="E535" s="9"/>
      <c r="F535" s="25"/>
      <c r="G535" s="70"/>
      <c r="H535" s="9"/>
      <c r="I535" s="8"/>
      <c r="J535" s="8"/>
      <c r="K535" s="8"/>
      <c r="L535" s="8"/>
      <c r="M535" s="8"/>
    </row>
    <row r="536" spans="1:13">
      <c r="A536" s="71" t="s">
        <v>4207</v>
      </c>
      <c r="B536" s="67">
        <v>35499203857</v>
      </c>
      <c r="C536" s="72"/>
      <c r="D536" s="69"/>
      <c r="E536" s="9">
        <v>1350</v>
      </c>
      <c r="F536" s="25">
        <v>43006</v>
      </c>
      <c r="G536" s="70" t="s">
        <v>3356</v>
      </c>
      <c r="H536" s="9"/>
      <c r="I536" s="8"/>
      <c r="J536" s="8"/>
      <c r="K536" s="8"/>
      <c r="L536" s="8"/>
      <c r="M536" s="8"/>
    </row>
    <row r="537" spans="1:13">
      <c r="A537" s="29" t="s">
        <v>4208</v>
      </c>
      <c r="B537" s="67"/>
      <c r="C537" s="18" t="s">
        <v>3466</v>
      </c>
      <c r="D537" s="69"/>
      <c r="E537" s="9"/>
      <c r="F537" s="25"/>
      <c r="G537" s="70"/>
      <c r="H537" s="9"/>
      <c r="I537" s="8"/>
      <c r="J537" s="8"/>
      <c r="K537" s="8"/>
      <c r="L537" s="8"/>
      <c r="M537" s="8"/>
    </row>
    <row r="538" spans="1:13">
      <c r="A538" s="15" t="s">
        <v>4209</v>
      </c>
      <c r="B538" s="67">
        <v>41249931886</v>
      </c>
      <c r="C538" s="72" t="s">
        <v>4210</v>
      </c>
      <c r="D538" s="69">
        <v>39982443879</v>
      </c>
      <c r="E538" s="9">
        <v>262</v>
      </c>
      <c r="F538" s="25">
        <v>43160</v>
      </c>
      <c r="G538" s="70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4211</v>
      </c>
      <c r="B539" s="67">
        <v>34361118809</v>
      </c>
      <c r="C539" s="72" t="s">
        <v>4212</v>
      </c>
      <c r="D539" s="69">
        <v>14784595813</v>
      </c>
      <c r="E539" s="9">
        <v>85</v>
      </c>
      <c r="F539" s="25">
        <v>43109</v>
      </c>
      <c r="G539" s="70" t="s">
        <v>3356</v>
      </c>
      <c r="H539" s="25">
        <v>43151</v>
      </c>
      <c r="I539" s="8"/>
      <c r="J539" s="8"/>
      <c r="K539" s="8"/>
      <c r="L539" s="8"/>
      <c r="M539" s="8"/>
    </row>
    <row r="540" spans="1:13">
      <c r="A540" s="71" t="s">
        <v>4213</v>
      </c>
      <c r="B540" s="67">
        <v>32686389885</v>
      </c>
      <c r="C540" s="72"/>
      <c r="D540" s="69"/>
      <c r="E540" s="9">
        <v>1439</v>
      </c>
      <c r="F540" s="25">
        <v>43025</v>
      </c>
      <c r="G540" s="70" t="s">
        <v>3356</v>
      </c>
      <c r="H540" s="9"/>
      <c r="I540" s="8"/>
      <c r="J540" s="8"/>
      <c r="K540" s="8"/>
      <c r="L540" s="9" t="s">
        <v>3838</v>
      </c>
      <c r="M540" s="8"/>
    </row>
    <row r="541" spans="1:13">
      <c r="A541" s="71" t="s">
        <v>4214</v>
      </c>
      <c r="B541" s="67">
        <v>45469747875</v>
      </c>
      <c r="C541" s="72" t="s">
        <v>4215</v>
      </c>
      <c r="D541" s="69">
        <v>39042679816</v>
      </c>
      <c r="E541" s="9">
        <v>117</v>
      </c>
      <c r="F541" s="25">
        <v>43117</v>
      </c>
      <c r="G541" s="70" t="s">
        <v>3356</v>
      </c>
      <c r="H541" s="9"/>
      <c r="I541" s="8"/>
      <c r="J541" s="8"/>
      <c r="K541" s="8"/>
      <c r="L541" s="9" t="s">
        <v>3507</v>
      </c>
      <c r="M541" s="8"/>
    </row>
    <row r="542" spans="1:13">
      <c r="A542" s="71" t="s">
        <v>4216</v>
      </c>
      <c r="B542" s="67">
        <v>28496393895</v>
      </c>
      <c r="C542" s="72"/>
      <c r="D542" s="69"/>
      <c r="E542" s="9"/>
      <c r="F542" s="25"/>
      <c r="G542" s="70"/>
      <c r="H542" s="9"/>
      <c r="I542" s="8"/>
      <c r="J542" s="8"/>
      <c r="K542" s="8"/>
      <c r="L542" s="8"/>
      <c r="M542" s="8"/>
    </row>
    <row r="543" spans="1:13">
      <c r="A543" s="71" t="s">
        <v>4217</v>
      </c>
      <c r="B543" s="67">
        <v>22347102869</v>
      </c>
      <c r="C543" s="72"/>
      <c r="D543" s="69"/>
      <c r="E543" s="9">
        <v>1824</v>
      </c>
      <c r="F543" s="25">
        <v>43091</v>
      </c>
      <c r="G543" s="70" t="s">
        <v>3356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4218</v>
      </c>
      <c r="B544" s="67">
        <v>33199855822</v>
      </c>
      <c r="C544" s="18" t="s">
        <v>4219</v>
      </c>
      <c r="D544" s="69">
        <v>39123783800</v>
      </c>
      <c r="E544" s="9"/>
      <c r="F544" s="25"/>
      <c r="G544" s="70"/>
      <c r="H544" s="9"/>
      <c r="I544" s="8"/>
      <c r="J544" s="8"/>
      <c r="K544" s="8"/>
      <c r="L544" s="8"/>
      <c r="M544" s="8"/>
    </row>
    <row r="545" spans="1:13">
      <c r="A545" s="18" t="s">
        <v>4220</v>
      </c>
      <c r="B545" s="67">
        <v>32878318870</v>
      </c>
      <c r="C545" s="18" t="s">
        <v>4221</v>
      </c>
      <c r="D545" s="69">
        <v>35310176837</v>
      </c>
      <c r="E545" s="9"/>
      <c r="F545" s="25"/>
      <c r="G545" s="70"/>
      <c r="H545" s="9"/>
      <c r="I545" s="8"/>
      <c r="J545" s="8"/>
      <c r="K545" s="8"/>
      <c r="L545" s="8"/>
      <c r="M545" s="8"/>
    </row>
    <row r="546" spans="1:13">
      <c r="A546" s="71" t="s">
        <v>4222</v>
      </c>
      <c r="B546" s="67">
        <v>36120858830</v>
      </c>
      <c r="C546" s="72"/>
      <c r="D546" s="69"/>
      <c r="E546" s="9">
        <v>292</v>
      </c>
      <c r="F546" s="25">
        <v>43168</v>
      </c>
      <c r="G546" s="70" t="s">
        <v>3356</v>
      </c>
      <c r="H546" s="9"/>
      <c r="I546" s="8"/>
      <c r="J546" s="8"/>
      <c r="K546" s="8"/>
      <c r="L546" s="9">
        <v>318</v>
      </c>
      <c r="M546" s="8"/>
    </row>
    <row r="547" spans="1:13">
      <c r="A547" s="71" t="s">
        <v>4223</v>
      </c>
      <c r="B547" s="67">
        <v>31328839800</v>
      </c>
      <c r="C547" s="72" t="s">
        <v>4224</v>
      </c>
      <c r="D547" s="69">
        <v>13482435898</v>
      </c>
      <c r="E547" s="9">
        <v>262</v>
      </c>
      <c r="F547" s="25">
        <v>43160</v>
      </c>
      <c r="G547" s="70" t="s">
        <v>3356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71" t="s">
        <v>4225</v>
      </c>
      <c r="B548" s="67">
        <v>18355451813</v>
      </c>
      <c r="C548" s="72"/>
      <c r="D548" s="69"/>
      <c r="E548" s="9">
        <v>262</v>
      </c>
      <c r="F548" s="25">
        <v>43160</v>
      </c>
      <c r="G548" s="70" t="s">
        <v>3356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4226</v>
      </c>
      <c r="B549" s="67">
        <v>3051677310</v>
      </c>
      <c r="C549" s="72"/>
      <c r="D549" s="69"/>
      <c r="E549" s="9">
        <v>117</v>
      </c>
      <c r="F549" s="25">
        <v>43117</v>
      </c>
      <c r="G549" s="70" t="s">
        <v>3356</v>
      </c>
      <c r="H549" s="9"/>
      <c r="I549" s="8"/>
      <c r="J549" s="8"/>
      <c r="K549" s="8"/>
      <c r="L549" s="9" t="s">
        <v>3507</v>
      </c>
      <c r="M549" s="8"/>
    </row>
    <row r="550" spans="1:13">
      <c r="A550" s="73" t="s">
        <v>4227</v>
      </c>
      <c r="B550" s="67">
        <v>33311756843</v>
      </c>
      <c r="C550" s="72" t="s">
        <v>4228</v>
      </c>
      <c r="D550" s="69">
        <v>31561945811</v>
      </c>
      <c r="E550" s="9">
        <v>1106</v>
      </c>
      <c r="F550" s="25">
        <v>42965</v>
      </c>
      <c r="G550" s="70" t="s">
        <v>3356</v>
      </c>
      <c r="H550" s="9"/>
      <c r="I550" s="8"/>
      <c r="J550" s="8"/>
      <c r="K550" s="8"/>
      <c r="L550" s="8"/>
      <c r="M550" s="8"/>
    </row>
    <row r="551" spans="1:13">
      <c r="A551" s="71" t="s">
        <v>4229</v>
      </c>
      <c r="B551" s="67" t="s">
        <v>4230</v>
      </c>
      <c r="C551" s="77" t="s">
        <v>4231</v>
      </c>
      <c r="D551" s="69">
        <v>14809823857</v>
      </c>
      <c r="E551" s="9"/>
      <c r="F551" s="25"/>
      <c r="G551" s="70"/>
      <c r="H551" s="9"/>
      <c r="I551" s="8"/>
      <c r="J551" s="8"/>
      <c r="K551" s="8"/>
      <c r="L551" s="8"/>
      <c r="M551" s="8"/>
    </row>
    <row r="552" spans="1:13">
      <c r="A552" s="71" t="s">
        <v>4232</v>
      </c>
      <c r="B552" s="67">
        <v>37079404894</v>
      </c>
      <c r="C552" s="72"/>
      <c r="D552" s="69"/>
      <c r="E552" s="9">
        <v>1824</v>
      </c>
      <c r="F552" s="25">
        <v>43091</v>
      </c>
      <c r="G552" s="70" t="s">
        <v>3356</v>
      </c>
      <c r="H552" s="9"/>
      <c r="I552" s="8"/>
      <c r="J552" s="8"/>
      <c r="K552" s="8"/>
      <c r="L552" s="9">
        <v>1828</v>
      </c>
      <c r="M552" s="8"/>
    </row>
    <row r="553" spans="1:13">
      <c r="A553" s="71" t="s">
        <v>4233</v>
      </c>
      <c r="B553" s="67">
        <v>37065542831</v>
      </c>
      <c r="C553" s="72"/>
      <c r="D553" s="69"/>
      <c r="E553" s="9">
        <v>1106</v>
      </c>
      <c r="F553" s="25">
        <v>42965</v>
      </c>
      <c r="G553" s="70" t="s">
        <v>3356</v>
      </c>
      <c r="H553" s="9"/>
      <c r="I553" s="8"/>
      <c r="J553" s="8"/>
      <c r="K553" s="8"/>
      <c r="L553" s="8"/>
      <c r="M553" s="8"/>
    </row>
    <row r="554" spans="1:13">
      <c r="A554" s="29" t="s">
        <v>4234</v>
      </c>
      <c r="B554" s="67"/>
      <c r="C554" s="18" t="s">
        <v>3466</v>
      </c>
      <c r="D554" s="69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4235</v>
      </c>
      <c r="B555" s="67">
        <v>35273573866</v>
      </c>
      <c r="C555" s="68"/>
      <c r="D555" s="69"/>
      <c r="E555" s="9">
        <v>1128</v>
      </c>
      <c r="F555" s="25">
        <v>42972</v>
      </c>
      <c r="G555" s="70" t="s">
        <v>3356</v>
      </c>
      <c r="H555" s="9"/>
      <c r="I555" s="8"/>
      <c r="J555" s="8"/>
      <c r="K555" s="8"/>
      <c r="L555" s="8"/>
      <c r="M555" s="8"/>
    </row>
    <row r="556" spans="1:13">
      <c r="A556" s="13" t="s">
        <v>4236</v>
      </c>
      <c r="B556" s="67">
        <v>37608246847</v>
      </c>
      <c r="C556" s="68" t="s">
        <v>4237</v>
      </c>
      <c r="D556" s="69">
        <v>27976942875</v>
      </c>
      <c r="E556" s="9">
        <v>608</v>
      </c>
      <c r="F556" s="25">
        <v>43012</v>
      </c>
      <c r="G556" s="70" t="s">
        <v>3356</v>
      </c>
      <c r="H556" s="9"/>
      <c r="I556" s="8"/>
      <c r="J556" s="8"/>
      <c r="K556" s="8"/>
      <c r="L556" s="8"/>
      <c r="M556" s="8"/>
    </row>
    <row r="557" spans="1:13">
      <c r="A557" s="14" t="s">
        <v>4238</v>
      </c>
      <c r="B557" s="67">
        <v>19271503880</v>
      </c>
      <c r="C557" s="72"/>
      <c r="D557" s="69"/>
      <c r="E557" s="9">
        <v>443</v>
      </c>
      <c r="F557" s="25">
        <v>43188</v>
      </c>
      <c r="G557" s="70"/>
      <c r="H557" s="9"/>
      <c r="I557" s="8"/>
      <c r="J557" s="8"/>
      <c r="K557" s="8"/>
      <c r="L557" s="8"/>
      <c r="M557" s="8"/>
    </row>
    <row r="558" spans="1:13">
      <c r="A558" s="71" t="s">
        <v>4239</v>
      </c>
      <c r="B558" s="67">
        <v>37300363865</v>
      </c>
      <c r="C558" s="72"/>
      <c r="D558" s="69"/>
      <c r="E558" s="9"/>
      <c r="F558" s="25"/>
      <c r="G558" s="70"/>
      <c r="H558" s="9"/>
      <c r="I558" s="8"/>
      <c r="J558" s="8"/>
      <c r="K558" s="8"/>
      <c r="L558" s="8"/>
      <c r="M558" s="8"/>
    </row>
    <row r="559" spans="1:13">
      <c r="A559" s="71" t="s">
        <v>4240</v>
      </c>
      <c r="B559" s="67">
        <v>39990709866</v>
      </c>
      <c r="C559" s="72" t="s">
        <v>4241</v>
      </c>
      <c r="D559" s="69">
        <v>46936249850</v>
      </c>
      <c r="E559" s="9">
        <v>229</v>
      </c>
      <c r="F559" s="25">
        <v>43151</v>
      </c>
      <c r="G559" s="70" t="s">
        <v>3356</v>
      </c>
      <c r="H559" s="9"/>
      <c r="I559" s="8"/>
      <c r="J559" s="8"/>
      <c r="K559" s="8"/>
      <c r="L559" s="9">
        <v>232</v>
      </c>
      <c r="M559" s="8"/>
    </row>
    <row r="560" spans="1:13">
      <c r="A560" s="71" t="s">
        <v>4242</v>
      </c>
      <c r="B560" s="67">
        <v>30814903835</v>
      </c>
      <c r="C560" s="72"/>
      <c r="D560" s="69"/>
      <c r="E560" s="9"/>
      <c r="F560" s="25"/>
      <c r="G560" s="70"/>
      <c r="H560" s="9"/>
      <c r="I560" s="8"/>
      <c r="J560" s="8"/>
      <c r="K560" s="8"/>
      <c r="L560" s="8"/>
      <c r="M560" s="8"/>
    </row>
    <row r="561" spans="1:13">
      <c r="A561" s="13" t="s">
        <v>4243</v>
      </c>
      <c r="B561" s="67">
        <v>36788585890</v>
      </c>
      <c r="C561" s="72"/>
      <c r="D561" s="69"/>
      <c r="E561" s="9">
        <v>1350</v>
      </c>
      <c r="F561" s="25">
        <v>43006</v>
      </c>
      <c r="G561" s="70" t="s">
        <v>3356</v>
      </c>
      <c r="H561" s="9"/>
      <c r="I561" s="8"/>
      <c r="J561" s="8"/>
      <c r="K561" s="8"/>
      <c r="L561" s="8"/>
      <c r="M561" s="8"/>
    </row>
    <row r="562" spans="1:13">
      <c r="A562" s="71" t="s">
        <v>4244</v>
      </c>
      <c r="B562" s="67">
        <v>38559368892</v>
      </c>
      <c r="C562" s="72"/>
      <c r="D562" s="69"/>
      <c r="E562" s="9">
        <v>810</v>
      </c>
      <c r="F562" s="25">
        <v>42915</v>
      </c>
      <c r="G562" s="70" t="s">
        <v>3356</v>
      </c>
      <c r="H562" s="9"/>
      <c r="I562" s="8"/>
      <c r="J562" s="8"/>
      <c r="K562" s="8"/>
      <c r="L562" s="9" t="s">
        <v>3475</v>
      </c>
      <c r="M562" s="8"/>
    </row>
    <row r="563" spans="1:13">
      <c r="A563" s="71" t="s">
        <v>4245</v>
      </c>
      <c r="B563" s="67">
        <v>35922156802</v>
      </c>
      <c r="C563" s="72"/>
      <c r="D563" s="69"/>
      <c r="E563" s="9"/>
      <c r="F563" s="25"/>
      <c r="G563" s="70"/>
      <c r="H563" s="9"/>
      <c r="I563" s="8"/>
      <c r="J563" s="8"/>
      <c r="K563" s="8"/>
      <c r="L563" s="8"/>
      <c r="M563" s="8"/>
    </row>
    <row r="564" spans="1:13">
      <c r="A564" s="72" t="s">
        <v>4246</v>
      </c>
      <c r="B564" s="67">
        <v>33291554850</v>
      </c>
      <c r="C564" s="72"/>
      <c r="D564" s="69"/>
      <c r="E564" s="9"/>
      <c r="F564" s="25"/>
      <c r="G564" s="70"/>
      <c r="H564" s="9"/>
      <c r="I564" s="8"/>
      <c r="J564" s="8"/>
      <c r="K564" s="8"/>
      <c r="L564" s="8"/>
      <c r="M564" s="8"/>
    </row>
    <row r="565" spans="1:13">
      <c r="A565" s="14" t="s">
        <v>4247</v>
      </c>
      <c r="B565" s="67">
        <v>23675111873</v>
      </c>
      <c r="C565" s="72"/>
      <c r="D565" s="69"/>
      <c r="E565" s="9">
        <v>292</v>
      </c>
      <c r="F565" s="25">
        <v>43168</v>
      </c>
      <c r="G565" s="70" t="s">
        <v>3356</v>
      </c>
      <c r="H565" s="9"/>
      <c r="I565" s="8"/>
      <c r="J565" s="8"/>
      <c r="K565" s="8"/>
      <c r="L565" s="9">
        <v>318</v>
      </c>
      <c r="M565" s="8"/>
    </row>
    <row r="566" spans="1:13">
      <c r="A566" s="72" t="s">
        <v>4248</v>
      </c>
      <c r="B566" s="67">
        <v>39051433808</v>
      </c>
      <c r="C566" s="72"/>
      <c r="D566" s="69"/>
      <c r="E566" s="9"/>
      <c r="F566" s="25"/>
      <c r="G566" s="70"/>
      <c r="H566" s="9"/>
      <c r="I566" s="8"/>
      <c r="J566" s="8"/>
      <c r="K566" s="8"/>
      <c r="L566" s="8"/>
      <c r="M566" s="8"/>
    </row>
    <row r="567" spans="1:13">
      <c r="A567" s="71" t="s">
        <v>4249</v>
      </c>
      <c r="B567" s="67">
        <v>9056201867</v>
      </c>
      <c r="C567" s="72" t="s">
        <v>4250</v>
      </c>
      <c r="D567" s="69">
        <v>59754605815</v>
      </c>
      <c r="E567" s="9">
        <v>810</v>
      </c>
      <c r="F567" s="25">
        <v>42915</v>
      </c>
      <c r="G567" s="70" t="s">
        <v>3356</v>
      </c>
      <c r="H567" s="9"/>
      <c r="I567" s="8"/>
      <c r="J567" s="8"/>
      <c r="K567" s="8"/>
      <c r="L567" s="9" t="s">
        <v>3475</v>
      </c>
      <c r="M567" s="8"/>
    </row>
    <row r="568" spans="1:13">
      <c r="A568" s="71" t="s">
        <v>4251</v>
      </c>
      <c r="B568" s="67">
        <v>4434698656</v>
      </c>
      <c r="C568" s="72" t="s">
        <v>4252</v>
      </c>
      <c r="D568" s="69">
        <v>75851300400</v>
      </c>
      <c r="E568" s="9">
        <v>810</v>
      </c>
      <c r="F568" s="25">
        <v>42915</v>
      </c>
      <c r="G568" s="70" t="s">
        <v>3356</v>
      </c>
      <c r="H568" s="9"/>
      <c r="I568" s="8"/>
      <c r="J568" s="8"/>
      <c r="K568" s="8"/>
      <c r="L568" s="9" t="s">
        <v>3475</v>
      </c>
      <c r="M568" s="8"/>
    </row>
    <row r="569" spans="1:13">
      <c r="A569" s="71" t="s">
        <v>4253</v>
      </c>
      <c r="B569" s="67">
        <v>27030279824</v>
      </c>
      <c r="C569" s="72" t="s">
        <v>4254</v>
      </c>
      <c r="D569" s="69">
        <v>87414392449</v>
      </c>
      <c r="E569" s="9">
        <v>509</v>
      </c>
      <c r="F569" s="25">
        <v>43203</v>
      </c>
      <c r="G569" s="76"/>
      <c r="H569" s="76">
        <v>43213</v>
      </c>
      <c r="I569" s="8"/>
      <c r="J569" s="8"/>
      <c r="K569" s="8"/>
      <c r="L569" s="8"/>
      <c r="M569" s="8"/>
    </row>
    <row r="570" spans="1:13">
      <c r="A570" s="71" t="s">
        <v>4255</v>
      </c>
      <c r="B570" s="67">
        <v>30478760884</v>
      </c>
      <c r="C570" s="77" t="s">
        <v>4256</v>
      </c>
      <c r="D570" s="69">
        <v>29327060806</v>
      </c>
      <c r="E570" s="9"/>
      <c r="F570" s="25"/>
      <c r="G570" s="70"/>
      <c r="H570" s="76">
        <v>43213</v>
      </c>
      <c r="I570" s="8"/>
      <c r="J570" s="8"/>
      <c r="K570" s="8"/>
      <c r="L570" s="8"/>
      <c r="M570" s="8"/>
    </row>
    <row r="571" spans="1:13">
      <c r="A571" s="71" t="s">
        <v>4257</v>
      </c>
      <c r="B571" s="67">
        <v>11701143852</v>
      </c>
      <c r="C571" s="72"/>
      <c r="D571" s="69"/>
      <c r="E571" s="9">
        <v>810</v>
      </c>
      <c r="F571" s="25">
        <v>42915</v>
      </c>
      <c r="G571" s="70" t="s">
        <v>3356</v>
      </c>
      <c r="H571" s="76">
        <v>43213</v>
      </c>
      <c r="I571" s="8"/>
      <c r="J571" s="8"/>
      <c r="K571" s="8"/>
      <c r="L571" s="9" t="s">
        <v>3475</v>
      </c>
      <c r="M571" s="8"/>
    </row>
    <row r="572" spans="1:13">
      <c r="A572" s="71" t="s">
        <v>4258</v>
      </c>
      <c r="B572" s="67">
        <v>8444896896</v>
      </c>
      <c r="C572" s="72"/>
      <c r="D572" s="69"/>
      <c r="E572" s="9">
        <v>1417</v>
      </c>
      <c r="F572" s="25">
        <v>43017</v>
      </c>
      <c r="G572" s="70" t="s">
        <v>3356</v>
      </c>
      <c r="H572" s="76">
        <v>43213</v>
      </c>
      <c r="I572" s="8"/>
      <c r="J572" s="8"/>
      <c r="K572" s="8"/>
      <c r="L572" s="9" t="s">
        <v>3590</v>
      </c>
      <c r="M572" s="8"/>
    </row>
    <row r="573" spans="1:13">
      <c r="A573" s="72" t="s">
        <v>4259</v>
      </c>
      <c r="B573" s="67">
        <v>16583214806</v>
      </c>
      <c r="C573" s="72" t="s">
        <v>4260</v>
      </c>
      <c r="D573" s="69">
        <v>26637612812</v>
      </c>
      <c r="E573" s="9"/>
      <c r="F573" s="25"/>
      <c r="G573" s="70"/>
      <c r="H573" s="76">
        <v>43213</v>
      </c>
      <c r="I573" s="8"/>
      <c r="J573" s="8"/>
      <c r="K573" s="8"/>
      <c r="L573" s="8"/>
      <c r="M573" s="8"/>
    </row>
    <row r="574" spans="1:13">
      <c r="A574" s="72" t="s">
        <v>4261</v>
      </c>
      <c r="B574" s="67">
        <v>41749323877</v>
      </c>
      <c r="C574" s="72"/>
      <c r="D574" s="69"/>
      <c r="E574" s="9">
        <v>443</v>
      </c>
      <c r="F574" s="25">
        <v>43188</v>
      </c>
      <c r="G574" s="70"/>
      <c r="H574" s="76">
        <v>43213</v>
      </c>
      <c r="I574" s="8"/>
      <c r="J574" s="8"/>
      <c r="K574" s="8"/>
      <c r="L574" s="8"/>
      <c r="M574" s="8"/>
    </row>
    <row r="575" spans="1:13">
      <c r="A575" s="71" t="s">
        <v>4262</v>
      </c>
      <c r="B575" s="67">
        <v>10718520866</v>
      </c>
      <c r="C575" s="72"/>
      <c r="D575" s="69"/>
      <c r="E575" s="9">
        <v>292</v>
      </c>
      <c r="F575" s="25">
        <v>43168</v>
      </c>
      <c r="G575" s="9" t="s">
        <v>3356</v>
      </c>
      <c r="H575" s="76">
        <v>43213</v>
      </c>
      <c r="I575" s="8"/>
      <c r="J575" s="8"/>
      <c r="K575" s="8"/>
      <c r="L575" s="9">
        <v>318</v>
      </c>
      <c r="M575" s="8"/>
    </row>
    <row r="576" spans="1:13">
      <c r="A576" s="29" t="s">
        <v>4263</v>
      </c>
      <c r="B576" s="67">
        <v>6882969639</v>
      </c>
      <c r="C576" s="29" t="s">
        <v>4264</v>
      </c>
      <c r="D576" s="69">
        <v>3765312665</v>
      </c>
      <c r="E576" s="9"/>
      <c r="F576" s="25"/>
      <c r="G576" s="70"/>
      <c r="H576" s="76">
        <v>43213</v>
      </c>
      <c r="I576" s="8"/>
      <c r="J576" s="8"/>
      <c r="K576" s="8"/>
      <c r="L576" s="8"/>
      <c r="M576" s="8"/>
    </row>
    <row r="577" spans="1:13">
      <c r="A577" s="29" t="s">
        <v>4265</v>
      </c>
      <c r="B577" s="67">
        <v>22449339892</v>
      </c>
      <c r="C577" s="29" t="s">
        <v>4266</v>
      </c>
      <c r="D577" s="69">
        <v>5569034471</v>
      </c>
      <c r="E577" s="9"/>
      <c r="F577" s="25"/>
      <c r="G577" s="70"/>
      <c r="H577" s="76">
        <v>43213</v>
      </c>
      <c r="I577" s="8"/>
      <c r="J577" s="8"/>
      <c r="K577" s="8"/>
      <c r="L577" s="8"/>
      <c r="M577" s="8"/>
    </row>
    <row r="578" spans="1:13">
      <c r="A578" s="29" t="s">
        <v>4267</v>
      </c>
      <c r="B578" s="67"/>
      <c r="C578" s="18" t="s">
        <v>3466</v>
      </c>
      <c r="D578" s="69"/>
      <c r="E578" s="9"/>
      <c r="F578" s="25"/>
      <c r="G578" s="2"/>
      <c r="H578" s="76">
        <v>43213</v>
      </c>
      <c r="I578" s="8"/>
      <c r="J578" s="8"/>
      <c r="K578" s="8"/>
      <c r="L578" s="8"/>
      <c r="M578" s="8"/>
    </row>
    <row r="579" spans="1:13">
      <c r="A579" s="71" t="s">
        <v>4268</v>
      </c>
      <c r="B579" s="67">
        <v>22854740831</v>
      </c>
      <c r="C579" s="72" t="s">
        <v>4269</v>
      </c>
      <c r="D579" s="69">
        <v>27802383803</v>
      </c>
      <c r="E579" s="9"/>
      <c r="F579" s="25"/>
      <c r="G579" s="70"/>
      <c r="H579" s="9"/>
      <c r="I579" s="8"/>
      <c r="J579" s="8"/>
      <c r="K579" s="8"/>
      <c r="L579" s="8"/>
      <c r="M579" s="8"/>
    </row>
    <row r="580" spans="1:13">
      <c r="A580" s="15" t="s">
        <v>4270</v>
      </c>
      <c r="B580" s="67">
        <v>33868796835</v>
      </c>
      <c r="C580" s="72"/>
      <c r="D580" s="69"/>
      <c r="E580" s="9">
        <v>443</v>
      </c>
      <c r="F580" s="25">
        <v>43188</v>
      </c>
      <c r="G580" s="70"/>
      <c r="H580" s="9"/>
      <c r="I580" s="8"/>
      <c r="J580" s="8"/>
      <c r="K580" s="8"/>
      <c r="L580" s="8"/>
      <c r="M580" s="8"/>
    </row>
    <row r="581" spans="1:13">
      <c r="A581" s="15" t="s">
        <v>4271</v>
      </c>
      <c r="B581" s="67">
        <v>28437745861</v>
      </c>
      <c r="C581" s="72"/>
      <c r="D581" s="69"/>
      <c r="E581" s="9">
        <v>229</v>
      </c>
      <c r="F581" s="25">
        <v>43151</v>
      </c>
      <c r="G581" s="70" t="s">
        <v>3356</v>
      </c>
      <c r="H581" s="9"/>
      <c r="I581" s="8"/>
      <c r="J581" s="8"/>
      <c r="K581" s="8"/>
      <c r="L581" s="9">
        <v>232</v>
      </c>
      <c r="M581" s="8"/>
    </row>
    <row r="582" spans="1:13">
      <c r="A582" s="71" t="s">
        <v>4272</v>
      </c>
      <c r="B582" s="67">
        <v>36618054877</v>
      </c>
      <c r="C582" s="72"/>
      <c r="D582" s="69"/>
      <c r="E582" s="9">
        <v>810</v>
      </c>
      <c r="F582" s="25">
        <v>42915</v>
      </c>
      <c r="G582" s="70" t="s">
        <v>3356</v>
      </c>
      <c r="H582" s="9"/>
      <c r="I582" s="8"/>
      <c r="J582" s="8"/>
      <c r="K582" s="8"/>
      <c r="L582" s="9" t="s">
        <v>3475</v>
      </c>
      <c r="M582" s="8"/>
    </row>
    <row r="583" spans="1:13">
      <c r="A583" s="71" t="s">
        <v>4273</v>
      </c>
      <c r="B583" s="67">
        <v>47110994848</v>
      </c>
      <c r="C583" s="71" t="s">
        <v>4274</v>
      </c>
      <c r="D583" s="67">
        <v>28679243833</v>
      </c>
      <c r="E583" s="9"/>
      <c r="F583" s="25"/>
      <c r="G583" s="70"/>
      <c r="H583" s="9"/>
      <c r="I583" s="8"/>
      <c r="J583" s="8"/>
      <c r="K583" s="8"/>
      <c r="L583" s="8"/>
      <c r="M583" s="8"/>
    </row>
    <row r="584" spans="1:13">
      <c r="A584" s="71" t="s">
        <v>4275</v>
      </c>
      <c r="B584" s="67">
        <v>39353276845</v>
      </c>
      <c r="C584" s="72" t="s">
        <v>4276</v>
      </c>
      <c r="D584" s="69">
        <v>33343612847</v>
      </c>
      <c r="E584" s="9">
        <v>1417</v>
      </c>
      <c r="F584" s="25">
        <v>43017</v>
      </c>
      <c r="G584" s="70" t="s">
        <v>3362</v>
      </c>
      <c r="H584" s="9"/>
      <c r="I584" s="8"/>
      <c r="J584" s="8"/>
      <c r="K584" s="8"/>
      <c r="L584" s="9" t="s">
        <v>3590</v>
      </c>
      <c r="M584" s="8"/>
    </row>
    <row r="585" spans="1:13">
      <c r="A585" s="13" t="s">
        <v>4277</v>
      </c>
      <c r="B585" s="67">
        <v>37978352803</v>
      </c>
      <c r="C585" s="72"/>
      <c r="D585" s="69"/>
      <c r="E585" s="9">
        <v>1350</v>
      </c>
      <c r="F585" s="25">
        <v>43006</v>
      </c>
      <c r="G585" s="70" t="s">
        <v>3356</v>
      </c>
      <c r="H585" s="9"/>
      <c r="I585" s="8"/>
      <c r="J585" s="8"/>
      <c r="K585" s="8"/>
      <c r="L585" s="8"/>
      <c r="M585" s="8"/>
    </row>
    <row r="586" spans="1:13">
      <c r="A586" s="13" t="s">
        <v>4278</v>
      </c>
      <c r="B586" s="67">
        <v>39937482801</v>
      </c>
      <c r="C586" s="68" t="s">
        <v>4279</v>
      </c>
      <c r="D586" s="69">
        <v>36243454860</v>
      </c>
      <c r="E586" s="9">
        <v>1128</v>
      </c>
      <c r="F586" s="25">
        <v>42972</v>
      </c>
      <c r="G586" s="70" t="s">
        <v>3356</v>
      </c>
      <c r="H586" s="9"/>
      <c r="I586" s="8"/>
      <c r="J586" s="8"/>
      <c r="K586" s="8"/>
      <c r="L586" s="8"/>
      <c r="M586" s="8"/>
    </row>
    <row r="587" spans="1:13">
      <c r="A587" s="13" t="s">
        <v>4280</v>
      </c>
      <c r="B587" s="67">
        <v>35674019800</v>
      </c>
      <c r="C587" s="72"/>
      <c r="D587" s="69"/>
      <c r="E587" s="9">
        <v>1350</v>
      </c>
      <c r="F587" s="25">
        <v>43006</v>
      </c>
      <c r="G587" s="70" t="s">
        <v>3356</v>
      </c>
      <c r="H587" s="9"/>
      <c r="I587" s="8"/>
      <c r="J587" s="8"/>
      <c r="K587" s="8"/>
      <c r="L587" s="8"/>
      <c r="M587" s="8"/>
    </row>
    <row r="588" spans="1:13">
      <c r="A588" s="71" t="s">
        <v>4281</v>
      </c>
      <c r="B588" s="67">
        <v>4090078466</v>
      </c>
      <c r="C588" s="72" t="s">
        <v>4282</v>
      </c>
      <c r="D588" s="69">
        <v>31135278806</v>
      </c>
      <c r="E588" s="9">
        <v>1555</v>
      </c>
      <c r="F588" s="25">
        <v>43049</v>
      </c>
      <c r="G588" s="70" t="s">
        <v>3362</v>
      </c>
      <c r="H588" s="9"/>
      <c r="I588" s="8"/>
      <c r="J588" s="8"/>
      <c r="K588" s="8"/>
      <c r="L588" s="9" t="s">
        <v>3735</v>
      </c>
      <c r="M588" s="8"/>
    </row>
    <row r="589" spans="1:13">
      <c r="A589" s="72" t="s">
        <v>4283</v>
      </c>
      <c r="B589" s="67">
        <v>22857706855</v>
      </c>
      <c r="C589" s="72" t="s">
        <v>4284</v>
      </c>
      <c r="D589" s="69">
        <v>5397398802</v>
      </c>
      <c r="E589" s="9"/>
      <c r="F589" s="25"/>
      <c r="G589" s="70"/>
      <c r="H589" s="9"/>
      <c r="I589" s="8"/>
      <c r="J589" s="8"/>
      <c r="K589" s="8"/>
      <c r="L589" s="8"/>
      <c r="M589" s="8"/>
    </row>
    <row r="590" spans="1:13">
      <c r="A590" s="72" t="s">
        <v>4285</v>
      </c>
      <c r="B590" s="67">
        <v>30278629873</v>
      </c>
      <c r="C590" s="72" t="s">
        <v>4286</v>
      </c>
      <c r="D590" s="69">
        <v>27817894884</v>
      </c>
      <c r="E590" s="9"/>
      <c r="F590" s="25"/>
      <c r="G590" s="70"/>
      <c r="H590" s="9"/>
      <c r="I590" s="8"/>
      <c r="J590" s="8"/>
      <c r="K590" s="8"/>
      <c r="L590" s="8"/>
      <c r="M590" s="8"/>
    </row>
    <row r="591" spans="1:13">
      <c r="A591" s="29" t="s">
        <v>4287</v>
      </c>
      <c r="B591" s="67"/>
      <c r="C591" s="29" t="s">
        <v>4288</v>
      </c>
      <c r="D591" s="69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71" t="s">
        <v>4289</v>
      </c>
      <c r="B592" s="67">
        <v>35569130896</v>
      </c>
      <c r="C592" s="72" t="s">
        <v>4290</v>
      </c>
      <c r="D592" s="69">
        <v>34252178878</v>
      </c>
      <c r="E592" s="9">
        <v>262</v>
      </c>
      <c r="F592" s="25">
        <v>43160</v>
      </c>
      <c r="G592" s="9" t="s">
        <v>3356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4291</v>
      </c>
      <c r="B593" s="67">
        <v>33214684841</v>
      </c>
      <c r="C593" s="72"/>
      <c r="D593" s="69"/>
      <c r="E593" s="9">
        <v>1350</v>
      </c>
      <c r="F593" s="25">
        <v>43006</v>
      </c>
      <c r="G593" s="70" t="s">
        <v>3356</v>
      </c>
      <c r="H593" s="9"/>
      <c r="I593" s="8"/>
      <c r="J593" s="8"/>
      <c r="K593" s="8"/>
      <c r="L593" s="8"/>
      <c r="M593" s="8"/>
    </row>
    <row r="594" spans="1:13">
      <c r="A594" s="71" t="s">
        <v>4292</v>
      </c>
      <c r="B594" s="67">
        <v>23217962869</v>
      </c>
      <c r="C594" s="72"/>
      <c r="D594" s="69"/>
      <c r="E594" s="9">
        <v>1555</v>
      </c>
      <c r="F594" s="25">
        <v>43049</v>
      </c>
      <c r="G594" s="70" t="s">
        <v>3356</v>
      </c>
      <c r="H594" s="9"/>
      <c r="I594" s="8"/>
      <c r="J594" s="8"/>
      <c r="K594" s="8"/>
      <c r="L594" s="9" t="s">
        <v>3735</v>
      </c>
      <c r="M594" s="8"/>
    </row>
    <row r="595" spans="1:13">
      <c r="A595" s="72" t="s">
        <v>4293</v>
      </c>
      <c r="B595" s="67">
        <v>45994333816</v>
      </c>
      <c r="C595" s="72"/>
      <c r="D595" s="69"/>
      <c r="E595" s="9"/>
      <c r="F595" s="25"/>
      <c r="G595" s="70"/>
      <c r="H595" s="9"/>
      <c r="I595" s="8"/>
      <c r="J595" s="8"/>
      <c r="K595" s="8"/>
      <c r="L595" s="8"/>
      <c r="M595" s="8"/>
    </row>
    <row r="596" spans="1:13">
      <c r="A596" s="15" t="s">
        <v>4294</v>
      </c>
      <c r="B596" s="67">
        <v>5704186580</v>
      </c>
      <c r="C596" s="72" t="s">
        <v>4295</v>
      </c>
      <c r="D596" s="69">
        <v>43994391814</v>
      </c>
      <c r="E596" s="9"/>
      <c r="F596" s="25"/>
      <c r="G596" s="70"/>
      <c r="H596" s="9"/>
      <c r="I596" s="8"/>
      <c r="J596" s="8"/>
      <c r="K596" s="8"/>
      <c r="L596" s="8"/>
      <c r="M596" s="8"/>
    </row>
    <row r="597" spans="1:13">
      <c r="A597" s="71" t="s">
        <v>4296</v>
      </c>
      <c r="B597" s="67">
        <v>37966967832</v>
      </c>
      <c r="C597" s="72"/>
      <c r="D597" s="69"/>
      <c r="E597" s="9">
        <v>1214</v>
      </c>
      <c r="F597" s="25">
        <v>42989</v>
      </c>
      <c r="G597" s="70" t="s">
        <v>3356</v>
      </c>
      <c r="H597" s="9"/>
      <c r="I597" s="8"/>
      <c r="J597" s="8"/>
      <c r="K597" s="8"/>
      <c r="L597" s="8"/>
      <c r="M597" s="8"/>
    </row>
    <row r="598" spans="1:13">
      <c r="A598" s="13" t="s">
        <v>4297</v>
      </c>
      <c r="B598" s="67">
        <v>31112261826</v>
      </c>
      <c r="C598" s="68"/>
      <c r="D598" s="69"/>
      <c r="E598" s="9">
        <v>1128</v>
      </c>
      <c r="F598" s="25">
        <v>42972</v>
      </c>
      <c r="G598" s="70" t="s">
        <v>3356</v>
      </c>
      <c r="H598" s="9"/>
      <c r="I598" s="8"/>
      <c r="J598" s="8"/>
      <c r="K598" s="8"/>
      <c r="L598" s="8"/>
      <c r="M598" s="8"/>
    </row>
    <row r="599" spans="1:13">
      <c r="A599" s="71" t="s">
        <v>4298</v>
      </c>
      <c r="B599" s="67">
        <v>38964391896</v>
      </c>
      <c r="C599" s="72"/>
      <c r="D599" s="69"/>
      <c r="E599" s="9"/>
      <c r="F599" s="25"/>
      <c r="G599" s="70"/>
      <c r="H599" s="9"/>
      <c r="I599" s="8"/>
      <c r="J599" s="8"/>
      <c r="K599" s="8"/>
      <c r="L599" s="8"/>
      <c r="M599" s="8"/>
    </row>
    <row r="600" spans="1:13">
      <c r="A600" s="71" t="s">
        <v>4299</v>
      </c>
      <c r="B600" s="67">
        <v>42223388850</v>
      </c>
      <c r="C600" s="72"/>
      <c r="D600" s="69"/>
      <c r="E600" s="9">
        <v>1214</v>
      </c>
      <c r="F600" s="25">
        <v>42989</v>
      </c>
      <c r="G600" s="70" t="s">
        <v>3356</v>
      </c>
      <c r="H600" s="9"/>
      <c r="I600" s="8"/>
      <c r="J600" s="8"/>
      <c r="K600" s="8"/>
      <c r="L600" s="8"/>
      <c r="M600" s="8"/>
    </row>
    <row r="601" spans="1:13">
      <c r="A601" s="71" t="s">
        <v>4300</v>
      </c>
      <c r="B601" s="67">
        <v>38453816808</v>
      </c>
      <c r="C601" s="72" t="s">
        <v>4301</v>
      </c>
      <c r="D601" s="69">
        <v>22843883881</v>
      </c>
      <c r="E601" s="9">
        <v>262</v>
      </c>
      <c r="F601" s="25">
        <v>43160</v>
      </c>
      <c r="G601" s="70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9" t="s">
        <v>4302</v>
      </c>
      <c r="B602" s="67">
        <v>46366084882</v>
      </c>
      <c r="C602" s="18" t="s">
        <v>3466</v>
      </c>
      <c r="D602" s="69"/>
      <c r="E602" s="9"/>
      <c r="F602" s="25"/>
      <c r="G602" s="70"/>
      <c r="H602" s="9"/>
      <c r="I602" s="8"/>
      <c r="J602" s="8"/>
      <c r="K602" s="8"/>
      <c r="L602" s="8"/>
      <c r="M602" s="8"/>
    </row>
    <row r="603" spans="1:13">
      <c r="A603" s="29" t="s">
        <v>4303</v>
      </c>
      <c r="B603" s="67"/>
      <c r="C603" s="18" t="s">
        <v>3466</v>
      </c>
      <c r="D603" s="69"/>
      <c r="E603" s="9"/>
      <c r="F603" s="25"/>
      <c r="G603" s="70"/>
      <c r="H603" s="9"/>
      <c r="I603" s="8"/>
      <c r="J603" s="8"/>
      <c r="K603" s="8"/>
      <c r="L603" s="8"/>
      <c r="M603" s="8"/>
    </row>
    <row r="604" spans="1:13">
      <c r="A604" s="71" t="s">
        <v>4304</v>
      </c>
      <c r="B604" s="67">
        <v>40415212898</v>
      </c>
      <c r="C604" s="72" t="s">
        <v>4305</v>
      </c>
      <c r="D604" s="69">
        <v>35522659882</v>
      </c>
      <c r="E604" s="9">
        <v>262</v>
      </c>
      <c r="F604" s="25">
        <v>43160</v>
      </c>
      <c r="G604" s="70" t="s">
        <v>3356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4306</v>
      </c>
      <c r="B605" s="67">
        <v>41957432810</v>
      </c>
      <c r="C605" s="72" t="s">
        <v>4307</v>
      </c>
      <c r="D605" s="69">
        <v>22992085855</v>
      </c>
      <c r="E605" s="9">
        <v>1824</v>
      </c>
      <c r="F605" s="25">
        <v>43091</v>
      </c>
      <c r="G605" s="70" t="s">
        <v>3356</v>
      </c>
      <c r="H605" s="9"/>
      <c r="I605" s="8"/>
      <c r="J605" s="8"/>
      <c r="K605" s="8"/>
      <c r="L605" s="9">
        <v>1828</v>
      </c>
      <c r="M605" s="8"/>
    </row>
    <row r="606" spans="1:13">
      <c r="A606" s="71" t="s">
        <v>4308</v>
      </c>
      <c r="B606" s="67">
        <v>43393817809</v>
      </c>
      <c r="C606" s="72"/>
      <c r="D606" s="69"/>
      <c r="E606" s="9">
        <v>117</v>
      </c>
      <c r="F606" s="25">
        <v>43117</v>
      </c>
      <c r="G606" s="70" t="s">
        <v>3356</v>
      </c>
      <c r="H606" s="9"/>
      <c r="I606" s="8"/>
      <c r="J606" s="8"/>
      <c r="K606" s="8"/>
      <c r="L606" s="9" t="s">
        <v>3507</v>
      </c>
      <c r="M606" s="8"/>
    </row>
    <row r="607" spans="1:13">
      <c r="A607" s="15" t="s">
        <v>4309</v>
      </c>
      <c r="B607" s="67">
        <v>36252717886</v>
      </c>
      <c r="C607" s="72" t="s">
        <v>4310</v>
      </c>
      <c r="D607" s="69">
        <v>34743190860</v>
      </c>
      <c r="E607" s="9">
        <v>443</v>
      </c>
      <c r="F607" s="25">
        <v>43188</v>
      </c>
      <c r="G607" s="70"/>
      <c r="H607" s="9"/>
      <c r="I607" s="8"/>
      <c r="J607" s="8"/>
      <c r="K607" s="8"/>
      <c r="L607" s="8"/>
      <c r="M607" s="8"/>
    </row>
    <row r="608" spans="1:13">
      <c r="A608" s="71" t="s">
        <v>4311</v>
      </c>
      <c r="B608" s="67">
        <v>13458181814</v>
      </c>
      <c r="C608" s="72"/>
      <c r="D608" s="69"/>
      <c r="E608" s="9">
        <v>292</v>
      </c>
      <c r="F608" s="25">
        <v>43168</v>
      </c>
      <c r="G608" s="70" t="s">
        <v>3356</v>
      </c>
      <c r="H608" s="9"/>
      <c r="I608" s="8"/>
      <c r="J608" s="8"/>
      <c r="K608" s="8"/>
      <c r="L608" s="9">
        <v>318</v>
      </c>
      <c r="M608" s="8"/>
    </row>
    <row r="609" spans="1:13">
      <c r="A609" s="85" t="s">
        <v>4312</v>
      </c>
      <c r="B609" s="67">
        <v>23436019844</v>
      </c>
      <c r="C609" s="72" t="s">
        <v>4313</v>
      </c>
      <c r="D609" s="69">
        <v>35927095852</v>
      </c>
      <c r="E609" s="9">
        <v>810</v>
      </c>
      <c r="F609" s="25">
        <v>42915</v>
      </c>
      <c r="G609" s="70" t="s">
        <v>3356</v>
      </c>
      <c r="H609" s="9"/>
      <c r="I609" s="8"/>
      <c r="J609" s="8"/>
      <c r="K609" s="8"/>
      <c r="L609" s="9" t="s">
        <v>3475</v>
      </c>
      <c r="M609" s="8"/>
    </row>
    <row r="610" spans="1:13">
      <c r="A610" s="71" t="s">
        <v>4314</v>
      </c>
      <c r="B610" s="67">
        <v>39473758839</v>
      </c>
      <c r="C610" s="72"/>
      <c r="D610" s="69"/>
      <c r="E610" s="9">
        <v>292</v>
      </c>
      <c r="F610" s="25">
        <v>43168</v>
      </c>
      <c r="G610" s="9" t="s">
        <v>3356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4315</v>
      </c>
      <c r="B611" s="67">
        <v>24855310808</v>
      </c>
      <c r="C611" s="68"/>
      <c r="D611" s="69"/>
      <c r="E611" s="9">
        <v>1128</v>
      </c>
      <c r="F611" s="25">
        <v>42972</v>
      </c>
      <c r="G611" s="70" t="s">
        <v>3356</v>
      </c>
      <c r="H611" s="9"/>
      <c r="I611" s="8"/>
      <c r="J611" s="8"/>
      <c r="K611" s="8"/>
      <c r="L611" s="8"/>
      <c r="M611" s="8"/>
    </row>
    <row r="612" spans="1:13">
      <c r="A612" s="71" t="s">
        <v>4316</v>
      </c>
      <c r="B612" s="67">
        <v>34580235851</v>
      </c>
      <c r="C612" s="72"/>
      <c r="D612" s="69"/>
      <c r="E612" s="9">
        <v>1350</v>
      </c>
      <c r="F612" s="25">
        <v>43006</v>
      </c>
      <c r="G612" s="70" t="s">
        <v>3356</v>
      </c>
      <c r="H612" s="9"/>
      <c r="I612" s="8"/>
      <c r="J612" s="8"/>
      <c r="K612" s="8"/>
      <c r="L612" s="8"/>
      <c r="M612" s="8"/>
    </row>
    <row r="613" spans="1:13">
      <c r="A613" s="71" t="s">
        <v>4317</v>
      </c>
      <c r="B613" s="67">
        <v>32687071811</v>
      </c>
      <c r="C613" s="72"/>
      <c r="D613" s="69"/>
      <c r="E613" s="9"/>
      <c r="F613" s="25"/>
      <c r="G613" s="70"/>
      <c r="H613" s="9"/>
      <c r="I613" s="8"/>
      <c r="J613" s="8"/>
      <c r="K613" s="8"/>
      <c r="L613" s="8"/>
      <c r="M613" s="8"/>
    </row>
    <row r="614" spans="1:13">
      <c r="A614" s="71" t="s">
        <v>4318</v>
      </c>
      <c r="B614" s="67">
        <v>32114645819</v>
      </c>
      <c r="C614" s="72" t="s">
        <v>4319</v>
      </c>
      <c r="D614" s="69">
        <v>33183764857</v>
      </c>
      <c r="E614" s="9">
        <v>810</v>
      </c>
      <c r="F614" s="25">
        <v>42915</v>
      </c>
      <c r="G614" s="70" t="s">
        <v>3356</v>
      </c>
      <c r="H614" s="9"/>
      <c r="I614" s="8"/>
      <c r="J614" s="8"/>
      <c r="K614" s="8"/>
      <c r="L614" s="9" t="s">
        <v>3475</v>
      </c>
      <c r="M614" s="8"/>
    </row>
    <row r="615" spans="1:13">
      <c r="A615" s="29" t="s">
        <v>4320</v>
      </c>
      <c r="B615" s="67">
        <v>8664004862</v>
      </c>
      <c r="C615" s="29"/>
      <c r="D615" s="69"/>
      <c r="E615" s="9"/>
      <c r="F615" s="25"/>
      <c r="G615" s="70"/>
      <c r="H615" s="9"/>
      <c r="I615" s="8"/>
      <c r="J615" s="8"/>
      <c r="K615" s="8"/>
      <c r="L615" s="8"/>
      <c r="M615" s="8"/>
    </row>
    <row r="616" spans="1:13">
      <c r="A616" s="18" t="s">
        <v>4321</v>
      </c>
      <c r="B616" s="67">
        <v>4836720508</v>
      </c>
      <c r="C616" s="18" t="s">
        <v>4322</v>
      </c>
      <c r="D616" s="69">
        <v>5479236512</v>
      </c>
      <c r="E616" s="9"/>
      <c r="F616" s="25"/>
      <c r="G616" s="70"/>
      <c r="H616" s="9"/>
      <c r="I616" s="8"/>
      <c r="J616" s="8"/>
      <c r="K616" s="8"/>
      <c r="L616" s="8"/>
      <c r="M616" s="8"/>
    </row>
    <row r="617" spans="1:13">
      <c r="A617" s="13" t="s">
        <v>4323</v>
      </c>
      <c r="B617" s="67">
        <v>35003087837</v>
      </c>
      <c r="C617" s="68"/>
      <c r="D617" s="69"/>
      <c r="E617" s="9">
        <v>1128</v>
      </c>
      <c r="F617" s="25">
        <v>42972</v>
      </c>
      <c r="G617" s="70" t="s">
        <v>3356</v>
      </c>
      <c r="H617" s="9"/>
      <c r="I617" s="8"/>
      <c r="J617" s="8"/>
      <c r="K617" s="8"/>
      <c r="L617" s="8"/>
      <c r="M617" s="8"/>
    </row>
    <row r="618" spans="1:13">
      <c r="A618" s="29" t="s">
        <v>4324</v>
      </c>
      <c r="B618" s="67">
        <v>42187654800</v>
      </c>
      <c r="C618" s="29" t="s">
        <v>4325</v>
      </c>
      <c r="D618" s="69">
        <v>86087100059</v>
      </c>
      <c r="E618" s="9"/>
      <c r="F618" s="25"/>
      <c r="G618" s="70"/>
      <c r="H618" s="9"/>
      <c r="I618" s="8"/>
      <c r="J618" s="8"/>
      <c r="K618" s="8"/>
      <c r="L618" s="8"/>
      <c r="M618" s="8"/>
    </row>
    <row r="619" spans="1:13">
      <c r="A619" s="71" t="s">
        <v>4326</v>
      </c>
      <c r="B619" s="67">
        <v>19677169866</v>
      </c>
      <c r="C619" s="72"/>
      <c r="D619" s="69"/>
      <c r="E619" s="9">
        <v>1439</v>
      </c>
      <c r="F619" s="25">
        <v>43025</v>
      </c>
      <c r="G619" s="70" t="s">
        <v>3356</v>
      </c>
      <c r="H619" s="9"/>
      <c r="I619" s="8"/>
      <c r="J619" s="8"/>
      <c r="K619" s="8"/>
      <c r="L619" s="9" t="s">
        <v>3838</v>
      </c>
      <c r="M619" s="8"/>
    </row>
    <row r="620" spans="1:13">
      <c r="A620" s="71" t="s">
        <v>4327</v>
      </c>
      <c r="B620" s="67">
        <v>35725789810</v>
      </c>
      <c r="C620" s="73"/>
      <c r="D620" s="69"/>
      <c r="E620" s="9"/>
      <c r="F620" s="25"/>
      <c r="G620" s="70"/>
      <c r="H620" s="9"/>
      <c r="I620" s="8"/>
      <c r="J620" s="8"/>
      <c r="K620" s="8"/>
      <c r="L620" s="8"/>
      <c r="M620" s="8"/>
    </row>
    <row r="621" spans="1:13">
      <c r="A621" s="71" t="s">
        <v>4328</v>
      </c>
      <c r="B621" s="67">
        <v>34575541885</v>
      </c>
      <c r="C621" s="72"/>
      <c r="D621" s="69"/>
      <c r="E621" s="9"/>
      <c r="F621" s="25"/>
      <c r="G621" s="70"/>
      <c r="H621" s="9"/>
      <c r="I621" s="8"/>
      <c r="J621" s="8"/>
      <c r="K621" s="8"/>
      <c r="L621" s="8"/>
      <c r="M621" s="8"/>
    </row>
    <row r="622" spans="1:13">
      <c r="A622" s="14" t="s">
        <v>4329</v>
      </c>
      <c r="B622" s="67">
        <v>10453137857</v>
      </c>
      <c r="C622" s="72"/>
      <c r="D622" s="69"/>
      <c r="E622" s="9">
        <v>485</v>
      </c>
      <c r="F622" s="25">
        <v>43196</v>
      </c>
      <c r="G622" s="70"/>
      <c r="H622" s="9"/>
      <c r="I622" s="8"/>
      <c r="J622" s="8"/>
      <c r="K622" s="8"/>
      <c r="L622" s="9">
        <v>483</v>
      </c>
      <c r="M622" s="8"/>
    </row>
    <row r="623" spans="1:13">
      <c r="A623" s="71" t="s">
        <v>4330</v>
      </c>
      <c r="B623" s="67">
        <v>1283631504</v>
      </c>
      <c r="C623" s="72" t="s">
        <v>4331</v>
      </c>
      <c r="D623" s="69">
        <v>62180886349</v>
      </c>
      <c r="E623" s="9">
        <v>1824</v>
      </c>
      <c r="F623" s="25">
        <v>43091</v>
      </c>
      <c r="G623" s="70" t="s">
        <v>3356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4332</v>
      </c>
      <c r="B624" s="67">
        <v>5389709527</v>
      </c>
      <c r="C624" s="86" t="s">
        <v>4333</v>
      </c>
      <c r="D624" s="69">
        <v>4582911536</v>
      </c>
      <c r="E624" s="9"/>
      <c r="F624" s="25"/>
      <c r="G624" s="70"/>
      <c r="H624" s="9"/>
      <c r="I624" s="8"/>
      <c r="J624" s="8"/>
      <c r="K624" s="8"/>
      <c r="L624" s="8"/>
      <c r="M624" s="8"/>
    </row>
    <row r="625" spans="1:13">
      <c r="A625" s="13" t="s">
        <v>4334</v>
      </c>
      <c r="B625" s="67">
        <v>1262412528</v>
      </c>
      <c r="C625" s="68" t="s">
        <v>4335</v>
      </c>
      <c r="D625" s="69">
        <v>3045815502</v>
      </c>
      <c r="E625" s="9">
        <v>1241</v>
      </c>
      <c r="F625" s="25">
        <v>42992</v>
      </c>
      <c r="G625" s="70" t="s">
        <v>3356</v>
      </c>
      <c r="H625" s="9"/>
      <c r="I625" s="8"/>
      <c r="J625" s="8"/>
      <c r="K625" s="8"/>
      <c r="L625" s="8"/>
      <c r="M625" s="8"/>
    </row>
    <row r="626" spans="1:13">
      <c r="A626" s="71" t="s">
        <v>4336</v>
      </c>
      <c r="B626" s="67">
        <v>25417767808</v>
      </c>
      <c r="C626" s="77"/>
      <c r="D626" s="69"/>
      <c r="E626" s="9">
        <v>563</v>
      </c>
      <c r="F626" s="25">
        <v>43217</v>
      </c>
      <c r="G626" s="70"/>
      <c r="H626" s="9"/>
      <c r="I626" s="8"/>
      <c r="J626" s="8"/>
      <c r="K626" s="8"/>
      <c r="L626" s="9" t="s">
        <v>3636</v>
      </c>
      <c r="M626" s="8"/>
    </row>
    <row r="627" spans="1:13">
      <c r="A627" s="71" t="s">
        <v>4337</v>
      </c>
      <c r="B627" s="67">
        <v>12964256810</v>
      </c>
      <c r="C627" s="72"/>
      <c r="D627" s="69"/>
      <c r="E627" s="9">
        <v>573</v>
      </c>
      <c r="F627" s="25">
        <v>43224</v>
      </c>
      <c r="G627" s="70"/>
      <c r="H627" s="9"/>
      <c r="I627" s="8"/>
      <c r="J627" s="8"/>
      <c r="K627" s="8"/>
      <c r="L627" s="8"/>
      <c r="M627" s="8"/>
    </row>
    <row r="628" spans="1:13">
      <c r="A628" s="71" t="s">
        <v>3561</v>
      </c>
      <c r="B628" s="67">
        <v>9704111460</v>
      </c>
      <c r="C628" s="72" t="s">
        <v>4338</v>
      </c>
      <c r="D628" s="69">
        <v>9882942490</v>
      </c>
      <c r="E628" s="9"/>
      <c r="F628" s="25"/>
      <c r="G628" s="70"/>
      <c r="H628" s="9"/>
      <c r="I628" s="8"/>
      <c r="J628" s="8"/>
      <c r="K628" s="8"/>
      <c r="L628" s="8"/>
      <c r="M628" s="8"/>
    </row>
    <row r="629" spans="1:13">
      <c r="A629" s="13" t="s">
        <v>4339</v>
      </c>
      <c r="B629" s="67">
        <v>41653576855</v>
      </c>
      <c r="C629" s="72" t="s">
        <v>4340</v>
      </c>
      <c r="D629" s="69">
        <v>33219880894</v>
      </c>
      <c r="E629" s="9">
        <v>1439</v>
      </c>
      <c r="F629" s="25">
        <v>43025</v>
      </c>
      <c r="G629" s="70" t="s">
        <v>3356</v>
      </c>
      <c r="H629" s="9"/>
      <c r="I629" s="8"/>
      <c r="J629" s="8"/>
      <c r="K629" s="8"/>
      <c r="L629" s="9" t="s">
        <v>3838</v>
      </c>
      <c r="M629" s="8"/>
    </row>
    <row r="630" spans="1:13">
      <c r="A630" s="71" t="s">
        <v>4341</v>
      </c>
      <c r="B630" s="67">
        <v>32250994811</v>
      </c>
      <c r="C630" s="72"/>
      <c r="D630" s="69"/>
      <c r="E630" s="9">
        <v>262</v>
      </c>
      <c r="F630" s="25">
        <v>43160</v>
      </c>
      <c r="G630" s="9" t="s">
        <v>3356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71" t="s">
        <v>4342</v>
      </c>
      <c r="B631" s="67">
        <v>93817258887</v>
      </c>
      <c r="C631" s="72"/>
      <c r="D631" s="69"/>
      <c r="E631" s="9">
        <v>810</v>
      </c>
      <c r="F631" s="25">
        <v>42915</v>
      </c>
      <c r="G631" s="70" t="s">
        <v>3356</v>
      </c>
      <c r="H631" s="9"/>
      <c r="I631" s="8"/>
      <c r="J631" s="8"/>
      <c r="K631" s="8"/>
      <c r="L631" s="9" t="s">
        <v>3475</v>
      </c>
      <c r="M631" s="8"/>
    </row>
    <row r="632" spans="1:13">
      <c r="A632" s="29" t="s">
        <v>4343</v>
      </c>
      <c r="B632" s="67">
        <v>29065742875</v>
      </c>
      <c r="C632" s="29" t="s">
        <v>4344</v>
      </c>
      <c r="D632" s="69">
        <v>1937454533</v>
      </c>
      <c r="E632" s="9"/>
      <c r="F632" s="25"/>
      <c r="G632" s="70"/>
      <c r="H632" s="9"/>
      <c r="I632" s="8"/>
      <c r="J632" s="8"/>
      <c r="K632" s="8"/>
      <c r="L632" s="8"/>
      <c r="M632" s="8"/>
    </row>
    <row r="633" spans="1:13">
      <c r="A633" s="72" t="s">
        <v>4345</v>
      </c>
      <c r="B633" s="67">
        <v>39491305867</v>
      </c>
      <c r="C633" s="72" t="s">
        <v>4346</v>
      </c>
      <c r="D633" s="69">
        <v>37500044801</v>
      </c>
      <c r="E633" s="9">
        <v>292</v>
      </c>
      <c r="F633" s="25">
        <v>43168</v>
      </c>
      <c r="G633" s="70"/>
      <c r="H633" s="9"/>
      <c r="I633" s="8"/>
      <c r="J633" s="8"/>
      <c r="K633" s="8"/>
      <c r="L633" s="9">
        <v>318</v>
      </c>
      <c r="M633" s="8"/>
    </row>
    <row r="634" spans="1:13">
      <c r="A634" s="18" t="s">
        <v>4347</v>
      </c>
      <c r="B634" s="67">
        <v>35049140846</v>
      </c>
      <c r="C634" s="18" t="s">
        <v>4348</v>
      </c>
      <c r="D634" s="69">
        <v>6902701512</v>
      </c>
      <c r="E634" s="9"/>
      <c r="F634" s="25"/>
      <c r="G634" s="70"/>
      <c r="H634" s="9"/>
      <c r="I634" s="8"/>
      <c r="J634" s="8"/>
      <c r="K634" s="8"/>
      <c r="L634" s="8"/>
      <c r="M634" s="8"/>
    </row>
    <row r="635" spans="1:13">
      <c r="A635" s="71" t="s">
        <v>4349</v>
      </c>
      <c r="B635" s="67">
        <v>33927442801</v>
      </c>
      <c r="C635" s="72"/>
      <c r="D635" s="69"/>
      <c r="E635" s="9">
        <v>262</v>
      </c>
      <c r="F635" s="25">
        <v>43160</v>
      </c>
      <c r="G635" s="70" t="s">
        <v>3356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71" t="s">
        <v>4350</v>
      </c>
      <c r="B636" s="67">
        <v>37125351808</v>
      </c>
      <c r="C636" s="72"/>
      <c r="D636" s="69"/>
      <c r="E636" s="9">
        <v>563</v>
      </c>
      <c r="F636" s="25">
        <v>43217</v>
      </c>
      <c r="G636" s="70"/>
      <c r="H636" s="9"/>
      <c r="I636" s="8"/>
      <c r="J636" s="8"/>
      <c r="K636" s="8"/>
      <c r="L636" s="9" t="s">
        <v>3636</v>
      </c>
      <c r="M636" s="8"/>
    </row>
    <row r="637" spans="1:13">
      <c r="A637" s="71" t="s">
        <v>4351</v>
      </c>
      <c r="B637" s="67">
        <v>30172019885</v>
      </c>
      <c r="C637" s="72"/>
      <c r="D637" s="69"/>
      <c r="E637" s="9">
        <v>1628</v>
      </c>
      <c r="F637" s="25">
        <v>43077</v>
      </c>
      <c r="G637" s="70" t="s">
        <v>3356</v>
      </c>
      <c r="H637" s="9"/>
      <c r="I637" s="8"/>
      <c r="J637" s="8"/>
      <c r="K637" s="8"/>
      <c r="L637" s="8"/>
      <c r="M637" s="8"/>
    </row>
    <row r="638" spans="1:13">
      <c r="A638" s="18" t="s">
        <v>4352</v>
      </c>
      <c r="B638" s="67"/>
      <c r="C638" s="18" t="s">
        <v>4353</v>
      </c>
      <c r="D638" s="69"/>
      <c r="E638" s="9"/>
      <c r="F638" s="25"/>
      <c r="G638" s="70"/>
      <c r="H638" s="9"/>
      <c r="I638" s="8"/>
      <c r="J638" s="8"/>
      <c r="K638" s="8"/>
      <c r="L638" s="8"/>
      <c r="M638" s="8"/>
    </row>
    <row r="639" spans="1:13">
      <c r="A639" s="29" t="s">
        <v>4354</v>
      </c>
      <c r="B639" s="67">
        <v>198674503</v>
      </c>
      <c r="C639" s="18" t="s">
        <v>4355</v>
      </c>
      <c r="D639" s="69">
        <v>57944865549</v>
      </c>
      <c r="E639" s="9"/>
      <c r="F639" s="25"/>
      <c r="G639" s="70"/>
      <c r="H639" s="9"/>
      <c r="I639" s="8"/>
      <c r="J639" s="8"/>
      <c r="K639" s="8"/>
      <c r="L639" s="8"/>
      <c r="M639" s="8"/>
    </row>
    <row r="640" spans="1:13">
      <c r="A640" s="71" t="s">
        <v>4356</v>
      </c>
      <c r="B640" s="67">
        <v>36101828816</v>
      </c>
      <c r="C640" s="77"/>
      <c r="D640" s="69"/>
      <c r="E640" s="9"/>
      <c r="F640" s="25"/>
      <c r="G640" s="70"/>
      <c r="H640" s="9"/>
      <c r="I640" s="8"/>
      <c r="J640" s="8"/>
      <c r="K640" s="8"/>
      <c r="L640" s="8"/>
      <c r="M640" s="8"/>
    </row>
    <row r="641" spans="1:13">
      <c r="A641" s="72" t="s">
        <v>4357</v>
      </c>
      <c r="B641" s="67">
        <v>35244906895</v>
      </c>
      <c r="C641" s="72"/>
      <c r="D641" s="69"/>
      <c r="E641" s="9"/>
      <c r="F641" s="25"/>
      <c r="G641" s="70"/>
      <c r="H641" s="9"/>
      <c r="I641" s="8"/>
      <c r="J641" s="8"/>
      <c r="K641" s="8"/>
      <c r="L641" s="8"/>
      <c r="M641" s="8"/>
    </row>
    <row r="642" spans="1:13">
      <c r="A642" s="73" t="s">
        <v>4358</v>
      </c>
      <c r="B642" s="67">
        <v>28074733858</v>
      </c>
      <c r="C642" s="72" t="s">
        <v>4359</v>
      </c>
      <c r="D642" s="69">
        <v>18033766867</v>
      </c>
      <c r="E642" s="9">
        <v>810</v>
      </c>
      <c r="F642" s="25">
        <v>42915</v>
      </c>
      <c r="G642" s="70" t="s">
        <v>3356</v>
      </c>
      <c r="H642" s="9"/>
      <c r="I642" s="8"/>
      <c r="J642" s="8"/>
      <c r="K642" s="8"/>
      <c r="L642" s="9" t="s">
        <v>3475</v>
      </c>
      <c r="M642" s="8"/>
    </row>
    <row r="643" spans="1:13">
      <c r="A643" s="71" t="s">
        <v>4360</v>
      </c>
      <c r="B643" s="67">
        <v>41583475800</v>
      </c>
      <c r="C643" s="72" t="s">
        <v>4361</v>
      </c>
      <c r="D643" s="69">
        <v>47688665817</v>
      </c>
      <c r="E643" s="9">
        <v>810</v>
      </c>
      <c r="F643" s="25">
        <v>42915</v>
      </c>
      <c r="G643" s="70" t="s">
        <v>3356</v>
      </c>
      <c r="H643" s="9"/>
      <c r="I643" s="8"/>
      <c r="J643" s="8"/>
      <c r="K643" s="8"/>
      <c r="L643" s="9" t="s">
        <v>3475</v>
      </c>
      <c r="M643" s="8"/>
    </row>
    <row r="644" spans="1:13">
      <c r="A644" s="71" t="s">
        <v>4362</v>
      </c>
      <c r="B644" s="67">
        <v>38532326803</v>
      </c>
      <c r="C644" s="72"/>
      <c r="D644" s="69"/>
      <c r="E644" s="9">
        <v>810</v>
      </c>
      <c r="F644" s="25">
        <v>42915</v>
      </c>
      <c r="G644" s="70" t="s">
        <v>3356</v>
      </c>
      <c r="H644" s="9"/>
      <c r="I644" s="8"/>
      <c r="J644" s="8"/>
      <c r="K644" s="8"/>
      <c r="L644" s="9" t="s">
        <v>3475</v>
      </c>
      <c r="M644" s="8"/>
    </row>
    <row r="645" spans="1:13">
      <c r="A645" s="13" t="s">
        <v>4363</v>
      </c>
      <c r="B645" s="67">
        <v>40338986898</v>
      </c>
      <c r="C645" s="72"/>
      <c r="D645" s="69"/>
      <c r="E645" s="9">
        <v>1350</v>
      </c>
      <c r="F645" s="25">
        <v>43006</v>
      </c>
      <c r="G645" s="70" t="s">
        <v>3356</v>
      </c>
      <c r="H645" s="9"/>
      <c r="I645" s="8"/>
      <c r="J645" s="8"/>
      <c r="K645" s="8"/>
      <c r="L645" s="8"/>
      <c r="M645" s="8"/>
    </row>
    <row r="646" spans="1:13">
      <c r="A646" s="29" t="s">
        <v>4364</v>
      </c>
      <c r="B646" s="67"/>
      <c r="C646" s="18" t="s">
        <v>3466</v>
      </c>
      <c r="D646" s="69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71" t="s">
        <v>4365</v>
      </c>
      <c r="B647" s="67">
        <v>2109588551</v>
      </c>
      <c r="C647" s="72"/>
      <c r="D647" s="69"/>
      <c r="E647" s="9">
        <v>1570</v>
      </c>
      <c r="F647" s="25">
        <v>43055</v>
      </c>
      <c r="G647" s="70" t="s">
        <v>3356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4366</v>
      </c>
      <c r="B648" s="67">
        <v>47718625400</v>
      </c>
      <c r="C648" s="72"/>
      <c r="D648" s="69"/>
      <c r="E648" s="9">
        <v>85</v>
      </c>
      <c r="F648" s="25">
        <v>43109</v>
      </c>
      <c r="G648" s="70" t="s">
        <v>3356</v>
      </c>
      <c r="H648" s="25">
        <v>43151</v>
      </c>
      <c r="I648" s="8"/>
      <c r="J648" s="8"/>
      <c r="K648" s="8"/>
      <c r="L648" s="8"/>
      <c r="M648" s="8"/>
    </row>
    <row r="649" spans="1:13">
      <c r="A649" s="71" t="s">
        <v>4367</v>
      </c>
      <c r="B649" s="67">
        <v>22622695802</v>
      </c>
      <c r="C649" s="72"/>
      <c r="D649" s="69"/>
      <c r="E649" s="9"/>
      <c r="F649" s="25"/>
      <c r="G649" s="70"/>
      <c r="H649" s="9"/>
      <c r="I649" s="8"/>
      <c r="J649" s="8"/>
      <c r="K649" s="8"/>
      <c r="L649" s="8"/>
      <c r="M649" s="8"/>
    </row>
    <row r="650" spans="1:13">
      <c r="A650" s="71" t="s">
        <v>4368</v>
      </c>
      <c r="B650" s="67">
        <v>80234836334</v>
      </c>
      <c r="C650" s="72" t="s">
        <v>4369</v>
      </c>
      <c r="D650" s="69">
        <v>22522250841</v>
      </c>
      <c r="E650" s="9">
        <v>1267</v>
      </c>
      <c r="F650" s="25">
        <v>42998</v>
      </c>
      <c r="G650" s="70" t="s">
        <v>3356</v>
      </c>
      <c r="H650" s="9"/>
      <c r="I650" s="8"/>
      <c r="J650" s="8"/>
      <c r="K650" s="8"/>
      <c r="L650" s="8"/>
      <c r="M650" s="8"/>
    </row>
    <row r="651" spans="1:13">
      <c r="A651" s="71" t="s">
        <v>4370</v>
      </c>
      <c r="B651" s="67">
        <v>40468831894</v>
      </c>
      <c r="C651" s="72"/>
      <c r="D651" s="69"/>
      <c r="E651" s="9">
        <v>608</v>
      </c>
      <c r="F651" s="25">
        <v>43012</v>
      </c>
      <c r="G651" s="70" t="s">
        <v>3356</v>
      </c>
      <c r="H651" s="9"/>
      <c r="I651" s="8"/>
      <c r="J651" s="8"/>
      <c r="K651" s="8"/>
      <c r="L651" s="8"/>
      <c r="M651" s="8"/>
    </row>
    <row r="652" spans="1:13">
      <c r="A652" s="71" t="s">
        <v>4371</v>
      </c>
      <c r="B652" s="67">
        <v>14890501835</v>
      </c>
      <c r="C652" s="72"/>
      <c r="D652" s="69"/>
      <c r="E652" s="9">
        <v>1824</v>
      </c>
      <c r="F652" s="25">
        <v>43091</v>
      </c>
      <c r="G652" s="70" t="s">
        <v>3356</v>
      </c>
      <c r="H652" s="9"/>
      <c r="I652" s="8"/>
      <c r="J652" s="8"/>
      <c r="K652" s="8"/>
      <c r="L652" s="9">
        <v>1828</v>
      </c>
      <c r="M652" s="8"/>
    </row>
    <row r="653" spans="1:13">
      <c r="A653" s="71" t="s">
        <v>4372</v>
      </c>
      <c r="B653" s="67">
        <v>11253287899</v>
      </c>
      <c r="C653" s="77"/>
      <c r="D653" s="69"/>
      <c r="E653" s="9"/>
      <c r="F653" s="25"/>
      <c r="G653" s="70"/>
      <c r="H653" s="9"/>
      <c r="I653" s="8"/>
      <c r="J653" s="8"/>
      <c r="K653" s="8"/>
      <c r="L653" s="8"/>
      <c r="M653" s="8"/>
    </row>
    <row r="654" spans="1:13">
      <c r="A654" s="15" t="s">
        <v>4373</v>
      </c>
      <c r="B654" s="67">
        <v>49796909634</v>
      </c>
      <c r="C654" s="72"/>
      <c r="D654" s="69"/>
      <c r="E654" s="9">
        <v>229</v>
      </c>
      <c r="F654" s="25">
        <v>43151</v>
      </c>
      <c r="G654" s="70" t="s">
        <v>3356</v>
      </c>
      <c r="H654" s="9"/>
      <c r="I654" s="8"/>
      <c r="J654" s="8"/>
      <c r="K654" s="8"/>
      <c r="L654" s="9">
        <v>232</v>
      </c>
      <c r="M654" s="8"/>
    </row>
    <row r="655" spans="1:13">
      <c r="A655" s="72" t="s">
        <v>4374</v>
      </c>
      <c r="B655" s="67">
        <v>7385460895</v>
      </c>
      <c r="C655" s="72" t="s">
        <v>4375</v>
      </c>
      <c r="D655" s="69">
        <v>14764593807</v>
      </c>
      <c r="E655" s="9"/>
      <c r="F655" s="25"/>
      <c r="G655" s="70"/>
      <c r="H655" s="9"/>
      <c r="I655" s="8"/>
      <c r="J655" s="8"/>
      <c r="K655" s="8"/>
      <c r="L655" s="8"/>
      <c r="M655" s="8"/>
    </row>
    <row r="656" spans="1:13">
      <c r="A656" s="18" t="s">
        <v>4376</v>
      </c>
      <c r="B656" s="67">
        <v>31828009814</v>
      </c>
      <c r="C656" s="18" t="s">
        <v>4377</v>
      </c>
      <c r="D656" s="69">
        <v>21427993882</v>
      </c>
      <c r="E656" s="9"/>
      <c r="F656" s="25"/>
      <c r="G656" s="70"/>
      <c r="H656" s="9"/>
      <c r="I656" s="8"/>
      <c r="J656" s="8"/>
      <c r="K656" s="8"/>
      <c r="L656" s="8"/>
      <c r="M656" s="8"/>
    </row>
    <row r="657" spans="1:13">
      <c r="A657" s="71" t="s">
        <v>4378</v>
      </c>
      <c r="B657" s="67">
        <v>4377674420</v>
      </c>
      <c r="C657" s="72"/>
      <c r="D657" s="69"/>
      <c r="E657" s="9">
        <v>1214</v>
      </c>
      <c r="F657" s="25">
        <v>42989</v>
      </c>
      <c r="G657" s="70" t="s">
        <v>3356</v>
      </c>
      <c r="H657" s="9"/>
      <c r="I657" s="8"/>
      <c r="J657" s="8"/>
      <c r="K657" s="8"/>
      <c r="L657" s="8"/>
      <c r="M657" s="8"/>
    </row>
    <row r="658" spans="1:13">
      <c r="A658" s="71" t="s">
        <v>4379</v>
      </c>
      <c r="B658" s="67">
        <v>15090098840</v>
      </c>
      <c r="C658" s="72" t="s">
        <v>4380</v>
      </c>
      <c r="D658" s="69">
        <v>3376233845</v>
      </c>
      <c r="E658" s="9">
        <v>1752</v>
      </c>
      <c r="F658" s="25">
        <v>43051</v>
      </c>
      <c r="G658" s="70" t="s">
        <v>3356</v>
      </c>
      <c r="H658" s="9"/>
      <c r="I658" s="8"/>
      <c r="J658" s="8"/>
      <c r="K658" s="8"/>
      <c r="L658" s="9">
        <v>1759</v>
      </c>
      <c r="M658" s="8"/>
    </row>
    <row r="659" spans="1:13">
      <c r="A659" s="71" t="s">
        <v>4381</v>
      </c>
      <c r="B659" s="67">
        <v>27271183841</v>
      </c>
      <c r="C659" s="72"/>
      <c r="D659" s="69"/>
      <c r="E659" s="9">
        <v>1214</v>
      </c>
      <c r="F659" s="25">
        <v>42989</v>
      </c>
      <c r="G659" s="70" t="s">
        <v>3356</v>
      </c>
      <c r="H659" s="9"/>
      <c r="I659" s="8"/>
      <c r="J659" s="8"/>
      <c r="K659" s="8"/>
      <c r="L659" s="8"/>
      <c r="M659" s="8"/>
    </row>
    <row r="660" spans="1:13">
      <c r="A660" s="71" t="s">
        <v>4382</v>
      </c>
      <c r="B660" s="67">
        <v>30652965865</v>
      </c>
      <c r="C660" s="72" t="s">
        <v>4383</v>
      </c>
      <c r="D660" s="69">
        <v>23330127813</v>
      </c>
      <c r="E660" s="9">
        <v>1214</v>
      </c>
      <c r="F660" s="25">
        <v>42989</v>
      </c>
      <c r="G660" s="70" t="s">
        <v>3356</v>
      </c>
      <c r="H660" s="9"/>
      <c r="I660" s="8"/>
      <c r="J660" s="8"/>
      <c r="K660" s="8"/>
      <c r="L660" s="8"/>
      <c r="M660" s="8"/>
    </row>
    <row r="661" spans="1:13">
      <c r="A661" s="14" t="s">
        <v>4384</v>
      </c>
      <c r="B661" s="67">
        <v>8589565866</v>
      </c>
      <c r="C661" s="72"/>
      <c r="D661" s="69"/>
      <c r="E661" s="9">
        <v>262</v>
      </c>
      <c r="F661" s="25">
        <v>43160</v>
      </c>
      <c r="G661" s="70" t="s">
        <v>3356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72" t="s">
        <v>4385</v>
      </c>
      <c r="B662" s="67">
        <v>24314625520</v>
      </c>
      <c r="C662" s="72"/>
      <c r="D662" s="69"/>
      <c r="E662" s="9"/>
      <c r="F662" s="25"/>
      <c r="G662" s="70"/>
      <c r="H662" s="9"/>
      <c r="I662" s="8"/>
      <c r="J662" s="8"/>
      <c r="K662" s="8"/>
      <c r="L662" s="8"/>
      <c r="M662" s="8"/>
    </row>
    <row r="663" spans="1:13">
      <c r="A663" s="15" t="s">
        <v>4386</v>
      </c>
      <c r="B663" s="67">
        <v>97060550887</v>
      </c>
      <c r="C663" s="72"/>
      <c r="D663" s="69"/>
      <c r="E663" s="9">
        <v>262</v>
      </c>
      <c r="F663" s="25">
        <v>43160</v>
      </c>
      <c r="G663" s="70" t="s">
        <v>3356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71" t="s">
        <v>4387</v>
      </c>
      <c r="B664" s="67">
        <v>41327735822</v>
      </c>
      <c r="C664" s="77"/>
      <c r="D664" s="69"/>
      <c r="E664" s="9">
        <v>563</v>
      </c>
      <c r="F664" s="25">
        <v>43217</v>
      </c>
      <c r="G664" s="70"/>
      <c r="H664" s="9"/>
      <c r="I664" s="8"/>
      <c r="J664" s="8"/>
      <c r="K664" s="8"/>
      <c r="L664" s="9" t="s">
        <v>3636</v>
      </c>
      <c r="M664" s="8"/>
    </row>
    <row r="665" spans="1:13">
      <c r="A665" s="71" t="s">
        <v>4388</v>
      </c>
      <c r="B665" s="67">
        <v>14052918851</v>
      </c>
      <c r="C665" s="72"/>
      <c r="D665" s="69"/>
      <c r="E665" s="9">
        <v>1106</v>
      </c>
      <c r="F665" s="25">
        <v>42965</v>
      </c>
      <c r="G665" s="70" t="s">
        <v>3356</v>
      </c>
      <c r="H665" s="9"/>
      <c r="I665" s="8"/>
      <c r="J665" s="8"/>
      <c r="K665" s="8"/>
      <c r="L665" s="8"/>
      <c r="M665" s="8"/>
    </row>
    <row r="666" spans="1:13">
      <c r="A666" s="13" t="s">
        <v>4389</v>
      </c>
      <c r="B666" s="67">
        <v>40699288800</v>
      </c>
      <c r="C666" s="72"/>
      <c r="D666" s="69"/>
      <c r="E666" s="9">
        <v>1350</v>
      </c>
      <c r="F666" s="25">
        <v>43006</v>
      </c>
      <c r="G666" s="70" t="s">
        <v>3356</v>
      </c>
      <c r="H666" s="9"/>
      <c r="I666" s="8"/>
      <c r="J666" s="8"/>
      <c r="K666" s="8"/>
      <c r="L666" s="8"/>
      <c r="M666" s="8"/>
    </row>
    <row r="667" spans="1:13">
      <c r="A667" s="71" t="s">
        <v>4390</v>
      </c>
      <c r="B667" s="67">
        <v>39898491825</v>
      </c>
      <c r="C667" s="72" t="s">
        <v>4391</v>
      </c>
      <c r="D667" s="69">
        <v>29869949894</v>
      </c>
      <c r="E667" s="9">
        <v>1214</v>
      </c>
      <c r="F667" s="25">
        <v>42989</v>
      </c>
      <c r="G667" s="70"/>
      <c r="H667" s="9"/>
      <c r="I667" s="8"/>
      <c r="J667" s="8"/>
      <c r="K667" s="8"/>
      <c r="L667" s="8"/>
      <c r="M667" s="8"/>
    </row>
    <row r="668" spans="1:13">
      <c r="A668" s="29" t="s">
        <v>4392</v>
      </c>
      <c r="B668" s="67">
        <v>96629428587</v>
      </c>
      <c r="C668" s="29" t="s">
        <v>4393</v>
      </c>
      <c r="D668" s="69">
        <v>47750391568</v>
      </c>
      <c r="E668" s="9"/>
      <c r="F668" s="25"/>
      <c r="G668" s="70"/>
      <c r="H668" s="9"/>
      <c r="I668" s="8"/>
      <c r="J668" s="8"/>
      <c r="K668" s="8"/>
      <c r="L668" s="8"/>
      <c r="M668" s="8"/>
    </row>
    <row r="669" spans="1:13">
      <c r="A669" s="71" t="s">
        <v>4394</v>
      </c>
      <c r="B669" s="67">
        <v>7383235860</v>
      </c>
      <c r="C669" s="72"/>
      <c r="D669" s="69"/>
      <c r="E669" s="9">
        <v>1752</v>
      </c>
      <c r="F669" s="25">
        <v>43051</v>
      </c>
      <c r="G669" s="70" t="s">
        <v>3356</v>
      </c>
      <c r="H669" s="9"/>
      <c r="I669" s="8"/>
      <c r="J669" s="8"/>
      <c r="K669" s="8"/>
      <c r="L669" s="9">
        <v>1759</v>
      </c>
      <c r="M669" s="8"/>
    </row>
    <row r="670" spans="1:13">
      <c r="A670" s="71" t="s">
        <v>4395</v>
      </c>
      <c r="B670" s="67">
        <v>31620089807</v>
      </c>
      <c r="C670" s="72"/>
      <c r="D670" s="69"/>
      <c r="E670" s="9">
        <v>423</v>
      </c>
      <c r="F670" s="25">
        <v>43182</v>
      </c>
      <c r="G670" s="70" t="s">
        <v>3356</v>
      </c>
      <c r="H670" s="9"/>
      <c r="I670" s="8"/>
      <c r="J670" s="8"/>
      <c r="K670" s="8"/>
      <c r="L670" s="8"/>
      <c r="M670" s="8"/>
    </row>
    <row r="671" spans="1:13">
      <c r="A671" s="14" t="s">
        <v>4396</v>
      </c>
      <c r="B671" s="67">
        <v>47371597869</v>
      </c>
      <c r="C671" s="72"/>
      <c r="D671" s="69"/>
      <c r="E671" s="9"/>
      <c r="F671" s="25"/>
      <c r="G671" s="70"/>
      <c r="H671" s="9"/>
      <c r="I671" s="8"/>
      <c r="J671" s="8"/>
      <c r="K671" s="8"/>
      <c r="L671" s="8"/>
      <c r="M671" s="8"/>
    </row>
    <row r="672" spans="1:13">
      <c r="A672" s="13" t="s">
        <v>4397</v>
      </c>
      <c r="B672" s="67">
        <v>29155768822</v>
      </c>
      <c r="C672" s="72"/>
      <c r="D672" s="69"/>
      <c r="E672" s="9">
        <v>1417</v>
      </c>
      <c r="F672" s="25">
        <v>43017</v>
      </c>
      <c r="G672" s="70" t="s">
        <v>3356</v>
      </c>
      <c r="H672" s="9"/>
      <c r="I672" s="8"/>
      <c r="J672" s="8"/>
      <c r="K672" s="8"/>
      <c r="L672" s="9" t="s">
        <v>3590</v>
      </c>
      <c r="M672" s="8"/>
    </row>
    <row r="673" spans="1:13">
      <c r="A673" s="71" t="s">
        <v>4398</v>
      </c>
      <c r="B673" s="67">
        <v>16642039823</v>
      </c>
      <c r="C673" s="72"/>
      <c r="D673" s="69"/>
      <c r="E673" s="9">
        <v>262</v>
      </c>
      <c r="F673" s="25">
        <v>43160</v>
      </c>
      <c r="G673" s="70" t="s">
        <v>3356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4399</v>
      </c>
      <c r="B674" s="67">
        <v>11438313810</v>
      </c>
      <c r="C674" s="72" t="s">
        <v>4400</v>
      </c>
      <c r="D674" s="69">
        <v>11400812844</v>
      </c>
      <c r="E674" s="9">
        <v>292</v>
      </c>
      <c r="F674" s="25">
        <v>43168</v>
      </c>
      <c r="G674" s="70" t="s">
        <v>3356</v>
      </c>
      <c r="H674" s="9"/>
      <c r="I674" s="8"/>
      <c r="J674" s="8"/>
      <c r="K674" s="8"/>
      <c r="L674" s="9">
        <v>318</v>
      </c>
      <c r="M674" s="8"/>
    </row>
    <row r="675" spans="1:13">
      <c r="A675" s="71" t="s">
        <v>4401</v>
      </c>
      <c r="B675" s="67">
        <v>11958981850</v>
      </c>
      <c r="C675" s="72"/>
      <c r="D675" s="69"/>
      <c r="E675" s="9">
        <v>485</v>
      </c>
      <c r="F675" s="25">
        <v>43196</v>
      </c>
      <c r="G675" s="70"/>
      <c r="H675" s="9"/>
      <c r="I675" s="8"/>
      <c r="J675" s="8"/>
      <c r="K675" s="8"/>
      <c r="L675" s="9">
        <v>483</v>
      </c>
      <c r="M675" s="8"/>
    </row>
    <row r="676" spans="1:13">
      <c r="A676" s="13" t="s">
        <v>4402</v>
      </c>
      <c r="B676" s="67">
        <v>25786185850</v>
      </c>
      <c r="C676" s="72"/>
      <c r="D676" s="69"/>
      <c r="E676" s="9">
        <v>1350</v>
      </c>
      <c r="F676" s="25">
        <v>43006</v>
      </c>
      <c r="G676" s="70" t="s">
        <v>3356</v>
      </c>
      <c r="H676" s="9"/>
      <c r="I676" s="8"/>
      <c r="J676" s="8"/>
      <c r="K676" s="8"/>
      <c r="L676" s="8"/>
      <c r="M676" s="8"/>
    </row>
    <row r="677" spans="1:13">
      <c r="A677" s="14" t="s">
        <v>4403</v>
      </c>
      <c r="B677" s="67">
        <v>16308413828</v>
      </c>
      <c r="C677" s="72"/>
      <c r="D677" s="69"/>
      <c r="E677" s="9">
        <v>262</v>
      </c>
      <c r="F677" s="25">
        <v>43160</v>
      </c>
      <c r="G677" s="70" t="s">
        <v>3356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71" t="s">
        <v>4404</v>
      </c>
      <c r="B678" s="67"/>
      <c r="C678" s="72"/>
      <c r="D678" s="69"/>
      <c r="E678" s="9"/>
      <c r="F678" s="25"/>
      <c r="G678" s="70"/>
      <c r="H678" s="9"/>
      <c r="I678" s="8"/>
      <c r="J678" s="8"/>
      <c r="K678" s="8"/>
      <c r="L678" s="8"/>
      <c r="M678" s="8"/>
    </row>
    <row r="679" spans="1:13">
      <c r="A679" s="71" t="s">
        <v>4405</v>
      </c>
      <c r="B679" s="67">
        <v>32739551800</v>
      </c>
      <c r="C679" s="72"/>
      <c r="D679" s="69"/>
      <c r="E679" s="9"/>
      <c r="F679" s="25"/>
      <c r="G679" s="70"/>
      <c r="H679" s="9"/>
      <c r="I679" s="8"/>
      <c r="J679" s="8"/>
      <c r="K679" s="8"/>
      <c r="L679" s="8"/>
      <c r="M679" s="8"/>
    </row>
    <row r="680" spans="1:13">
      <c r="A680" s="15" t="s">
        <v>4406</v>
      </c>
      <c r="B680" s="67">
        <v>10756997895</v>
      </c>
      <c r="C680" s="72"/>
      <c r="D680" s="69"/>
      <c r="E680" s="9">
        <v>229</v>
      </c>
      <c r="F680" s="25">
        <v>43151</v>
      </c>
      <c r="G680" s="70" t="s">
        <v>3356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4407</v>
      </c>
      <c r="B681" s="34">
        <v>31970473894</v>
      </c>
      <c r="C681" s="17" t="s">
        <v>4408</v>
      </c>
      <c r="D681" s="35">
        <v>22945039885</v>
      </c>
      <c r="E681" s="36">
        <v>1128</v>
      </c>
      <c r="F681" s="37">
        <v>42972</v>
      </c>
      <c r="G681" s="38" t="s">
        <v>3356</v>
      </c>
      <c r="H681" s="9"/>
      <c r="I681" s="8"/>
      <c r="J681" s="8"/>
      <c r="K681" s="8"/>
      <c r="L681" s="8"/>
      <c r="M681" s="8"/>
    </row>
    <row r="682" spans="1:13">
      <c r="A682" s="72" t="s">
        <v>4409</v>
      </c>
      <c r="B682" s="67">
        <v>29486419850</v>
      </c>
      <c r="C682" s="72" t="s">
        <v>4410</v>
      </c>
      <c r="D682" s="69">
        <v>4523976694</v>
      </c>
      <c r="E682" s="9"/>
      <c r="F682" s="25"/>
      <c r="G682" s="70"/>
      <c r="H682" s="9"/>
      <c r="I682" s="8"/>
      <c r="J682" s="8"/>
      <c r="K682" s="8"/>
      <c r="L682" s="8"/>
      <c r="M682" s="8"/>
    </row>
    <row r="683" spans="1:13">
      <c r="A683" s="71" t="s">
        <v>4411</v>
      </c>
      <c r="B683" s="67">
        <v>73699993272</v>
      </c>
      <c r="C683" s="72" t="s">
        <v>4412</v>
      </c>
      <c r="D683" s="69">
        <v>76412997253</v>
      </c>
      <c r="E683" s="9">
        <v>292</v>
      </c>
      <c r="F683" s="25">
        <v>43168</v>
      </c>
      <c r="G683" s="70"/>
      <c r="H683" s="9"/>
      <c r="I683" s="8"/>
      <c r="J683" s="8"/>
      <c r="K683" s="8"/>
      <c r="L683" s="9">
        <v>318</v>
      </c>
      <c r="M683" s="8"/>
    </row>
    <row r="684" spans="1:13">
      <c r="A684" s="71" t="s">
        <v>4413</v>
      </c>
      <c r="B684" s="67">
        <v>32024237894</v>
      </c>
      <c r="C684" s="72"/>
      <c r="D684" s="69"/>
      <c r="E684" s="9">
        <v>262</v>
      </c>
      <c r="F684" s="25">
        <v>43160</v>
      </c>
      <c r="G684" s="70" t="s">
        <v>3356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71" t="s">
        <v>4414</v>
      </c>
      <c r="B685" s="67">
        <v>34833459817</v>
      </c>
      <c r="C685" s="68" t="s">
        <v>4415</v>
      </c>
      <c r="D685" s="69">
        <v>32077064870</v>
      </c>
      <c r="E685" s="9">
        <v>1128</v>
      </c>
      <c r="F685" s="25">
        <v>42972</v>
      </c>
      <c r="G685" s="70" t="s">
        <v>3356</v>
      </c>
      <c r="H685" s="9"/>
      <c r="I685" s="8"/>
      <c r="J685" s="8"/>
      <c r="K685" s="8"/>
      <c r="L685" s="8"/>
      <c r="M685" s="8"/>
    </row>
    <row r="686" spans="1:13">
      <c r="A686" s="13" t="s">
        <v>4416</v>
      </c>
      <c r="B686" s="67">
        <v>15203953880</v>
      </c>
      <c r="C686" s="72" t="s">
        <v>4417</v>
      </c>
      <c r="D686" s="69">
        <v>16339364810</v>
      </c>
      <c r="E686" s="9">
        <v>229</v>
      </c>
      <c r="F686" s="25">
        <v>43151</v>
      </c>
      <c r="G686" s="70" t="s">
        <v>3362</v>
      </c>
      <c r="H686" s="9"/>
      <c r="I686" s="8"/>
      <c r="J686" s="8"/>
      <c r="K686" s="8"/>
      <c r="L686" s="9">
        <v>232</v>
      </c>
      <c r="M686" s="8"/>
    </row>
    <row r="687" spans="1:13">
      <c r="A687" s="71" t="s">
        <v>4418</v>
      </c>
      <c r="B687" s="67">
        <v>23891239882</v>
      </c>
      <c r="C687" s="72" t="s">
        <v>4419</v>
      </c>
      <c r="D687" s="69">
        <v>22474449892</v>
      </c>
      <c r="E687" s="9">
        <v>1555</v>
      </c>
      <c r="F687" s="25">
        <v>43049</v>
      </c>
      <c r="G687" s="70" t="s">
        <v>3356</v>
      </c>
      <c r="H687" s="9"/>
      <c r="I687" s="8"/>
      <c r="J687" s="8"/>
      <c r="K687" s="8"/>
      <c r="L687" s="9" t="s">
        <v>3735</v>
      </c>
      <c r="M687" s="8"/>
    </row>
    <row r="688" spans="1:13">
      <c r="A688" s="15" t="s">
        <v>4420</v>
      </c>
      <c r="B688" s="67">
        <v>376349506</v>
      </c>
      <c r="C688" s="8"/>
      <c r="D688" s="21"/>
      <c r="E688" s="9">
        <v>262</v>
      </c>
      <c r="F688" s="25">
        <v>43160</v>
      </c>
      <c r="G688" s="70" t="s">
        <v>3356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71" t="s">
        <v>4421</v>
      </c>
      <c r="B689" s="67">
        <v>19441854883</v>
      </c>
      <c r="C689" s="72"/>
      <c r="D689" s="69"/>
      <c r="E689" s="9">
        <v>810</v>
      </c>
      <c r="F689" s="25">
        <v>42915</v>
      </c>
      <c r="G689" s="70" t="s">
        <v>3356</v>
      </c>
      <c r="H689" s="9"/>
      <c r="I689" s="8"/>
      <c r="J689" s="8"/>
      <c r="K689" s="8"/>
      <c r="L689" s="9" t="s">
        <v>3475</v>
      </c>
      <c r="M689" s="8"/>
    </row>
    <row r="690" spans="1:13">
      <c r="A690" s="72" t="s">
        <v>4422</v>
      </c>
      <c r="B690" s="67">
        <v>18274701860</v>
      </c>
      <c r="C690" s="72"/>
      <c r="D690" s="69"/>
      <c r="E690" s="9">
        <v>563</v>
      </c>
      <c r="F690" s="25">
        <v>43217</v>
      </c>
      <c r="G690" s="70"/>
      <c r="H690" s="9"/>
      <c r="I690" s="8"/>
      <c r="J690" s="8"/>
      <c r="K690" s="8"/>
      <c r="L690" s="9" t="s">
        <v>3636</v>
      </c>
      <c r="M690" s="8"/>
    </row>
    <row r="691" spans="1:13">
      <c r="A691" s="13" t="s">
        <v>4423</v>
      </c>
      <c r="B691" s="67">
        <v>2232912850</v>
      </c>
      <c r="C691" s="68"/>
      <c r="D691" s="69"/>
      <c r="E691" s="9">
        <v>1451</v>
      </c>
      <c r="F691" s="25">
        <v>43027</v>
      </c>
      <c r="G691" s="70" t="s">
        <v>3356</v>
      </c>
      <c r="H691" s="9"/>
      <c r="I691" s="8"/>
      <c r="J691" s="8"/>
      <c r="K691" s="8"/>
      <c r="L691" s="8"/>
      <c r="M691" s="8"/>
    </row>
    <row r="692" spans="1:13">
      <c r="A692" s="30" t="s">
        <v>4424</v>
      </c>
      <c r="B692" s="67">
        <v>80372481515</v>
      </c>
      <c r="C692" s="72"/>
      <c r="D692" s="69"/>
      <c r="E692" s="9"/>
      <c r="F692" s="25"/>
      <c r="G692" s="70"/>
      <c r="H692" s="9"/>
      <c r="I692" s="8"/>
      <c r="J692" s="8"/>
      <c r="K692" s="8"/>
      <c r="L692" s="8"/>
      <c r="M692" s="8"/>
    </row>
    <row r="693" spans="1:13">
      <c r="A693" s="14" t="s">
        <v>4425</v>
      </c>
      <c r="B693" s="67">
        <v>27052527898</v>
      </c>
      <c r="C693" s="72"/>
      <c r="D693" s="69"/>
      <c r="E693" s="9">
        <v>292</v>
      </c>
      <c r="F693" s="25">
        <v>43168</v>
      </c>
      <c r="G693" s="70" t="s">
        <v>3356</v>
      </c>
      <c r="H693" s="9"/>
      <c r="I693" s="8"/>
      <c r="J693" s="8"/>
      <c r="K693" s="8"/>
      <c r="L693" s="9">
        <v>318</v>
      </c>
      <c r="M693" s="8"/>
    </row>
    <row r="694" spans="1:13">
      <c r="A694" s="71" t="s">
        <v>4426</v>
      </c>
      <c r="B694" s="67">
        <v>37665282890</v>
      </c>
      <c r="C694" s="72"/>
      <c r="D694" s="69"/>
      <c r="E694" s="9">
        <v>527</v>
      </c>
      <c r="F694" s="25">
        <v>43210</v>
      </c>
      <c r="G694" s="70"/>
      <c r="H694" s="9"/>
      <c r="I694" s="8"/>
      <c r="J694" s="8"/>
      <c r="K694" s="8"/>
      <c r="L694" s="9">
        <v>528</v>
      </c>
      <c r="M694" s="8"/>
    </row>
    <row r="695" spans="1:13">
      <c r="A695" s="71" t="s">
        <v>4427</v>
      </c>
      <c r="B695" s="67">
        <v>82606935420</v>
      </c>
      <c r="C695" s="72"/>
      <c r="D695" s="69"/>
      <c r="E695" s="9">
        <v>1752</v>
      </c>
      <c r="F695" s="25">
        <v>43051</v>
      </c>
      <c r="G695" s="70" t="s">
        <v>3356</v>
      </c>
      <c r="H695" s="9"/>
      <c r="I695" s="8"/>
      <c r="J695" s="8"/>
      <c r="K695" s="8"/>
      <c r="L695" s="9">
        <v>1759</v>
      </c>
      <c r="M695" s="8"/>
    </row>
    <row r="696" spans="1:13">
      <c r="A696" s="71" t="s">
        <v>4428</v>
      </c>
      <c r="B696" s="67">
        <v>58736212504</v>
      </c>
      <c r="C696" s="72"/>
      <c r="D696" s="69"/>
      <c r="E696" s="9">
        <v>423</v>
      </c>
      <c r="F696" s="25">
        <v>43182</v>
      </c>
      <c r="G696" s="70" t="s">
        <v>3362</v>
      </c>
      <c r="H696" s="9"/>
      <c r="I696" s="8"/>
      <c r="J696" s="8"/>
      <c r="K696" s="8"/>
      <c r="L696" s="8"/>
      <c r="M696" s="8"/>
    </row>
    <row r="697" spans="1:13">
      <c r="A697" s="71" t="s">
        <v>4429</v>
      </c>
      <c r="B697" s="67">
        <v>25950866851</v>
      </c>
      <c r="C697" s="72"/>
      <c r="D697" s="69"/>
      <c r="E697" s="9">
        <v>1214</v>
      </c>
      <c r="F697" s="25">
        <v>42989</v>
      </c>
      <c r="G697" s="70" t="s">
        <v>3356</v>
      </c>
      <c r="H697" s="9"/>
      <c r="I697" s="8"/>
      <c r="J697" s="8"/>
      <c r="K697" s="8"/>
      <c r="L697" s="8"/>
      <c r="M697" s="8"/>
    </row>
    <row r="698" spans="1:13">
      <c r="A698" s="71" t="s">
        <v>4430</v>
      </c>
      <c r="B698" s="67">
        <v>78094780444</v>
      </c>
      <c r="C698" s="72"/>
      <c r="D698" s="69"/>
      <c r="E698" s="9">
        <v>810</v>
      </c>
      <c r="F698" s="25">
        <v>42915</v>
      </c>
      <c r="G698" s="70" t="s">
        <v>3356</v>
      </c>
      <c r="H698" s="9"/>
      <c r="I698" s="8"/>
      <c r="J698" s="8"/>
      <c r="K698" s="8"/>
      <c r="L698" s="9" t="s">
        <v>3475</v>
      </c>
      <c r="M698" s="8"/>
    </row>
    <row r="699" spans="1:13">
      <c r="A699" s="71" t="s">
        <v>4431</v>
      </c>
      <c r="B699" s="67">
        <v>1250276489</v>
      </c>
      <c r="C699" s="72"/>
      <c r="D699" s="69"/>
      <c r="E699" s="9"/>
      <c r="F699" s="25"/>
      <c r="G699" s="70"/>
      <c r="H699" s="9"/>
      <c r="I699" s="8"/>
      <c r="J699" s="8"/>
      <c r="K699" s="8"/>
      <c r="L699" s="8"/>
      <c r="M699" s="8"/>
    </row>
    <row r="700" spans="1:13">
      <c r="A700" s="13" t="s">
        <v>4432</v>
      </c>
      <c r="B700" s="67">
        <v>27030694805</v>
      </c>
      <c r="C700" s="68"/>
      <c r="D700" s="69"/>
      <c r="E700" s="9">
        <v>1489</v>
      </c>
      <c r="F700" s="25">
        <v>43038</v>
      </c>
      <c r="G700" s="70" t="s">
        <v>3356</v>
      </c>
      <c r="H700" s="9"/>
      <c r="I700" s="8"/>
      <c r="J700" s="8"/>
      <c r="K700" s="8"/>
      <c r="L700" s="9" t="s">
        <v>3497</v>
      </c>
      <c r="M700" s="8"/>
    </row>
    <row r="701" spans="1:13">
      <c r="A701" s="71" t="s">
        <v>4433</v>
      </c>
      <c r="B701" s="67">
        <v>29329354882</v>
      </c>
      <c r="C701" s="72"/>
      <c r="D701" s="69"/>
      <c r="E701" s="9">
        <v>509</v>
      </c>
      <c r="F701" s="25">
        <v>43203</v>
      </c>
      <c r="G701" s="76"/>
      <c r="H701" s="76">
        <v>43213</v>
      </c>
      <c r="I701" s="8"/>
      <c r="J701" s="8"/>
      <c r="K701" s="8"/>
      <c r="L701" s="8"/>
      <c r="M701" s="8"/>
    </row>
    <row r="702" spans="1:13">
      <c r="A702" s="72" t="s">
        <v>4434</v>
      </c>
      <c r="B702" s="67">
        <v>5057226827</v>
      </c>
      <c r="C702" s="72"/>
      <c r="D702" s="69"/>
      <c r="E702" s="9"/>
      <c r="F702" s="25"/>
      <c r="G702" s="70"/>
      <c r="H702" s="76">
        <v>43213</v>
      </c>
      <c r="I702" s="8"/>
      <c r="J702" s="8"/>
      <c r="K702" s="8"/>
      <c r="L702" s="8"/>
      <c r="M702" s="8"/>
    </row>
    <row r="703" spans="1:13">
      <c r="A703" s="71" t="s">
        <v>4435</v>
      </c>
      <c r="B703" s="67">
        <v>25698933820</v>
      </c>
      <c r="C703" s="72" t="s">
        <v>4436</v>
      </c>
      <c r="D703" s="69">
        <v>14047433837</v>
      </c>
      <c r="E703" s="9">
        <v>810</v>
      </c>
      <c r="F703" s="25">
        <v>42915</v>
      </c>
      <c r="G703" s="70" t="s">
        <v>3356</v>
      </c>
      <c r="H703" s="76">
        <v>43213</v>
      </c>
      <c r="I703" s="8"/>
      <c r="J703" s="8"/>
      <c r="K703" s="8"/>
      <c r="L703" s="9" t="s">
        <v>3475</v>
      </c>
      <c r="M703" s="8"/>
    </row>
    <row r="704" spans="1:13">
      <c r="A704" s="71" t="s">
        <v>4437</v>
      </c>
      <c r="B704" s="67">
        <v>34806644315</v>
      </c>
      <c r="C704" s="72" t="s">
        <v>4438</v>
      </c>
      <c r="D704" s="69">
        <v>34770240368</v>
      </c>
      <c r="E704" s="9">
        <v>1752</v>
      </c>
      <c r="F704" s="25">
        <v>43051</v>
      </c>
      <c r="G704" s="70"/>
      <c r="H704" s="76">
        <v>43213</v>
      </c>
      <c r="I704" s="8"/>
      <c r="J704" s="8"/>
      <c r="K704" s="8"/>
      <c r="L704" s="9">
        <v>1759</v>
      </c>
      <c r="M704" s="8"/>
    </row>
    <row r="705" spans="1:13">
      <c r="A705" s="71" t="s">
        <v>4439</v>
      </c>
      <c r="B705" s="67">
        <v>33189488886</v>
      </c>
      <c r="C705" s="72" t="s">
        <v>4440</v>
      </c>
      <c r="D705" s="69">
        <v>35085572866</v>
      </c>
      <c r="E705" s="9"/>
      <c r="F705" s="25"/>
      <c r="G705" s="70"/>
      <c r="H705" s="76">
        <v>43213</v>
      </c>
      <c r="I705" s="8"/>
      <c r="J705" s="8"/>
      <c r="K705" s="8"/>
      <c r="L705" s="8"/>
      <c r="M705" s="8"/>
    </row>
    <row r="706" spans="1:13">
      <c r="A706" s="71" t="s">
        <v>4441</v>
      </c>
      <c r="B706" s="67">
        <v>75540959515</v>
      </c>
      <c r="C706" s="72"/>
      <c r="D706" s="69"/>
      <c r="E706" s="9">
        <v>810</v>
      </c>
      <c r="F706" s="25">
        <v>42915</v>
      </c>
      <c r="G706" s="70" t="s">
        <v>3356</v>
      </c>
      <c r="H706" s="76">
        <v>43213</v>
      </c>
      <c r="I706" s="8"/>
      <c r="J706" s="8"/>
      <c r="K706" s="8"/>
      <c r="L706" s="9" t="s">
        <v>3475</v>
      </c>
      <c r="M706" s="8"/>
    </row>
    <row r="707" spans="1:13">
      <c r="A707" s="71" t="s">
        <v>4442</v>
      </c>
      <c r="B707" s="67">
        <v>38256774860</v>
      </c>
      <c r="C707" s="72"/>
      <c r="D707" s="69"/>
      <c r="E707" s="9">
        <v>1555</v>
      </c>
      <c r="F707" s="25">
        <v>43049</v>
      </c>
      <c r="G707" s="70" t="s">
        <v>3356</v>
      </c>
      <c r="H707" s="76">
        <v>43213</v>
      </c>
      <c r="I707" s="8"/>
      <c r="J707" s="8"/>
      <c r="K707" s="8"/>
      <c r="L707" s="9" t="s">
        <v>3735</v>
      </c>
      <c r="M707" s="8"/>
    </row>
    <row r="708" spans="1:13">
      <c r="A708" s="13" t="s">
        <v>4443</v>
      </c>
      <c r="B708" s="67">
        <v>28390636549</v>
      </c>
      <c r="C708" s="72" t="s">
        <v>4444</v>
      </c>
      <c r="D708" s="69">
        <v>49042904534</v>
      </c>
      <c r="E708" s="9">
        <v>1343</v>
      </c>
      <c r="F708" s="25">
        <v>43004</v>
      </c>
      <c r="G708" s="70" t="s">
        <v>3356</v>
      </c>
      <c r="H708" s="76">
        <v>43213</v>
      </c>
      <c r="I708" s="8"/>
      <c r="J708" s="8"/>
      <c r="K708" s="8"/>
      <c r="L708" s="8"/>
      <c r="M708" s="8"/>
    </row>
    <row r="709" spans="1:13">
      <c r="A709" s="71" t="s">
        <v>4445</v>
      </c>
      <c r="B709" s="67">
        <v>73855529515</v>
      </c>
      <c r="C709" s="72"/>
      <c r="D709" s="69"/>
      <c r="E709" s="9">
        <v>443</v>
      </c>
      <c r="F709" s="25">
        <v>43188</v>
      </c>
      <c r="G709" s="70"/>
      <c r="H709" s="76">
        <v>43213</v>
      </c>
      <c r="I709" s="8"/>
      <c r="J709" s="8"/>
      <c r="K709" s="8"/>
      <c r="L709" s="8"/>
      <c r="M709" s="8"/>
    </row>
    <row r="710" spans="1:13">
      <c r="A710" s="71" t="s">
        <v>4446</v>
      </c>
      <c r="B710" s="67">
        <v>37424392867</v>
      </c>
      <c r="C710" s="72"/>
      <c r="D710" s="69"/>
      <c r="E710" s="9">
        <v>810</v>
      </c>
      <c r="F710" s="25">
        <v>42915</v>
      </c>
      <c r="G710" s="70" t="s">
        <v>3356</v>
      </c>
      <c r="H710" s="76">
        <v>43213</v>
      </c>
      <c r="I710" s="8"/>
      <c r="J710" s="8"/>
      <c r="K710" s="8"/>
      <c r="L710" s="9" t="s">
        <v>3475</v>
      </c>
      <c r="M710" s="8"/>
    </row>
    <row r="711" spans="1:13">
      <c r="A711" s="71" t="s">
        <v>4447</v>
      </c>
      <c r="B711" s="67">
        <v>27863123534</v>
      </c>
      <c r="C711" s="72" t="s">
        <v>4448</v>
      </c>
      <c r="D711" s="69">
        <v>33480142800</v>
      </c>
      <c r="E711" s="9">
        <v>1214</v>
      </c>
      <c r="F711" s="25">
        <v>42989</v>
      </c>
      <c r="G711" s="70" t="s">
        <v>3356</v>
      </c>
      <c r="H711" s="9"/>
      <c r="I711" s="8"/>
      <c r="J711" s="8"/>
      <c r="K711" s="8"/>
      <c r="L711" s="8"/>
      <c r="M711" s="8"/>
    </row>
    <row r="712" spans="1:13">
      <c r="A712" s="72" t="s">
        <v>4449</v>
      </c>
      <c r="B712" s="67">
        <v>39454972804</v>
      </c>
      <c r="C712" s="72" t="s">
        <v>4450</v>
      </c>
      <c r="D712" s="69">
        <v>62833740344</v>
      </c>
      <c r="E712" s="9">
        <v>485</v>
      </c>
      <c r="F712" s="25">
        <v>43196</v>
      </c>
      <c r="G712" s="70"/>
      <c r="H712" s="9"/>
      <c r="I712" s="8"/>
      <c r="J712" s="8"/>
      <c r="K712" s="8"/>
      <c r="L712" s="9">
        <v>483</v>
      </c>
      <c r="M712" s="8"/>
    </row>
    <row r="713" spans="1:13">
      <c r="A713" s="29" t="s">
        <v>4451</v>
      </c>
      <c r="B713" s="67"/>
      <c r="C713" s="29" t="s">
        <v>4452</v>
      </c>
      <c r="D713" s="69"/>
      <c r="E713" s="9"/>
      <c r="F713" s="25"/>
      <c r="G713" s="70"/>
      <c r="H713" s="9"/>
      <c r="I713" s="8"/>
      <c r="J713" s="8"/>
      <c r="K713" s="8"/>
      <c r="L713" s="8"/>
      <c r="M713" s="8"/>
    </row>
    <row r="714" spans="1:13">
      <c r="A714" s="71" t="s">
        <v>4453</v>
      </c>
      <c r="B714" s="67">
        <v>34175637800</v>
      </c>
      <c r="C714" s="72"/>
      <c r="D714" s="69"/>
      <c r="E714" s="9">
        <v>1267</v>
      </c>
      <c r="F714" s="25">
        <v>42998</v>
      </c>
      <c r="G714" s="70" t="s">
        <v>3356</v>
      </c>
      <c r="H714" s="9"/>
      <c r="I714" s="8"/>
      <c r="J714" s="8"/>
      <c r="K714" s="8"/>
      <c r="L714" s="8"/>
      <c r="M714" s="8"/>
    </row>
    <row r="715" spans="1:13">
      <c r="A715" s="15" t="s">
        <v>4454</v>
      </c>
      <c r="B715" s="67">
        <v>28953066808</v>
      </c>
      <c r="C715" s="72"/>
      <c r="D715" s="69"/>
      <c r="E715" s="9">
        <v>229</v>
      </c>
      <c r="F715" s="25">
        <v>43151</v>
      </c>
      <c r="G715" s="70" t="s">
        <v>3356</v>
      </c>
      <c r="H715" s="9"/>
      <c r="I715" s="8"/>
      <c r="J715" s="8"/>
      <c r="K715" s="8"/>
      <c r="L715" s="9">
        <v>232</v>
      </c>
      <c r="M715" s="8"/>
    </row>
    <row r="716" spans="1:13">
      <c r="A716" s="71" t="s">
        <v>4455</v>
      </c>
      <c r="B716" s="67">
        <v>17810014803</v>
      </c>
      <c r="C716" s="72" t="s">
        <v>4456</v>
      </c>
      <c r="D716" s="69">
        <v>28934526807</v>
      </c>
      <c r="E716" s="9">
        <v>292</v>
      </c>
      <c r="F716" s="25">
        <v>43168</v>
      </c>
      <c r="G716" s="9" t="s">
        <v>3356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4457</v>
      </c>
      <c r="B717" s="67">
        <v>724258574</v>
      </c>
      <c r="C717" s="72" t="s">
        <v>4458</v>
      </c>
      <c r="D717" s="69">
        <v>18303361856</v>
      </c>
      <c r="E717" s="9">
        <v>262</v>
      </c>
      <c r="F717" s="25">
        <v>43160</v>
      </c>
      <c r="G717" s="70" t="s">
        <v>3356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71" t="s">
        <v>4459</v>
      </c>
      <c r="B718" s="67">
        <v>37453999863</v>
      </c>
      <c r="C718" s="72" t="s">
        <v>1076</v>
      </c>
      <c r="D718" s="69"/>
      <c r="E718" s="9">
        <v>1241</v>
      </c>
      <c r="F718" s="25">
        <v>42992</v>
      </c>
      <c r="G718" s="70" t="s">
        <v>3356</v>
      </c>
      <c r="H718" s="9"/>
      <c r="I718" s="8"/>
      <c r="J718" s="8"/>
      <c r="K718" s="8"/>
      <c r="L718" s="8"/>
      <c r="M718" s="8"/>
    </row>
    <row r="719" spans="1:13">
      <c r="A719" s="71" t="s">
        <v>4460</v>
      </c>
      <c r="B719" s="67">
        <v>39796729806</v>
      </c>
      <c r="C719" s="72"/>
      <c r="D719" s="69"/>
      <c r="E719" s="9">
        <v>443</v>
      </c>
      <c r="F719" s="25">
        <v>43188</v>
      </c>
      <c r="G719" s="70"/>
      <c r="H719" s="9"/>
      <c r="I719" s="8"/>
      <c r="J719" s="8"/>
      <c r="K719" s="8"/>
      <c r="L719" s="8"/>
      <c r="M719" s="8"/>
    </row>
    <row r="720" spans="1:13">
      <c r="A720" s="71" t="s">
        <v>4461</v>
      </c>
      <c r="B720" s="67">
        <v>41545867852</v>
      </c>
      <c r="C720" s="72"/>
      <c r="D720" s="69"/>
      <c r="E720" s="9">
        <v>292</v>
      </c>
      <c r="F720" s="25">
        <v>43168</v>
      </c>
      <c r="G720" s="70" t="s">
        <v>3356</v>
      </c>
      <c r="H720" s="9"/>
      <c r="I720" s="8"/>
      <c r="J720" s="8"/>
      <c r="K720" s="8"/>
      <c r="L720" s="9">
        <v>318</v>
      </c>
      <c r="M720" s="8"/>
    </row>
    <row r="721" spans="1:13">
      <c r="A721" s="71" t="s">
        <v>4462</v>
      </c>
      <c r="B721" s="67">
        <v>30308539850</v>
      </c>
      <c r="C721" s="72" t="s">
        <v>4463</v>
      </c>
      <c r="D721" s="69">
        <v>84739517434</v>
      </c>
      <c r="E721" s="9">
        <v>810</v>
      </c>
      <c r="F721" s="25">
        <v>42915</v>
      </c>
      <c r="G721" s="70" t="s">
        <v>3356</v>
      </c>
      <c r="H721" s="9"/>
      <c r="I721" s="8"/>
      <c r="J721" s="8"/>
      <c r="K721" s="8"/>
      <c r="L721" s="9" t="s">
        <v>3475</v>
      </c>
      <c r="M721" s="8"/>
    </row>
    <row r="722" spans="1:13">
      <c r="A722" s="71" t="s">
        <v>4464</v>
      </c>
      <c r="B722" s="67">
        <v>83153640491</v>
      </c>
      <c r="C722" s="72"/>
      <c r="D722" s="69"/>
      <c r="E722" s="9"/>
      <c r="F722" s="25"/>
      <c r="G722" s="70"/>
      <c r="H722" s="9"/>
      <c r="I722" s="8"/>
      <c r="J722" s="8"/>
      <c r="K722" s="8"/>
      <c r="L722" s="8"/>
      <c r="M722" s="8"/>
    </row>
    <row r="723" spans="1:13">
      <c r="A723" s="71" t="s">
        <v>4465</v>
      </c>
      <c r="B723" s="67">
        <v>52247341420</v>
      </c>
      <c r="C723" s="72"/>
      <c r="D723" s="69"/>
      <c r="E723" s="9"/>
      <c r="F723" s="25"/>
      <c r="G723" s="70"/>
      <c r="H723" s="9"/>
      <c r="I723" s="8"/>
      <c r="J723" s="8"/>
      <c r="K723" s="8"/>
      <c r="L723" s="8"/>
      <c r="M723" s="8"/>
    </row>
    <row r="724" spans="1:13">
      <c r="A724" s="15" t="s">
        <v>4466</v>
      </c>
      <c r="B724" s="67">
        <v>21716687845</v>
      </c>
      <c r="C724" s="15" t="s">
        <v>4467</v>
      </c>
      <c r="D724" s="69">
        <v>31247045846</v>
      </c>
      <c r="E724" s="9"/>
      <c r="F724" s="25"/>
      <c r="G724" s="70"/>
      <c r="H724" s="9"/>
      <c r="I724" s="8"/>
      <c r="J724" s="8"/>
      <c r="K724" s="8"/>
      <c r="L724" s="8"/>
      <c r="M724" s="8"/>
    </row>
    <row r="725" spans="1:13">
      <c r="A725" s="71" t="s">
        <v>4468</v>
      </c>
      <c r="B725" s="67">
        <v>30678362866</v>
      </c>
      <c r="C725" s="72"/>
      <c r="D725" s="69"/>
      <c r="E725" s="9">
        <v>608</v>
      </c>
      <c r="F725" s="25">
        <v>43012</v>
      </c>
      <c r="G725" s="70" t="s">
        <v>3356</v>
      </c>
      <c r="H725" s="9"/>
      <c r="I725" s="8"/>
      <c r="J725" s="8"/>
      <c r="K725" s="8"/>
      <c r="L725" s="8"/>
      <c r="M725" s="8"/>
    </row>
    <row r="726" spans="1:13">
      <c r="A726" s="14" t="s">
        <v>4469</v>
      </c>
      <c r="B726" s="67">
        <v>8254914877</v>
      </c>
      <c r="C726" s="72"/>
      <c r="D726" s="69"/>
      <c r="E726" s="9">
        <v>262</v>
      </c>
      <c r="F726" s="25">
        <v>43160</v>
      </c>
      <c r="G726" s="70" t="s">
        <v>3356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71" t="s">
        <v>4470</v>
      </c>
      <c r="B727" s="67">
        <v>25647773842</v>
      </c>
      <c r="C727" s="72"/>
      <c r="D727" s="69"/>
      <c r="E727" s="9">
        <v>1417</v>
      </c>
      <c r="F727" s="25">
        <v>43017</v>
      </c>
      <c r="G727" s="70" t="s">
        <v>3356</v>
      </c>
      <c r="H727" s="9"/>
      <c r="I727" s="8"/>
      <c r="J727" s="8"/>
      <c r="K727" s="8"/>
      <c r="L727" s="9" t="s">
        <v>3590</v>
      </c>
      <c r="M727" s="8"/>
    </row>
    <row r="728" spans="1:13">
      <c r="A728" s="14" t="s">
        <v>4471</v>
      </c>
      <c r="B728" s="67">
        <v>99658925553</v>
      </c>
      <c r="C728" s="72" t="s">
        <v>4472</v>
      </c>
      <c r="D728" s="69">
        <v>99610108504</v>
      </c>
      <c r="E728" s="9">
        <v>262</v>
      </c>
      <c r="F728" s="25">
        <v>43160</v>
      </c>
      <c r="G728" s="70" t="s">
        <v>3356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71" t="s">
        <v>4473</v>
      </c>
      <c r="B729" s="67">
        <v>11598225812</v>
      </c>
      <c r="C729" s="72"/>
      <c r="D729" s="69"/>
      <c r="E729" s="9">
        <v>292</v>
      </c>
      <c r="F729" s="25">
        <v>43168</v>
      </c>
      <c r="G729" s="9" t="s">
        <v>3356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4474</v>
      </c>
      <c r="B730" s="67">
        <v>37284102845</v>
      </c>
      <c r="C730" s="68"/>
      <c r="D730" s="69"/>
      <c r="E730" s="9">
        <v>1128</v>
      </c>
      <c r="F730" s="25">
        <v>42972</v>
      </c>
      <c r="G730" s="70" t="s">
        <v>3356</v>
      </c>
      <c r="H730" s="9"/>
      <c r="I730" s="8"/>
      <c r="J730" s="8"/>
      <c r="K730" s="8"/>
      <c r="L730" s="8"/>
      <c r="M730" s="8"/>
    </row>
    <row r="731" spans="1:13">
      <c r="A731" s="29" t="s">
        <v>4475</v>
      </c>
      <c r="B731" s="67"/>
      <c r="C731" s="18" t="s">
        <v>3466</v>
      </c>
      <c r="D731" s="69"/>
      <c r="E731" s="9"/>
      <c r="F731" s="25"/>
      <c r="G731" s="70"/>
      <c r="H731" s="9"/>
      <c r="I731" s="8"/>
      <c r="J731" s="8"/>
      <c r="K731" s="8"/>
      <c r="L731" s="8"/>
      <c r="M731" s="8"/>
    </row>
    <row r="732" spans="1:13">
      <c r="A732" s="13" t="s">
        <v>4476</v>
      </c>
      <c r="B732" s="67">
        <v>25905224870</v>
      </c>
      <c r="C732" s="68" t="s">
        <v>4477</v>
      </c>
      <c r="D732" s="69">
        <v>36185256304</v>
      </c>
      <c r="E732" s="9">
        <v>1824</v>
      </c>
      <c r="F732" s="25">
        <v>43091</v>
      </c>
      <c r="G732" s="70" t="s">
        <v>3356</v>
      </c>
      <c r="H732" s="9"/>
      <c r="I732" s="8"/>
      <c r="J732" s="8"/>
      <c r="K732" s="8"/>
      <c r="L732" s="9">
        <v>1828</v>
      </c>
      <c r="M732" s="8"/>
    </row>
    <row r="733" spans="1:13">
      <c r="A733" s="71" t="s">
        <v>4478</v>
      </c>
      <c r="B733" s="67">
        <v>23451988852</v>
      </c>
      <c r="C733" s="72"/>
      <c r="D733" s="69"/>
      <c r="E733" s="9">
        <v>262</v>
      </c>
      <c r="F733" s="25">
        <v>43160</v>
      </c>
      <c r="G733" s="70" t="s">
        <v>3356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71" t="s">
        <v>4479</v>
      </c>
      <c r="B734" s="67">
        <v>33160363856</v>
      </c>
      <c r="C734" s="72" t="s">
        <v>4480</v>
      </c>
      <c r="D734" s="69">
        <v>37627168899</v>
      </c>
      <c r="E734" s="9"/>
      <c r="F734" s="25"/>
      <c r="G734" s="70"/>
      <c r="H734" s="9"/>
      <c r="I734" s="8"/>
      <c r="J734" s="8"/>
      <c r="K734" s="8"/>
      <c r="L734" s="8"/>
      <c r="M734" s="8"/>
    </row>
    <row r="735" spans="1:13">
      <c r="A735" s="71" t="s">
        <v>4481</v>
      </c>
      <c r="B735" s="67">
        <v>19447362800</v>
      </c>
      <c r="C735" s="73"/>
      <c r="D735" s="69"/>
      <c r="E735" s="9">
        <v>1417</v>
      </c>
      <c r="F735" s="25">
        <v>43017</v>
      </c>
      <c r="G735" s="70" t="s">
        <v>3356</v>
      </c>
      <c r="H735" s="9"/>
      <c r="I735" s="8"/>
      <c r="J735" s="8"/>
      <c r="K735" s="8"/>
      <c r="L735" s="9" t="s">
        <v>3590</v>
      </c>
      <c r="M735" s="8"/>
    </row>
    <row r="736" spans="1:13">
      <c r="A736" s="15" t="s">
        <v>4482</v>
      </c>
      <c r="B736" s="67">
        <v>36984824877</v>
      </c>
      <c r="C736" s="72"/>
      <c r="D736" s="69"/>
      <c r="E736" s="9">
        <v>229</v>
      </c>
      <c r="F736" s="25">
        <v>43151</v>
      </c>
      <c r="G736" s="70" t="s">
        <v>3356</v>
      </c>
      <c r="H736" s="9"/>
      <c r="I736" s="8"/>
      <c r="J736" s="8"/>
      <c r="K736" s="8"/>
      <c r="L736" s="9">
        <v>232</v>
      </c>
      <c r="M736" s="8"/>
    </row>
    <row r="737" spans="1:13">
      <c r="A737" s="29" t="s">
        <v>4483</v>
      </c>
      <c r="B737" s="67">
        <v>71752722434</v>
      </c>
      <c r="C737" s="18" t="s">
        <v>3466</v>
      </c>
      <c r="D737" s="69"/>
      <c r="E737" s="9"/>
      <c r="F737" s="25"/>
      <c r="G737" s="70"/>
      <c r="H737" s="9"/>
      <c r="I737" s="8"/>
      <c r="J737" s="8"/>
      <c r="K737" s="8"/>
      <c r="L737" s="8"/>
      <c r="M737" s="8"/>
    </row>
    <row r="738" spans="1:13">
      <c r="A738" s="71" t="s">
        <v>4484</v>
      </c>
      <c r="B738" s="67">
        <v>8590565890</v>
      </c>
      <c r="C738" s="72" t="s">
        <v>4485</v>
      </c>
      <c r="D738" s="69">
        <v>12969988860</v>
      </c>
      <c r="E738" s="9">
        <v>563</v>
      </c>
      <c r="F738" s="25">
        <v>43217</v>
      </c>
      <c r="G738" s="70"/>
      <c r="H738" s="9"/>
      <c r="I738" s="8"/>
      <c r="J738" s="8"/>
      <c r="K738" s="8"/>
      <c r="L738" s="9" t="s">
        <v>3636</v>
      </c>
      <c r="M738" s="8"/>
    </row>
    <row r="739" spans="1:13">
      <c r="A739" s="71" t="s">
        <v>4486</v>
      </c>
      <c r="B739" s="67">
        <v>35556660883</v>
      </c>
      <c r="C739" s="72" t="s">
        <v>4487</v>
      </c>
      <c r="D739" s="69">
        <v>68800851568</v>
      </c>
      <c r="E739" s="9">
        <v>573</v>
      </c>
      <c r="F739" s="25">
        <v>43224</v>
      </c>
      <c r="G739" s="70"/>
      <c r="H739" s="9"/>
      <c r="I739" s="8"/>
      <c r="J739" s="8"/>
      <c r="K739" s="8"/>
      <c r="L739" s="8"/>
      <c r="M739" s="8"/>
    </row>
    <row r="740" spans="1:13">
      <c r="A740" s="71" t="s">
        <v>4488</v>
      </c>
      <c r="B740" s="67">
        <v>33238164805</v>
      </c>
      <c r="C740" s="72"/>
      <c r="D740" s="69"/>
      <c r="E740" s="9"/>
      <c r="F740" s="25"/>
      <c r="G740" s="70"/>
      <c r="H740" s="9"/>
      <c r="I740" s="8"/>
      <c r="J740" s="8"/>
      <c r="K740" s="8"/>
      <c r="L740" s="8"/>
      <c r="M740" s="8"/>
    </row>
    <row r="741" spans="1:13">
      <c r="A741" s="71" t="s">
        <v>4489</v>
      </c>
      <c r="B741" s="67">
        <v>25905305870</v>
      </c>
      <c r="C741" s="72" t="s">
        <v>4490</v>
      </c>
      <c r="D741" s="69">
        <v>11480794830</v>
      </c>
      <c r="E741" s="9">
        <v>1267</v>
      </c>
      <c r="F741" s="25">
        <v>42998</v>
      </c>
      <c r="G741" s="70" t="s">
        <v>3356</v>
      </c>
      <c r="H741" s="9"/>
      <c r="I741" s="8"/>
      <c r="J741" s="8"/>
      <c r="K741" s="8"/>
      <c r="L741" s="8"/>
      <c r="M741" s="8"/>
    </row>
    <row r="742" spans="1:13">
      <c r="A742" s="71" t="s">
        <v>4491</v>
      </c>
      <c r="B742" s="67">
        <v>82881723500</v>
      </c>
      <c r="C742" s="72"/>
      <c r="D742" s="69"/>
      <c r="E742" s="9"/>
      <c r="F742" s="25"/>
      <c r="G742" s="70"/>
      <c r="H742" s="9"/>
      <c r="I742" s="8"/>
      <c r="J742" s="8"/>
      <c r="K742" s="8"/>
      <c r="L742" s="8"/>
      <c r="M742" s="8"/>
    </row>
    <row r="743" spans="1:13">
      <c r="A743" s="71" t="s">
        <v>4492</v>
      </c>
      <c r="B743" s="67">
        <v>18360141800</v>
      </c>
      <c r="C743" s="72" t="s">
        <v>4493</v>
      </c>
      <c r="D743" s="69">
        <v>48201979591</v>
      </c>
      <c r="E743" s="9">
        <v>117</v>
      </c>
      <c r="F743" s="25">
        <v>43117</v>
      </c>
      <c r="G743" s="70" t="s">
        <v>3356</v>
      </c>
      <c r="H743" s="9"/>
      <c r="I743" s="8"/>
      <c r="J743" s="8"/>
      <c r="K743" s="8"/>
      <c r="L743" s="9" t="s">
        <v>3507</v>
      </c>
      <c r="M743" s="8"/>
    </row>
    <row r="744" spans="1:13">
      <c r="A744" s="15" t="s">
        <v>4494</v>
      </c>
      <c r="B744" s="67">
        <v>28199479809</v>
      </c>
      <c r="C744" s="72"/>
      <c r="D744" s="69"/>
      <c r="E744" s="9">
        <v>117</v>
      </c>
      <c r="F744" s="25">
        <v>43117</v>
      </c>
      <c r="G744" s="70"/>
      <c r="H744" s="9"/>
      <c r="I744" s="8"/>
      <c r="J744" s="8"/>
      <c r="K744" s="8"/>
      <c r="L744" s="9" t="s">
        <v>3507</v>
      </c>
      <c r="M744" s="8"/>
    </row>
    <row r="745" spans="1:13">
      <c r="A745" s="71" t="s">
        <v>4495</v>
      </c>
      <c r="B745" s="67"/>
      <c r="C745" s="72"/>
      <c r="D745" s="69"/>
      <c r="E745" s="9"/>
      <c r="F745" s="25"/>
      <c r="G745" s="70"/>
      <c r="H745" s="9"/>
      <c r="I745" s="8"/>
      <c r="J745" s="8"/>
      <c r="K745" s="8"/>
      <c r="L745" s="8"/>
      <c r="M745" s="8"/>
    </row>
    <row r="746" spans="1:13">
      <c r="A746" s="15" t="s">
        <v>4496</v>
      </c>
      <c r="B746" s="67">
        <v>36613647829</v>
      </c>
      <c r="C746" s="72" t="s">
        <v>4497</v>
      </c>
      <c r="D746" s="69">
        <v>35387477840</v>
      </c>
      <c r="E746" s="9"/>
      <c r="F746" s="25"/>
      <c r="G746" s="70"/>
      <c r="H746" s="9"/>
      <c r="I746" s="8"/>
      <c r="J746" s="8"/>
      <c r="K746" s="8"/>
      <c r="L746" s="8"/>
      <c r="M746" s="8"/>
    </row>
    <row r="747" spans="1:13">
      <c r="A747" s="15" t="s">
        <v>4498</v>
      </c>
      <c r="B747" s="67">
        <v>1936117169</v>
      </c>
      <c r="C747" s="72"/>
      <c r="D747" s="69"/>
      <c r="E747" s="9">
        <v>85</v>
      </c>
      <c r="F747" s="25">
        <v>43109</v>
      </c>
      <c r="G747" s="70" t="s">
        <v>3356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4499</v>
      </c>
      <c r="B748" s="67">
        <v>25332480881</v>
      </c>
      <c r="C748" s="18" t="s">
        <v>3466</v>
      </c>
      <c r="D748" s="69"/>
      <c r="E748" s="9"/>
      <c r="F748" s="25"/>
      <c r="G748" s="70"/>
      <c r="H748" s="9"/>
      <c r="I748" s="8"/>
      <c r="J748" s="8"/>
      <c r="K748" s="8"/>
      <c r="L748" s="8"/>
      <c r="M748" s="8"/>
    </row>
    <row r="749" spans="1:13">
      <c r="A749" s="15" t="s">
        <v>4500</v>
      </c>
      <c r="B749" s="67">
        <v>16365042809</v>
      </c>
      <c r="C749" s="72" t="s">
        <v>4501</v>
      </c>
      <c r="D749" s="69">
        <v>26488933850</v>
      </c>
      <c r="E749" s="9">
        <v>117</v>
      </c>
      <c r="F749" s="25">
        <v>43117</v>
      </c>
      <c r="G749" s="70" t="s">
        <v>3356</v>
      </c>
      <c r="H749" s="25">
        <v>43151</v>
      </c>
      <c r="I749" s="8"/>
      <c r="J749" s="8"/>
      <c r="K749" s="8"/>
      <c r="L749" s="9" t="s">
        <v>3507</v>
      </c>
      <c r="M749" s="8"/>
    </row>
    <row r="750" spans="1:13">
      <c r="A750" s="15" t="s">
        <v>4502</v>
      </c>
      <c r="B750" s="67">
        <v>70816581649</v>
      </c>
      <c r="C750" s="72"/>
      <c r="D750" s="69"/>
      <c r="E750" s="9">
        <v>117</v>
      </c>
      <c r="F750" s="25">
        <v>43117</v>
      </c>
      <c r="G750" s="70" t="s">
        <v>3356</v>
      </c>
      <c r="H750" s="25">
        <v>43151</v>
      </c>
      <c r="I750" s="8"/>
      <c r="J750" s="8"/>
      <c r="K750" s="8"/>
      <c r="L750" s="9" t="s">
        <v>3507</v>
      </c>
      <c r="M750" s="8"/>
    </row>
    <row r="751" spans="1:13">
      <c r="A751" s="71" t="s">
        <v>4503</v>
      </c>
      <c r="B751" s="67">
        <v>35339896749</v>
      </c>
      <c r="C751" s="72"/>
      <c r="D751" s="69"/>
      <c r="E751" s="9"/>
      <c r="F751" s="25"/>
      <c r="G751" s="70"/>
      <c r="H751" s="9"/>
      <c r="I751" s="8"/>
      <c r="J751" s="8"/>
      <c r="K751" s="8"/>
      <c r="L751" s="8"/>
      <c r="M751" s="8"/>
    </row>
    <row r="752" spans="1:13">
      <c r="A752" s="13" t="s">
        <v>4504</v>
      </c>
      <c r="B752" s="67">
        <v>16122428809</v>
      </c>
      <c r="C752" s="68"/>
      <c r="D752" s="69"/>
      <c r="E752" s="9">
        <v>1267</v>
      </c>
      <c r="F752" s="25">
        <v>42998</v>
      </c>
      <c r="G752" s="70" t="s">
        <v>3362</v>
      </c>
      <c r="H752" s="9"/>
      <c r="I752" s="8"/>
      <c r="J752" s="8"/>
      <c r="K752" s="8"/>
      <c r="L752" s="8"/>
      <c r="M752" s="8"/>
    </row>
    <row r="753" spans="1:13">
      <c r="A753" s="71" t="s">
        <v>4505</v>
      </c>
      <c r="B753" s="67">
        <v>39338748820</v>
      </c>
      <c r="C753" s="72"/>
      <c r="D753" s="69"/>
      <c r="E753" s="9">
        <v>85</v>
      </c>
      <c r="F753" s="25">
        <v>43109</v>
      </c>
      <c r="G753" s="70" t="s">
        <v>3356</v>
      </c>
      <c r="H753" s="25">
        <v>43151</v>
      </c>
      <c r="I753" s="8"/>
      <c r="J753" s="8"/>
      <c r="K753" s="8"/>
      <c r="L753" s="8"/>
      <c r="M753" s="8"/>
    </row>
    <row r="754" spans="1:13">
      <c r="A754" s="71" t="s">
        <v>4506</v>
      </c>
      <c r="B754" s="67">
        <v>99813653515</v>
      </c>
      <c r="C754" s="72"/>
      <c r="D754" s="69"/>
      <c r="E754" s="9">
        <v>1214</v>
      </c>
      <c r="F754" s="25">
        <v>42989</v>
      </c>
      <c r="G754" s="70" t="s">
        <v>3356</v>
      </c>
      <c r="H754" s="9"/>
      <c r="I754" s="8"/>
      <c r="J754" s="8"/>
      <c r="K754" s="8"/>
      <c r="L754" s="8"/>
      <c r="M754" s="8"/>
    </row>
    <row r="755" spans="1:13">
      <c r="A755" s="29" t="s">
        <v>4507</v>
      </c>
      <c r="B755" s="67"/>
      <c r="C755" s="18" t="s">
        <v>3466</v>
      </c>
      <c r="D755" s="69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4508</v>
      </c>
      <c r="B756" s="67">
        <v>28424023838</v>
      </c>
      <c r="C756" s="68"/>
      <c r="D756" s="69"/>
      <c r="E756" s="9"/>
      <c r="F756" s="25"/>
      <c r="G756" s="70"/>
      <c r="H756" s="9"/>
      <c r="I756" s="8"/>
      <c r="J756" s="8"/>
      <c r="K756" s="8"/>
      <c r="L756" s="8"/>
      <c r="M756" s="8"/>
    </row>
    <row r="757" spans="1:13">
      <c r="A757" s="71" t="s">
        <v>4509</v>
      </c>
      <c r="B757" s="67">
        <v>78018455449</v>
      </c>
      <c r="C757" s="72"/>
      <c r="D757" s="69"/>
      <c r="E757" s="9">
        <v>1350</v>
      </c>
      <c r="F757" s="25">
        <v>43006</v>
      </c>
      <c r="G757" s="70" t="s">
        <v>3356</v>
      </c>
      <c r="H757" s="9"/>
      <c r="I757" s="8"/>
      <c r="J757" s="8"/>
      <c r="K757" s="8"/>
      <c r="L757" s="8"/>
      <c r="M757" s="8"/>
    </row>
    <row r="758" spans="1:13">
      <c r="A758" s="71" t="s">
        <v>4510</v>
      </c>
      <c r="B758" s="67">
        <v>47531908972</v>
      </c>
      <c r="C758" s="72"/>
      <c r="D758" s="69"/>
      <c r="E758" s="9"/>
      <c r="F758" s="25"/>
      <c r="G758" s="70"/>
      <c r="H758" s="9"/>
      <c r="I758" s="8"/>
      <c r="J758" s="8"/>
      <c r="K758" s="8"/>
      <c r="L758" s="8"/>
      <c r="M758" s="8"/>
    </row>
    <row r="759" spans="1:13">
      <c r="A759" s="71" t="s">
        <v>4511</v>
      </c>
      <c r="B759" s="67">
        <v>26980266500</v>
      </c>
      <c r="C759" s="72"/>
      <c r="D759" s="69"/>
      <c r="E759" s="9">
        <v>810</v>
      </c>
      <c r="F759" s="25">
        <v>42915</v>
      </c>
      <c r="G759" s="70"/>
      <c r="H759" s="9"/>
      <c r="I759" s="8"/>
      <c r="J759" s="8"/>
      <c r="K759" s="8"/>
      <c r="L759" s="9" t="s">
        <v>3475</v>
      </c>
      <c r="M759" s="8"/>
    </row>
    <row r="760" spans="1:13">
      <c r="A760" s="71" t="s">
        <v>4512</v>
      </c>
      <c r="B760" s="67">
        <v>41756319847</v>
      </c>
      <c r="C760" s="72" t="s">
        <v>4513</v>
      </c>
      <c r="D760" s="69">
        <v>28780799817</v>
      </c>
      <c r="E760" s="9">
        <v>1489</v>
      </c>
      <c r="F760" s="25">
        <v>43038</v>
      </c>
      <c r="G760" s="70" t="s">
        <v>3370</v>
      </c>
      <c r="H760" s="9"/>
      <c r="I760" s="8"/>
      <c r="J760" s="8"/>
      <c r="K760" s="8"/>
      <c r="L760" s="9" t="s">
        <v>3497</v>
      </c>
      <c r="M760" s="8"/>
    </row>
    <row r="761" spans="1:13">
      <c r="A761" s="71" t="s">
        <v>4514</v>
      </c>
      <c r="B761" s="67">
        <v>38607854860</v>
      </c>
      <c r="C761" s="72"/>
      <c r="D761" s="69"/>
      <c r="E761" s="9">
        <v>1824</v>
      </c>
      <c r="F761" s="25">
        <v>43091</v>
      </c>
      <c r="G761" s="70" t="s">
        <v>3356</v>
      </c>
      <c r="H761" s="9"/>
      <c r="I761" s="8"/>
      <c r="J761" s="8"/>
      <c r="K761" s="8"/>
      <c r="L761" s="9">
        <v>1828</v>
      </c>
      <c r="M761" s="8"/>
    </row>
    <row r="762" spans="1:13">
      <c r="A762" s="29" t="s">
        <v>4515</v>
      </c>
      <c r="B762" s="67"/>
      <c r="C762" s="29" t="s">
        <v>3466</v>
      </c>
      <c r="D762" s="69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4516</v>
      </c>
      <c r="B763" s="67">
        <v>34511540802</v>
      </c>
      <c r="C763" s="72"/>
      <c r="D763" s="69"/>
      <c r="E763" s="9">
        <v>443</v>
      </c>
      <c r="F763" s="25">
        <v>43188</v>
      </c>
      <c r="G763" s="70"/>
      <c r="H763" s="9"/>
      <c r="I763" s="8"/>
      <c r="J763" s="8"/>
      <c r="K763" s="8"/>
      <c r="L763" s="8"/>
      <c r="M763" s="8"/>
    </row>
    <row r="764" spans="1:13">
      <c r="A764" s="13" t="s">
        <v>4517</v>
      </c>
      <c r="B764" s="67">
        <v>39762019873</v>
      </c>
      <c r="C764" s="68" t="s">
        <v>4518</v>
      </c>
      <c r="D764" s="69">
        <v>28639452890</v>
      </c>
      <c r="E764" s="9">
        <v>1128</v>
      </c>
      <c r="F764" s="25">
        <v>42972</v>
      </c>
      <c r="G764" s="70" t="s">
        <v>3356</v>
      </c>
      <c r="H764" s="9"/>
      <c r="I764" s="8"/>
      <c r="J764" s="8"/>
      <c r="K764" s="8"/>
      <c r="L764" s="8"/>
      <c r="M764" s="8"/>
    </row>
    <row r="765" spans="1:13">
      <c r="A765" s="71" t="s">
        <v>4519</v>
      </c>
      <c r="B765" s="67">
        <v>13014716820</v>
      </c>
      <c r="C765" s="72"/>
      <c r="D765" s="69"/>
      <c r="E765" s="9">
        <v>262</v>
      </c>
      <c r="F765" s="25">
        <v>43160</v>
      </c>
      <c r="G765" s="70" t="s">
        <v>3356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71" t="s">
        <v>4520</v>
      </c>
      <c r="B766" s="67">
        <v>33182321811</v>
      </c>
      <c r="C766" s="72"/>
      <c r="D766" s="69"/>
      <c r="E766" s="9"/>
      <c r="F766" s="25"/>
      <c r="G766" s="70"/>
      <c r="H766" s="9"/>
      <c r="I766" s="8"/>
      <c r="J766" s="8"/>
      <c r="K766" s="8"/>
      <c r="L766" s="8"/>
      <c r="M766" s="8"/>
    </row>
    <row r="767" spans="1:13">
      <c r="A767" s="71" t="s">
        <v>4521</v>
      </c>
      <c r="B767" s="67">
        <v>23391801808</v>
      </c>
      <c r="C767" s="72"/>
      <c r="D767" s="69"/>
      <c r="E767" s="9">
        <v>292</v>
      </c>
      <c r="F767" s="25">
        <v>43168</v>
      </c>
      <c r="G767" s="70" t="s">
        <v>3356</v>
      </c>
      <c r="H767" s="9"/>
      <c r="I767" s="8"/>
      <c r="J767" s="8"/>
      <c r="K767" s="8"/>
      <c r="L767" s="9">
        <v>318</v>
      </c>
      <c r="M767" s="8"/>
    </row>
    <row r="768" spans="1:13">
      <c r="A768" s="71" t="s">
        <v>4522</v>
      </c>
      <c r="B768" s="67">
        <v>21914504828</v>
      </c>
      <c r="C768" s="72" t="s">
        <v>4523</v>
      </c>
      <c r="D768" s="69">
        <v>23497294861</v>
      </c>
      <c r="E768" s="9">
        <v>443</v>
      </c>
      <c r="F768" s="25">
        <v>43188</v>
      </c>
      <c r="G768" s="70"/>
      <c r="H768" s="9"/>
      <c r="I768" s="8"/>
      <c r="J768" s="8"/>
      <c r="K768" s="8"/>
      <c r="L768" s="8"/>
      <c r="M768" s="8"/>
    </row>
    <row r="769" spans="1:13">
      <c r="A769" s="71" t="s">
        <v>4524</v>
      </c>
      <c r="B769" s="67">
        <v>11259745830</v>
      </c>
      <c r="C769" s="72" t="s">
        <v>4525</v>
      </c>
      <c r="D769" s="69">
        <v>49121901368</v>
      </c>
      <c r="E769" s="9">
        <v>262</v>
      </c>
      <c r="F769" s="25">
        <v>43160</v>
      </c>
      <c r="G769" s="70" t="s">
        <v>3356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71" t="s">
        <v>4526</v>
      </c>
      <c r="B770" s="67">
        <v>22486863826</v>
      </c>
      <c r="C770" s="72"/>
      <c r="D770" s="69"/>
      <c r="E770" s="9">
        <v>1214</v>
      </c>
      <c r="F770" s="25">
        <v>42989</v>
      </c>
      <c r="G770" s="70" t="s">
        <v>3356</v>
      </c>
      <c r="H770" s="9"/>
      <c r="I770" s="8"/>
      <c r="J770" s="8"/>
      <c r="K770" s="8"/>
      <c r="L770" s="8"/>
      <c r="M770" s="8"/>
    </row>
    <row r="771" spans="1:13">
      <c r="A771" s="72" t="s">
        <v>4527</v>
      </c>
      <c r="B771" s="67">
        <v>22547591839</v>
      </c>
      <c r="C771" s="72" t="s">
        <v>4528</v>
      </c>
      <c r="D771" s="69">
        <v>33368927833</v>
      </c>
      <c r="E771" s="9"/>
      <c r="F771" s="25"/>
      <c r="G771" s="70"/>
      <c r="H771" s="9"/>
      <c r="I771" s="8"/>
      <c r="J771" s="8"/>
      <c r="K771" s="8"/>
      <c r="L771" s="8"/>
      <c r="M771" s="8"/>
    </row>
    <row r="772" spans="1:13">
      <c r="A772" s="84" t="s">
        <v>4529</v>
      </c>
      <c r="B772" s="67">
        <v>38179706842</v>
      </c>
      <c r="C772" s="77"/>
      <c r="D772" s="69"/>
      <c r="E772" s="9"/>
      <c r="F772" s="25"/>
      <c r="G772" s="70"/>
      <c r="H772" s="9"/>
      <c r="I772" s="8"/>
      <c r="J772" s="8"/>
      <c r="K772" s="8"/>
      <c r="L772" s="8"/>
      <c r="M772" s="8"/>
    </row>
    <row r="773" spans="1:13">
      <c r="A773" s="71" t="s">
        <v>4530</v>
      </c>
      <c r="B773" s="67">
        <v>36120891889</v>
      </c>
      <c r="C773" s="72"/>
      <c r="D773" s="69"/>
      <c r="E773" s="9"/>
      <c r="F773" s="25"/>
      <c r="G773" s="70"/>
      <c r="H773" s="9"/>
      <c r="I773" s="8"/>
      <c r="J773" s="8"/>
      <c r="K773" s="8"/>
      <c r="L773" s="8"/>
      <c r="M773" s="8"/>
    </row>
    <row r="774" spans="1:13">
      <c r="A774" s="71" t="s">
        <v>4531</v>
      </c>
      <c r="B774" s="67">
        <v>9881940400</v>
      </c>
      <c r="C774" s="72" t="s">
        <v>4532</v>
      </c>
      <c r="D774" s="69">
        <v>1778905501</v>
      </c>
      <c r="E774" s="9">
        <v>262</v>
      </c>
      <c r="F774" s="25">
        <v>43160</v>
      </c>
      <c r="G774" s="70" t="s">
        <v>3362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84" t="s">
        <v>4533</v>
      </c>
      <c r="B775" s="67">
        <v>18240627889</v>
      </c>
      <c r="C775" s="77" t="s">
        <v>4534</v>
      </c>
      <c r="D775" s="69">
        <v>15196624830</v>
      </c>
      <c r="E775" s="9"/>
      <c r="F775" s="25"/>
      <c r="G775" s="70"/>
      <c r="H775" s="9"/>
      <c r="I775" s="8"/>
      <c r="J775" s="8"/>
      <c r="K775" s="8"/>
      <c r="L775" s="8"/>
      <c r="M775" s="8"/>
    </row>
    <row r="776" spans="1:13">
      <c r="A776" s="71" t="s">
        <v>4535</v>
      </c>
      <c r="B776" s="67">
        <v>34715955890</v>
      </c>
      <c r="C776" s="72" t="s">
        <v>4536</v>
      </c>
      <c r="D776" s="69">
        <v>41375457829</v>
      </c>
      <c r="E776" s="9"/>
      <c r="F776" s="25"/>
      <c r="G776" s="70"/>
      <c r="H776" s="9"/>
      <c r="I776" s="8"/>
      <c r="J776" s="8"/>
      <c r="K776" s="8"/>
      <c r="L776" s="8"/>
      <c r="M776" s="8"/>
    </row>
    <row r="777" spans="1:13">
      <c r="A777" s="71" t="s">
        <v>4537</v>
      </c>
      <c r="B777" s="67">
        <v>34853801804</v>
      </c>
      <c r="C777" s="72"/>
      <c r="D777" s="69"/>
      <c r="E777" s="9">
        <v>85</v>
      </c>
      <c r="F777" s="25">
        <v>43109</v>
      </c>
      <c r="G777" s="70" t="s">
        <v>3356</v>
      </c>
      <c r="H777" s="25">
        <v>43151</v>
      </c>
      <c r="I777" s="8"/>
      <c r="J777" s="8"/>
      <c r="K777" s="8"/>
      <c r="L777" s="8"/>
      <c r="M777" s="8"/>
    </row>
    <row r="778" spans="1:13">
      <c r="A778" s="71" t="s">
        <v>4538</v>
      </c>
      <c r="B778" s="67">
        <v>2413902490</v>
      </c>
      <c r="C778" s="77" t="s">
        <v>4539</v>
      </c>
      <c r="D778" s="69">
        <v>29211407800</v>
      </c>
      <c r="E778" s="9"/>
      <c r="F778" s="25"/>
      <c r="G778" s="70"/>
      <c r="H778" s="9"/>
      <c r="I778" s="8"/>
      <c r="J778" s="8"/>
      <c r="K778" s="8"/>
      <c r="L778" s="8"/>
      <c r="M778" s="8"/>
    </row>
    <row r="779" spans="1:13">
      <c r="A779" s="71" t="s">
        <v>4540</v>
      </c>
      <c r="B779" s="67">
        <v>30558706894</v>
      </c>
      <c r="C779" s="72" t="s">
        <v>4541</v>
      </c>
      <c r="D779" s="69">
        <v>87700352372</v>
      </c>
      <c r="E779" s="9">
        <v>810</v>
      </c>
      <c r="F779" s="25">
        <v>42915</v>
      </c>
      <c r="G779" s="70" t="s">
        <v>3356</v>
      </c>
      <c r="H779" s="9"/>
      <c r="I779" s="8"/>
      <c r="J779" s="8"/>
      <c r="K779" s="8"/>
      <c r="L779" s="9" t="s">
        <v>3475</v>
      </c>
      <c r="M779" s="8"/>
    </row>
    <row r="780" spans="1:13">
      <c r="A780" s="71" t="s">
        <v>4542</v>
      </c>
      <c r="B780" s="67">
        <v>27926471836</v>
      </c>
      <c r="C780" s="72" t="s">
        <v>4543</v>
      </c>
      <c r="D780" s="69">
        <v>2210309484</v>
      </c>
      <c r="E780" s="9">
        <v>1439</v>
      </c>
      <c r="F780" s="25">
        <v>43025</v>
      </c>
      <c r="G780" s="70" t="s">
        <v>3362</v>
      </c>
      <c r="H780" s="9"/>
      <c r="I780" s="8"/>
      <c r="J780" s="8"/>
      <c r="K780" s="8"/>
      <c r="L780" s="9" t="s">
        <v>3838</v>
      </c>
      <c r="M780" s="8"/>
    </row>
    <row r="781" spans="1:13">
      <c r="A781" s="15" t="s">
        <v>4544</v>
      </c>
      <c r="B781" s="67">
        <v>82033269515</v>
      </c>
      <c r="C781" s="72"/>
      <c r="D781" s="69"/>
      <c r="E781" s="9">
        <v>117</v>
      </c>
      <c r="F781" s="25">
        <v>43117</v>
      </c>
      <c r="G781" s="70" t="s">
        <v>3356</v>
      </c>
      <c r="H781" s="9"/>
      <c r="I781" s="8"/>
      <c r="J781" s="8"/>
      <c r="K781" s="8"/>
      <c r="L781" s="9" t="s">
        <v>3507</v>
      </c>
      <c r="M781" s="8"/>
    </row>
    <row r="782" spans="1:13">
      <c r="A782" s="71" t="s">
        <v>4545</v>
      </c>
      <c r="B782" s="67">
        <v>47361352391</v>
      </c>
      <c r="C782" s="72" t="s">
        <v>4546</v>
      </c>
      <c r="D782" s="69">
        <v>37084542353</v>
      </c>
      <c r="E782" s="9">
        <v>573</v>
      </c>
      <c r="F782" s="25">
        <v>43224</v>
      </c>
      <c r="G782" s="70"/>
      <c r="H782" s="9"/>
      <c r="I782" s="8"/>
      <c r="J782" s="8"/>
      <c r="K782" s="8"/>
      <c r="L782" s="8"/>
      <c r="M782" s="8"/>
    </row>
    <row r="783" spans="1:13">
      <c r="A783" s="71" t="s">
        <v>4547</v>
      </c>
      <c r="B783" s="67">
        <v>32763223826</v>
      </c>
      <c r="C783" s="72" t="s">
        <v>4548</v>
      </c>
      <c r="D783" s="69">
        <v>27936363807</v>
      </c>
      <c r="E783" s="9">
        <v>608</v>
      </c>
      <c r="F783" s="25">
        <v>43012</v>
      </c>
      <c r="G783" s="70" t="s">
        <v>3356</v>
      </c>
      <c r="H783" s="9"/>
      <c r="I783" s="8"/>
      <c r="J783" s="8"/>
      <c r="K783" s="8"/>
      <c r="L783" s="8"/>
      <c r="M783" s="8"/>
    </row>
    <row r="784" spans="1:13">
      <c r="A784" s="18" t="s">
        <v>4549</v>
      </c>
      <c r="B784" s="67"/>
      <c r="C784" s="18" t="s">
        <v>4550</v>
      </c>
      <c r="D784" s="69"/>
      <c r="E784" s="9"/>
      <c r="F784" s="25"/>
      <c r="G784" s="70"/>
      <c r="H784" s="9"/>
      <c r="I784" s="8"/>
      <c r="J784" s="8"/>
      <c r="K784" s="8"/>
      <c r="L784" s="8"/>
      <c r="M784" s="8"/>
    </row>
    <row r="785" spans="1:13">
      <c r="A785" s="15" t="s">
        <v>4551</v>
      </c>
      <c r="B785" s="67">
        <v>4231077398</v>
      </c>
      <c r="C785" s="72"/>
      <c r="D785" s="69"/>
      <c r="E785" s="9">
        <v>85</v>
      </c>
      <c r="F785" s="25">
        <v>43109</v>
      </c>
      <c r="G785" s="70" t="s">
        <v>3356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4552</v>
      </c>
      <c r="B786" s="67">
        <v>39068600869</v>
      </c>
      <c r="C786" s="72"/>
      <c r="D786" s="69"/>
      <c r="E786" s="9"/>
      <c r="F786" s="25"/>
      <c r="G786" s="70" t="s">
        <v>3356</v>
      </c>
      <c r="H786" s="9"/>
      <c r="I786" s="8"/>
      <c r="J786" s="8"/>
      <c r="K786" s="8"/>
      <c r="L786" s="8"/>
      <c r="M786" s="8"/>
    </row>
    <row r="787" spans="1:13">
      <c r="A787" s="29" t="s">
        <v>4553</v>
      </c>
      <c r="B787" s="67">
        <v>31875471847</v>
      </c>
      <c r="C787" s="18" t="s">
        <v>4554</v>
      </c>
      <c r="D787" s="69">
        <v>60187042187</v>
      </c>
      <c r="E787" s="9"/>
      <c r="F787" s="25"/>
      <c r="G787" s="70"/>
      <c r="H787" s="9"/>
      <c r="I787" s="8"/>
      <c r="J787" s="8"/>
      <c r="K787" s="8"/>
      <c r="L787" s="8"/>
      <c r="M787" s="8"/>
    </row>
    <row r="788" spans="1:13">
      <c r="A788" s="71" t="s">
        <v>4555</v>
      </c>
      <c r="B788" s="67">
        <v>48124837864</v>
      </c>
      <c r="C788" s="72"/>
      <c r="D788" s="69"/>
      <c r="E788" s="9"/>
      <c r="F788" s="25"/>
      <c r="G788" s="70"/>
      <c r="H788" s="9"/>
      <c r="I788" s="8"/>
      <c r="J788" s="8"/>
      <c r="K788" s="8"/>
      <c r="L788" s="8"/>
      <c r="M788" s="8"/>
    </row>
    <row r="789" spans="1:13">
      <c r="A789" s="71" t="s">
        <v>4556</v>
      </c>
      <c r="B789" s="67">
        <v>5662502846</v>
      </c>
      <c r="C789" s="72"/>
      <c r="D789" s="69"/>
      <c r="E789" s="9"/>
      <c r="F789" s="25"/>
      <c r="G789" s="70"/>
      <c r="H789" s="9"/>
      <c r="I789" s="8"/>
      <c r="J789" s="8"/>
      <c r="K789" s="8"/>
      <c r="L789" s="8"/>
      <c r="M789" s="8"/>
    </row>
    <row r="790" spans="1:13">
      <c r="A790" s="29" t="s">
        <v>4557</v>
      </c>
      <c r="B790" s="67">
        <v>11634805844</v>
      </c>
      <c r="C790" s="29" t="s">
        <v>3466</v>
      </c>
      <c r="D790" s="69"/>
      <c r="E790" s="9"/>
      <c r="F790" s="25"/>
      <c r="G790" s="70"/>
      <c r="H790" s="9"/>
      <c r="I790" s="8"/>
      <c r="J790" s="8"/>
      <c r="K790" s="8"/>
      <c r="L790" s="8"/>
      <c r="M790" s="8"/>
    </row>
    <row r="791" spans="1:13">
      <c r="A791" s="15" t="s">
        <v>4558</v>
      </c>
      <c r="B791" s="67">
        <v>39485124856</v>
      </c>
      <c r="C791" s="72" t="s">
        <v>4559</v>
      </c>
      <c r="D791" s="69">
        <v>33972534892</v>
      </c>
      <c r="E791" s="9">
        <v>262</v>
      </c>
      <c r="F791" s="25">
        <v>43160</v>
      </c>
      <c r="G791" s="70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4560</v>
      </c>
      <c r="B792" s="67">
        <v>18477548803</v>
      </c>
      <c r="C792" s="73"/>
      <c r="D792" s="69"/>
      <c r="E792" s="9"/>
      <c r="F792" s="25"/>
      <c r="G792" s="70"/>
      <c r="H792" s="9"/>
      <c r="I792" s="8"/>
      <c r="J792" s="8"/>
      <c r="K792" s="8"/>
      <c r="L792" s="8"/>
      <c r="M792" s="8"/>
    </row>
    <row r="793" spans="1:13">
      <c r="A793" s="18" t="s">
        <v>4561</v>
      </c>
      <c r="B793" s="67">
        <v>31801494851</v>
      </c>
      <c r="C793" s="18"/>
      <c r="D793" s="69"/>
      <c r="E793" s="9"/>
      <c r="F793" s="25"/>
      <c r="G793" s="70"/>
      <c r="H793" s="9"/>
      <c r="I793" s="8"/>
      <c r="J793" s="8"/>
      <c r="K793" s="8"/>
      <c r="L793" s="8"/>
      <c r="M793" s="8"/>
    </row>
    <row r="794" spans="1:13">
      <c r="A794" s="71" t="s">
        <v>4562</v>
      </c>
      <c r="B794" s="67">
        <v>32221516877</v>
      </c>
      <c r="C794" s="72" t="s">
        <v>4563</v>
      </c>
      <c r="D794" s="69">
        <v>18338419800</v>
      </c>
      <c r="E794" s="9">
        <v>1752</v>
      </c>
      <c r="F794" s="25">
        <v>43051</v>
      </c>
      <c r="G794" s="70" t="s">
        <v>3356</v>
      </c>
      <c r="H794" s="9"/>
      <c r="I794" s="8"/>
      <c r="J794" s="8"/>
      <c r="K794" s="8"/>
      <c r="L794" s="9">
        <v>1759</v>
      </c>
      <c r="M794" s="8"/>
    </row>
    <row r="795" spans="1:13">
      <c r="A795" s="71" t="s">
        <v>4564</v>
      </c>
      <c r="B795" s="67">
        <v>39802625884</v>
      </c>
      <c r="C795" s="72"/>
      <c r="D795" s="69"/>
      <c r="E795" s="9"/>
      <c r="F795" s="25"/>
      <c r="G795" s="70"/>
      <c r="H795" s="9"/>
      <c r="I795" s="8"/>
      <c r="J795" s="8"/>
      <c r="K795" s="8"/>
      <c r="L795" s="8"/>
      <c r="M795" s="8"/>
    </row>
    <row r="796" spans="1:13">
      <c r="A796" s="15" t="s">
        <v>4565</v>
      </c>
      <c r="B796" s="67">
        <v>43951626810</v>
      </c>
      <c r="C796" s="72" t="s">
        <v>4566</v>
      </c>
      <c r="D796" s="69">
        <v>39706258825</v>
      </c>
      <c r="E796" s="9">
        <v>509</v>
      </c>
      <c r="F796" s="25">
        <v>43203</v>
      </c>
      <c r="G796" s="76"/>
      <c r="H796" s="76">
        <v>43213</v>
      </c>
      <c r="I796" s="8"/>
      <c r="J796" s="8"/>
      <c r="K796" s="8"/>
      <c r="L796" s="8"/>
      <c r="M796" s="8"/>
    </row>
    <row r="797" spans="1:13">
      <c r="A797" s="15" t="s">
        <v>4567</v>
      </c>
      <c r="B797" s="67">
        <v>71045821500</v>
      </c>
      <c r="C797" s="72"/>
      <c r="D797" s="69"/>
      <c r="E797" s="9"/>
      <c r="F797" s="25"/>
      <c r="G797" s="70"/>
      <c r="H797" s="76">
        <v>43213</v>
      </c>
      <c r="I797" s="8"/>
      <c r="J797" s="8"/>
      <c r="K797" s="8"/>
      <c r="L797" s="8"/>
      <c r="M797" s="8"/>
    </row>
    <row r="798" spans="1:13">
      <c r="A798" s="73" t="s">
        <v>4568</v>
      </c>
      <c r="B798" s="67">
        <v>40840895836</v>
      </c>
      <c r="C798" s="72" t="s">
        <v>4569</v>
      </c>
      <c r="D798" s="69">
        <v>39329913890</v>
      </c>
      <c r="E798" s="9">
        <v>1106</v>
      </c>
      <c r="F798" s="25">
        <v>42965</v>
      </c>
      <c r="G798" s="70" t="s">
        <v>3356</v>
      </c>
      <c r="H798" s="76">
        <v>43213</v>
      </c>
      <c r="I798" s="8"/>
      <c r="J798" s="8"/>
      <c r="K798" s="8"/>
      <c r="L798" s="8"/>
      <c r="M798" s="8"/>
    </row>
    <row r="799" spans="1:13">
      <c r="A799" s="73" t="s">
        <v>4570</v>
      </c>
      <c r="B799" s="67">
        <v>30969194809</v>
      </c>
      <c r="C799" s="72" t="s">
        <v>4571</v>
      </c>
      <c r="D799" s="69">
        <v>13013456876</v>
      </c>
      <c r="E799" s="9">
        <v>810</v>
      </c>
      <c r="F799" s="25">
        <v>42915</v>
      </c>
      <c r="G799" s="70" t="s">
        <v>3356</v>
      </c>
      <c r="H799" s="76">
        <v>43213</v>
      </c>
      <c r="I799" s="8"/>
      <c r="J799" s="8"/>
      <c r="K799" s="8"/>
      <c r="L799" s="9" t="s">
        <v>3475</v>
      </c>
      <c r="M799" s="8"/>
    </row>
    <row r="800" spans="1:13">
      <c r="A800" s="71" t="s">
        <v>4572</v>
      </c>
      <c r="B800" s="67">
        <v>33186484855</v>
      </c>
      <c r="C800" s="77" t="s">
        <v>4573</v>
      </c>
      <c r="D800" s="69">
        <v>28792123830</v>
      </c>
      <c r="E800" s="9"/>
      <c r="F800" s="25"/>
      <c r="G800" s="70"/>
      <c r="H800" s="76">
        <v>43213</v>
      </c>
      <c r="I800" s="8"/>
      <c r="J800" s="8"/>
      <c r="K800" s="8"/>
      <c r="L800" s="8"/>
      <c r="M800" s="8"/>
    </row>
    <row r="801" spans="1:13">
      <c r="A801" s="71" t="s">
        <v>4574</v>
      </c>
      <c r="B801" s="67">
        <v>33172771814</v>
      </c>
      <c r="C801" s="72"/>
      <c r="D801" s="69"/>
      <c r="E801" s="9">
        <v>262</v>
      </c>
      <c r="F801" s="25">
        <v>43160</v>
      </c>
      <c r="G801" s="9" t="s">
        <v>3356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4575</v>
      </c>
      <c r="B802" s="67">
        <v>27298776819</v>
      </c>
      <c r="C802" s="72" t="s">
        <v>4576</v>
      </c>
      <c r="D802" s="69">
        <v>31387900544</v>
      </c>
      <c r="E802" s="9">
        <v>229</v>
      </c>
      <c r="F802" s="25">
        <v>43151</v>
      </c>
      <c r="G802" s="70" t="s">
        <v>3356</v>
      </c>
      <c r="H802" s="76">
        <v>43213</v>
      </c>
      <c r="I802" s="8"/>
      <c r="J802" s="8"/>
      <c r="K802" s="8"/>
      <c r="L802" s="9">
        <v>232</v>
      </c>
      <c r="M802" s="8"/>
    </row>
    <row r="803" spans="1:13">
      <c r="A803" s="71" t="s">
        <v>4577</v>
      </c>
      <c r="B803" s="67">
        <v>28802120811</v>
      </c>
      <c r="C803" s="72" t="s">
        <v>4578</v>
      </c>
      <c r="D803" s="69">
        <v>60971240400</v>
      </c>
      <c r="E803" s="9"/>
      <c r="F803" s="25"/>
      <c r="G803" s="70"/>
      <c r="H803" s="76">
        <v>43213</v>
      </c>
      <c r="I803" s="8"/>
      <c r="J803" s="8"/>
      <c r="K803" s="8"/>
      <c r="L803" s="8"/>
      <c r="M803" s="8"/>
    </row>
    <row r="804" spans="1:13">
      <c r="A804" s="18" t="s">
        <v>4579</v>
      </c>
      <c r="B804" s="67">
        <v>34581351898</v>
      </c>
      <c r="C804" s="18" t="s">
        <v>4580</v>
      </c>
      <c r="D804" s="69">
        <v>68836376487</v>
      </c>
      <c r="E804" s="9"/>
      <c r="F804" s="25"/>
      <c r="G804" s="70"/>
      <c r="H804" s="76">
        <v>43213</v>
      </c>
      <c r="I804" s="8"/>
      <c r="J804" s="8"/>
      <c r="K804" s="8"/>
      <c r="L804" s="8"/>
      <c r="M804" s="8"/>
    </row>
    <row r="805" spans="1:13">
      <c r="A805" s="71" t="s">
        <v>4581</v>
      </c>
      <c r="B805" s="67">
        <v>47141007857</v>
      </c>
      <c r="C805" s="77"/>
      <c r="D805" s="69"/>
      <c r="E805" s="9"/>
      <c r="F805" s="25"/>
      <c r="G805" s="70"/>
      <c r="H805" s="76">
        <v>43213</v>
      </c>
      <c r="I805" s="8"/>
      <c r="J805" s="8"/>
      <c r="K805" s="8"/>
      <c r="L805" s="8"/>
      <c r="M805" s="8"/>
    </row>
    <row r="806" spans="1:13">
      <c r="A806" s="13" t="s">
        <v>4582</v>
      </c>
      <c r="B806" s="67">
        <v>14886679854</v>
      </c>
      <c r="C806" s="72"/>
      <c r="D806" s="69"/>
      <c r="E806" s="9">
        <v>1350</v>
      </c>
      <c r="F806" s="25">
        <v>43006</v>
      </c>
      <c r="G806" s="70" t="s">
        <v>3356</v>
      </c>
      <c r="H806" s="9"/>
      <c r="I806" s="8"/>
      <c r="J806" s="8"/>
      <c r="K806" s="8"/>
      <c r="L806" s="8"/>
      <c r="M806" s="8"/>
    </row>
    <row r="807" spans="1:13">
      <c r="A807" s="29" t="s">
        <v>4583</v>
      </c>
      <c r="B807" s="67"/>
      <c r="C807" s="29" t="s">
        <v>3466</v>
      </c>
      <c r="D807" s="69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71" t="s">
        <v>4584</v>
      </c>
      <c r="B808" s="67">
        <v>40324052391</v>
      </c>
      <c r="C808" s="72" t="s">
        <v>4585</v>
      </c>
      <c r="D808" s="69">
        <v>48341088568</v>
      </c>
      <c r="E808" s="9">
        <v>443</v>
      </c>
      <c r="F808" s="25">
        <v>43188</v>
      </c>
      <c r="G808" s="70"/>
      <c r="H808" s="9"/>
      <c r="I808" s="8"/>
      <c r="J808" s="8"/>
      <c r="K808" s="8"/>
      <c r="L808" s="8"/>
      <c r="M808" s="8"/>
    </row>
    <row r="809" spans="1:13">
      <c r="A809" s="71" t="s">
        <v>4586</v>
      </c>
      <c r="B809" s="67">
        <v>22504335857</v>
      </c>
      <c r="C809" s="72"/>
      <c r="D809" s="69"/>
      <c r="E809" s="9">
        <v>810</v>
      </c>
      <c r="F809" s="25">
        <v>42915</v>
      </c>
      <c r="G809" s="70" t="s">
        <v>3356</v>
      </c>
      <c r="H809" s="9"/>
      <c r="I809" s="8"/>
      <c r="J809" s="8"/>
      <c r="K809" s="8"/>
      <c r="L809" s="9" t="s">
        <v>3475</v>
      </c>
      <c r="M809" s="8"/>
    </row>
    <row r="810" spans="1:13">
      <c r="A810" s="71" t="s">
        <v>4587</v>
      </c>
      <c r="B810" s="67">
        <v>29022777847</v>
      </c>
      <c r="C810" s="72" t="s">
        <v>4588</v>
      </c>
      <c r="D810" s="69">
        <v>33430349400</v>
      </c>
      <c r="E810" s="9">
        <v>262</v>
      </c>
      <c r="F810" s="25">
        <v>43160</v>
      </c>
      <c r="G810" s="70" t="s">
        <v>3356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71" t="s">
        <v>4589</v>
      </c>
      <c r="B811" s="67">
        <v>38949324814</v>
      </c>
      <c r="C811" s="72"/>
      <c r="D811" s="69"/>
      <c r="E811" s="9">
        <v>1267</v>
      </c>
      <c r="F811" s="25">
        <v>42998</v>
      </c>
      <c r="G811" s="70" t="s">
        <v>3356</v>
      </c>
      <c r="H811" s="9"/>
      <c r="I811" s="8"/>
      <c r="J811" s="8"/>
      <c r="K811" s="8"/>
      <c r="L811" s="8"/>
      <c r="M811" s="8"/>
    </row>
    <row r="812" spans="1:13">
      <c r="A812" s="71" t="s">
        <v>4590</v>
      </c>
      <c r="B812" s="67">
        <v>21892383829</v>
      </c>
      <c r="C812" s="77"/>
      <c r="D812" s="69"/>
      <c r="E812" s="9"/>
      <c r="F812" s="25"/>
      <c r="G812" s="70"/>
      <c r="H812" s="9"/>
      <c r="I812" s="8"/>
      <c r="J812" s="8"/>
      <c r="K812" s="8"/>
      <c r="L812" s="8"/>
      <c r="M812" s="8"/>
    </row>
    <row r="813" spans="1:13">
      <c r="A813" s="71" t="s">
        <v>4591</v>
      </c>
      <c r="B813" s="67">
        <v>72671912668</v>
      </c>
      <c r="C813" s="72"/>
      <c r="D813" s="69"/>
      <c r="E813" s="9">
        <v>1106</v>
      </c>
      <c r="F813" s="25">
        <v>42965</v>
      </c>
      <c r="G813" s="70" t="s">
        <v>3356</v>
      </c>
      <c r="H813" s="9"/>
      <c r="I813" s="8"/>
      <c r="J813" s="8"/>
      <c r="K813" s="8"/>
      <c r="L813" s="8"/>
      <c r="M813" s="8"/>
    </row>
    <row r="814" spans="1:13">
      <c r="A814" s="71" t="s">
        <v>4592</v>
      </c>
      <c r="B814" s="67">
        <v>43523026865</v>
      </c>
      <c r="C814" s="72" t="s">
        <v>4593</v>
      </c>
      <c r="D814" s="69">
        <v>34320843827</v>
      </c>
      <c r="E814" s="9">
        <v>443</v>
      </c>
      <c r="F814" s="25">
        <v>43188</v>
      </c>
      <c r="G814" s="70"/>
      <c r="H814" s="9"/>
      <c r="I814" s="8"/>
      <c r="J814" s="8"/>
      <c r="K814" s="8"/>
      <c r="L814" s="8"/>
      <c r="M814" s="8"/>
    </row>
    <row r="815" spans="1:13">
      <c r="A815" s="29" t="s">
        <v>4594</v>
      </c>
      <c r="B815" s="67"/>
      <c r="C815" s="29" t="s">
        <v>3466</v>
      </c>
      <c r="D815" s="69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71" t="s">
        <v>4595</v>
      </c>
      <c r="B816" s="67">
        <v>22677175819</v>
      </c>
      <c r="C816" s="72"/>
      <c r="D816" s="69"/>
      <c r="E816" s="9">
        <v>1752</v>
      </c>
      <c r="F816" s="25">
        <v>43051</v>
      </c>
      <c r="G816" s="70" t="s">
        <v>3356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4596</v>
      </c>
      <c r="B817" s="67">
        <v>4535744599</v>
      </c>
      <c r="C817" s="72"/>
      <c r="D817" s="69"/>
      <c r="E817" s="9">
        <v>229</v>
      </c>
      <c r="F817" s="25">
        <v>43151</v>
      </c>
      <c r="G817" s="70" t="s">
        <v>3356</v>
      </c>
      <c r="H817" s="9"/>
      <c r="I817" s="8"/>
      <c r="J817" s="8"/>
      <c r="K817" s="8"/>
      <c r="L817" s="9">
        <v>232</v>
      </c>
      <c r="M817" s="8"/>
    </row>
    <row r="818" spans="1:13">
      <c r="A818" s="71" t="s">
        <v>4597</v>
      </c>
      <c r="B818" s="67">
        <v>40994549830</v>
      </c>
      <c r="C818" s="72"/>
      <c r="D818" s="69"/>
      <c r="E818" s="9">
        <v>810</v>
      </c>
      <c r="F818" s="25">
        <v>42915</v>
      </c>
      <c r="G818" s="70" t="s">
        <v>3356</v>
      </c>
      <c r="H818" s="9"/>
      <c r="I818" s="8"/>
      <c r="J818" s="8"/>
      <c r="K818" s="8"/>
      <c r="L818" s="9" t="s">
        <v>3475</v>
      </c>
      <c r="M818" s="8"/>
    </row>
    <row r="819" spans="1:13">
      <c r="A819" s="71" t="s">
        <v>4598</v>
      </c>
      <c r="B819" s="67">
        <v>17617958803</v>
      </c>
      <c r="C819" s="72"/>
      <c r="D819" s="69"/>
      <c r="E819" s="9"/>
      <c r="F819" s="25"/>
      <c r="G819" s="70"/>
      <c r="H819" s="9"/>
      <c r="I819" s="8"/>
      <c r="J819" s="8"/>
      <c r="K819" s="8"/>
      <c r="L819" s="8"/>
      <c r="M819" s="8"/>
    </row>
    <row r="820" spans="1:13">
      <c r="A820" s="13" t="s">
        <v>4599</v>
      </c>
      <c r="B820" s="67">
        <v>27801402839</v>
      </c>
      <c r="C820" s="68"/>
      <c r="D820" s="69"/>
      <c r="E820" s="9"/>
      <c r="F820" s="25"/>
      <c r="G820" s="70"/>
      <c r="H820" s="9"/>
      <c r="I820" s="8"/>
      <c r="J820" s="8"/>
      <c r="K820" s="8"/>
      <c r="L820" s="8"/>
      <c r="M820" s="8"/>
    </row>
    <row r="821" spans="1:13">
      <c r="A821" s="71" t="s">
        <v>4600</v>
      </c>
      <c r="B821" s="67">
        <v>32672074879</v>
      </c>
      <c r="C821" s="72"/>
      <c r="D821" s="69"/>
      <c r="E821" s="9">
        <v>292</v>
      </c>
      <c r="F821" s="25">
        <v>43168</v>
      </c>
      <c r="G821" s="70" t="s">
        <v>3356</v>
      </c>
      <c r="H821" s="9"/>
      <c r="I821" s="8"/>
      <c r="J821" s="8"/>
      <c r="K821" s="8"/>
      <c r="L821" s="9">
        <v>318</v>
      </c>
      <c r="M821" s="8"/>
    </row>
    <row r="822" spans="1:13">
      <c r="A822" s="71" t="s">
        <v>4601</v>
      </c>
      <c r="B822" s="67">
        <v>31103432826</v>
      </c>
      <c r="C822" s="72"/>
      <c r="D822" s="69"/>
      <c r="E822" s="9">
        <v>1262</v>
      </c>
      <c r="F822" s="25">
        <v>42997</v>
      </c>
      <c r="G822" s="70" t="s">
        <v>3356</v>
      </c>
      <c r="H822" s="9"/>
      <c r="I822" s="8"/>
      <c r="J822" s="8"/>
      <c r="K822" s="8"/>
      <c r="L822" s="8"/>
      <c r="M822" s="8"/>
    </row>
    <row r="823" spans="1:13">
      <c r="A823" s="71" t="s">
        <v>4602</v>
      </c>
      <c r="B823" s="67">
        <v>5102923480</v>
      </c>
      <c r="C823" s="72" t="s">
        <v>4603</v>
      </c>
      <c r="D823" s="69">
        <v>70514526491</v>
      </c>
      <c r="E823" s="9"/>
      <c r="F823" s="25"/>
      <c r="G823" s="70"/>
      <c r="H823" s="9"/>
      <c r="I823" s="8"/>
      <c r="J823" s="8"/>
      <c r="K823" s="8"/>
      <c r="L823" s="8"/>
      <c r="M823" s="8"/>
    </row>
    <row r="824" spans="1:13">
      <c r="A824" s="71" t="s">
        <v>4604</v>
      </c>
      <c r="B824" s="67">
        <v>7268622406</v>
      </c>
      <c r="C824" s="72" t="s">
        <v>4605</v>
      </c>
      <c r="D824" s="69">
        <v>40507630874</v>
      </c>
      <c r="E824" s="9">
        <v>1267</v>
      </c>
      <c r="F824" s="25">
        <v>42998</v>
      </c>
      <c r="G824" s="70" t="s">
        <v>3356</v>
      </c>
      <c r="H824" s="9"/>
      <c r="I824" s="8"/>
      <c r="J824" s="8"/>
      <c r="K824" s="8"/>
      <c r="L824" s="8"/>
      <c r="M824" s="8"/>
    </row>
    <row r="825" spans="1:13">
      <c r="A825" s="71" t="s">
        <v>4606</v>
      </c>
      <c r="B825" s="67" t="s">
        <v>4607</v>
      </c>
      <c r="C825" s="77" t="s">
        <v>4608</v>
      </c>
      <c r="D825" s="69" t="s">
        <v>4609</v>
      </c>
      <c r="E825" s="9"/>
      <c r="F825" s="25"/>
      <c r="G825" s="70"/>
      <c r="H825" s="9"/>
      <c r="I825" s="8"/>
      <c r="J825" s="8"/>
      <c r="K825" s="8"/>
      <c r="L825" s="8"/>
      <c r="M825" s="8"/>
    </row>
    <row r="826" spans="1:13">
      <c r="A826" s="29" t="s">
        <v>4610</v>
      </c>
      <c r="B826" s="67"/>
      <c r="C826" s="29" t="s">
        <v>3466</v>
      </c>
      <c r="D826" s="69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72" t="s">
        <v>4611</v>
      </c>
      <c r="B827" s="67">
        <v>31429224827</v>
      </c>
      <c r="C827" s="72" t="s">
        <v>4612</v>
      </c>
      <c r="D827" s="69">
        <v>27263725894</v>
      </c>
      <c r="E827" s="9">
        <v>292</v>
      </c>
      <c r="F827" s="25">
        <v>43168</v>
      </c>
      <c r="G827" s="70" t="s">
        <v>3362</v>
      </c>
      <c r="H827" s="9"/>
      <c r="I827" s="8"/>
      <c r="J827" s="8"/>
      <c r="K827" s="8"/>
      <c r="L827" s="9">
        <v>318</v>
      </c>
      <c r="M827" s="8"/>
    </row>
    <row r="828" spans="1:13">
      <c r="A828" s="71" t="s">
        <v>4613</v>
      </c>
      <c r="B828" s="67">
        <v>3753540420</v>
      </c>
      <c r="C828" s="72" t="s">
        <v>4550</v>
      </c>
      <c r="D828" s="69">
        <v>68360118434</v>
      </c>
      <c r="E828" s="9"/>
      <c r="F828" s="25"/>
      <c r="G828" s="70"/>
      <c r="H828" s="9"/>
      <c r="I828" s="8"/>
      <c r="J828" s="8"/>
      <c r="K828" s="8"/>
      <c r="L828" s="8"/>
      <c r="M828" s="8"/>
    </row>
    <row r="829" spans="1:13">
      <c r="A829" s="29" t="s">
        <v>4614</v>
      </c>
      <c r="B829" s="67">
        <v>5797649667</v>
      </c>
      <c r="C829" s="29"/>
      <c r="D829" s="69"/>
      <c r="E829" s="9"/>
      <c r="F829" s="25"/>
      <c r="G829" s="70"/>
      <c r="H829" s="9"/>
      <c r="I829" s="8"/>
      <c r="J829" s="8"/>
      <c r="K829" s="8"/>
      <c r="L829" s="8"/>
      <c r="M829" s="8"/>
    </row>
    <row r="830" spans="1:13">
      <c r="A830" s="73" t="s">
        <v>4615</v>
      </c>
      <c r="B830" s="67">
        <v>36723660803</v>
      </c>
      <c r="C830" s="72" t="s">
        <v>4616</v>
      </c>
      <c r="D830" s="69">
        <v>32763586899</v>
      </c>
      <c r="E830" s="9">
        <v>608</v>
      </c>
      <c r="F830" s="25">
        <v>43012</v>
      </c>
      <c r="G830" s="70" t="s">
        <v>3356</v>
      </c>
      <c r="H830" s="9"/>
      <c r="I830" s="8"/>
      <c r="J830" s="8"/>
      <c r="K830" s="8"/>
      <c r="L830" s="8"/>
      <c r="M830" s="8"/>
    </row>
    <row r="831" spans="1:13">
      <c r="A831" s="13" t="s">
        <v>4617</v>
      </c>
      <c r="B831" s="67">
        <v>81445407868</v>
      </c>
      <c r="C831" s="68"/>
      <c r="D831" s="69"/>
      <c r="E831" s="9">
        <v>1128</v>
      </c>
      <c r="F831" s="25">
        <v>42972</v>
      </c>
      <c r="G831" s="70" t="s">
        <v>3356</v>
      </c>
      <c r="H831" s="9"/>
      <c r="I831" s="8"/>
      <c r="J831" s="8"/>
      <c r="K831" s="8"/>
      <c r="L831" s="8"/>
      <c r="M831" s="8"/>
    </row>
    <row r="832" spans="1:13">
      <c r="A832" s="72" t="s">
        <v>4618</v>
      </c>
      <c r="B832" s="67">
        <v>166405462</v>
      </c>
      <c r="C832" s="15" t="s">
        <v>4619</v>
      </c>
      <c r="D832" s="69">
        <v>14662128889</v>
      </c>
      <c r="E832" s="9"/>
      <c r="F832" s="25"/>
      <c r="G832" s="70"/>
      <c r="H832" s="9"/>
      <c r="I832" s="8"/>
      <c r="J832" s="8"/>
      <c r="K832" s="8"/>
      <c r="L832" s="8"/>
      <c r="M832" s="8"/>
    </row>
    <row r="833" spans="1:13">
      <c r="A833" s="71" t="s">
        <v>4620</v>
      </c>
      <c r="B833" s="67">
        <v>12840272873</v>
      </c>
      <c r="C833" s="72"/>
      <c r="D833" s="69"/>
      <c r="E833" s="9">
        <v>810</v>
      </c>
      <c r="F833" s="25">
        <v>42915</v>
      </c>
      <c r="G833" s="70" t="s">
        <v>3356</v>
      </c>
      <c r="H833" s="9"/>
      <c r="I833" s="8"/>
      <c r="J833" s="8"/>
      <c r="K833" s="8"/>
      <c r="L833" s="9" t="s">
        <v>3475</v>
      </c>
      <c r="M833" s="8"/>
    </row>
    <row r="834" spans="1:13">
      <c r="A834" s="15" t="s">
        <v>4621</v>
      </c>
      <c r="B834" s="67">
        <v>39072123808</v>
      </c>
      <c r="C834" s="72"/>
      <c r="D834" s="69"/>
      <c r="E834" s="9">
        <v>229</v>
      </c>
      <c r="F834" s="25">
        <v>43151</v>
      </c>
      <c r="G834" s="70" t="s">
        <v>3356</v>
      </c>
      <c r="H834" s="9"/>
      <c r="I834" s="8"/>
      <c r="J834" s="8"/>
      <c r="K834" s="8"/>
      <c r="L834" s="9">
        <v>232</v>
      </c>
      <c r="M834" s="8"/>
    </row>
    <row r="835" spans="1:13">
      <c r="A835" s="33" t="s">
        <v>4622</v>
      </c>
      <c r="B835" s="67">
        <v>13621159835</v>
      </c>
      <c r="C835" s="72" t="s">
        <v>4623</v>
      </c>
      <c r="D835" s="69">
        <v>35124170867</v>
      </c>
      <c r="E835" s="9">
        <v>229</v>
      </c>
      <c r="F835" s="25">
        <v>43151</v>
      </c>
      <c r="G835" s="70" t="s">
        <v>3356</v>
      </c>
      <c r="H835" s="9"/>
      <c r="I835" s="8"/>
      <c r="J835" s="8"/>
      <c r="K835" s="8"/>
      <c r="L835" s="9">
        <v>232</v>
      </c>
      <c r="M835" s="8"/>
    </row>
    <row r="836" spans="1:13">
      <c r="A836" s="73" t="s">
        <v>4624</v>
      </c>
      <c r="B836" s="67">
        <v>34649647878</v>
      </c>
      <c r="C836" s="72" t="s">
        <v>4625</v>
      </c>
      <c r="D836" s="69">
        <v>17811429802</v>
      </c>
      <c r="E836" s="9">
        <v>810</v>
      </c>
      <c r="F836" s="25">
        <v>42915</v>
      </c>
      <c r="G836" s="70" t="s">
        <v>3356</v>
      </c>
      <c r="H836" s="9"/>
      <c r="I836" s="8"/>
      <c r="J836" s="8"/>
      <c r="K836" s="8"/>
      <c r="L836" s="9" t="s">
        <v>3475</v>
      </c>
      <c r="M836" s="8"/>
    </row>
    <row r="837" spans="1:13">
      <c r="A837" s="71" t="s">
        <v>4626</v>
      </c>
      <c r="B837" s="67">
        <v>25809517846</v>
      </c>
      <c r="C837" s="73" t="s">
        <v>4627</v>
      </c>
      <c r="D837" s="69">
        <v>68856830434</v>
      </c>
      <c r="E837" s="9">
        <v>292</v>
      </c>
      <c r="F837" s="25">
        <v>43168</v>
      </c>
      <c r="G837" s="70" t="s">
        <v>3362</v>
      </c>
      <c r="H837" s="9"/>
      <c r="I837" s="8"/>
      <c r="J837" s="8"/>
      <c r="K837" s="8"/>
      <c r="L837" s="9">
        <v>318</v>
      </c>
      <c r="M837" s="8"/>
    </row>
    <row r="838" spans="1:13">
      <c r="A838" s="71" t="s">
        <v>4628</v>
      </c>
      <c r="B838" s="67">
        <v>6952730435</v>
      </c>
      <c r="C838" s="72" t="s">
        <v>4629</v>
      </c>
      <c r="D838" s="69">
        <v>8004608477</v>
      </c>
      <c r="E838" s="9">
        <v>810</v>
      </c>
      <c r="F838" s="25">
        <v>42915</v>
      </c>
      <c r="G838" s="70" t="s">
        <v>3356</v>
      </c>
      <c r="H838" s="9"/>
      <c r="I838" s="8"/>
      <c r="J838" s="8"/>
      <c r="K838" s="8"/>
      <c r="L838" s="9" t="s">
        <v>3475</v>
      </c>
      <c r="M838" s="8"/>
    </row>
    <row r="839" spans="1:13">
      <c r="A839" s="71" t="s">
        <v>4630</v>
      </c>
      <c r="B839" s="67">
        <v>23440697800</v>
      </c>
      <c r="C839" s="72" t="s">
        <v>4631</v>
      </c>
      <c r="D839" s="69">
        <v>93690177553</v>
      </c>
      <c r="E839" s="9">
        <v>292</v>
      </c>
      <c r="F839" s="25">
        <v>43168</v>
      </c>
      <c r="G839" s="70" t="s">
        <v>3356</v>
      </c>
      <c r="H839" s="9"/>
      <c r="I839" s="8"/>
      <c r="J839" s="8"/>
      <c r="K839" s="8"/>
      <c r="L839" s="9">
        <v>318</v>
      </c>
      <c r="M839" s="8"/>
    </row>
    <row r="840" spans="1:13">
      <c r="A840" s="71" t="s">
        <v>4632</v>
      </c>
      <c r="B840" s="67">
        <v>93567421549</v>
      </c>
      <c r="C840" s="72" t="s">
        <v>4633</v>
      </c>
      <c r="D840" s="69"/>
      <c r="E840" s="9"/>
      <c r="F840" s="25"/>
      <c r="G840" s="70"/>
      <c r="H840" s="9"/>
      <c r="I840" s="8"/>
      <c r="J840" s="8"/>
      <c r="K840" s="8"/>
      <c r="L840" s="8"/>
      <c r="M840" s="8"/>
    </row>
    <row r="841" spans="1:13">
      <c r="A841" s="71" t="s">
        <v>4634</v>
      </c>
      <c r="B841" s="67">
        <v>27080114802</v>
      </c>
      <c r="C841" s="72"/>
      <c r="D841" s="69"/>
      <c r="E841" s="9"/>
      <c r="F841" s="25"/>
      <c r="G841" s="70"/>
      <c r="H841" s="9"/>
      <c r="I841" s="8"/>
      <c r="J841" s="8"/>
      <c r="K841" s="8"/>
      <c r="L841" s="8"/>
      <c r="M841" s="8"/>
    </row>
    <row r="842" spans="1:13">
      <c r="A842" s="15" t="s">
        <v>4635</v>
      </c>
      <c r="B842" s="67">
        <v>35370332819</v>
      </c>
      <c r="C842" s="72"/>
      <c r="D842" s="69"/>
      <c r="E842" s="9">
        <v>117</v>
      </c>
      <c r="F842" s="25">
        <v>43117</v>
      </c>
      <c r="G842" s="70" t="s">
        <v>3356</v>
      </c>
      <c r="H842" s="9"/>
      <c r="I842" s="8"/>
      <c r="J842" s="8"/>
      <c r="K842" s="8"/>
      <c r="L842" s="9" t="s">
        <v>3507</v>
      </c>
      <c r="M842" s="8"/>
    </row>
    <row r="843" spans="1:13">
      <c r="A843" s="71" t="s">
        <v>4636</v>
      </c>
      <c r="B843" s="67">
        <v>28610864839</v>
      </c>
      <c r="C843" s="72"/>
      <c r="D843" s="69"/>
      <c r="E843" s="9">
        <v>292</v>
      </c>
      <c r="F843" s="25">
        <v>43168</v>
      </c>
      <c r="G843" s="70" t="s">
        <v>3356</v>
      </c>
      <c r="H843" s="9"/>
      <c r="I843" s="8"/>
      <c r="J843" s="8"/>
      <c r="K843" s="8"/>
      <c r="L843" s="9">
        <v>318</v>
      </c>
      <c r="M843" s="8"/>
    </row>
    <row r="844" spans="1:13">
      <c r="A844" s="71" t="s">
        <v>4637</v>
      </c>
      <c r="B844" s="67">
        <v>33739957875</v>
      </c>
      <c r="C844" s="72"/>
      <c r="D844" s="69"/>
      <c r="E844" s="9"/>
      <c r="F844" s="25"/>
      <c r="G844" s="70"/>
      <c r="H844" s="9"/>
      <c r="I844" s="8"/>
      <c r="J844" s="8"/>
      <c r="K844" s="8"/>
      <c r="L844" s="8"/>
      <c r="M844" s="8"/>
    </row>
    <row r="845" spans="1:13">
      <c r="A845" s="15" t="s">
        <v>4638</v>
      </c>
      <c r="B845" s="67">
        <v>30864304862</v>
      </c>
      <c r="C845" s="72"/>
      <c r="D845" s="69"/>
      <c r="E845" s="9">
        <v>117</v>
      </c>
      <c r="F845" s="25">
        <v>43117</v>
      </c>
      <c r="G845" s="70" t="s">
        <v>3356</v>
      </c>
      <c r="H845" s="9"/>
      <c r="I845" s="8"/>
      <c r="J845" s="8"/>
      <c r="K845" s="8"/>
      <c r="L845" s="9" t="s">
        <v>3507</v>
      </c>
      <c r="M845" s="8"/>
    </row>
    <row r="846" spans="1:13">
      <c r="A846" s="71" t="s">
        <v>4639</v>
      </c>
      <c r="B846" s="67">
        <v>27689625894</v>
      </c>
      <c r="C846" s="72"/>
      <c r="D846" s="69"/>
      <c r="E846" s="9">
        <v>1417</v>
      </c>
      <c r="F846" s="25">
        <v>43017</v>
      </c>
      <c r="G846" s="70" t="s">
        <v>3356</v>
      </c>
      <c r="H846" s="9"/>
      <c r="I846" s="8"/>
      <c r="J846" s="8"/>
      <c r="K846" s="8"/>
      <c r="L846" s="9" t="s">
        <v>3590</v>
      </c>
      <c r="M846" s="8"/>
    </row>
    <row r="847" spans="1:13">
      <c r="A847" s="71" t="s">
        <v>4640</v>
      </c>
      <c r="B847" s="67">
        <v>10762166843</v>
      </c>
      <c r="C847" s="72" t="s">
        <v>4641</v>
      </c>
      <c r="D847" s="69">
        <v>18471490811</v>
      </c>
      <c r="E847" s="9">
        <v>1752</v>
      </c>
      <c r="F847" s="25">
        <v>43051</v>
      </c>
      <c r="G847" s="83" t="s">
        <v>3356</v>
      </c>
      <c r="H847" s="9"/>
      <c r="I847" s="8"/>
      <c r="J847" s="8"/>
      <c r="K847" s="8"/>
      <c r="L847" s="9">
        <v>1759</v>
      </c>
      <c r="M847" s="8"/>
    </row>
    <row r="848" spans="1:13">
      <c r="A848" s="71" t="s">
        <v>4642</v>
      </c>
      <c r="B848" s="67">
        <v>22667549805</v>
      </c>
      <c r="C848" s="72"/>
      <c r="D848" s="69"/>
      <c r="E848" s="9"/>
      <c r="F848" s="25"/>
      <c r="G848" s="70"/>
      <c r="H848" s="9"/>
      <c r="I848" s="8"/>
      <c r="J848" s="8"/>
      <c r="K848" s="8"/>
      <c r="L848" s="8"/>
      <c r="M848" s="8"/>
    </row>
    <row r="849" spans="1:13">
      <c r="A849" s="15" t="s">
        <v>4643</v>
      </c>
      <c r="B849" s="67">
        <v>38988535863</v>
      </c>
      <c r="C849" s="72" t="s">
        <v>4644</v>
      </c>
      <c r="D849" s="69">
        <v>34543536886</v>
      </c>
      <c r="E849" s="9">
        <v>1555</v>
      </c>
      <c r="F849" s="25">
        <v>43049</v>
      </c>
      <c r="G849" s="70" t="s">
        <v>3356</v>
      </c>
      <c r="H849" s="9"/>
      <c r="I849" s="8"/>
      <c r="J849" s="8"/>
      <c r="K849" s="8"/>
      <c r="L849" s="9" t="s">
        <v>3735</v>
      </c>
      <c r="M849" s="8"/>
    </row>
    <row r="850" spans="1:13">
      <c r="A850" s="71" t="s">
        <v>4645</v>
      </c>
      <c r="B850" s="67">
        <v>81902581334</v>
      </c>
      <c r="C850" s="72" t="s">
        <v>4646</v>
      </c>
      <c r="D850" s="69">
        <v>42305020368</v>
      </c>
      <c r="E850" s="9">
        <v>1752</v>
      </c>
      <c r="F850" s="25">
        <v>43051</v>
      </c>
      <c r="G850" s="70" t="s">
        <v>3356</v>
      </c>
      <c r="H850" s="9"/>
      <c r="I850" s="8"/>
      <c r="J850" s="8"/>
      <c r="K850" s="8"/>
      <c r="L850" s="9">
        <v>1759</v>
      </c>
      <c r="M850" s="8"/>
    </row>
    <row r="851" spans="1:13">
      <c r="A851" s="72" t="s">
        <v>4647</v>
      </c>
      <c r="B851" s="67">
        <v>15273848881</v>
      </c>
      <c r="C851" s="72"/>
      <c r="D851" s="69"/>
      <c r="E851" s="9"/>
      <c r="F851" s="25"/>
      <c r="G851" s="70"/>
      <c r="H851" s="9"/>
      <c r="I851" s="8"/>
      <c r="J851" s="8"/>
      <c r="K851" s="8"/>
      <c r="L851" s="8"/>
      <c r="M851" s="8"/>
    </row>
    <row r="852" spans="1:13">
      <c r="A852" s="71" t="s">
        <v>4648</v>
      </c>
      <c r="B852" s="67">
        <v>10724870806</v>
      </c>
      <c r="C852" s="68"/>
      <c r="D852" s="69"/>
      <c r="E852" s="9">
        <v>1128</v>
      </c>
      <c r="F852" s="25">
        <v>42972</v>
      </c>
      <c r="G852" s="70" t="s">
        <v>3356</v>
      </c>
      <c r="H852" s="9"/>
      <c r="I852" s="8"/>
      <c r="J852" s="8"/>
      <c r="K852" s="8"/>
      <c r="L852" s="8"/>
      <c r="M852" s="8"/>
    </row>
    <row r="853" spans="1:13">
      <c r="A853" s="72" t="s">
        <v>4649</v>
      </c>
      <c r="B853" s="67">
        <v>24359025491</v>
      </c>
      <c r="C853" s="72"/>
      <c r="D853" s="69"/>
      <c r="E853" s="9">
        <v>1470</v>
      </c>
      <c r="F853" s="25">
        <v>43031</v>
      </c>
      <c r="G853" s="70" t="s">
        <v>3356</v>
      </c>
      <c r="H853" s="9"/>
      <c r="I853" s="8"/>
      <c r="J853" s="8"/>
      <c r="K853" s="8"/>
      <c r="L853" s="8"/>
      <c r="M853" s="8"/>
    </row>
    <row r="854" spans="1:13">
      <c r="A854" s="15" t="s">
        <v>4650</v>
      </c>
      <c r="B854" s="67">
        <v>35779992843</v>
      </c>
      <c r="C854" s="72"/>
      <c r="D854" s="69"/>
      <c r="E854" s="9"/>
      <c r="F854" s="25"/>
      <c r="G854" s="70"/>
      <c r="H854" s="9"/>
      <c r="I854" s="8"/>
      <c r="J854" s="8"/>
      <c r="K854" s="8"/>
      <c r="L854" s="8"/>
      <c r="M854" s="8"/>
    </row>
    <row r="855" spans="1:13">
      <c r="A855" s="71" t="s">
        <v>4651</v>
      </c>
      <c r="B855" s="67">
        <v>37794188865</v>
      </c>
      <c r="C855" s="73"/>
      <c r="D855" s="69"/>
      <c r="E855" s="9">
        <v>292</v>
      </c>
      <c r="F855" s="25">
        <v>43168</v>
      </c>
      <c r="G855" s="70" t="s">
        <v>3356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4652</v>
      </c>
      <c r="B856" s="67">
        <v>36135801520</v>
      </c>
      <c r="C856" s="15" t="s">
        <v>4653</v>
      </c>
      <c r="D856" s="69"/>
      <c r="E856" s="9"/>
      <c r="F856" s="25"/>
      <c r="G856" s="70"/>
      <c r="H856" s="9"/>
      <c r="I856" s="8"/>
      <c r="J856" s="8"/>
      <c r="K856" s="8"/>
      <c r="L856" s="8"/>
      <c r="M856" s="8"/>
    </row>
    <row r="857" spans="1:13">
      <c r="A857" s="15" t="s">
        <v>4654</v>
      </c>
      <c r="B857" s="67">
        <v>43231450802</v>
      </c>
      <c r="C857" s="72" t="s">
        <v>4655</v>
      </c>
      <c r="D857" s="69">
        <v>44306255816</v>
      </c>
      <c r="E857" s="9">
        <v>527</v>
      </c>
      <c r="F857" s="25">
        <v>43210</v>
      </c>
      <c r="G857" s="70"/>
      <c r="H857" s="9"/>
      <c r="I857" s="8"/>
      <c r="J857" s="8"/>
      <c r="K857" s="8"/>
      <c r="L857" s="9">
        <v>528</v>
      </c>
      <c r="M857" s="8"/>
    </row>
    <row r="858" spans="1:13">
      <c r="A858" s="77" t="s">
        <v>4656</v>
      </c>
      <c r="B858" s="67">
        <v>38163601817</v>
      </c>
      <c r="C858" s="72" t="s">
        <v>4657</v>
      </c>
      <c r="D858" s="69">
        <v>36840584836</v>
      </c>
      <c r="E858" s="9">
        <v>292</v>
      </c>
      <c r="F858" s="25">
        <v>43168</v>
      </c>
      <c r="G858" s="70" t="s">
        <v>3356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4658</v>
      </c>
      <c r="B859" s="67">
        <v>40853154805</v>
      </c>
      <c r="C859" s="72" t="s">
        <v>4659</v>
      </c>
      <c r="D859" s="69">
        <v>23596403804</v>
      </c>
      <c r="E859" s="9">
        <v>229</v>
      </c>
      <c r="F859" s="25">
        <v>43151</v>
      </c>
      <c r="G859" s="70" t="s">
        <v>3356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4660</v>
      </c>
      <c r="B860" s="67">
        <v>25906972870</v>
      </c>
      <c r="C860" s="72"/>
      <c r="D860" s="69"/>
      <c r="E860" s="9">
        <v>262</v>
      </c>
      <c r="F860" s="25">
        <v>43160</v>
      </c>
      <c r="G860" s="70" t="s">
        <v>3356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4661</v>
      </c>
      <c r="B861" s="67">
        <v>43008370829</v>
      </c>
      <c r="C861" s="68"/>
      <c r="D861" s="69"/>
      <c r="E861" s="9"/>
      <c r="F861" s="25"/>
      <c r="G861" s="70"/>
      <c r="H861" s="9"/>
      <c r="I861" s="8"/>
      <c r="J861" s="8"/>
      <c r="K861" s="8"/>
      <c r="L861" s="8"/>
      <c r="M861" s="8"/>
    </row>
    <row r="862" spans="1:13">
      <c r="A862" s="71" t="s">
        <v>4662</v>
      </c>
      <c r="B862" s="67">
        <v>95551964434</v>
      </c>
      <c r="C862" s="72"/>
      <c r="D862" s="69"/>
      <c r="E862" s="9">
        <v>1555</v>
      </c>
      <c r="F862" s="25">
        <v>43049</v>
      </c>
      <c r="G862" s="70" t="s">
        <v>3356</v>
      </c>
      <c r="H862" s="9"/>
      <c r="I862" s="8"/>
      <c r="J862" s="8"/>
      <c r="K862" s="8"/>
      <c r="L862" s="9" t="s">
        <v>3735</v>
      </c>
      <c r="M862" s="8"/>
    </row>
    <row r="863" spans="1:13">
      <c r="A863" s="14" t="s">
        <v>4663</v>
      </c>
      <c r="B863" s="67">
        <v>35839827894</v>
      </c>
      <c r="C863" s="72"/>
      <c r="D863" s="69"/>
      <c r="E863" s="9">
        <v>292</v>
      </c>
      <c r="F863" s="25">
        <v>43168</v>
      </c>
      <c r="G863" s="70" t="s">
        <v>3356</v>
      </c>
      <c r="H863" s="9"/>
      <c r="I863" s="8"/>
      <c r="J863" s="8"/>
      <c r="K863" s="8"/>
      <c r="L863" s="9">
        <v>318</v>
      </c>
      <c r="M863" s="8"/>
    </row>
    <row r="864" spans="1:13">
      <c r="A864" s="71" t="s">
        <v>4664</v>
      </c>
      <c r="B864" s="67">
        <v>16124240823</v>
      </c>
      <c r="C864" s="72"/>
      <c r="D864" s="69"/>
      <c r="E864" s="9">
        <v>1214</v>
      </c>
      <c r="F864" s="25">
        <v>42989</v>
      </c>
      <c r="G864" s="70" t="s">
        <v>3356</v>
      </c>
      <c r="H864" s="9"/>
      <c r="I864" s="8"/>
      <c r="J864" s="8"/>
      <c r="K864" s="8"/>
      <c r="L864" s="8"/>
      <c r="M864" s="8"/>
    </row>
    <row r="865" spans="1:13">
      <c r="A865" s="71" t="s">
        <v>4665</v>
      </c>
      <c r="B865" s="67">
        <v>30708968805</v>
      </c>
      <c r="C865" s="72" t="s">
        <v>4666</v>
      </c>
      <c r="D865" s="69">
        <v>835545563</v>
      </c>
      <c r="E865" s="9">
        <v>573</v>
      </c>
      <c r="F865" s="25">
        <v>43224</v>
      </c>
      <c r="G865" s="70"/>
      <c r="H865" s="9"/>
      <c r="I865" s="8"/>
      <c r="J865" s="8"/>
      <c r="K865" s="8"/>
      <c r="L865" s="8"/>
      <c r="M865" s="8"/>
    </row>
    <row r="866" spans="1:13">
      <c r="A866" s="71" t="s">
        <v>4667</v>
      </c>
      <c r="B866" s="67">
        <v>11300803827</v>
      </c>
      <c r="C866" s="72"/>
      <c r="D866" s="69"/>
      <c r="E866" s="9"/>
      <c r="F866" s="25"/>
      <c r="G866" s="70"/>
      <c r="H866" s="9"/>
      <c r="I866" s="8"/>
      <c r="J866" s="8"/>
      <c r="K866" s="8"/>
      <c r="L866" s="8"/>
      <c r="M866" s="8"/>
    </row>
    <row r="867" spans="1:13">
      <c r="A867" s="71" t="s">
        <v>4668</v>
      </c>
      <c r="B867" s="67">
        <v>16408882846</v>
      </c>
      <c r="C867" s="72"/>
      <c r="D867" s="69"/>
      <c r="E867" s="9">
        <v>810</v>
      </c>
      <c r="F867" s="25">
        <v>42915</v>
      </c>
      <c r="G867" s="70" t="s">
        <v>3356</v>
      </c>
      <c r="H867" s="9"/>
      <c r="I867" s="8"/>
      <c r="J867" s="8"/>
      <c r="K867" s="8"/>
      <c r="L867" s="9" t="s">
        <v>3475</v>
      </c>
      <c r="M867" s="8"/>
    </row>
    <row r="868" spans="1:13">
      <c r="A868" s="71" t="s">
        <v>4669</v>
      </c>
      <c r="B868" s="67">
        <v>40966441885</v>
      </c>
      <c r="C868" s="72"/>
      <c r="D868" s="69"/>
      <c r="E868" s="9">
        <v>509</v>
      </c>
      <c r="F868" s="25">
        <v>43203</v>
      </c>
      <c r="G868" s="76"/>
      <c r="H868" s="76">
        <v>43213</v>
      </c>
      <c r="I868" s="8"/>
      <c r="J868" s="8"/>
      <c r="K868" s="8"/>
      <c r="L868" s="8"/>
      <c r="M868" s="8"/>
    </row>
    <row r="869" spans="1:13">
      <c r="A869" s="71" t="s">
        <v>4670</v>
      </c>
      <c r="B869" s="67">
        <v>32545141810</v>
      </c>
      <c r="C869" s="68"/>
      <c r="D869" s="69"/>
      <c r="E869" s="9">
        <v>1128</v>
      </c>
      <c r="F869" s="25">
        <v>42972</v>
      </c>
      <c r="G869" s="70" t="s">
        <v>3356</v>
      </c>
      <c r="H869" s="76">
        <v>43213</v>
      </c>
      <c r="I869" s="8"/>
      <c r="J869" s="8"/>
      <c r="K869" s="8"/>
      <c r="L869" s="8"/>
      <c r="M869" s="8"/>
    </row>
    <row r="870" spans="1:13">
      <c r="A870" s="15" t="s">
        <v>4671</v>
      </c>
      <c r="B870" s="67">
        <v>41379878829</v>
      </c>
      <c r="C870" s="72" t="s">
        <v>4672</v>
      </c>
      <c r="D870" s="69">
        <v>31873661800</v>
      </c>
      <c r="E870" s="9">
        <v>443</v>
      </c>
      <c r="F870" s="25">
        <v>43188</v>
      </c>
      <c r="G870" s="70"/>
      <c r="H870" s="76">
        <v>43213</v>
      </c>
      <c r="I870" s="8"/>
      <c r="J870" s="8"/>
      <c r="K870" s="8"/>
      <c r="L870" s="8"/>
      <c r="M870" s="8"/>
    </row>
    <row r="871" spans="1:13">
      <c r="A871" s="72" t="s">
        <v>4673</v>
      </c>
      <c r="B871" s="67">
        <v>31471499863</v>
      </c>
      <c r="C871" s="72" t="s">
        <v>4674</v>
      </c>
      <c r="D871" s="69">
        <v>29559137824</v>
      </c>
      <c r="E871" s="9"/>
      <c r="F871" s="25"/>
      <c r="G871" s="70"/>
      <c r="H871" s="76">
        <v>43213</v>
      </c>
      <c r="I871" s="8"/>
      <c r="J871" s="8"/>
      <c r="K871" s="8"/>
      <c r="L871" s="8"/>
      <c r="M871" s="8"/>
    </row>
    <row r="872" spans="1:13">
      <c r="A872" s="71" t="s">
        <v>4675</v>
      </c>
      <c r="B872" s="67">
        <v>66728916504</v>
      </c>
      <c r="C872" s="68"/>
      <c r="D872" s="69"/>
      <c r="E872" s="9">
        <v>1128</v>
      </c>
      <c r="F872" s="25">
        <v>42972</v>
      </c>
      <c r="G872" s="70" t="s">
        <v>3356</v>
      </c>
      <c r="H872" s="76">
        <v>43213</v>
      </c>
      <c r="I872" s="8"/>
      <c r="J872" s="8"/>
      <c r="K872" s="8"/>
      <c r="L872" s="8"/>
      <c r="M872" s="8"/>
    </row>
    <row r="873" spans="1:13">
      <c r="A873" s="71" t="s">
        <v>4676</v>
      </c>
      <c r="B873" s="67">
        <v>31620084848</v>
      </c>
      <c r="C873" s="72"/>
      <c r="D873" s="69"/>
      <c r="E873" s="9">
        <v>262</v>
      </c>
      <c r="F873" s="25">
        <v>43160</v>
      </c>
      <c r="G873" s="70" t="s">
        <v>3356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71" t="s">
        <v>4677</v>
      </c>
      <c r="B874" s="67">
        <v>27878860866</v>
      </c>
      <c r="C874" s="72" t="s">
        <v>4678</v>
      </c>
      <c r="D874" s="69">
        <v>19522369837</v>
      </c>
      <c r="E874" s="9"/>
      <c r="F874" s="25"/>
      <c r="G874" s="70"/>
      <c r="H874" s="76">
        <v>43213</v>
      </c>
      <c r="I874" s="8"/>
      <c r="J874" s="8"/>
      <c r="K874" s="8"/>
      <c r="L874" s="8"/>
      <c r="M874" s="8"/>
    </row>
    <row r="875" spans="1:13">
      <c r="A875" s="72" t="s">
        <v>4679</v>
      </c>
      <c r="B875" s="67">
        <v>25002291813</v>
      </c>
      <c r="C875" s="72" t="s">
        <v>4680</v>
      </c>
      <c r="D875" s="69">
        <v>35149047821</v>
      </c>
      <c r="E875" s="9"/>
      <c r="F875" s="25"/>
      <c r="G875" s="70"/>
      <c r="H875" s="76">
        <v>43213</v>
      </c>
      <c r="I875" s="8"/>
      <c r="J875" s="8"/>
      <c r="K875" s="8"/>
      <c r="L875" s="8"/>
      <c r="M875" s="8"/>
    </row>
    <row r="876" spans="1:13">
      <c r="A876" s="18" t="s">
        <v>4681</v>
      </c>
      <c r="B876" s="67">
        <v>41096640805</v>
      </c>
      <c r="C876" s="18"/>
      <c r="D876" s="69"/>
      <c r="E876" s="9"/>
      <c r="F876" s="25"/>
      <c r="G876" s="70"/>
      <c r="H876" s="76">
        <v>43213</v>
      </c>
      <c r="I876" s="8"/>
      <c r="J876" s="8"/>
      <c r="K876" s="8"/>
      <c r="L876" s="8"/>
      <c r="M876" s="8"/>
    </row>
    <row r="877" spans="1:13">
      <c r="A877" s="29" t="s">
        <v>4682</v>
      </c>
      <c r="B877" s="67"/>
      <c r="C877" s="29" t="s">
        <v>4683</v>
      </c>
      <c r="D877" s="69"/>
      <c r="E877" s="9"/>
      <c r="F877" s="25"/>
      <c r="G877" s="2"/>
      <c r="H877" s="76">
        <v>43213</v>
      </c>
      <c r="I877" s="8"/>
      <c r="J877" s="8"/>
      <c r="K877" s="8"/>
      <c r="L877" s="8"/>
      <c r="M877" s="8"/>
    </row>
    <row r="878" spans="1:13">
      <c r="A878" s="71" t="s">
        <v>4684</v>
      </c>
      <c r="B878" s="67">
        <v>7205116589</v>
      </c>
      <c r="C878" s="72" t="s">
        <v>4685</v>
      </c>
      <c r="D878" s="69">
        <v>6411739544</v>
      </c>
      <c r="E878" s="9"/>
      <c r="F878" s="25"/>
      <c r="G878" s="70"/>
      <c r="H878" s="9"/>
      <c r="I878" s="8"/>
      <c r="J878" s="8"/>
      <c r="K878" s="8"/>
      <c r="L878" s="8"/>
      <c r="M878" s="8"/>
    </row>
    <row r="879" spans="1:13">
      <c r="A879" s="71" t="s">
        <v>4686</v>
      </c>
      <c r="B879" s="67">
        <v>11856821803</v>
      </c>
      <c r="C879" s="72"/>
      <c r="D879" s="69"/>
      <c r="E879" s="9"/>
      <c r="F879" s="25"/>
      <c r="G879" s="70"/>
      <c r="H879" s="9"/>
      <c r="I879" s="8"/>
      <c r="J879" s="8"/>
      <c r="K879" s="8"/>
      <c r="L879" s="8"/>
      <c r="M879" s="8"/>
    </row>
    <row r="880" spans="1:13">
      <c r="A880" s="71" t="s">
        <v>4687</v>
      </c>
      <c r="B880" s="67">
        <v>82084602491</v>
      </c>
      <c r="C880" s="72" t="s">
        <v>4688</v>
      </c>
      <c r="D880" s="69">
        <v>74937758420</v>
      </c>
      <c r="E880" s="9">
        <v>292</v>
      </c>
      <c r="F880" s="25">
        <v>43168</v>
      </c>
      <c r="G880" s="9" t="s">
        <v>3356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4689</v>
      </c>
      <c r="B881" s="67">
        <v>2741693471</v>
      </c>
      <c r="C881" s="72"/>
      <c r="D881" s="69"/>
      <c r="E881" s="9"/>
      <c r="F881" s="25"/>
      <c r="G881" s="70"/>
      <c r="H881" s="9"/>
      <c r="I881" s="8"/>
      <c r="J881" s="8"/>
      <c r="K881" s="8"/>
      <c r="L881" s="8"/>
      <c r="M881" s="8"/>
    </row>
    <row r="882" spans="1:13">
      <c r="A882" s="71" t="s">
        <v>4690</v>
      </c>
      <c r="B882" s="67">
        <v>85446564804</v>
      </c>
      <c r="C882" s="72"/>
      <c r="D882" s="69"/>
      <c r="E882" s="9"/>
      <c r="F882" s="25"/>
      <c r="G882" s="70"/>
      <c r="H882" s="9"/>
      <c r="I882" s="8"/>
      <c r="J882" s="8"/>
      <c r="K882" s="8"/>
      <c r="L882" s="8"/>
      <c r="M882" s="8"/>
    </row>
    <row r="883" spans="1:13">
      <c r="A883" s="71" t="s">
        <v>4691</v>
      </c>
      <c r="B883" s="67">
        <v>36953148349</v>
      </c>
      <c r="C883" s="72"/>
      <c r="D883" s="69"/>
      <c r="E883" s="9">
        <v>1106</v>
      </c>
      <c r="F883" s="25">
        <v>42965</v>
      </c>
      <c r="G883" s="70" t="s">
        <v>3356</v>
      </c>
      <c r="H883" s="9"/>
      <c r="I883" s="8"/>
      <c r="J883" s="8"/>
      <c r="K883" s="8"/>
      <c r="L883" s="8"/>
      <c r="M883" s="8"/>
    </row>
    <row r="884" spans="1:13">
      <c r="A884" s="13" t="s">
        <v>4692</v>
      </c>
      <c r="B884" s="67">
        <v>8984480851</v>
      </c>
      <c r="C884" s="68"/>
      <c r="D884" s="69"/>
      <c r="E884" s="9">
        <v>1128</v>
      </c>
      <c r="F884" s="25">
        <v>42972</v>
      </c>
      <c r="G884" s="70" t="s">
        <v>3356</v>
      </c>
      <c r="H884" s="9"/>
      <c r="I884" s="8"/>
      <c r="J884" s="8"/>
      <c r="K884" s="8"/>
      <c r="L884" s="8"/>
      <c r="M884" s="8"/>
    </row>
    <row r="885" spans="1:13">
      <c r="A885" s="71" t="s">
        <v>4693</v>
      </c>
      <c r="B885" s="67">
        <v>34169264800</v>
      </c>
      <c r="C885" s="72"/>
      <c r="D885" s="69"/>
      <c r="E885" s="9"/>
      <c r="F885" s="25"/>
      <c r="G885" s="70"/>
      <c r="H885" s="9"/>
      <c r="I885" s="8"/>
      <c r="J885" s="8"/>
      <c r="K885" s="8"/>
      <c r="L885" s="8"/>
      <c r="M885" s="8"/>
    </row>
    <row r="886" spans="1:13">
      <c r="A886" s="13" t="s">
        <v>4694</v>
      </c>
      <c r="B886" s="67">
        <v>63234904553</v>
      </c>
      <c r="C886" s="68" t="s">
        <v>4695</v>
      </c>
      <c r="D886" s="69">
        <v>1193464870</v>
      </c>
      <c r="E886" s="9">
        <v>1128</v>
      </c>
      <c r="F886" s="25">
        <v>42972</v>
      </c>
      <c r="G886" s="70" t="s">
        <v>3356</v>
      </c>
      <c r="H886" s="9"/>
      <c r="I886" s="8"/>
      <c r="J886" s="8"/>
      <c r="K886" s="8"/>
      <c r="L886" s="8"/>
      <c r="M886" s="8"/>
    </row>
    <row r="887" spans="1:13">
      <c r="A887" s="71" t="s">
        <v>4696</v>
      </c>
      <c r="B887" s="67">
        <v>39165206878</v>
      </c>
      <c r="C887" s="72"/>
      <c r="D887" s="69"/>
      <c r="E887" s="9"/>
      <c r="F887" s="25"/>
      <c r="G887" s="70"/>
      <c r="H887" s="9"/>
      <c r="I887" s="8"/>
      <c r="J887" s="8"/>
      <c r="K887" s="8"/>
      <c r="L887" s="8"/>
      <c r="M887" s="8"/>
    </row>
    <row r="888" spans="1:13">
      <c r="A888" s="13" t="s">
        <v>4697</v>
      </c>
      <c r="B888" s="67">
        <v>41235380530</v>
      </c>
      <c r="C888" s="68"/>
      <c r="D888" s="69"/>
      <c r="E888" s="9"/>
      <c r="F888" s="25"/>
      <c r="G888" s="70"/>
      <c r="H888" s="9"/>
      <c r="I888" s="8"/>
      <c r="J888" s="8"/>
      <c r="K888" s="8"/>
      <c r="L888" s="8"/>
      <c r="M888" s="8"/>
    </row>
    <row r="889" spans="1:13">
      <c r="A889" s="18" t="s">
        <v>4698</v>
      </c>
      <c r="B889" s="67">
        <v>30967680808</v>
      </c>
      <c r="C889" s="18" t="s">
        <v>4699</v>
      </c>
      <c r="D889" s="69"/>
      <c r="E889" s="9"/>
      <c r="F889" s="25"/>
      <c r="G889" s="70"/>
      <c r="H889" s="9"/>
      <c r="I889" s="8"/>
      <c r="J889" s="8"/>
      <c r="K889" s="8"/>
      <c r="L889" s="8"/>
      <c r="M889" s="8"/>
    </row>
    <row r="890" spans="1:13">
      <c r="A890" s="71" t="s">
        <v>4700</v>
      </c>
      <c r="B890" s="67">
        <v>1791061397</v>
      </c>
      <c r="C890" s="72"/>
      <c r="D890" s="69"/>
      <c r="E890" s="9">
        <v>810</v>
      </c>
      <c r="F890" s="25">
        <v>42915</v>
      </c>
      <c r="G890" s="70" t="s">
        <v>3356</v>
      </c>
      <c r="H890" s="9"/>
      <c r="I890" s="8"/>
      <c r="J890" s="8"/>
      <c r="K890" s="8"/>
      <c r="L890" s="9" t="s">
        <v>3475</v>
      </c>
      <c r="M890" s="8"/>
    </row>
    <row r="891" spans="1:13">
      <c r="A891" s="15" t="s">
        <v>4701</v>
      </c>
      <c r="B891" s="67">
        <v>3570397696</v>
      </c>
      <c r="C891" s="72" t="s">
        <v>4702</v>
      </c>
      <c r="D891" s="69">
        <v>21892123835</v>
      </c>
      <c r="E891" s="9"/>
      <c r="F891" s="25"/>
      <c r="G891" s="70"/>
      <c r="H891" s="9"/>
      <c r="I891" s="8"/>
      <c r="J891" s="8"/>
      <c r="K891" s="8"/>
      <c r="L891" s="8"/>
      <c r="M891" s="8"/>
    </row>
    <row r="892" spans="1:13">
      <c r="A892" s="72" t="s">
        <v>4703</v>
      </c>
      <c r="B892" s="67">
        <v>17003156253</v>
      </c>
      <c r="C892" s="72"/>
      <c r="D892" s="69"/>
      <c r="E892" s="9"/>
      <c r="F892" s="25"/>
      <c r="G892" s="70"/>
      <c r="H892" s="9"/>
      <c r="I892" s="8"/>
      <c r="J892" s="8"/>
      <c r="K892" s="8"/>
      <c r="L892" s="8"/>
      <c r="M892" s="8"/>
    </row>
    <row r="893" spans="1:13">
      <c r="A893" s="15" t="s">
        <v>4704</v>
      </c>
      <c r="B893" s="67">
        <v>1170658547</v>
      </c>
      <c r="C893" s="72" t="s">
        <v>4705</v>
      </c>
      <c r="D893" s="69">
        <v>2695281560</v>
      </c>
      <c r="E893" s="9">
        <v>1824</v>
      </c>
      <c r="F893" s="25">
        <v>43091</v>
      </c>
      <c r="G893" s="70" t="s">
        <v>3362</v>
      </c>
      <c r="H893" s="9"/>
      <c r="I893" s="8"/>
      <c r="J893" s="8"/>
      <c r="K893" s="8"/>
      <c r="L893" s="9">
        <v>1828</v>
      </c>
      <c r="M893" s="8"/>
    </row>
    <row r="894" spans="1:13">
      <c r="A894" s="71" t="s">
        <v>4706</v>
      </c>
      <c r="B894" s="67">
        <v>19592829802</v>
      </c>
      <c r="C894" s="72"/>
      <c r="D894" s="69"/>
      <c r="E894" s="9">
        <v>810</v>
      </c>
      <c r="F894" s="25">
        <v>42915</v>
      </c>
      <c r="G894" s="70" t="s">
        <v>3356</v>
      </c>
      <c r="H894" s="9"/>
      <c r="I894" s="8"/>
      <c r="J894" s="8"/>
      <c r="K894" s="8"/>
      <c r="L894" s="9" t="s">
        <v>3475</v>
      </c>
      <c r="M894" s="8"/>
    </row>
    <row r="895" spans="1:13">
      <c r="A895" s="71" t="s">
        <v>4707</v>
      </c>
      <c r="B895" s="67">
        <v>29927032811</v>
      </c>
      <c r="C895" s="72" t="s">
        <v>4708</v>
      </c>
      <c r="D895" s="69">
        <v>11960733842</v>
      </c>
      <c r="E895" s="9"/>
      <c r="F895" s="25"/>
      <c r="G895" s="70"/>
      <c r="H895" s="9"/>
      <c r="I895" s="8"/>
      <c r="J895" s="8"/>
      <c r="K895" s="8"/>
      <c r="L895" s="8"/>
      <c r="M895" s="8"/>
    </row>
    <row r="896" spans="1:13">
      <c r="A896" s="71" t="s">
        <v>4709</v>
      </c>
      <c r="B896" s="67">
        <v>6070581881</v>
      </c>
      <c r="C896" s="72"/>
      <c r="D896" s="69"/>
      <c r="E896" s="9"/>
      <c r="F896" s="25"/>
      <c r="G896" s="83"/>
      <c r="H896" s="9"/>
      <c r="I896" s="8"/>
      <c r="J896" s="8"/>
      <c r="K896" s="8"/>
      <c r="L896" s="8"/>
      <c r="M896" s="8"/>
    </row>
    <row r="897" spans="1:13">
      <c r="A897" s="15" t="s">
        <v>4710</v>
      </c>
      <c r="B897" s="67">
        <v>32545155870</v>
      </c>
      <c r="C897" s="72"/>
      <c r="D897" s="69"/>
      <c r="E897" s="9">
        <v>85</v>
      </c>
      <c r="F897" s="25">
        <v>43109</v>
      </c>
      <c r="G897" s="70" t="s">
        <v>3356</v>
      </c>
      <c r="H897" s="25">
        <v>43151</v>
      </c>
      <c r="I897" s="8"/>
      <c r="J897" s="8"/>
      <c r="K897" s="8"/>
      <c r="L897" s="8"/>
      <c r="M897" s="8"/>
    </row>
    <row r="898" spans="1:13">
      <c r="A898" s="71" t="s">
        <v>4711</v>
      </c>
      <c r="B898" s="67">
        <v>24774574899</v>
      </c>
      <c r="C898" s="72"/>
      <c r="D898" s="69"/>
      <c r="E898" s="9">
        <v>292</v>
      </c>
      <c r="F898" s="25">
        <v>43168</v>
      </c>
      <c r="G898" s="70" t="s">
        <v>3356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4712</v>
      </c>
      <c r="B899" s="67">
        <v>37064427877</v>
      </c>
      <c r="C899" s="68" t="s">
        <v>4713</v>
      </c>
      <c r="D899" s="69">
        <v>34881680854</v>
      </c>
      <c r="E899" s="9">
        <v>1128</v>
      </c>
      <c r="F899" s="25">
        <v>42972</v>
      </c>
      <c r="G899" s="70" t="s">
        <v>3356</v>
      </c>
      <c r="H899" s="9"/>
      <c r="I899" s="8"/>
      <c r="J899" s="8"/>
      <c r="K899" s="8"/>
      <c r="L899" s="8"/>
      <c r="M899" s="8"/>
    </row>
    <row r="900" spans="1:13">
      <c r="A900" s="15" t="s">
        <v>4714</v>
      </c>
      <c r="B900" s="67">
        <v>34712023821</v>
      </c>
      <c r="C900" s="72" t="s">
        <v>4715</v>
      </c>
      <c r="D900" s="69">
        <v>80700918868</v>
      </c>
      <c r="E900" s="9">
        <v>117</v>
      </c>
      <c r="F900" s="25">
        <v>43117</v>
      </c>
      <c r="G900" s="70" t="s">
        <v>3356</v>
      </c>
      <c r="H900" s="9"/>
      <c r="I900" s="8"/>
      <c r="J900" s="8"/>
      <c r="K900" s="8"/>
      <c r="L900" s="9" t="s">
        <v>3507</v>
      </c>
      <c r="M900" s="8"/>
    </row>
    <row r="901" spans="1:13">
      <c r="A901" s="71" t="s">
        <v>4716</v>
      </c>
      <c r="B901" s="67">
        <v>26221278805</v>
      </c>
      <c r="C901" s="72"/>
      <c r="D901" s="69"/>
      <c r="E901" s="9">
        <v>810</v>
      </c>
      <c r="F901" s="25">
        <v>42915</v>
      </c>
      <c r="G901" s="70" t="s">
        <v>3356</v>
      </c>
      <c r="H901" s="9"/>
      <c r="I901" s="8"/>
      <c r="J901" s="8"/>
      <c r="K901" s="8"/>
      <c r="L901" s="9" t="s">
        <v>3475</v>
      </c>
      <c r="M901" s="8"/>
    </row>
    <row r="902" spans="1:13">
      <c r="A902" s="71" t="s">
        <v>4717</v>
      </c>
      <c r="B902" s="67">
        <v>31847688802</v>
      </c>
      <c r="C902" s="72"/>
      <c r="D902" s="69"/>
      <c r="E902" s="9">
        <v>527</v>
      </c>
      <c r="F902" s="25">
        <v>43210</v>
      </c>
      <c r="G902" s="70"/>
      <c r="H902" s="9"/>
      <c r="I902" s="8"/>
      <c r="J902" s="8"/>
      <c r="K902" s="8"/>
      <c r="L902" s="9">
        <v>528</v>
      </c>
      <c r="M902" s="8"/>
    </row>
    <row r="903" spans="1:13">
      <c r="A903" s="13" t="s">
        <v>4718</v>
      </c>
      <c r="B903" s="67">
        <v>21305591828</v>
      </c>
      <c r="C903" s="68"/>
      <c r="D903" s="69"/>
      <c r="E903" s="9">
        <v>1128</v>
      </c>
      <c r="F903" s="25">
        <v>42972</v>
      </c>
      <c r="G903" s="70" t="s">
        <v>3356</v>
      </c>
      <c r="H903" s="9"/>
      <c r="I903" s="8"/>
      <c r="J903" s="8"/>
      <c r="K903" s="8"/>
      <c r="L903" s="8"/>
      <c r="M903" s="8"/>
    </row>
    <row r="904" spans="1:13">
      <c r="A904" s="72" t="s">
        <v>4719</v>
      </c>
      <c r="B904" s="67">
        <v>9170469865</v>
      </c>
      <c r="C904" s="72"/>
      <c r="D904" s="69"/>
      <c r="E904" s="9">
        <v>292</v>
      </c>
      <c r="F904" s="25">
        <v>43168</v>
      </c>
      <c r="G904" s="9" t="s">
        <v>3356</v>
      </c>
      <c r="H904" s="9"/>
      <c r="I904" s="8"/>
      <c r="J904" s="8"/>
      <c r="K904" s="8"/>
      <c r="L904" s="9">
        <v>318</v>
      </c>
      <c r="M904" s="8"/>
    </row>
    <row r="905" spans="1:13">
      <c r="A905" s="71" t="s">
        <v>4720</v>
      </c>
      <c r="B905" s="67">
        <v>42517278865</v>
      </c>
      <c r="C905" s="72" t="s">
        <v>4721</v>
      </c>
      <c r="D905" s="69">
        <v>45677965863</v>
      </c>
      <c r="E905" s="9">
        <v>117</v>
      </c>
      <c r="F905" s="25">
        <v>43117</v>
      </c>
      <c r="G905" s="70" t="s">
        <v>3356</v>
      </c>
      <c r="H905" s="9"/>
      <c r="I905" s="8"/>
      <c r="J905" s="8"/>
      <c r="K905" s="8"/>
      <c r="L905" s="9" t="s">
        <v>3507</v>
      </c>
      <c r="M905" s="8"/>
    </row>
    <row r="906" spans="1:13">
      <c r="A906" s="18" t="s">
        <v>4722</v>
      </c>
      <c r="B906" s="67">
        <v>34053574897</v>
      </c>
      <c r="C906" s="8" t="s">
        <v>4723</v>
      </c>
      <c r="D906" s="69">
        <v>19272522889</v>
      </c>
      <c r="E906" s="9"/>
      <c r="F906" s="25"/>
      <c r="G906" s="70"/>
      <c r="H906" s="9"/>
      <c r="I906" s="8"/>
      <c r="J906" s="8"/>
      <c r="K906" s="8"/>
      <c r="L906" s="8"/>
      <c r="M906" s="8"/>
    </row>
    <row r="907" spans="1:13">
      <c r="A907" s="71" t="s">
        <v>4724</v>
      </c>
      <c r="B907" s="67">
        <v>50223550515</v>
      </c>
      <c r="C907" s="72"/>
      <c r="D907" s="69"/>
      <c r="E907" s="9">
        <v>1752</v>
      </c>
      <c r="F907" s="25">
        <v>43051</v>
      </c>
      <c r="G907" s="70" t="s">
        <v>3356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4725</v>
      </c>
      <c r="B908" s="67">
        <v>26240083810</v>
      </c>
      <c r="C908" s="68"/>
      <c r="D908" s="69"/>
      <c r="E908" s="9">
        <v>1128</v>
      </c>
      <c r="F908" s="25">
        <v>42972</v>
      </c>
      <c r="G908" s="70" t="s">
        <v>3356</v>
      </c>
      <c r="H908" s="9"/>
      <c r="I908" s="8"/>
      <c r="J908" s="8"/>
      <c r="K908" s="8"/>
      <c r="L908" s="8"/>
      <c r="M908" s="8"/>
    </row>
    <row r="909" spans="1:13">
      <c r="A909" s="71" t="s">
        <v>4726</v>
      </c>
      <c r="B909" s="67">
        <v>32391122802</v>
      </c>
      <c r="C909" s="72" t="s">
        <v>4727</v>
      </c>
      <c r="D909" s="69">
        <v>21653624825</v>
      </c>
      <c r="E909" s="9">
        <v>262</v>
      </c>
      <c r="F909" s="25">
        <v>43160</v>
      </c>
      <c r="G909" s="9" t="s">
        <v>3356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9" t="s">
        <v>4728</v>
      </c>
      <c r="B910" s="67"/>
      <c r="C910" s="29" t="s">
        <v>4729</v>
      </c>
      <c r="D910" s="69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71" t="s">
        <v>4730</v>
      </c>
      <c r="B911" s="67">
        <v>39641812858</v>
      </c>
      <c r="C911" s="72" t="s">
        <v>4731</v>
      </c>
      <c r="D911" s="69">
        <v>23425114859</v>
      </c>
      <c r="E911" s="9">
        <v>262</v>
      </c>
      <c r="F911" s="25">
        <v>43160</v>
      </c>
      <c r="G911" s="70" t="s">
        <v>3356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4732</v>
      </c>
      <c r="B912" s="67">
        <v>7664892481</v>
      </c>
      <c r="C912" s="72" t="s">
        <v>4733</v>
      </c>
      <c r="D912" s="69">
        <v>37120937804</v>
      </c>
      <c r="E912" s="9">
        <v>1570</v>
      </c>
      <c r="F912" s="25">
        <v>43077</v>
      </c>
      <c r="G912" s="70" t="s">
        <v>3356</v>
      </c>
      <c r="H912" s="9"/>
      <c r="I912" s="8"/>
      <c r="J912" s="8"/>
      <c r="K912" s="8"/>
      <c r="L912" s="8"/>
      <c r="M912" s="8"/>
    </row>
    <row r="913" spans="1:13">
      <c r="A913" s="71" t="s">
        <v>4734</v>
      </c>
      <c r="B913" s="67">
        <v>40970766807</v>
      </c>
      <c r="C913" s="72"/>
      <c r="D913" s="69"/>
      <c r="E913" s="9">
        <v>1824</v>
      </c>
      <c r="F913" s="25">
        <v>43091</v>
      </c>
      <c r="G913" s="70" t="s">
        <v>3356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4735</v>
      </c>
      <c r="B914" s="67">
        <v>35535310883</v>
      </c>
      <c r="C914" s="72" t="s">
        <v>4736</v>
      </c>
      <c r="D914" s="69">
        <v>2200555563</v>
      </c>
      <c r="E914" s="9"/>
      <c r="F914" s="25"/>
      <c r="G914" s="70"/>
      <c r="H914" s="9"/>
      <c r="I914" s="8"/>
      <c r="J914" s="8"/>
      <c r="K914" s="8"/>
      <c r="L914" s="8"/>
      <c r="M914" s="8"/>
    </row>
    <row r="915" spans="1:13">
      <c r="A915" s="14" t="s">
        <v>4737</v>
      </c>
      <c r="B915" s="67">
        <v>40993785867</v>
      </c>
      <c r="C915" s="72" t="s">
        <v>4738</v>
      </c>
      <c r="D915" s="69">
        <v>39284894883</v>
      </c>
      <c r="E915" s="9">
        <v>262</v>
      </c>
      <c r="F915" s="25">
        <v>43160</v>
      </c>
      <c r="G915" s="70" t="s">
        <v>3356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71" t="s">
        <v>4739</v>
      </c>
      <c r="B916" s="67">
        <v>31654455830</v>
      </c>
      <c r="C916" s="72"/>
      <c r="D916" s="69"/>
      <c r="E916" s="9">
        <v>1752</v>
      </c>
      <c r="F916" s="25">
        <v>43051</v>
      </c>
      <c r="G916" s="70" t="s">
        <v>3356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4740</v>
      </c>
      <c r="B917" s="67">
        <v>22506327827</v>
      </c>
      <c r="C917" s="72"/>
      <c r="D917" s="69"/>
      <c r="E917" s="9">
        <v>262</v>
      </c>
      <c r="F917" s="25">
        <v>43160</v>
      </c>
      <c r="G917" s="70" t="s">
        <v>3356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71" t="s">
        <v>4741</v>
      </c>
      <c r="B918" s="67">
        <v>38671079805</v>
      </c>
      <c r="C918" s="72"/>
      <c r="D918" s="69"/>
      <c r="E918" s="9">
        <v>608</v>
      </c>
      <c r="F918" s="25">
        <v>43012</v>
      </c>
      <c r="G918" s="70" t="s">
        <v>3356</v>
      </c>
      <c r="H918" s="9"/>
      <c r="I918" s="8"/>
      <c r="J918" s="8"/>
      <c r="K918" s="8"/>
      <c r="L918" s="8"/>
      <c r="M918" s="8"/>
    </row>
    <row r="919" spans="1:13">
      <c r="A919" s="71" t="s">
        <v>4742</v>
      </c>
      <c r="B919" s="67">
        <v>4576049488</v>
      </c>
      <c r="C919" s="72"/>
      <c r="D919" s="69"/>
      <c r="E919" s="9">
        <v>1752</v>
      </c>
      <c r="F919" s="25">
        <v>43051</v>
      </c>
      <c r="G919" s="70" t="s">
        <v>3356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4743</v>
      </c>
      <c r="B920" s="67">
        <v>39485589816</v>
      </c>
      <c r="C920" s="72" t="s">
        <v>4744</v>
      </c>
      <c r="D920" s="69">
        <v>6884648589</v>
      </c>
      <c r="E920" s="9">
        <v>85</v>
      </c>
      <c r="F920" s="25">
        <v>43109</v>
      </c>
      <c r="G920" s="70" t="s">
        <v>3356</v>
      </c>
      <c r="H920" s="25">
        <v>43151</v>
      </c>
      <c r="I920" s="8"/>
      <c r="J920" s="8"/>
      <c r="K920" s="8"/>
      <c r="L920" s="8"/>
      <c r="M920" s="8"/>
    </row>
    <row r="921" spans="1:13">
      <c r="A921" s="71" t="s">
        <v>4745</v>
      </c>
      <c r="B921" s="67">
        <v>30969091800</v>
      </c>
      <c r="C921" s="72"/>
      <c r="D921" s="69"/>
      <c r="E921" s="9"/>
      <c r="F921" s="25"/>
      <c r="G921" s="70"/>
      <c r="H921" s="9"/>
      <c r="I921" s="8"/>
      <c r="J921" s="8"/>
      <c r="K921" s="8"/>
      <c r="L921" s="8"/>
      <c r="M921" s="8"/>
    </row>
    <row r="922" spans="1:13">
      <c r="A922" s="15" t="s">
        <v>4746</v>
      </c>
      <c r="B922" s="67">
        <v>39454700804</v>
      </c>
      <c r="C922" s="72" t="s">
        <v>4747</v>
      </c>
      <c r="D922" s="69">
        <v>41093877871</v>
      </c>
      <c r="E922" s="9">
        <v>443</v>
      </c>
      <c r="F922" s="25">
        <v>43188</v>
      </c>
      <c r="G922" s="70"/>
      <c r="H922" s="9"/>
      <c r="I922" s="8"/>
      <c r="J922" s="8"/>
      <c r="K922" s="8"/>
      <c r="L922" s="8"/>
      <c r="M922" s="8"/>
    </row>
    <row r="923" spans="1:13">
      <c r="A923" s="71" t="s">
        <v>4748</v>
      </c>
      <c r="B923" s="67">
        <v>23479536808</v>
      </c>
      <c r="C923" s="72"/>
      <c r="D923" s="69"/>
      <c r="E923" s="9">
        <v>443</v>
      </c>
      <c r="F923" s="25">
        <v>43188</v>
      </c>
      <c r="G923" s="70"/>
      <c r="H923" s="9"/>
      <c r="I923" s="8"/>
      <c r="J923" s="8"/>
      <c r="K923" s="8"/>
      <c r="L923" s="8"/>
      <c r="M923" s="8"/>
    </row>
    <row r="924" spans="1:13">
      <c r="A924" s="18" t="s">
        <v>4749</v>
      </c>
      <c r="B924" s="67">
        <v>33045725899</v>
      </c>
      <c r="C924" s="18"/>
      <c r="D924" s="69"/>
      <c r="E924" s="9"/>
      <c r="F924" s="25"/>
      <c r="G924" s="70"/>
      <c r="H924" s="9"/>
      <c r="I924" s="8"/>
      <c r="J924" s="8"/>
      <c r="K924" s="8"/>
      <c r="L924" s="8"/>
      <c r="M924" s="8"/>
    </row>
    <row r="925" spans="1:13">
      <c r="A925" s="71" t="s">
        <v>4750</v>
      </c>
      <c r="B925" s="67">
        <v>19681993810</v>
      </c>
      <c r="C925" s="72" t="s">
        <v>4751</v>
      </c>
      <c r="D925" s="69">
        <v>22451795875</v>
      </c>
      <c r="E925" s="9"/>
      <c r="F925" s="25"/>
      <c r="G925" s="70"/>
      <c r="H925" s="9"/>
      <c r="I925" s="8"/>
      <c r="J925" s="8"/>
      <c r="K925" s="8"/>
      <c r="L925" s="8"/>
      <c r="M925" s="8"/>
    </row>
    <row r="926" spans="1:13">
      <c r="A926" s="71" t="s">
        <v>4752</v>
      </c>
      <c r="B926" s="67">
        <v>22740299893</v>
      </c>
      <c r="C926" s="72"/>
      <c r="D926" s="69"/>
      <c r="E926" s="9">
        <v>810</v>
      </c>
      <c r="F926" s="25">
        <v>42915</v>
      </c>
      <c r="G926" s="70" t="s">
        <v>3356</v>
      </c>
      <c r="H926" s="9"/>
      <c r="I926" s="8"/>
      <c r="J926" s="8"/>
      <c r="K926" s="8"/>
      <c r="L926" s="9" t="s">
        <v>3475</v>
      </c>
      <c r="M926" s="8"/>
    </row>
    <row r="927" spans="1:13">
      <c r="A927" s="71" t="s">
        <v>4753</v>
      </c>
      <c r="B927" s="67">
        <v>37846315846</v>
      </c>
      <c r="C927" s="72"/>
      <c r="D927" s="69"/>
      <c r="E927" s="9"/>
      <c r="F927" s="25"/>
      <c r="G927" s="70"/>
      <c r="H927" s="9"/>
      <c r="I927" s="8"/>
      <c r="J927" s="8"/>
      <c r="K927" s="8"/>
      <c r="L927" s="8"/>
      <c r="M927" s="8"/>
    </row>
    <row r="928" spans="1:13">
      <c r="A928" s="15" t="s">
        <v>4754</v>
      </c>
      <c r="B928" s="67">
        <v>32424255881</v>
      </c>
      <c r="C928" s="72" t="s">
        <v>4755</v>
      </c>
      <c r="D928" s="69">
        <v>4615874596</v>
      </c>
      <c r="E928" s="9">
        <v>229</v>
      </c>
      <c r="F928" s="25">
        <v>43151</v>
      </c>
      <c r="G928" s="70" t="s">
        <v>3356</v>
      </c>
      <c r="H928" s="9"/>
      <c r="I928" s="8"/>
      <c r="J928" s="8"/>
      <c r="K928" s="8"/>
      <c r="L928" s="9">
        <v>232</v>
      </c>
      <c r="M928" s="8"/>
    </row>
    <row r="929" spans="1:13">
      <c r="A929" s="71" t="s">
        <v>4756</v>
      </c>
      <c r="B929" s="67">
        <v>12982409801</v>
      </c>
      <c r="C929" s="72"/>
      <c r="D929" s="69"/>
      <c r="E929" s="9">
        <v>1824</v>
      </c>
      <c r="F929" s="25">
        <v>43091</v>
      </c>
      <c r="G929" s="70" t="s">
        <v>3356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4757</v>
      </c>
      <c r="B930" s="67">
        <v>77663551591</v>
      </c>
      <c r="C930" s="72" t="s">
        <v>4758</v>
      </c>
      <c r="D930" s="69">
        <v>93914822520</v>
      </c>
      <c r="E930" s="9">
        <v>527</v>
      </c>
      <c r="F930" s="25">
        <v>43210</v>
      </c>
      <c r="G930" s="70"/>
      <c r="H930" s="9"/>
      <c r="I930" s="8"/>
      <c r="J930" s="8"/>
      <c r="K930" s="8"/>
      <c r="L930" s="9">
        <v>528</v>
      </c>
      <c r="M930" s="8"/>
    </row>
    <row r="931" spans="1:13">
      <c r="A931" s="71" t="s">
        <v>4759</v>
      </c>
      <c r="B931" s="67">
        <v>30768670837</v>
      </c>
      <c r="C931" s="72" t="s">
        <v>4760</v>
      </c>
      <c r="D931" s="69">
        <v>17858599860</v>
      </c>
      <c r="E931" s="9">
        <v>810</v>
      </c>
      <c r="F931" s="25">
        <v>42915</v>
      </c>
      <c r="G931" s="70" t="s">
        <v>3356</v>
      </c>
      <c r="H931" s="9"/>
      <c r="I931" s="8"/>
      <c r="J931" s="8"/>
      <c r="K931" s="8"/>
      <c r="L931" s="9" t="s">
        <v>3475</v>
      </c>
      <c r="M931" s="8"/>
    </row>
    <row r="932" spans="1:13">
      <c r="A932" s="71" t="s">
        <v>4761</v>
      </c>
      <c r="B932" s="67">
        <v>40801562864</v>
      </c>
      <c r="C932" s="72" t="s">
        <v>4762</v>
      </c>
      <c r="D932" s="69">
        <v>40630792879</v>
      </c>
      <c r="E932" s="9">
        <v>117</v>
      </c>
      <c r="F932" s="25">
        <v>43117</v>
      </c>
      <c r="G932" s="70" t="s">
        <v>3362</v>
      </c>
      <c r="H932" s="9"/>
      <c r="I932" s="8"/>
      <c r="J932" s="8"/>
      <c r="K932" s="8"/>
      <c r="L932" s="9" t="s">
        <v>3507</v>
      </c>
      <c r="M932" s="8"/>
    </row>
    <row r="933" spans="1:13">
      <c r="A933" s="71" t="s">
        <v>4763</v>
      </c>
      <c r="B933" s="67">
        <v>19861243801</v>
      </c>
      <c r="C933" s="72"/>
      <c r="D933" s="69"/>
      <c r="E933" s="9">
        <v>1824</v>
      </c>
      <c r="F933" s="25">
        <v>43091</v>
      </c>
      <c r="G933" s="70" t="s">
        <v>3356</v>
      </c>
      <c r="H933" s="9"/>
      <c r="I933" s="8"/>
      <c r="J933" s="8"/>
      <c r="K933" s="8"/>
      <c r="L933" s="9">
        <v>1828</v>
      </c>
      <c r="M933" s="8"/>
    </row>
    <row r="934" spans="1:13">
      <c r="A934" s="71" t="s">
        <v>4764</v>
      </c>
      <c r="B934" s="67">
        <v>11579058892</v>
      </c>
      <c r="C934" s="72"/>
      <c r="D934" s="69"/>
      <c r="E934" s="9">
        <v>292</v>
      </c>
      <c r="F934" s="25">
        <v>43168</v>
      </c>
      <c r="G934" s="9" t="s">
        <v>3356</v>
      </c>
      <c r="H934" s="9"/>
      <c r="I934" s="8"/>
      <c r="J934" s="8"/>
      <c r="K934" s="8"/>
      <c r="L934" s="9">
        <v>318</v>
      </c>
      <c r="M934" s="8"/>
    </row>
    <row r="935" spans="1:13">
      <c r="A935" s="72" t="s">
        <v>4765</v>
      </c>
      <c r="B935" s="67">
        <v>41671137833</v>
      </c>
      <c r="C935" s="72"/>
      <c r="D935" s="69"/>
      <c r="E935" s="9"/>
      <c r="F935" s="25"/>
      <c r="G935" s="70"/>
      <c r="H935" s="9"/>
      <c r="I935" s="8"/>
      <c r="J935" s="8"/>
      <c r="K935" s="8"/>
      <c r="L935" s="8"/>
      <c r="M935" s="8"/>
    </row>
    <row r="936" spans="1:13">
      <c r="A936" s="71" t="s">
        <v>4766</v>
      </c>
      <c r="B936" s="67">
        <v>33897782847</v>
      </c>
      <c r="C936" s="72" t="s">
        <v>4767</v>
      </c>
      <c r="D936" s="69">
        <v>22207136876</v>
      </c>
      <c r="E936" s="9">
        <v>1267</v>
      </c>
      <c r="F936" s="25">
        <v>42998</v>
      </c>
      <c r="G936" s="70" t="s">
        <v>3356</v>
      </c>
      <c r="H936" s="9"/>
      <c r="I936" s="8"/>
      <c r="J936" s="8"/>
      <c r="K936" s="8"/>
      <c r="L936" s="8"/>
      <c r="M936" s="8"/>
    </row>
    <row r="937" spans="1:13">
      <c r="A937" s="72" t="s">
        <v>4768</v>
      </c>
      <c r="B937" s="67">
        <v>31219124885</v>
      </c>
      <c r="C937" s="72" t="s">
        <v>4769</v>
      </c>
      <c r="D937" s="69">
        <v>53808967315</v>
      </c>
      <c r="E937" s="9">
        <v>292</v>
      </c>
      <c r="F937" s="25">
        <v>43168</v>
      </c>
      <c r="G937" s="70" t="s">
        <v>3356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4770</v>
      </c>
      <c r="B938" s="67">
        <v>32332935851</v>
      </c>
      <c r="C938" s="18" t="s">
        <v>4771</v>
      </c>
      <c r="D938" s="69">
        <v>33002112801</v>
      </c>
      <c r="E938" s="9"/>
      <c r="F938" s="25"/>
      <c r="G938" s="70"/>
      <c r="H938" s="9"/>
      <c r="I938" s="8"/>
      <c r="J938" s="8"/>
      <c r="K938" s="8"/>
      <c r="L938" s="8"/>
      <c r="M938" s="8"/>
    </row>
    <row r="939" spans="1:13">
      <c r="A939" s="71" t="s">
        <v>4772</v>
      </c>
      <c r="B939" s="67">
        <v>22797861841</v>
      </c>
      <c r="C939" s="72"/>
      <c r="D939" s="69"/>
      <c r="E939" s="9"/>
      <c r="F939" s="25"/>
      <c r="G939" s="70"/>
      <c r="H939" s="9"/>
      <c r="I939" s="8"/>
      <c r="J939" s="8"/>
      <c r="K939" s="8"/>
      <c r="L939" s="8"/>
      <c r="M939" s="8"/>
    </row>
    <row r="940" spans="1:13">
      <c r="A940" s="50" t="s">
        <v>4773</v>
      </c>
      <c r="B940" s="80">
        <v>35004628807</v>
      </c>
      <c r="C940" s="81"/>
      <c r="D940" s="82"/>
      <c r="E940" s="47">
        <v>117</v>
      </c>
      <c r="F940" s="48">
        <v>43117</v>
      </c>
      <c r="G940" s="83" t="s">
        <v>3370</v>
      </c>
      <c r="H940" s="47"/>
      <c r="I940" s="49"/>
      <c r="J940" s="49"/>
      <c r="K940" s="49"/>
      <c r="L940" s="9" t="s">
        <v>3507</v>
      </c>
      <c r="M940" s="49"/>
    </row>
    <row r="941" spans="1:13">
      <c r="A941" s="71" t="s">
        <v>4774</v>
      </c>
      <c r="B941" s="67">
        <v>35124692804</v>
      </c>
      <c r="C941" s="72" t="s">
        <v>4775</v>
      </c>
      <c r="D941" s="69">
        <v>17091274814</v>
      </c>
      <c r="E941" s="9">
        <v>262</v>
      </c>
      <c r="F941" s="25">
        <v>43160</v>
      </c>
      <c r="G941" s="70" t="s">
        <v>3356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71" t="s">
        <v>4776</v>
      </c>
      <c r="B942" s="67">
        <v>32643126890</v>
      </c>
      <c r="C942" s="72"/>
      <c r="D942" s="69"/>
      <c r="E942" s="9"/>
      <c r="F942" s="25"/>
      <c r="G942" s="70"/>
      <c r="H942" s="9"/>
      <c r="I942" s="8"/>
      <c r="J942" s="8"/>
      <c r="K942" s="8"/>
      <c r="L942" s="8"/>
      <c r="M942" s="8"/>
    </row>
    <row r="943" spans="1:13">
      <c r="A943" s="18" t="s">
        <v>4777</v>
      </c>
      <c r="B943" s="67">
        <v>22581631880</v>
      </c>
      <c r="C943" s="18"/>
      <c r="D943" s="69"/>
      <c r="E943" s="9"/>
      <c r="F943" s="25"/>
      <c r="G943" s="70"/>
      <c r="H943" s="9"/>
      <c r="I943" s="8"/>
      <c r="J943" s="8"/>
      <c r="K943" s="8"/>
      <c r="L943" s="8"/>
      <c r="M943" s="8"/>
    </row>
    <row r="944" spans="1:13">
      <c r="A944" s="72" t="s">
        <v>4778</v>
      </c>
      <c r="B944" s="67">
        <v>35271393895</v>
      </c>
      <c r="C944" s="72" t="s">
        <v>4779</v>
      </c>
      <c r="D944" s="69">
        <v>34728254801</v>
      </c>
      <c r="E944" s="9"/>
      <c r="F944" s="25"/>
      <c r="G944" s="70"/>
      <c r="H944" s="9"/>
      <c r="I944" s="8"/>
      <c r="J944" s="8"/>
      <c r="K944" s="8"/>
      <c r="L944" s="8"/>
      <c r="M944" s="8"/>
    </row>
    <row r="945" spans="1:13">
      <c r="A945" s="13" t="s">
        <v>4780</v>
      </c>
      <c r="B945" s="67">
        <v>38306850840</v>
      </c>
      <c r="C945" s="68"/>
      <c r="D945" s="69"/>
      <c r="E945" s="9">
        <v>1128</v>
      </c>
      <c r="F945" s="25">
        <v>42972</v>
      </c>
      <c r="G945" s="70" t="s">
        <v>3356</v>
      </c>
      <c r="H945" s="9"/>
      <c r="I945" s="8"/>
      <c r="J945" s="8"/>
      <c r="K945" s="8"/>
      <c r="L945" s="8"/>
      <c r="M945" s="8"/>
    </row>
    <row r="946" spans="1:13">
      <c r="A946" s="15" t="s">
        <v>4781</v>
      </c>
      <c r="B946" s="67">
        <v>8902185877</v>
      </c>
      <c r="C946" s="72"/>
      <c r="D946" s="69"/>
      <c r="E946" s="9">
        <v>563</v>
      </c>
      <c r="F946" s="25">
        <v>43217</v>
      </c>
      <c r="G946" s="70"/>
      <c r="H946" s="9"/>
      <c r="I946" s="8"/>
      <c r="J946" s="8"/>
      <c r="K946" s="8"/>
      <c r="L946" s="9" t="s">
        <v>3636</v>
      </c>
      <c r="M946" s="8"/>
    </row>
    <row r="947" spans="1:13">
      <c r="A947" s="71" t="s">
        <v>4782</v>
      </c>
      <c r="B947" s="67">
        <v>899199399</v>
      </c>
      <c r="C947" s="72" t="s">
        <v>4783</v>
      </c>
      <c r="D947" s="69">
        <v>3617423396</v>
      </c>
      <c r="E947" s="9"/>
      <c r="F947" s="25"/>
      <c r="G947" s="70"/>
      <c r="H947" s="9"/>
      <c r="I947" s="8"/>
      <c r="J947" s="8"/>
      <c r="K947" s="8"/>
      <c r="L947" s="8"/>
      <c r="M947" s="8"/>
    </row>
    <row r="948" spans="1:13">
      <c r="A948" s="71" t="s">
        <v>4784</v>
      </c>
      <c r="B948" s="67">
        <v>34965038827</v>
      </c>
      <c r="C948" s="72"/>
      <c r="D948" s="69"/>
      <c r="E948" s="9">
        <v>810</v>
      </c>
      <c r="F948" s="25">
        <v>42915</v>
      </c>
      <c r="G948" s="70" t="s">
        <v>3356</v>
      </c>
      <c r="H948" s="9"/>
      <c r="I948" s="8"/>
      <c r="J948" s="8"/>
      <c r="K948" s="8"/>
      <c r="L948" s="9" t="s">
        <v>3475</v>
      </c>
      <c r="M948" s="8"/>
    </row>
    <row r="949" spans="1:13">
      <c r="A949" s="15" t="s">
        <v>4785</v>
      </c>
      <c r="B949" s="67">
        <v>32560904861</v>
      </c>
      <c r="C949" s="72"/>
      <c r="D949" s="69"/>
      <c r="E949" s="9">
        <v>573</v>
      </c>
      <c r="F949" s="25">
        <v>43224</v>
      </c>
      <c r="G949" s="70"/>
      <c r="H949" s="9"/>
      <c r="I949" s="8"/>
      <c r="J949" s="8"/>
      <c r="K949" s="8"/>
      <c r="L949" s="8"/>
      <c r="M949" s="8"/>
    </row>
    <row r="950" spans="1:13">
      <c r="A950" s="71" t="s">
        <v>4786</v>
      </c>
      <c r="B950" s="67">
        <v>17655715882</v>
      </c>
      <c r="C950" s="72"/>
      <c r="D950" s="69"/>
      <c r="E950" s="9">
        <v>1214</v>
      </c>
      <c r="F950" s="25">
        <v>42989</v>
      </c>
      <c r="G950" s="70" t="s">
        <v>3356</v>
      </c>
      <c r="H950" s="9"/>
      <c r="I950" s="8"/>
      <c r="J950" s="8"/>
      <c r="K950" s="8"/>
      <c r="L950" s="8"/>
      <c r="M950" s="8"/>
    </row>
    <row r="951" spans="1:13">
      <c r="A951" s="15" t="s">
        <v>4787</v>
      </c>
      <c r="B951" s="67">
        <v>42403523801</v>
      </c>
      <c r="C951" s="72"/>
      <c r="D951" s="69"/>
      <c r="E951" s="9">
        <v>117</v>
      </c>
      <c r="F951" s="25">
        <v>43117</v>
      </c>
      <c r="G951" s="70" t="s">
        <v>3362</v>
      </c>
      <c r="H951" s="9"/>
      <c r="I951" s="8"/>
      <c r="J951" s="8"/>
      <c r="K951" s="8"/>
      <c r="L951" s="9" t="s">
        <v>3507</v>
      </c>
      <c r="M951" s="8"/>
    </row>
    <row r="952" spans="1:13">
      <c r="A952" s="15" t="s">
        <v>4788</v>
      </c>
      <c r="B952" s="67">
        <v>5586324407</v>
      </c>
      <c r="C952" s="72"/>
      <c r="D952" s="69"/>
      <c r="E952" s="9">
        <v>85</v>
      </c>
      <c r="F952" s="25">
        <v>43109</v>
      </c>
      <c r="G952" s="70" t="s">
        <v>3356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4789</v>
      </c>
      <c r="B953" s="67">
        <v>14776051850</v>
      </c>
      <c r="C953" s="72"/>
      <c r="D953" s="69"/>
      <c r="E953" s="9">
        <v>1824</v>
      </c>
      <c r="F953" s="25">
        <v>43091</v>
      </c>
      <c r="G953" s="70" t="s">
        <v>3356</v>
      </c>
      <c r="H953" s="9"/>
      <c r="I953" s="8"/>
      <c r="J953" s="8"/>
      <c r="K953" s="8"/>
      <c r="L953" s="9">
        <v>1828</v>
      </c>
      <c r="M953" s="8"/>
    </row>
    <row r="954" spans="1:13">
      <c r="A954" s="71" t="s">
        <v>4790</v>
      </c>
      <c r="B954" s="67">
        <v>33176089864</v>
      </c>
      <c r="C954" s="72"/>
      <c r="D954" s="69"/>
      <c r="E954" s="9">
        <v>1570</v>
      </c>
      <c r="F954" s="25">
        <v>43055</v>
      </c>
      <c r="G954" s="70" t="s">
        <v>3356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71" t="s">
        <v>4791</v>
      </c>
      <c r="B955" s="67">
        <v>19584308890</v>
      </c>
      <c r="C955" s="72" t="s">
        <v>4792</v>
      </c>
      <c r="D955" s="69">
        <v>42081262487</v>
      </c>
      <c r="E955" s="9">
        <v>262</v>
      </c>
      <c r="F955" s="25">
        <v>43160</v>
      </c>
      <c r="G955" s="70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71" t="s">
        <v>4793</v>
      </c>
      <c r="B956" s="67">
        <v>3220872441</v>
      </c>
      <c r="C956" s="72" t="s">
        <v>4794</v>
      </c>
      <c r="D956" s="69">
        <v>11805166808</v>
      </c>
      <c r="E956" s="9">
        <v>810</v>
      </c>
      <c r="F956" s="25">
        <v>42915</v>
      </c>
      <c r="G956" s="70" t="s">
        <v>3356</v>
      </c>
      <c r="H956" s="9"/>
      <c r="I956" s="8"/>
      <c r="J956" s="8"/>
      <c r="K956" s="8"/>
      <c r="L956" s="9" t="s">
        <v>3475</v>
      </c>
      <c r="M956" s="8"/>
    </row>
    <row r="957" spans="1:13">
      <c r="A957" s="73" t="s">
        <v>4795</v>
      </c>
      <c r="B957" s="67">
        <v>29773950832</v>
      </c>
      <c r="C957" s="72" t="s">
        <v>4796</v>
      </c>
      <c r="D957" s="69">
        <v>84030283349</v>
      </c>
      <c r="E957" s="9"/>
      <c r="F957" s="25"/>
      <c r="G957" s="70"/>
      <c r="H957" s="9"/>
      <c r="I957" s="8"/>
      <c r="J957" s="8"/>
      <c r="K957" s="8"/>
      <c r="L957" s="8"/>
      <c r="M957" s="8"/>
    </row>
    <row r="958" spans="1:13">
      <c r="A958" s="71" t="s">
        <v>4797</v>
      </c>
      <c r="B958" s="78" t="s">
        <v>4798</v>
      </c>
      <c r="C958" s="72" t="s">
        <v>4799</v>
      </c>
      <c r="D958" s="69">
        <v>84102780300</v>
      </c>
      <c r="E958" s="9">
        <v>292</v>
      </c>
      <c r="F958" s="25">
        <v>43168</v>
      </c>
      <c r="G958" s="9" t="s">
        <v>3356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4800</v>
      </c>
      <c r="B959" s="67">
        <v>30638877814</v>
      </c>
      <c r="C959" s="72"/>
      <c r="D959" s="69"/>
      <c r="E959" s="9">
        <v>1350</v>
      </c>
      <c r="F959" s="25">
        <v>43006</v>
      </c>
      <c r="G959" s="70" t="s">
        <v>3356</v>
      </c>
      <c r="H959" s="9"/>
      <c r="I959" s="8"/>
      <c r="J959" s="8"/>
      <c r="K959" s="8"/>
      <c r="L959" s="8"/>
      <c r="M959" s="8"/>
    </row>
    <row r="960" spans="1:13">
      <c r="A960" s="71" t="s">
        <v>4801</v>
      </c>
      <c r="B960" s="67">
        <v>39987807852</v>
      </c>
      <c r="C960" s="77"/>
      <c r="D960" s="69"/>
      <c r="E960" s="9"/>
      <c r="F960" s="25"/>
      <c r="G960" s="70"/>
      <c r="H960" s="9"/>
      <c r="I960" s="8"/>
      <c r="J960" s="8"/>
      <c r="K960" s="8"/>
      <c r="L960" s="8"/>
      <c r="M960" s="8"/>
    </row>
    <row r="961" spans="1:13">
      <c r="A961" s="71" t="s">
        <v>4802</v>
      </c>
      <c r="B961" s="67">
        <v>25314132869</v>
      </c>
      <c r="C961" s="72"/>
      <c r="D961" s="69"/>
      <c r="E961" s="9">
        <v>1359</v>
      </c>
      <c r="F961" s="25">
        <v>43006</v>
      </c>
      <c r="G961" s="70" t="s">
        <v>3356</v>
      </c>
      <c r="H961" s="9"/>
      <c r="I961" s="8"/>
      <c r="J961" s="8"/>
      <c r="K961" s="8"/>
      <c r="L961" s="8"/>
      <c r="M961" s="8"/>
    </row>
    <row r="962" spans="1:13">
      <c r="A962" s="71" t="s">
        <v>4803</v>
      </c>
      <c r="B962" s="67">
        <v>6943742884</v>
      </c>
      <c r="C962" s="72"/>
      <c r="D962" s="69"/>
      <c r="E962" s="9">
        <v>1555</v>
      </c>
      <c r="F962" s="25">
        <v>43049</v>
      </c>
      <c r="G962" s="70" t="s">
        <v>3356</v>
      </c>
      <c r="H962" s="9"/>
      <c r="I962" s="8"/>
      <c r="J962" s="8"/>
      <c r="K962" s="8"/>
      <c r="L962" s="9" t="s">
        <v>3735</v>
      </c>
      <c r="M962" s="8"/>
    </row>
    <row r="963" spans="1:13">
      <c r="A963" s="15" t="s">
        <v>4804</v>
      </c>
      <c r="B963" s="67">
        <v>854189351</v>
      </c>
      <c r="C963" s="72"/>
      <c r="D963" s="69"/>
      <c r="E963" s="9">
        <v>85</v>
      </c>
      <c r="F963" s="25">
        <v>43109</v>
      </c>
      <c r="G963" s="70" t="s">
        <v>3356</v>
      </c>
      <c r="H963" s="25">
        <v>43151</v>
      </c>
      <c r="I963" s="8"/>
      <c r="J963" s="8"/>
      <c r="K963" s="8"/>
      <c r="L963" s="8"/>
      <c r="M963" s="8"/>
    </row>
    <row r="964" spans="1:13">
      <c r="A964" s="71" t="s">
        <v>4805</v>
      </c>
      <c r="B964" s="67">
        <v>46248420300</v>
      </c>
      <c r="C964" s="72" t="s">
        <v>4806</v>
      </c>
      <c r="D964" s="69">
        <v>17485330888</v>
      </c>
      <c r="E964" s="9">
        <v>262</v>
      </c>
      <c r="F964" s="25">
        <v>43160</v>
      </c>
      <c r="G964" s="70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71" t="s">
        <v>4807</v>
      </c>
      <c r="B965" s="67">
        <v>84090294304</v>
      </c>
      <c r="C965" s="72" t="s">
        <v>4808</v>
      </c>
      <c r="D965" s="69">
        <v>31398589810</v>
      </c>
      <c r="E965" s="9"/>
      <c r="F965" s="25"/>
      <c r="G965" s="70"/>
      <c r="H965" s="9"/>
      <c r="I965" s="8"/>
      <c r="J965" s="8"/>
      <c r="K965" s="8"/>
      <c r="L965" s="8"/>
      <c r="M965" s="8"/>
    </row>
    <row r="966" spans="1:13">
      <c r="A966" s="72" t="s">
        <v>4809</v>
      </c>
      <c r="B966" s="67">
        <v>8018563888</v>
      </c>
      <c r="C966" s="72"/>
      <c r="D966" s="69"/>
      <c r="E966" s="9"/>
      <c r="F966" s="25"/>
      <c r="G966" s="70"/>
      <c r="H966" s="9"/>
      <c r="I966" s="8"/>
      <c r="J966" s="8"/>
      <c r="K966" s="8"/>
      <c r="L966" s="8"/>
      <c r="M966" s="8"/>
    </row>
    <row r="967" spans="1:13">
      <c r="A967" s="71" t="s">
        <v>4810</v>
      </c>
      <c r="B967" s="67">
        <v>918071313</v>
      </c>
      <c r="C967" s="72" t="s">
        <v>4811</v>
      </c>
      <c r="D967" s="69">
        <v>98555502349</v>
      </c>
      <c r="E967" s="9">
        <v>443</v>
      </c>
      <c r="F967" s="25">
        <v>43188</v>
      </c>
      <c r="G967" s="70"/>
      <c r="H967" s="9"/>
      <c r="I967" s="8"/>
      <c r="J967" s="8"/>
      <c r="K967" s="8"/>
      <c r="L967" s="8"/>
      <c r="M967" s="8"/>
    </row>
    <row r="968" spans="1:13">
      <c r="A968" s="15" t="s">
        <v>4812</v>
      </c>
      <c r="B968" s="67">
        <v>25700869837</v>
      </c>
      <c r="C968" s="72"/>
      <c r="D968" s="69"/>
      <c r="E968" s="9">
        <v>117</v>
      </c>
      <c r="F968" s="25">
        <v>43117</v>
      </c>
      <c r="G968" s="70" t="s">
        <v>3356</v>
      </c>
      <c r="H968" s="9"/>
      <c r="I968" s="8"/>
      <c r="J968" s="8"/>
      <c r="K968" s="8"/>
      <c r="L968" s="9" t="s">
        <v>3507</v>
      </c>
      <c r="M968" s="8"/>
    </row>
    <row r="969" spans="1:13">
      <c r="A969" s="71" t="s">
        <v>4813</v>
      </c>
      <c r="B969" s="67">
        <v>86465651300</v>
      </c>
      <c r="C969" s="72" t="s">
        <v>4814</v>
      </c>
      <c r="D969" s="69">
        <v>7091216792</v>
      </c>
      <c r="E969" s="9">
        <v>1350</v>
      </c>
      <c r="F969" s="25">
        <v>43006</v>
      </c>
      <c r="G969" s="70" t="s">
        <v>3356</v>
      </c>
      <c r="H969" s="9"/>
      <c r="I969" s="8"/>
      <c r="J969" s="8"/>
      <c r="K969" s="8"/>
      <c r="L969" s="8"/>
      <c r="M969" s="8"/>
    </row>
    <row r="970" spans="1:13">
      <c r="A970" s="72" t="s">
        <v>4815</v>
      </c>
      <c r="B970" s="67">
        <v>22893362893</v>
      </c>
      <c r="C970" s="72" t="s">
        <v>4816</v>
      </c>
      <c r="D970" s="69">
        <v>41762002434</v>
      </c>
      <c r="E970" s="9"/>
      <c r="F970" s="25"/>
      <c r="G970" s="70"/>
      <c r="H970" s="9"/>
      <c r="I970" s="8"/>
      <c r="J970" s="8"/>
      <c r="K970" s="8"/>
      <c r="L970" s="8"/>
      <c r="M970" s="8"/>
    </row>
    <row r="971" spans="1:13">
      <c r="A971" s="71" t="s">
        <v>4817</v>
      </c>
      <c r="B971" s="67">
        <v>11448120896</v>
      </c>
      <c r="C971" s="72"/>
      <c r="D971" s="69"/>
      <c r="E971" s="9">
        <v>1417</v>
      </c>
      <c r="F971" s="25">
        <v>43017</v>
      </c>
      <c r="G971" s="70" t="s">
        <v>3356</v>
      </c>
      <c r="H971" s="9"/>
      <c r="I971" s="8"/>
      <c r="J971" s="8"/>
      <c r="K971" s="8"/>
      <c r="L971" s="9" t="s">
        <v>3590</v>
      </c>
      <c r="M971" s="8"/>
    </row>
    <row r="972" spans="1:13">
      <c r="A972" s="29" t="s">
        <v>4818</v>
      </c>
      <c r="B972" s="67">
        <v>9964640854</v>
      </c>
      <c r="C972" s="18" t="s">
        <v>3466</v>
      </c>
      <c r="D972" s="69"/>
      <c r="E972" s="9"/>
      <c r="F972" s="25"/>
      <c r="G972" s="70"/>
      <c r="H972" s="9"/>
      <c r="I972" s="8"/>
      <c r="J972" s="8"/>
      <c r="K972" s="8"/>
      <c r="L972" s="8"/>
      <c r="M972" s="8"/>
    </row>
    <row r="973" spans="1:13">
      <c r="A973" s="29" t="s">
        <v>4819</v>
      </c>
      <c r="B973" s="67">
        <v>46593499854</v>
      </c>
      <c r="C973" s="29" t="s">
        <v>4820</v>
      </c>
      <c r="D973" s="69">
        <v>46146841811</v>
      </c>
      <c r="E973" s="9"/>
      <c r="F973" s="25"/>
      <c r="G973" s="70"/>
      <c r="H973" s="9"/>
      <c r="I973" s="8"/>
      <c r="J973" s="8"/>
      <c r="K973" s="8"/>
      <c r="L973" s="8"/>
      <c r="M973" s="8"/>
    </row>
    <row r="974" spans="1:13">
      <c r="A974" s="71" t="s">
        <v>4821</v>
      </c>
      <c r="B974" s="67">
        <v>34412339807</v>
      </c>
      <c r="C974" s="72" t="s">
        <v>4822</v>
      </c>
      <c r="D974" s="69">
        <v>30849792860</v>
      </c>
      <c r="E974" s="9">
        <v>1824</v>
      </c>
      <c r="F974" s="25">
        <v>43091</v>
      </c>
      <c r="G974" s="70" t="s">
        <v>3356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4823</v>
      </c>
      <c r="B975" s="67">
        <v>63905825449</v>
      </c>
      <c r="C975" s="72" t="s">
        <v>4824</v>
      </c>
      <c r="D975" s="69">
        <v>11803331879</v>
      </c>
      <c r="E975" s="9"/>
      <c r="F975" s="25"/>
      <c r="G975" s="70"/>
      <c r="H975" s="9"/>
      <c r="I975" s="8"/>
      <c r="J975" s="8"/>
      <c r="K975" s="8"/>
      <c r="L975" s="8"/>
      <c r="M975" s="8"/>
    </row>
    <row r="976" spans="1:13">
      <c r="A976" s="71" t="s">
        <v>4825</v>
      </c>
      <c r="B976" s="67">
        <v>24869568837</v>
      </c>
      <c r="C976" s="72"/>
      <c r="D976" s="69"/>
      <c r="E976" s="9">
        <v>810</v>
      </c>
      <c r="F976" s="25">
        <v>42915</v>
      </c>
      <c r="G976" s="70" t="s">
        <v>3356</v>
      </c>
      <c r="H976" s="9"/>
      <c r="I976" s="8"/>
      <c r="J976" s="8"/>
      <c r="K976" s="8"/>
      <c r="L976" s="9" t="s">
        <v>3475</v>
      </c>
      <c r="M976" s="8"/>
    </row>
    <row r="977" spans="1:13">
      <c r="A977" s="71" t="s">
        <v>4826</v>
      </c>
      <c r="B977" s="67">
        <v>1916417400</v>
      </c>
      <c r="C977" s="72"/>
      <c r="D977" s="69"/>
      <c r="E977" s="9">
        <v>292</v>
      </c>
      <c r="F977" s="25">
        <v>43168</v>
      </c>
      <c r="G977" s="70" t="s">
        <v>3356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4827</v>
      </c>
      <c r="B978" s="67">
        <v>18548695315</v>
      </c>
      <c r="C978" s="72"/>
      <c r="D978" s="69"/>
      <c r="E978" s="9">
        <v>229</v>
      </c>
      <c r="F978" s="25">
        <v>43151</v>
      </c>
      <c r="G978" s="70" t="s">
        <v>3356</v>
      </c>
      <c r="H978" s="9"/>
      <c r="I978" s="8"/>
      <c r="J978" s="8"/>
      <c r="K978" s="8"/>
      <c r="L978" s="9">
        <v>232</v>
      </c>
      <c r="M978" s="8"/>
    </row>
    <row r="979" spans="1:13">
      <c r="A979" s="71" t="s">
        <v>4828</v>
      </c>
      <c r="B979" s="67">
        <v>14900594822</v>
      </c>
      <c r="C979" s="72"/>
      <c r="D979" s="69"/>
      <c r="E979" s="9">
        <v>810</v>
      </c>
      <c r="F979" s="25">
        <v>42915</v>
      </c>
      <c r="G979" s="70" t="s">
        <v>3356</v>
      </c>
      <c r="H979" s="9"/>
      <c r="I979" s="8"/>
      <c r="J979" s="8"/>
      <c r="K979" s="8"/>
      <c r="L979" s="9" t="s">
        <v>3475</v>
      </c>
      <c r="M979" s="8"/>
    </row>
    <row r="980" spans="1:13">
      <c r="A980" s="18" t="s">
        <v>4829</v>
      </c>
      <c r="B980" s="67">
        <v>18473037812</v>
      </c>
      <c r="C980" s="18" t="s">
        <v>4830</v>
      </c>
      <c r="D980" s="69">
        <v>81225245834</v>
      </c>
      <c r="E980" s="9"/>
      <c r="F980" s="25"/>
      <c r="G980" s="70"/>
      <c r="H980" s="9"/>
      <c r="I980" s="8"/>
      <c r="J980" s="8"/>
      <c r="K980" s="8"/>
      <c r="L980" s="8"/>
      <c r="M980" s="8"/>
    </row>
    <row r="981" spans="1:13">
      <c r="A981" s="71" t="s">
        <v>4831</v>
      </c>
      <c r="B981" s="67">
        <v>38327303899</v>
      </c>
      <c r="C981" s="72"/>
      <c r="D981" s="69"/>
      <c r="E981" s="9">
        <v>443</v>
      </c>
      <c r="F981" s="25">
        <v>43188</v>
      </c>
      <c r="G981" s="70"/>
      <c r="H981" s="9"/>
      <c r="I981" s="8"/>
      <c r="J981" s="8"/>
      <c r="K981" s="8"/>
      <c r="L981" s="8"/>
      <c r="M981" s="8"/>
    </row>
    <row r="982" spans="1:13">
      <c r="A982" s="13" t="s">
        <v>4832</v>
      </c>
      <c r="B982" s="67">
        <v>63037432349</v>
      </c>
      <c r="C982" s="72"/>
      <c r="D982" s="69"/>
      <c r="E982" s="9">
        <v>1350</v>
      </c>
      <c r="F982" s="25">
        <v>43006</v>
      </c>
      <c r="G982" s="70" t="s">
        <v>3356</v>
      </c>
      <c r="H982" s="9"/>
      <c r="I982" s="8"/>
      <c r="J982" s="8"/>
      <c r="K982" s="8"/>
      <c r="L982" s="8"/>
      <c r="M982" s="8"/>
    </row>
    <row r="983" spans="1:13">
      <c r="A983" s="71" t="s">
        <v>4833</v>
      </c>
      <c r="B983" s="67">
        <v>17010311838</v>
      </c>
      <c r="C983" s="72"/>
      <c r="D983" s="69"/>
      <c r="E983" s="9"/>
      <c r="F983" s="25"/>
      <c r="G983" s="70"/>
      <c r="H983" s="9"/>
      <c r="I983" s="8"/>
      <c r="J983" s="8"/>
      <c r="K983" s="8"/>
      <c r="L983" s="8"/>
      <c r="M983" s="8"/>
    </row>
    <row r="984" spans="1:13">
      <c r="A984" s="71" t="s">
        <v>4834</v>
      </c>
      <c r="B984" s="67">
        <v>30458696889</v>
      </c>
      <c r="C984" s="68" t="s">
        <v>4835</v>
      </c>
      <c r="D984" s="69">
        <v>25196748814</v>
      </c>
      <c r="E984" s="9">
        <v>1267</v>
      </c>
      <c r="F984" s="25">
        <v>42998</v>
      </c>
      <c r="G984" s="70" t="s">
        <v>3362</v>
      </c>
      <c r="H984" s="9"/>
      <c r="I984" s="8"/>
      <c r="J984" s="8"/>
      <c r="K984" s="8"/>
      <c r="L984" s="8"/>
      <c r="M984" s="8"/>
    </row>
    <row r="985" spans="1:13">
      <c r="A985" s="71" t="s">
        <v>4836</v>
      </c>
      <c r="B985" s="67">
        <v>6918108425</v>
      </c>
      <c r="C985" s="72"/>
      <c r="D985" s="69"/>
      <c r="E985" s="9">
        <v>1359</v>
      </c>
      <c r="F985" s="25">
        <v>43006</v>
      </c>
      <c r="G985" s="70" t="s">
        <v>3356</v>
      </c>
      <c r="H985" s="9"/>
      <c r="I985" s="8"/>
      <c r="J985" s="8"/>
      <c r="K985" s="8"/>
      <c r="L985" s="8"/>
      <c r="M985" s="8"/>
    </row>
    <row r="986" spans="1:13">
      <c r="A986" s="29" t="s">
        <v>4837</v>
      </c>
      <c r="B986" s="67"/>
      <c r="C986" s="29" t="s">
        <v>4838</v>
      </c>
      <c r="D986" s="69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71" t="s">
        <v>4839</v>
      </c>
      <c r="B987" s="67">
        <v>3605902413</v>
      </c>
      <c r="C987" s="72"/>
      <c r="D987" s="69"/>
      <c r="E987" s="9"/>
      <c r="F987" s="25"/>
      <c r="G987" s="70"/>
      <c r="H987" s="9"/>
      <c r="I987" s="8"/>
      <c r="J987" s="8"/>
      <c r="K987" s="8"/>
      <c r="L987" s="8"/>
      <c r="M987" s="8"/>
    </row>
    <row r="988" spans="1:13">
      <c r="A988" s="71" t="s">
        <v>4840</v>
      </c>
      <c r="B988" s="67" t="s">
        <v>4841</v>
      </c>
      <c r="C988" s="77"/>
      <c r="D988" s="69"/>
      <c r="E988" s="9"/>
      <c r="F988" s="25"/>
      <c r="G988" s="70"/>
      <c r="H988" s="9"/>
      <c r="I988" s="8"/>
      <c r="J988" s="8"/>
      <c r="K988" s="8"/>
      <c r="L988" s="8"/>
      <c r="M988" s="8"/>
    </row>
    <row r="989" spans="1:13">
      <c r="A989" s="72" t="s">
        <v>4842</v>
      </c>
      <c r="B989" s="67">
        <v>39745805300</v>
      </c>
      <c r="C989" s="72"/>
      <c r="D989" s="69"/>
      <c r="E989" s="9"/>
      <c r="F989" s="25"/>
      <c r="G989" s="70"/>
      <c r="H989" s="9"/>
      <c r="I989" s="8"/>
      <c r="J989" s="8"/>
      <c r="K989" s="8"/>
      <c r="L989" s="8"/>
      <c r="M989" s="8"/>
    </row>
    <row r="990" spans="1:13">
      <c r="A990" s="13" t="s">
        <v>4843</v>
      </c>
      <c r="B990" s="67">
        <v>83640363604</v>
      </c>
      <c r="C990" s="68"/>
      <c r="D990" s="69"/>
      <c r="E990" s="9"/>
      <c r="F990" s="25"/>
      <c r="G990" s="70"/>
      <c r="H990" s="9"/>
      <c r="I990" s="8"/>
      <c r="J990" s="8"/>
      <c r="K990" s="8"/>
      <c r="L990" s="8"/>
      <c r="M990" s="8"/>
    </row>
    <row r="991" spans="1:13">
      <c r="A991" s="29" t="s">
        <v>4844</v>
      </c>
      <c r="B991" s="67"/>
      <c r="C991" s="18" t="s">
        <v>3466</v>
      </c>
      <c r="D991" s="69"/>
      <c r="E991" s="9"/>
      <c r="F991" s="25"/>
      <c r="G991" s="70"/>
      <c r="H991" s="9"/>
      <c r="I991" s="8"/>
      <c r="J991" s="8"/>
      <c r="K991" s="8"/>
      <c r="L991" s="8"/>
      <c r="M991" s="8"/>
    </row>
    <row r="992" spans="1:13">
      <c r="A992" s="15" t="s">
        <v>4845</v>
      </c>
      <c r="B992" s="67">
        <v>2393196722</v>
      </c>
      <c r="C992" s="72"/>
      <c r="D992" s="69"/>
      <c r="E992" s="9"/>
      <c r="F992" s="25"/>
      <c r="G992" s="70"/>
      <c r="H992" s="9"/>
      <c r="I992" s="8"/>
      <c r="J992" s="8"/>
      <c r="K992" s="8"/>
      <c r="L992" s="8"/>
      <c r="M992" s="8"/>
    </row>
    <row r="993" spans="1:13">
      <c r="A993" s="14" t="s">
        <v>4846</v>
      </c>
      <c r="B993" s="67">
        <v>12324487888</v>
      </c>
      <c r="C993" s="72"/>
      <c r="D993" s="69"/>
      <c r="E993" s="9"/>
      <c r="F993" s="25"/>
      <c r="G993" s="70"/>
      <c r="H993" s="9"/>
      <c r="I993" s="8"/>
      <c r="J993" s="8"/>
      <c r="K993" s="8"/>
      <c r="L993" s="8"/>
      <c r="M993" s="8"/>
    </row>
    <row r="994" spans="1:13">
      <c r="A994" s="15" t="s">
        <v>4847</v>
      </c>
      <c r="B994" s="67">
        <v>17007953840</v>
      </c>
      <c r="C994" s="72"/>
      <c r="D994" s="69"/>
      <c r="E994" s="9">
        <v>85</v>
      </c>
      <c r="F994" s="25">
        <v>43109</v>
      </c>
      <c r="G994" s="70" t="s">
        <v>3356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4848</v>
      </c>
      <c r="B995" s="67">
        <v>43143938404</v>
      </c>
      <c r="C995" s="68"/>
      <c r="D995" s="69"/>
      <c r="E995" s="9"/>
      <c r="F995" s="25"/>
      <c r="G995" s="70"/>
      <c r="H995" s="9"/>
      <c r="I995" s="8"/>
      <c r="J995" s="8"/>
      <c r="K995" s="8"/>
      <c r="L995" s="8"/>
      <c r="M995" s="8"/>
    </row>
    <row r="996" spans="1:13">
      <c r="A996" s="71" t="s">
        <v>4849</v>
      </c>
      <c r="B996" s="67">
        <v>17487600840</v>
      </c>
      <c r="C996" s="72"/>
      <c r="D996" s="69"/>
      <c r="E996" s="9">
        <v>292</v>
      </c>
      <c r="F996" s="25">
        <v>43168</v>
      </c>
      <c r="G996" s="9" t="s">
        <v>3356</v>
      </c>
      <c r="H996" s="9"/>
      <c r="I996" s="8"/>
      <c r="J996" s="8"/>
      <c r="K996" s="8"/>
      <c r="L996" s="9">
        <v>318</v>
      </c>
      <c r="M996" s="8"/>
    </row>
    <row r="997" spans="1:13">
      <c r="A997" s="71" t="s">
        <v>4850</v>
      </c>
      <c r="B997" s="67">
        <v>12523078880</v>
      </c>
      <c r="C997" s="72"/>
      <c r="D997" s="69"/>
      <c r="E997" s="9"/>
      <c r="F997" s="25"/>
      <c r="G997" s="70"/>
      <c r="H997" s="9"/>
      <c r="I997" s="8"/>
      <c r="J997" s="8"/>
      <c r="K997" s="8"/>
      <c r="L997" s="8"/>
      <c r="M997" s="8"/>
    </row>
    <row r="998" spans="1:13">
      <c r="A998" s="71" t="s">
        <v>4851</v>
      </c>
      <c r="B998" s="67">
        <v>5704263321</v>
      </c>
      <c r="C998" s="72"/>
      <c r="D998" s="69"/>
      <c r="E998" s="9">
        <v>443</v>
      </c>
      <c r="F998" s="25">
        <v>43188</v>
      </c>
      <c r="G998" s="70"/>
      <c r="H998" s="9"/>
      <c r="I998" s="8"/>
      <c r="J998" s="8"/>
      <c r="K998" s="8"/>
      <c r="L998" s="8"/>
      <c r="M998" s="8"/>
    </row>
    <row r="999" spans="1:13">
      <c r="A999" s="71" t="s">
        <v>4852</v>
      </c>
      <c r="B999" s="67">
        <v>56631421420</v>
      </c>
      <c r="C999" s="72"/>
      <c r="D999" s="69"/>
      <c r="E999" s="9"/>
      <c r="F999" s="25"/>
      <c r="G999" s="70"/>
      <c r="H999" s="9"/>
      <c r="I999" s="8"/>
      <c r="J999" s="8"/>
      <c r="K999" s="8"/>
      <c r="L999" s="8"/>
      <c r="M999" s="8"/>
    </row>
    <row r="1000" spans="1:13">
      <c r="A1000" s="13" t="s">
        <v>4853</v>
      </c>
      <c r="B1000" s="67">
        <v>28183775870</v>
      </c>
      <c r="C1000" s="68"/>
      <c r="D1000" s="69"/>
      <c r="E1000" s="9">
        <v>1343</v>
      </c>
      <c r="F1000" s="25">
        <v>43004</v>
      </c>
      <c r="G1000" s="70" t="s">
        <v>3356</v>
      </c>
      <c r="H1000" s="9"/>
      <c r="I1000" s="8"/>
      <c r="J1000" s="8"/>
      <c r="K1000" s="8"/>
      <c r="L1000" s="8"/>
      <c r="M1000" s="8"/>
    </row>
    <row r="1001" spans="1:13">
      <c r="A1001" s="15" t="s">
        <v>4854</v>
      </c>
      <c r="B1001" s="67">
        <v>39651975334</v>
      </c>
      <c r="C1001" s="72" t="s">
        <v>4855</v>
      </c>
      <c r="D1001" s="69">
        <v>35104799808</v>
      </c>
      <c r="E1001" s="9">
        <v>229</v>
      </c>
      <c r="F1001" s="25">
        <v>43151</v>
      </c>
      <c r="G1001" s="70" t="s">
        <v>3356</v>
      </c>
      <c r="H1001" s="9"/>
      <c r="I1001" s="8"/>
      <c r="J1001" s="8"/>
      <c r="K1001" s="8"/>
      <c r="L1001" s="9">
        <v>232</v>
      </c>
      <c r="M1001" s="8"/>
    </row>
    <row r="1002" spans="1:13">
      <c r="A1002" s="71" t="s">
        <v>4856</v>
      </c>
      <c r="B1002" s="67">
        <v>54535891320</v>
      </c>
      <c r="C1002" s="72"/>
      <c r="D1002" s="69"/>
      <c r="E1002" s="9">
        <v>1350</v>
      </c>
      <c r="F1002" s="25">
        <v>43006</v>
      </c>
      <c r="G1002" s="70" t="s">
        <v>3356</v>
      </c>
      <c r="H1002" s="9"/>
      <c r="I1002" s="8"/>
      <c r="J1002" s="8"/>
      <c r="K1002" s="8"/>
      <c r="L1002" s="8"/>
      <c r="M1002" s="8"/>
    </row>
    <row r="1003" spans="1:13">
      <c r="A1003" s="71" t="s">
        <v>4857</v>
      </c>
      <c r="B1003" s="67">
        <v>35949708334</v>
      </c>
      <c r="C1003" s="72"/>
      <c r="D1003" s="69"/>
      <c r="E1003" s="9">
        <v>1350</v>
      </c>
      <c r="F1003" s="25">
        <v>43006</v>
      </c>
      <c r="G1003" s="70" t="s">
        <v>3356</v>
      </c>
      <c r="H1003" s="9"/>
      <c r="I1003" s="8"/>
      <c r="J1003" s="8"/>
      <c r="K1003" s="8"/>
      <c r="L1003" s="8"/>
      <c r="M1003" s="8"/>
    </row>
    <row r="1004" spans="1:13">
      <c r="A1004" s="14" t="s">
        <v>4858</v>
      </c>
      <c r="B1004" s="67">
        <v>46226383801</v>
      </c>
      <c r="C1004" s="72" t="s">
        <v>4859</v>
      </c>
      <c r="D1004" s="69">
        <v>46166460821</v>
      </c>
      <c r="E1004" s="9">
        <v>292</v>
      </c>
      <c r="F1004" s="25">
        <v>43168</v>
      </c>
      <c r="G1004" s="70" t="s">
        <v>3356</v>
      </c>
      <c r="H1004" s="9"/>
      <c r="I1004" s="8"/>
      <c r="J1004" s="8"/>
      <c r="K1004" s="8"/>
      <c r="L1004" s="9">
        <v>318</v>
      </c>
      <c r="M1004" s="8"/>
    </row>
    <row r="1005" spans="1:13">
      <c r="A1005" s="72" t="s">
        <v>4860</v>
      </c>
      <c r="B1005" s="67">
        <v>39899795828</v>
      </c>
      <c r="C1005" s="72"/>
      <c r="D1005" s="69"/>
      <c r="E1005" s="9">
        <v>292</v>
      </c>
      <c r="F1005" s="25">
        <v>43168</v>
      </c>
      <c r="G1005" s="9" t="s">
        <v>3356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4861</v>
      </c>
      <c r="B1006" s="67">
        <v>37051448803</v>
      </c>
      <c r="C1006" s="72" t="s">
        <v>4862</v>
      </c>
      <c r="D1006" s="69">
        <v>22442223813</v>
      </c>
      <c r="E1006" s="9">
        <v>1489</v>
      </c>
      <c r="F1006" s="25">
        <v>43038</v>
      </c>
      <c r="G1006" s="70" t="s">
        <v>3356</v>
      </c>
      <c r="H1006" s="9"/>
      <c r="I1006" s="8"/>
      <c r="J1006" s="8"/>
      <c r="K1006" s="8"/>
      <c r="L1006" s="9" t="s">
        <v>3497</v>
      </c>
      <c r="M1006" s="8"/>
    </row>
    <row r="1007" spans="1:13">
      <c r="A1007" s="71" t="s">
        <v>4863</v>
      </c>
      <c r="B1007" s="67">
        <v>23154604847</v>
      </c>
      <c r="C1007" s="72"/>
      <c r="D1007" s="69"/>
      <c r="E1007" s="9"/>
      <c r="F1007" s="25"/>
      <c r="G1007" s="70"/>
      <c r="H1007" s="9"/>
      <c r="I1007" s="8"/>
      <c r="J1007" s="8"/>
      <c r="K1007" s="8"/>
      <c r="L1007" s="8"/>
      <c r="M1007" s="8"/>
    </row>
    <row r="1008" spans="1:13">
      <c r="A1008" s="73" t="s">
        <v>4864</v>
      </c>
      <c r="B1008" s="67">
        <v>50092450865</v>
      </c>
      <c r="C1008" s="72" t="s">
        <v>4865</v>
      </c>
      <c r="D1008" s="69">
        <v>34366320827</v>
      </c>
      <c r="E1008" s="9">
        <v>608</v>
      </c>
      <c r="F1008" s="25">
        <v>43012</v>
      </c>
      <c r="G1008" s="70" t="s">
        <v>3356</v>
      </c>
      <c r="H1008" s="9"/>
      <c r="I1008" s="8"/>
      <c r="J1008" s="8"/>
      <c r="K1008" s="8"/>
      <c r="L1008" s="8"/>
      <c r="M1008" s="8"/>
    </row>
    <row r="1009" spans="1:13">
      <c r="A1009" s="71" t="s">
        <v>4866</v>
      </c>
      <c r="B1009" s="67">
        <v>50861734858</v>
      </c>
      <c r="C1009" s="72"/>
      <c r="D1009" s="69"/>
      <c r="E1009" s="9">
        <v>292</v>
      </c>
      <c r="F1009" s="25">
        <v>43168</v>
      </c>
      <c r="G1009" s="9" t="s">
        <v>3356</v>
      </c>
      <c r="H1009" s="9"/>
      <c r="I1009" s="8"/>
      <c r="J1009" s="8"/>
      <c r="K1009" s="8"/>
      <c r="L1009" s="9">
        <v>318</v>
      </c>
      <c r="M1009" s="8"/>
    </row>
    <row r="1010" spans="1:13">
      <c r="A1010" s="71" t="s">
        <v>4867</v>
      </c>
      <c r="B1010" s="67">
        <v>39433646827</v>
      </c>
      <c r="C1010" s="72"/>
      <c r="D1010" s="69"/>
      <c r="E1010" s="9">
        <v>1570</v>
      </c>
      <c r="F1010" s="25">
        <v>43077</v>
      </c>
      <c r="G1010" s="9" t="s">
        <v>3356</v>
      </c>
      <c r="H1010" s="9"/>
      <c r="I1010" s="8"/>
      <c r="J1010" s="8"/>
      <c r="K1010" s="8"/>
      <c r="L1010" s="8"/>
      <c r="M1010" s="8"/>
    </row>
    <row r="1011" spans="1:13">
      <c r="A1011" s="15" t="s">
        <v>4868</v>
      </c>
      <c r="B1011" s="67">
        <v>32344204830</v>
      </c>
      <c r="C1011" s="72"/>
      <c r="D1011" s="69"/>
      <c r="E1011" s="9">
        <v>262</v>
      </c>
      <c r="F1011" s="25">
        <v>43160</v>
      </c>
      <c r="G1011" s="70" t="s">
        <v>3356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4869</v>
      </c>
      <c r="B1012" s="67">
        <v>36501110807</v>
      </c>
      <c r="C1012" s="72" t="s">
        <v>4870</v>
      </c>
      <c r="D1012" s="69">
        <v>36592467860</v>
      </c>
      <c r="E1012" s="9">
        <v>262</v>
      </c>
      <c r="F1012" s="25">
        <v>43160</v>
      </c>
      <c r="G1012" s="70" t="s">
        <v>3356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9" t="s">
        <v>4871</v>
      </c>
      <c r="B1013" s="67">
        <v>34470374822</v>
      </c>
      <c r="C1013" s="29" t="s">
        <v>4872</v>
      </c>
      <c r="D1013" s="69">
        <v>1154837130</v>
      </c>
      <c r="E1013" s="9"/>
      <c r="F1013" s="25"/>
      <c r="G1013" s="70"/>
      <c r="H1013" s="9"/>
      <c r="I1013" s="8"/>
      <c r="J1013" s="8"/>
      <c r="K1013" s="8"/>
      <c r="L1013" s="8"/>
      <c r="M1013" s="8"/>
    </row>
    <row r="1014" spans="1:13">
      <c r="A1014" s="73" t="s">
        <v>4873</v>
      </c>
      <c r="B1014" s="67">
        <v>40814125883</v>
      </c>
      <c r="C1014" s="72" t="s">
        <v>4874</v>
      </c>
      <c r="D1014" s="69">
        <v>27095684898</v>
      </c>
      <c r="E1014" s="9">
        <v>810</v>
      </c>
      <c r="F1014" s="25">
        <v>42915</v>
      </c>
      <c r="G1014" s="70" t="s">
        <v>3356</v>
      </c>
      <c r="H1014" s="9"/>
      <c r="I1014" s="8"/>
      <c r="J1014" s="8"/>
      <c r="K1014" s="8"/>
      <c r="L1014" s="9" t="s">
        <v>3475</v>
      </c>
      <c r="M1014" s="8"/>
    </row>
    <row r="1015" spans="1:13">
      <c r="A1015" s="71" t="s">
        <v>4875</v>
      </c>
      <c r="B1015" s="67">
        <v>376992883</v>
      </c>
      <c r="C1015" s="72"/>
      <c r="D1015" s="69"/>
      <c r="E1015" s="9"/>
      <c r="F1015" s="25"/>
      <c r="G1015" s="70"/>
      <c r="H1015" s="9"/>
      <c r="I1015" s="8"/>
      <c r="J1015" s="8"/>
      <c r="K1015" s="8"/>
      <c r="L1015" s="8"/>
      <c r="M1015" s="8"/>
    </row>
    <row r="1016" spans="1:13">
      <c r="A1016" s="71" t="s">
        <v>4876</v>
      </c>
      <c r="B1016" s="67">
        <v>30076615871</v>
      </c>
      <c r="C1016" s="72"/>
      <c r="D1016" s="69"/>
      <c r="E1016" s="9">
        <v>1214</v>
      </c>
      <c r="F1016" s="25">
        <v>42989</v>
      </c>
      <c r="G1016" s="70" t="s">
        <v>3356</v>
      </c>
      <c r="H1016" s="9"/>
      <c r="I1016" s="8"/>
      <c r="J1016" s="8"/>
      <c r="K1016" s="8"/>
      <c r="L1016" s="8"/>
      <c r="M1016" s="8"/>
    </row>
    <row r="1017" spans="1:13">
      <c r="A1017" s="71" t="s">
        <v>4877</v>
      </c>
      <c r="B1017" s="67">
        <v>54023351415</v>
      </c>
      <c r="C1017" s="72"/>
      <c r="D1017" s="69"/>
      <c r="E1017" s="9">
        <v>527</v>
      </c>
      <c r="F1017" s="25">
        <v>43210</v>
      </c>
      <c r="G1017" s="70"/>
      <c r="H1017" s="9"/>
      <c r="I1017" s="8"/>
      <c r="J1017" s="8"/>
      <c r="K1017" s="8"/>
      <c r="L1017" s="9">
        <v>528</v>
      </c>
      <c r="M1017" s="8"/>
    </row>
    <row r="1018" spans="1:13">
      <c r="A1018" s="29" t="s">
        <v>4878</v>
      </c>
      <c r="B1018" s="67"/>
      <c r="C1018" s="18" t="s">
        <v>3466</v>
      </c>
      <c r="D1018" s="69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9" t="s">
        <v>4879</v>
      </c>
      <c r="B1019" s="67">
        <v>26492754808</v>
      </c>
      <c r="C1019" s="9" t="s">
        <v>3466</v>
      </c>
      <c r="D1019" s="69"/>
      <c r="E1019" s="9"/>
      <c r="F1019" s="25"/>
      <c r="G1019" s="70"/>
      <c r="H1019" s="9"/>
      <c r="I1019" s="8"/>
      <c r="J1019" s="8"/>
      <c r="K1019" s="8"/>
      <c r="L1019" s="8"/>
      <c r="M1019" s="8"/>
    </row>
    <row r="1020" spans="1:13">
      <c r="A1020" s="71" t="s">
        <v>4880</v>
      </c>
      <c r="B1020" s="67">
        <v>526417595</v>
      </c>
      <c r="C1020" s="72" t="s">
        <v>4881</v>
      </c>
      <c r="D1020" s="69">
        <v>25810630847</v>
      </c>
      <c r="E1020" s="9">
        <v>262</v>
      </c>
      <c r="F1020" s="25">
        <v>43160</v>
      </c>
      <c r="G1020" s="9" t="s">
        <v>3356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71" t="s">
        <v>4882</v>
      </c>
      <c r="B1021" s="67">
        <v>26362064852</v>
      </c>
      <c r="C1021" s="77" t="s">
        <v>4883</v>
      </c>
      <c r="D1021" s="69">
        <v>34799615840</v>
      </c>
      <c r="E1021" s="9">
        <v>563</v>
      </c>
      <c r="F1021" s="25">
        <v>43217</v>
      </c>
      <c r="G1021" s="70"/>
      <c r="H1021" s="9"/>
      <c r="I1021" s="8"/>
      <c r="J1021" s="8"/>
      <c r="K1021" s="8"/>
      <c r="L1021" s="9" t="s">
        <v>3636</v>
      </c>
      <c r="M1021" s="8"/>
    </row>
    <row r="1022" spans="1:13">
      <c r="A1022" s="71" t="s">
        <v>4884</v>
      </c>
      <c r="B1022" s="67">
        <v>17339382810</v>
      </c>
      <c r="C1022" s="72"/>
      <c r="D1022" s="69"/>
      <c r="E1022" s="9">
        <v>1489</v>
      </c>
      <c r="F1022" s="25">
        <v>43038</v>
      </c>
      <c r="G1022" s="70" t="s">
        <v>3356</v>
      </c>
      <c r="H1022" s="9"/>
      <c r="I1022" s="8"/>
      <c r="J1022" s="8"/>
      <c r="K1022" s="8"/>
      <c r="L1022" s="9" t="s">
        <v>3497</v>
      </c>
      <c r="M1022" s="8"/>
    </row>
    <row r="1023" spans="1:13">
      <c r="A1023" s="71" t="s">
        <v>4885</v>
      </c>
      <c r="B1023" s="67">
        <v>30100618898</v>
      </c>
      <c r="C1023" s="72"/>
      <c r="D1023" s="69"/>
      <c r="E1023" s="9">
        <v>810</v>
      </c>
      <c r="F1023" s="25">
        <v>42915</v>
      </c>
      <c r="G1023" s="70" t="s">
        <v>3356</v>
      </c>
      <c r="H1023" s="9"/>
      <c r="I1023" s="8"/>
      <c r="J1023" s="8"/>
      <c r="K1023" s="8"/>
      <c r="L1023" s="9" t="s">
        <v>3475</v>
      </c>
      <c r="M1023" s="8"/>
    </row>
    <row r="1024" spans="1:13">
      <c r="A1024" s="71" t="s">
        <v>4886</v>
      </c>
      <c r="B1024" s="67">
        <v>58494278568</v>
      </c>
      <c r="C1024" s="72"/>
      <c r="D1024" s="69"/>
      <c r="E1024" s="9"/>
      <c r="F1024" s="25"/>
      <c r="G1024" s="70"/>
      <c r="H1024" s="9"/>
      <c r="I1024" s="8"/>
      <c r="J1024" s="8"/>
      <c r="K1024" s="8"/>
      <c r="L1024" s="8"/>
      <c r="M1024" s="8"/>
    </row>
    <row r="1025" spans="1:13">
      <c r="A1025" s="29" t="s">
        <v>4887</v>
      </c>
      <c r="B1025" s="67">
        <v>28473424867</v>
      </c>
      <c r="C1025" s="8"/>
      <c r="D1025" s="69"/>
      <c r="E1025" s="9"/>
      <c r="F1025" s="25"/>
      <c r="G1025" s="70"/>
      <c r="H1025" s="9"/>
      <c r="I1025" s="8"/>
      <c r="J1025" s="8"/>
      <c r="K1025" s="8"/>
      <c r="L1025" s="8"/>
      <c r="M1025" s="8"/>
    </row>
    <row r="1026" spans="1:13">
      <c r="A1026" s="14" t="s">
        <v>4888</v>
      </c>
      <c r="B1026" s="67">
        <v>41791708846</v>
      </c>
      <c r="C1026" s="72" t="s">
        <v>4889</v>
      </c>
      <c r="D1026" s="69">
        <v>41003253806</v>
      </c>
      <c r="E1026" s="9">
        <v>262</v>
      </c>
      <c r="F1026" s="25">
        <v>43160</v>
      </c>
      <c r="G1026" s="70" t="s">
        <v>3356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9" t="s">
        <v>4890</v>
      </c>
      <c r="B1027" s="67"/>
      <c r="C1027" s="29" t="s">
        <v>4891</v>
      </c>
      <c r="D1027" s="69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71" t="s">
        <v>4892</v>
      </c>
      <c r="B1028" s="67">
        <v>34575373800</v>
      </c>
      <c r="C1028" s="72" t="s">
        <v>4893</v>
      </c>
      <c r="D1028" s="69">
        <v>22427117846</v>
      </c>
      <c r="E1028" s="9">
        <v>1350</v>
      </c>
      <c r="F1028" s="25">
        <v>43006</v>
      </c>
      <c r="G1028" s="70" t="s">
        <v>3356</v>
      </c>
      <c r="H1028" s="9"/>
      <c r="I1028" s="8"/>
      <c r="J1028" s="8"/>
      <c r="K1028" s="8"/>
      <c r="L1028" s="8"/>
      <c r="M1028" s="8"/>
    </row>
    <row r="1029" spans="1:13">
      <c r="A1029" s="71" t="s">
        <v>4894</v>
      </c>
      <c r="B1029" s="67">
        <v>79215262334</v>
      </c>
      <c r="C1029" s="72" t="s">
        <v>4895</v>
      </c>
      <c r="D1029" s="69">
        <v>76370372315</v>
      </c>
      <c r="E1029" s="9">
        <v>1451</v>
      </c>
      <c r="F1029" s="25">
        <v>43027</v>
      </c>
      <c r="G1029" s="70" t="s">
        <v>3362</v>
      </c>
      <c r="H1029" s="9"/>
      <c r="I1029" s="8"/>
      <c r="J1029" s="8"/>
      <c r="K1029" s="8"/>
      <c r="L1029" s="8"/>
      <c r="M1029" s="8"/>
    </row>
    <row r="1030" spans="1:13">
      <c r="A1030" s="13" t="s">
        <v>4896</v>
      </c>
      <c r="B1030" s="67">
        <v>15208922843</v>
      </c>
      <c r="C1030" s="72" t="s">
        <v>4897</v>
      </c>
      <c r="D1030" s="69">
        <v>34068960810</v>
      </c>
      <c r="E1030" s="9">
        <v>229</v>
      </c>
      <c r="F1030" s="25">
        <v>43151</v>
      </c>
      <c r="G1030" s="70" t="s">
        <v>3370</v>
      </c>
      <c r="H1030" s="9"/>
      <c r="I1030" s="8"/>
      <c r="J1030" s="8"/>
      <c r="K1030" s="8"/>
      <c r="L1030" s="9">
        <v>232</v>
      </c>
      <c r="M1030" s="8"/>
    </row>
    <row r="1031" spans="1:13">
      <c r="A1031" s="71" t="s">
        <v>4898</v>
      </c>
      <c r="B1031" s="67">
        <v>16112511843</v>
      </c>
      <c r="C1031" s="72"/>
      <c r="D1031" s="69"/>
      <c r="E1031" s="9">
        <v>509</v>
      </c>
      <c r="F1031" s="25">
        <v>43203</v>
      </c>
      <c r="G1031" s="76"/>
      <c r="H1031" s="76">
        <v>43213</v>
      </c>
      <c r="I1031" s="8"/>
      <c r="J1031" s="8"/>
      <c r="K1031" s="8"/>
      <c r="L1031" s="8"/>
      <c r="M1031" s="8"/>
    </row>
    <row r="1032" spans="1:13">
      <c r="A1032" s="15" t="s">
        <v>4899</v>
      </c>
      <c r="B1032" s="67">
        <v>5117301870</v>
      </c>
      <c r="C1032" s="15"/>
      <c r="D1032" s="69"/>
      <c r="E1032" s="9"/>
      <c r="F1032" s="25"/>
      <c r="G1032" s="70"/>
      <c r="H1032" s="76">
        <v>43213</v>
      </c>
      <c r="I1032" s="8"/>
      <c r="J1032" s="8"/>
      <c r="K1032" s="8"/>
      <c r="L1032" s="8"/>
      <c r="M1032" s="8"/>
    </row>
    <row r="1033" spans="1:13">
      <c r="A1033" s="71" t="s">
        <v>4900</v>
      </c>
      <c r="B1033" s="67">
        <v>2090762322</v>
      </c>
      <c r="C1033" s="72"/>
      <c r="D1033" s="69"/>
      <c r="E1033" s="9">
        <v>1128</v>
      </c>
      <c r="F1033" s="25">
        <v>42972</v>
      </c>
      <c r="G1033" s="70" t="s">
        <v>3356</v>
      </c>
      <c r="H1033" s="76">
        <v>43213</v>
      </c>
      <c r="I1033" s="8"/>
      <c r="J1033" s="8"/>
      <c r="K1033" s="8"/>
      <c r="L1033" s="8"/>
      <c r="M1033" s="8"/>
    </row>
    <row r="1034" spans="1:13">
      <c r="A1034" s="71" t="s">
        <v>4901</v>
      </c>
      <c r="B1034" s="67">
        <v>40442540876</v>
      </c>
      <c r="C1034" s="72"/>
      <c r="D1034" s="69"/>
      <c r="E1034" s="9">
        <v>563</v>
      </c>
      <c r="F1034" s="25">
        <v>43217</v>
      </c>
      <c r="G1034" s="70"/>
      <c r="H1034" s="76">
        <v>43213</v>
      </c>
      <c r="I1034" s="8"/>
      <c r="J1034" s="8"/>
      <c r="K1034" s="8"/>
      <c r="L1034" s="9" t="s">
        <v>3636</v>
      </c>
      <c r="M1034" s="8"/>
    </row>
    <row r="1035" spans="1:13">
      <c r="A1035" s="71" t="s">
        <v>4902</v>
      </c>
      <c r="B1035" s="67">
        <v>4716989895</v>
      </c>
      <c r="C1035" s="72"/>
      <c r="D1035" s="69"/>
      <c r="E1035" s="9">
        <v>443</v>
      </c>
      <c r="F1035" s="25">
        <v>43188</v>
      </c>
      <c r="G1035" s="70"/>
      <c r="H1035" s="76">
        <v>43213</v>
      </c>
      <c r="I1035" s="8"/>
      <c r="J1035" s="8"/>
      <c r="K1035" s="8"/>
      <c r="L1035" s="8"/>
      <c r="M1035" s="8"/>
    </row>
    <row r="1036" spans="1:13">
      <c r="A1036" s="15" t="s">
        <v>4903</v>
      </c>
      <c r="B1036" s="67">
        <v>99570467304</v>
      </c>
      <c r="C1036" s="72" t="s">
        <v>4904</v>
      </c>
      <c r="D1036" s="69">
        <v>7702980877</v>
      </c>
      <c r="E1036" s="9">
        <v>229</v>
      </c>
      <c r="F1036" s="25">
        <v>43151</v>
      </c>
      <c r="G1036" s="70" t="s">
        <v>3356</v>
      </c>
      <c r="H1036" s="76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4905</v>
      </c>
      <c r="B1037" s="67">
        <v>18710956549</v>
      </c>
      <c r="C1037" s="72" t="s">
        <v>4906</v>
      </c>
      <c r="D1037" s="69">
        <v>85859141572</v>
      </c>
      <c r="E1037" s="9">
        <v>1417</v>
      </c>
      <c r="F1037" s="25">
        <v>43017</v>
      </c>
      <c r="G1037" s="70" t="s">
        <v>3356</v>
      </c>
      <c r="H1037" s="76">
        <v>43213</v>
      </c>
      <c r="I1037" s="8"/>
      <c r="J1037" s="8"/>
      <c r="K1037" s="8"/>
      <c r="L1037" s="9" t="s">
        <v>3590</v>
      </c>
      <c r="M1037" s="8"/>
    </row>
    <row r="1038" spans="1:13">
      <c r="A1038" s="71" t="s">
        <v>4907</v>
      </c>
      <c r="B1038" s="67">
        <v>23377582819</v>
      </c>
      <c r="C1038" s="72"/>
      <c r="D1038" s="69"/>
      <c r="E1038" s="9"/>
      <c r="F1038" s="25"/>
      <c r="G1038" s="70"/>
      <c r="H1038" s="76">
        <v>43213</v>
      </c>
      <c r="I1038" s="8"/>
      <c r="J1038" s="8"/>
      <c r="K1038" s="8"/>
      <c r="L1038" s="8"/>
      <c r="M1038" s="8"/>
    </row>
    <row r="1039" spans="1:13">
      <c r="A1039" s="18" t="s">
        <v>4908</v>
      </c>
      <c r="B1039" s="67">
        <v>42748662890</v>
      </c>
      <c r="C1039" s="18" t="s">
        <v>4909</v>
      </c>
      <c r="D1039" s="69">
        <v>9455052482</v>
      </c>
      <c r="E1039" s="9"/>
      <c r="F1039" s="25"/>
      <c r="G1039" s="70"/>
      <c r="H1039" s="76">
        <v>43213</v>
      </c>
      <c r="I1039" s="8"/>
      <c r="J1039" s="8"/>
      <c r="K1039" s="8"/>
      <c r="L1039" s="8"/>
      <c r="M1039" s="8"/>
    </row>
    <row r="1040" spans="1:13">
      <c r="A1040" s="15" t="s">
        <v>4910</v>
      </c>
      <c r="B1040" s="67">
        <v>19523839861</v>
      </c>
      <c r="C1040" s="72"/>
      <c r="D1040" s="69"/>
      <c r="E1040" s="9">
        <v>262</v>
      </c>
      <c r="F1040" s="25">
        <v>43160</v>
      </c>
      <c r="G1040" s="70" t="s">
        <v>3356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71" t="s">
        <v>4911</v>
      </c>
      <c r="B1041" s="67">
        <v>23367537829</v>
      </c>
      <c r="C1041" s="72" t="s">
        <v>4912</v>
      </c>
      <c r="D1041" s="69">
        <v>28648977843</v>
      </c>
      <c r="E1041" s="9"/>
      <c r="F1041" s="25"/>
      <c r="G1041" s="70"/>
      <c r="H1041" s="9"/>
      <c r="I1041" s="8"/>
      <c r="J1041" s="8"/>
      <c r="K1041" s="8"/>
      <c r="L1041" s="8"/>
      <c r="M1041" s="8"/>
    </row>
    <row r="1042" spans="1:13">
      <c r="A1042" s="71" t="s">
        <v>4913</v>
      </c>
      <c r="B1042" s="67">
        <v>26844429835</v>
      </c>
      <c r="C1042" s="72"/>
      <c r="D1042" s="69"/>
      <c r="E1042" s="9">
        <v>608</v>
      </c>
      <c r="F1042" s="25">
        <v>43012</v>
      </c>
      <c r="G1042" s="70" t="s">
        <v>3356</v>
      </c>
      <c r="H1042" s="9"/>
      <c r="I1042" s="8"/>
      <c r="J1042" s="8"/>
      <c r="K1042" s="8"/>
      <c r="L1042" s="8"/>
      <c r="M1042" s="8"/>
    </row>
    <row r="1043" spans="1:13">
      <c r="A1043" s="15" t="s">
        <v>4914</v>
      </c>
      <c r="B1043" s="67">
        <v>32201392803</v>
      </c>
      <c r="C1043" s="72"/>
      <c r="D1043" s="69"/>
      <c r="E1043" s="9">
        <v>443</v>
      </c>
      <c r="F1043" s="25">
        <v>43188</v>
      </c>
      <c r="G1043" s="70"/>
      <c r="H1043" s="9"/>
      <c r="I1043" s="8"/>
      <c r="J1043" s="8"/>
      <c r="K1043" s="8"/>
      <c r="L1043" s="8"/>
      <c r="M1043" s="8"/>
    </row>
    <row r="1044" spans="1:13">
      <c r="A1044" s="15" t="s">
        <v>4915</v>
      </c>
      <c r="B1044" s="67">
        <v>22078152854</v>
      </c>
      <c r="C1044" s="72"/>
      <c r="D1044" s="69"/>
      <c r="E1044" s="9">
        <v>262</v>
      </c>
      <c r="F1044" s="25">
        <v>43160</v>
      </c>
      <c r="G1044" s="70" t="s">
        <v>3356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71" t="s">
        <v>4916</v>
      </c>
      <c r="B1045" s="67">
        <v>35145273851</v>
      </c>
      <c r="C1045" s="72"/>
      <c r="D1045" s="69"/>
      <c r="E1045" s="9">
        <v>1752</v>
      </c>
      <c r="F1045" s="25">
        <v>43051</v>
      </c>
      <c r="G1045" s="70" t="s">
        <v>3356</v>
      </c>
      <c r="H1045" s="9"/>
      <c r="I1045" s="8"/>
      <c r="J1045" s="8"/>
      <c r="K1045" s="8"/>
      <c r="L1045" s="9">
        <v>1759</v>
      </c>
      <c r="M1045" s="8"/>
    </row>
    <row r="1046" spans="1:13">
      <c r="A1046" s="71" t="s">
        <v>4917</v>
      </c>
      <c r="B1046" s="67">
        <v>74603671415</v>
      </c>
      <c r="C1046" s="72" t="s">
        <v>4918</v>
      </c>
      <c r="D1046" s="69">
        <v>28040569885</v>
      </c>
      <c r="E1046" s="9">
        <v>1267</v>
      </c>
      <c r="F1046" s="25">
        <v>42998</v>
      </c>
      <c r="G1046" s="70" t="s">
        <v>3362</v>
      </c>
      <c r="H1046" s="9"/>
      <c r="I1046" s="8"/>
      <c r="J1046" s="8"/>
      <c r="K1046" s="8"/>
      <c r="L1046" s="8"/>
      <c r="M1046" s="8"/>
    </row>
    <row r="1047" spans="1:13">
      <c r="A1047" s="72" t="s">
        <v>4919</v>
      </c>
      <c r="B1047" s="67">
        <v>41590060865</v>
      </c>
      <c r="C1047" s="72" t="s">
        <v>4920</v>
      </c>
      <c r="D1047" s="69">
        <v>7785406693</v>
      </c>
      <c r="E1047" s="9"/>
      <c r="F1047" s="25"/>
      <c r="G1047" s="70"/>
      <c r="H1047" s="9"/>
      <c r="I1047" s="8"/>
      <c r="J1047" s="8"/>
      <c r="K1047" s="8"/>
      <c r="L1047" s="8"/>
      <c r="M1047" s="8"/>
    </row>
    <row r="1048" spans="1:13">
      <c r="A1048" s="71" t="s">
        <v>4921</v>
      </c>
      <c r="B1048" s="67">
        <v>35143134404</v>
      </c>
      <c r="C1048" s="72"/>
      <c r="D1048" s="69"/>
      <c r="E1048" s="9">
        <v>810</v>
      </c>
      <c r="F1048" s="25">
        <v>42915</v>
      </c>
      <c r="G1048" s="70" t="s">
        <v>3356</v>
      </c>
      <c r="H1048" s="9"/>
      <c r="I1048" s="8"/>
      <c r="J1048" s="8"/>
      <c r="K1048" s="8"/>
      <c r="L1048" s="9" t="s">
        <v>3475</v>
      </c>
      <c r="M1048" s="8"/>
    </row>
    <row r="1049" spans="1:13">
      <c r="A1049" s="13" t="s">
        <v>4922</v>
      </c>
      <c r="B1049" s="67">
        <v>35317818800</v>
      </c>
      <c r="C1049" s="68"/>
      <c r="D1049" s="69"/>
      <c r="E1049" s="9">
        <v>1128</v>
      </c>
      <c r="F1049" s="25">
        <v>42972</v>
      </c>
      <c r="G1049" s="70" t="s">
        <v>3356</v>
      </c>
      <c r="H1049" s="9"/>
      <c r="I1049" s="8"/>
      <c r="J1049" s="8"/>
      <c r="K1049" s="8"/>
      <c r="L1049" s="8"/>
      <c r="M1049" s="8"/>
    </row>
    <row r="1050" spans="1:13">
      <c r="A1050" s="71" t="s">
        <v>4923</v>
      </c>
      <c r="B1050" s="67">
        <v>35741867898</v>
      </c>
      <c r="C1050" s="72" t="s">
        <v>4924</v>
      </c>
      <c r="D1050" s="69">
        <v>85005045368</v>
      </c>
      <c r="E1050" s="9">
        <v>1824</v>
      </c>
      <c r="F1050" s="25">
        <v>43091</v>
      </c>
      <c r="G1050" s="70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4925</v>
      </c>
      <c r="B1051" s="67">
        <v>6903933859</v>
      </c>
      <c r="C1051" s="68"/>
      <c r="D1051" s="69"/>
      <c r="E1051" s="9"/>
      <c r="F1051" s="25"/>
      <c r="G1051" s="70"/>
      <c r="H1051" s="9"/>
      <c r="I1051" s="8"/>
      <c r="J1051" s="8"/>
      <c r="K1051" s="8"/>
      <c r="L1051" s="8"/>
      <c r="M1051" s="8"/>
    </row>
    <row r="1052" spans="1:13">
      <c r="A1052" s="71" t="s">
        <v>4926</v>
      </c>
      <c r="B1052" s="67">
        <v>32799691072</v>
      </c>
      <c r="C1052" s="72"/>
      <c r="D1052" s="69"/>
      <c r="E1052" s="9">
        <v>527</v>
      </c>
      <c r="F1052" s="25">
        <v>43210</v>
      </c>
      <c r="G1052" s="70"/>
      <c r="H1052" s="9"/>
      <c r="I1052" s="8"/>
      <c r="J1052" s="8"/>
      <c r="K1052" s="8"/>
      <c r="L1052" s="9">
        <v>528</v>
      </c>
      <c r="M1052" s="8"/>
    </row>
    <row r="1053" spans="1:13">
      <c r="A1053" s="71" t="s">
        <v>4927</v>
      </c>
      <c r="B1053" s="67">
        <v>27928359820</v>
      </c>
      <c r="C1053" s="72" t="s">
        <v>4928</v>
      </c>
      <c r="D1053" s="69">
        <v>61803766468</v>
      </c>
      <c r="E1053" s="9">
        <v>810</v>
      </c>
      <c r="F1053" s="25">
        <v>42915</v>
      </c>
      <c r="G1053" s="70" t="s">
        <v>3356</v>
      </c>
      <c r="H1053" s="9"/>
      <c r="I1053" s="8"/>
      <c r="J1053" s="8"/>
      <c r="K1053" s="8"/>
      <c r="L1053" s="9" t="s">
        <v>3475</v>
      </c>
      <c r="M1053" s="8"/>
    </row>
    <row r="1054" spans="1:13">
      <c r="A1054" s="71" t="s">
        <v>4929</v>
      </c>
      <c r="B1054" s="67">
        <v>29008764865</v>
      </c>
      <c r="C1054" s="72"/>
      <c r="D1054" s="69"/>
      <c r="E1054" s="9">
        <v>292</v>
      </c>
      <c r="F1054" s="25">
        <v>43168</v>
      </c>
      <c r="G1054" s="9" t="s">
        <v>3356</v>
      </c>
      <c r="H1054" s="9"/>
      <c r="I1054" s="8"/>
      <c r="J1054" s="8"/>
      <c r="K1054" s="8"/>
      <c r="L1054" s="9">
        <v>318</v>
      </c>
      <c r="M1054" s="8"/>
    </row>
    <row r="1055" spans="1:13">
      <c r="A1055" s="29" t="s">
        <v>831</v>
      </c>
      <c r="B1055" s="67">
        <v>59431920506</v>
      </c>
      <c r="C1055" s="18" t="s">
        <v>3466</v>
      </c>
      <c r="D1055" s="69"/>
      <c r="E1055" s="9"/>
      <c r="F1055" s="25"/>
      <c r="G1055" s="70"/>
      <c r="H1055" s="9"/>
      <c r="I1055" s="8"/>
      <c r="J1055" s="8"/>
      <c r="K1055" s="8"/>
      <c r="L1055" s="8"/>
      <c r="M1055" s="8"/>
    </row>
    <row r="1056" spans="1:13">
      <c r="A1056" s="13" t="s">
        <v>4930</v>
      </c>
      <c r="B1056" s="67">
        <v>10788957678</v>
      </c>
      <c r="C1056" s="68"/>
      <c r="D1056" s="69"/>
      <c r="E1056" s="9">
        <v>1128</v>
      </c>
      <c r="F1056" s="25">
        <v>42972</v>
      </c>
      <c r="G1056" s="70" t="s">
        <v>3356</v>
      </c>
      <c r="H1056" s="9"/>
      <c r="I1056" s="8"/>
      <c r="J1056" s="8"/>
      <c r="K1056" s="8"/>
      <c r="L1056" s="8"/>
      <c r="M1056" s="8"/>
    </row>
    <row r="1057" spans="1:13">
      <c r="A1057" s="71" t="s">
        <v>4931</v>
      </c>
      <c r="B1057" s="67" t="s">
        <v>4932</v>
      </c>
      <c r="C1057" s="73"/>
      <c r="D1057" s="69"/>
      <c r="E1057" s="9"/>
      <c r="F1057" s="25"/>
      <c r="G1057" s="70"/>
      <c r="H1057" s="9"/>
      <c r="I1057" s="8"/>
      <c r="J1057" s="8"/>
      <c r="K1057" s="8"/>
      <c r="L1057" s="8"/>
      <c r="M1057" s="8"/>
    </row>
    <row r="1058" spans="1:13">
      <c r="A1058" s="71" t="s">
        <v>4933</v>
      </c>
      <c r="B1058" s="67">
        <v>34366747880</v>
      </c>
      <c r="C1058" s="77" t="s">
        <v>4934</v>
      </c>
      <c r="D1058" s="69">
        <v>718973569</v>
      </c>
      <c r="E1058" s="9">
        <v>563</v>
      </c>
      <c r="F1058" s="25">
        <v>43217</v>
      </c>
      <c r="G1058" s="70"/>
      <c r="H1058" s="9"/>
      <c r="I1058" s="8"/>
      <c r="J1058" s="8"/>
      <c r="K1058" s="8"/>
      <c r="L1058" s="9" t="s">
        <v>3636</v>
      </c>
      <c r="M1058" s="8"/>
    </row>
    <row r="1059" spans="1:13">
      <c r="A1059" s="71" t="s">
        <v>4935</v>
      </c>
      <c r="B1059" s="67">
        <v>4170771575</v>
      </c>
      <c r="C1059" s="72"/>
      <c r="D1059" s="69"/>
      <c r="E1059" s="9">
        <v>1489</v>
      </c>
      <c r="F1059" s="25">
        <v>43038</v>
      </c>
      <c r="G1059" s="70" t="s">
        <v>3356</v>
      </c>
      <c r="H1059" s="9"/>
      <c r="I1059" s="8"/>
      <c r="J1059" s="8"/>
      <c r="K1059" s="8"/>
      <c r="L1059" s="9" t="s">
        <v>3497</v>
      </c>
      <c r="M1059" s="8"/>
    </row>
    <row r="1060" spans="1:13">
      <c r="A1060" s="14" t="s">
        <v>4936</v>
      </c>
      <c r="B1060" s="67">
        <v>48083873870</v>
      </c>
      <c r="C1060" s="72"/>
      <c r="D1060" s="69"/>
      <c r="E1060" s="9">
        <v>262</v>
      </c>
      <c r="F1060" s="25">
        <v>43160</v>
      </c>
      <c r="G1060" s="70" t="s">
        <v>3356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4937</v>
      </c>
      <c r="B1061" s="67">
        <v>19580560811</v>
      </c>
      <c r="C1061" s="68" t="s">
        <v>4938</v>
      </c>
      <c r="D1061" s="69">
        <v>28925414848</v>
      </c>
      <c r="E1061" s="9">
        <v>1359</v>
      </c>
      <c r="F1061" s="25">
        <v>43006</v>
      </c>
      <c r="G1061" s="70" t="s">
        <v>3362</v>
      </c>
      <c r="H1061" s="9"/>
      <c r="I1061" s="8"/>
      <c r="J1061" s="8"/>
      <c r="K1061" s="8"/>
      <c r="L1061" s="8"/>
      <c r="M1061" s="8"/>
    </row>
    <row r="1062" spans="1:13">
      <c r="A1062" s="29" t="s">
        <v>4939</v>
      </c>
      <c r="B1062" s="67">
        <v>34230472838</v>
      </c>
      <c r="C1062" s="9" t="s">
        <v>3466</v>
      </c>
      <c r="D1062" s="69"/>
      <c r="E1062" s="9"/>
      <c r="F1062" s="25"/>
      <c r="G1062" s="70"/>
      <c r="H1062" s="9"/>
      <c r="I1062" s="8"/>
      <c r="J1062" s="8"/>
      <c r="K1062" s="8"/>
      <c r="L1062" s="8"/>
      <c r="M1062" s="8"/>
    </row>
    <row r="1063" spans="1:13">
      <c r="A1063" s="71" t="s">
        <v>4940</v>
      </c>
      <c r="B1063" s="67">
        <v>31353431894</v>
      </c>
      <c r="C1063" s="77"/>
      <c r="D1063" s="69"/>
      <c r="E1063" s="9"/>
      <c r="F1063" s="25"/>
      <c r="G1063" s="70"/>
      <c r="H1063" s="9"/>
      <c r="I1063" s="8"/>
      <c r="J1063" s="8"/>
      <c r="K1063" s="8"/>
      <c r="L1063" s="8"/>
      <c r="M1063" s="8"/>
    </row>
    <row r="1064" spans="1:13">
      <c r="A1064" s="71" t="s">
        <v>4941</v>
      </c>
      <c r="B1064" s="67">
        <v>42398811883</v>
      </c>
      <c r="C1064" s="72" t="s">
        <v>4942</v>
      </c>
      <c r="D1064" s="69">
        <v>33876650836</v>
      </c>
      <c r="E1064" s="9">
        <v>117</v>
      </c>
      <c r="F1064" s="25">
        <v>43117</v>
      </c>
      <c r="G1064" s="70" t="s">
        <v>3362</v>
      </c>
      <c r="H1064" s="9"/>
      <c r="I1064" s="8"/>
      <c r="J1064" s="8"/>
      <c r="K1064" s="8"/>
      <c r="L1064" s="9" t="s">
        <v>3507</v>
      </c>
      <c r="M1064" s="8"/>
    </row>
    <row r="1065" spans="1:13">
      <c r="A1065" s="13" t="s">
        <v>4943</v>
      </c>
      <c r="B1065" s="67">
        <v>3876363829</v>
      </c>
      <c r="C1065" s="72" t="s">
        <v>4944</v>
      </c>
      <c r="D1065" s="69">
        <v>9491364847</v>
      </c>
      <c r="E1065" s="9">
        <v>1359</v>
      </c>
      <c r="F1065" s="25">
        <v>43006</v>
      </c>
      <c r="G1065" s="70" t="s">
        <v>3356</v>
      </c>
      <c r="H1065" s="9"/>
      <c r="I1065" s="8"/>
      <c r="J1065" s="8"/>
      <c r="K1065" s="8"/>
      <c r="L1065" s="8"/>
      <c r="M1065" s="8"/>
    </row>
    <row r="1066" spans="1:13">
      <c r="A1066" s="71" t="s">
        <v>4945</v>
      </c>
      <c r="B1066" s="67">
        <v>27340044884</v>
      </c>
      <c r="C1066" s="72" t="s">
        <v>4946</v>
      </c>
      <c r="D1066" s="69">
        <v>12555941878</v>
      </c>
      <c r="E1066" s="9"/>
      <c r="F1066" s="25"/>
      <c r="G1066" s="70"/>
      <c r="H1066" s="9"/>
      <c r="I1066" s="8"/>
      <c r="J1066" s="8"/>
      <c r="K1066" s="8"/>
      <c r="L1066" s="8"/>
      <c r="M1066" s="8"/>
    </row>
    <row r="1067" spans="1:13">
      <c r="A1067" s="15" t="s">
        <v>4947</v>
      </c>
      <c r="B1067" s="67">
        <v>5282573580</v>
      </c>
      <c r="C1067" s="72"/>
      <c r="D1067" s="69"/>
      <c r="E1067" s="9">
        <v>527</v>
      </c>
      <c r="F1067" s="25">
        <v>43210</v>
      </c>
      <c r="G1067" s="70"/>
      <c r="H1067" s="9"/>
      <c r="I1067" s="8"/>
      <c r="J1067" s="8"/>
      <c r="K1067" s="8"/>
      <c r="L1067" s="9">
        <v>528</v>
      </c>
      <c r="M1067" s="8"/>
    </row>
    <row r="1068" spans="1:13">
      <c r="A1068" s="73" t="s">
        <v>4948</v>
      </c>
      <c r="B1068" s="67">
        <v>38422303892</v>
      </c>
      <c r="C1068" s="72" t="s">
        <v>4949</v>
      </c>
      <c r="D1068" s="69">
        <v>33753889857</v>
      </c>
      <c r="E1068" s="9">
        <v>608</v>
      </c>
      <c r="F1068" s="25">
        <v>43012</v>
      </c>
      <c r="G1068" s="70" t="s">
        <v>3356</v>
      </c>
      <c r="H1068" s="9"/>
      <c r="I1068" s="8"/>
      <c r="J1068" s="8"/>
      <c r="K1068" s="8"/>
      <c r="L1068" s="8"/>
      <c r="M1068" s="8"/>
    </row>
    <row r="1069" spans="1:13">
      <c r="A1069" s="13" t="s">
        <v>4950</v>
      </c>
      <c r="B1069" s="67">
        <v>36171676837</v>
      </c>
      <c r="C1069" s="68" t="s">
        <v>4951</v>
      </c>
      <c r="D1069" s="69">
        <v>1470162580</v>
      </c>
      <c r="E1069" s="9">
        <v>1128</v>
      </c>
      <c r="F1069" s="25">
        <v>42972</v>
      </c>
      <c r="G1069" s="70" t="s">
        <v>3356</v>
      </c>
      <c r="H1069" s="9"/>
      <c r="I1069" s="8"/>
      <c r="J1069" s="8"/>
      <c r="K1069" s="8"/>
      <c r="L1069" s="8"/>
      <c r="M1069" s="8"/>
    </row>
    <row r="1070" spans="1:13">
      <c r="A1070" s="14" t="s">
        <v>4952</v>
      </c>
      <c r="B1070" s="67">
        <v>42047014859</v>
      </c>
      <c r="C1070" s="72" t="s">
        <v>4953</v>
      </c>
      <c r="D1070" s="69">
        <v>9300065424</v>
      </c>
      <c r="E1070" s="9">
        <v>1417</v>
      </c>
      <c r="F1070" s="25">
        <v>43017</v>
      </c>
      <c r="G1070" s="70" t="s">
        <v>3362</v>
      </c>
      <c r="H1070" s="9"/>
      <c r="I1070" s="8"/>
      <c r="J1070" s="8"/>
      <c r="K1070" s="8"/>
      <c r="L1070" s="9" t="s">
        <v>3590</v>
      </c>
      <c r="M1070" s="8"/>
    </row>
    <row r="1071" spans="1:13">
      <c r="A1071" s="29" t="s">
        <v>4954</v>
      </c>
      <c r="B1071" s="67">
        <v>34822545830</v>
      </c>
      <c r="C1071" s="18" t="s">
        <v>3466</v>
      </c>
      <c r="D1071" s="69"/>
      <c r="E1071" s="9"/>
      <c r="F1071" s="25"/>
      <c r="G1071" s="70"/>
      <c r="H1071" s="9"/>
      <c r="I1071" s="8"/>
      <c r="J1071" s="8"/>
      <c r="K1071" s="8"/>
      <c r="L1071" s="8"/>
      <c r="M1071" s="8"/>
    </row>
    <row r="1072" spans="1:13">
      <c r="A1072" s="14" t="s">
        <v>4955</v>
      </c>
      <c r="B1072" s="67">
        <v>33014247839</v>
      </c>
      <c r="C1072" s="72"/>
      <c r="D1072" s="69"/>
      <c r="E1072" s="9"/>
      <c r="F1072" s="25"/>
      <c r="G1072" s="70"/>
      <c r="H1072" s="9"/>
      <c r="I1072" s="8"/>
      <c r="J1072" s="8"/>
      <c r="K1072" s="8"/>
      <c r="L1072" s="8"/>
      <c r="M1072" s="8"/>
    </row>
    <row r="1073" spans="1:13">
      <c r="A1073" s="71" t="s">
        <v>4956</v>
      </c>
      <c r="B1073" s="67">
        <v>26844627807</v>
      </c>
      <c r="C1073" s="72"/>
      <c r="D1073" s="69"/>
      <c r="E1073" s="9">
        <v>608</v>
      </c>
      <c r="F1073" s="25">
        <v>43012</v>
      </c>
      <c r="G1073" s="70" t="s">
        <v>3356</v>
      </c>
      <c r="H1073" s="9"/>
      <c r="I1073" s="8"/>
      <c r="J1073" s="8"/>
      <c r="K1073" s="8"/>
      <c r="L1073" s="8"/>
      <c r="M1073" s="8"/>
    </row>
    <row r="1074" spans="1:13">
      <c r="A1074" s="71" t="s">
        <v>4957</v>
      </c>
      <c r="B1074" s="67">
        <v>1737249308</v>
      </c>
      <c r="C1074" s="72" t="s">
        <v>4958</v>
      </c>
      <c r="D1074" s="69">
        <v>31936321807</v>
      </c>
      <c r="E1074" s="9"/>
      <c r="F1074" s="25"/>
      <c r="G1074" s="70"/>
      <c r="H1074" s="9"/>
      <c r="I1074" s="8"/>
      <c r="J1074" s="8"/>
      <c r="K1074" s="8"/>
      <c r="L1074" s="8"/>
      <c r="M1074" s="8"/>
    </row>
    <row r="1075" spans="1:13">
      <c r="A1075" s="71" t="s">
        <v>4959</v>
      </c>
      <c r="B1075" s="67">
        <v>3844142576</v>
      </c>
      <c r="C1075" s="72" t="s">
        <v>4960</v>
      </c>
      <c r="D1075" s="69">
        <v>35502503801</v>
      </c>
      <c r="E1075" s="9">
        <v>810</v>
      </c>
      <c r="F1075" s="25">
        <v>42915</v>
      </c>
      <c r="G1075" s="70" t="s">
        <v>3356</v>
      </c>
      <c r="H1075" s="9"/>
      <c r="I1075" s="8"/>
      <c r="J1075" s="8"/>
      <c r="K1075" s="8"/>
      <c r="L1075" s="9" t="s">
        <v>3475</v>
      </c>
      <c r="M1075" s="8"/>
    </row>
    <row r="1076" spans="1:13">
      <c r="A1076" s="71" t="s">
        <v>4961</v>
      </c>
      <c r="B1076" s="67">
        <v>36588472803</v>
      </c>
      <c r="C1076" s="72"/>
      <c r="D1076" s="69"/>
      <c r="E1076" s="9"/>
      <c r="F1076" s="25"/>
      <c r="G1076" s="70"/>
      <c r="H1076" s="9"/>
      <c r="I1076" s="8"/>
      <c r="J1076" s="8"/>
      <c r="K1076" s="8"/>
      <c r="L1076" s="8"/>
      <c r="M1076" s="8"/>
    </row>
    <row r="1077" spans="1:13">
      <c r="A1077" s="13" t="s">
        <v>4962</v>
      </c>
      <c r="B1077" s="67">
        <v>3790378402</v>
      </c>
      <c r="C1077" s="68"/>
      <c r="D1077" s="69"/>
      <c r="E1077" s="9">
        <v>1128</v>
      </c>
      <c r="F1077" s="25">
        <v>42972</v>
      </c>
      <c r="G1077" s="70" t="s">
        <v>3356</v>
      </c>
      <c r="H1077" s="9"/>
      <c r="I1077" s="8"/>
      <c r="J1077" s="8"/>
      <c r="K1077" s="8"/>
      <c r="L1077" s="8"/>
      <c r="M1077" s="8"/>
    </row>
    <row r="1078" spans="1:13">
      <c r="A1078" s="30" t="s">
        <v>4963</v>
      </c>
      <c r="B1078" s="67">
        <v>5864113565</v>
      </c>
      <c r="C1078" s="72"/>
      <c r="D1078" s="69"/>
      <c r="E1078" s="9"/>
      <c r="F1078" s="25"/>
      <c r="G1078" s="70"/>
      <c r="H1078" s="9"/>
      <c r="I1078" s="8"/>
      <c r="J1078" s="8"/>
      <c r="K1078" s="8"/>
      <c r="L1078" s="8"/>
      <c r="M1078" s="8"/>
    </row>
    <row r="1079" spans="1:13">
      <c r="A1079" s="71" t="s">
        <v>4964</v>
      </c>
      <c r="B1079" s="67">
        <v>34853166874</v>
      </c>
      <c r="C1079" s="72"/>
      <c r="D1079" s="69"/>
      <c r="E1079" s="9">
        <v>117</v>
      </c>
      <c r="F1079" s="25">
        <v>43117</v>
      </c>
      <c r="G1079" s="70" t="s">
        <v>3356</v>
      </c>
      <c r="H1079" s="9"/>
      <c r="I1079" s="8"/>
      <c r="J1079" s="8"/>
      <c r="K1079" s="8"/>
      <c r="L1079" s="9" t="s">
        <v>3507</v>
      </c>
      <c r="M1079" s="8"/>
    </row>
    <row r="1080" spans="1:13">
      <c r="A1080" s="18" t="s">
        <v>4965</v>
      </c>
      <c r="B1080" s="67">
        <v>35794263890</v>
      </c>
      <c r="C1080" s="18"/>
      <c r="D1080" s="69"/>
      <c r="E1080" s="9"/>
      <c r="F1080" s="25"/>
      <c r="G1080" s="70"/>
      <c r="H1080" s="9"/>
      <c r="I1080" s="8"/>
      <c r="J1080" s="8"/>
      <c r="K1080" s="8"/>
      <c r="L1080" s="8"/>
      <c r="M1080" s="8"/>
    </row>
    <row r="1081" spans="1:13">
      <c r="A1081" s="15" t="s">
        <v>4966</v>
      </c>
      <c r="B1081" s="67">
        <v>44410556843</v>
      </c>
      <c r="C1081" s="72" t="s">
        <v>4967</v>
      </c>
      <c r="D1081" s="69">
        <v>39436457898</v>
      </c>
      <c r="E1081" s="9">
        <v>262</v>
      </c>
      <c r="F1081" s="25">
        <v>43160</v>
      </c>
      <c r="G1081" s="70" t="s">
        <v>3356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72" t="s">
        <v>4968</v>
      </c>
      <c r="B1082" s="67">
        <v>36357540803</v>
      </c>
      <c r="C1082" s="72"/>
      <c r="D1082" s="69"/>
      <c r="E1082" s="9">
        <v>292</v>
      </c>
      <c r="F1082" s="25">
        <v>43168</v>
      </c>
      <c r="G1082" s="9" t="s">
        <v>3356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4969</v>
      </c>
      <c r="B1083" s="67">
        <v>29089297839</v>
      </c>
      <c r="C1083" s="72"/>
      <c r="D1083" s="69"/>
      <c r="E1083" s="9"/>
      <c r="F1083" s="25"/>
      <c r="G1083" s="70"/>
      <c r="H1083" s="9"/>
      <c r="I1083" s="8"/>
      <c r="J1083" s="8"/>
      <c r="K1083" s="8"/>
      <c r="L1083" s="8"/>
      <c r="M1083" s="8"/>
    </row>
    <row r="1084" spans="1:13">
      <c r="A1084" s="72" t="s">
        <v>4970</v>
      </c>
      <c r="B1084" s="67">
        <v>7838810884</v>
      </c>
      <c r="C1084" s="72" t="s">
        <v>4971</v>
      </c>
      <c r="D1084" s="69">
        <v>49312413449</v>
      </c>
      <c r="E1084" s="9">
        <v>573</v>
      </c>
      <c r="F1084" s="25">
        <v>43224</v>
      </c>
      <c r="G1084" s="70"/>
      <c r="H1084" s="9"/>
      <c r="I1084" s="8"/>
      <c r="J1084" s="8"/>
      <c r="K1084" s="8"/>
      <c r="L1084" s="8"/>
      <c r="M1084" s="8"/>
    </row>
    <row r="1085" spans="1:13">
      <c r="A1085" s="15" t="s">
        <v>4972</v>
      </c>
      <c r="B1085" s="67">
        <v>30707658829</v>
      </c>
      <c r="C1085" s="72"/>
      <c r="D1085" s="69"/>
      <c r="E1085" s="9">
        <v>423</v>
      </c>
      <c r="F1085" s="25">
        <v>43182</v>
      </c>
      <c r="G1085" s="70" t="s">
        <v>3356</v>
      </c>
      <c r="H1085" s="9"/>
      <c r="I1085" s="8"/>
      <c r="J1085" s="8"/>
      <c r="K1085" s="8"/>
      <c r="L1085" s="8"/>
      <c r="M1085" s="8"/>
    </row>
    <row r="1086" spans="1:13">
      <c r="A1086" s="73" t="s">
        <v>4973</v>
      </c>
      <c r="B1086" s="67">
        <v>18239878857</v>
      </c>
      <c r="C1086" s="72" t="s">
        <v>4974</v>
      </c>
      <c r="D1086" s="69">
        <v>18871709870</v>
      </c>
      <c r="E1086" s="9">
        <v>85</v>
      </c>
      <c r="F1086" s="25">
        <v>43109</v>
      </c>
      <c r="G1086" s="70" t="s">
        <v>3356</v>
      </c>
      <c r="H1086" s="25">
        <v>43151</v>
      </c>
      <c r="I1086" s="8"/>
      <c r="J1086" s="8"/>
      <c r="K1086" s="8"/>
      <c r="L1086" s="8"/>
      <c r="M1086" s="8"/>
    </row>
    <row r="1087" spans="1:13">
      <c r="A1087" s="29" t="s">
        <v>4975</v>
      </c>
      <c r="B1087" s="67">
        <v>33213821802</v>
      </c>
      <c r="C1087" s="18" t="s">
        <v>3466</v>
      </c>
      <c r="D1087" s="69"/>
      <c r="E1087" s="9"/>
      <c r="F1087" s="25"/>
      <c r="G1087" s="70"/>
      <c r="H1087" s="9"/>
      <c r="I1087" s="8"/>
      <c r="J1087" s="8"/>
      <c r="K1087" s="8"/>
      <c r="L1087" s="8"/>
      <c r="M1087" s="8"/>
    </row>
    <row r="1088" spans="1:13">
      <c r="A1088" s="71" t="s">
        <v>4976</v>
      </c>
      <c r="B1088" s="67">
        <v>39075719833</v>
      </c>
      <c r="C1088" s="72" t="s">
        <v>4977</v>
      </c>
      <c r="D1088" s="69">
        <v>29754975809</v>
      </c>
      <c r="E1088" s="9">
        <v>810</v>
      </c>
      <c r="F1088" s="25">
        <v>42915</v>
      </c>
      <c r="G1088" s="70" t="s">
        <v>3362</v>
      </c>
      <c r="H1088" s="9"/>
      <c r="I1088" s="8"/>
      <c r="J1088" s="8"/>
      <c r="K1088" s="8"/>
      <c r="L1088" s="9" t="s">
        <v>3475</v>
      </c>
      <c r="M1088" s="8"/>
    </row>
    <row r="1089" spans="1:13">
      <c r="A1089" s="71" t="s">
        <v>4978</v>
      </c>
      <c r="B1089" s="67">
        <v>22599824842</v>
      </c>
      <c r="C1089" s="73" t="s">
        <v>4979</v>
      </c>
      <c r="D1089" s="69" t="s">
        <v>4980</v>
      </c>
      <c r="E1089" s="9">
        <v>573</v>
      </c>
      <c r="F1089" s="25">
        <v>43224</v>
      </c>
      <c r="G1089" s="70"/>
      <c r="H1089" s="9"/>
      <c r="I1089" s="8"/>
      <c r="J1089" s="8"/>
      <c r="K1089" s="8"/>
      <c r="L1089" s="8"/>
      <c r="M1089" s="8"/>
    </row>
    <row r="1090" spans="1:13">
      <c r="A1090" s="71" t="s">
        <v>4981</v>
      </c>
      <c r="B1090" s="67">
        <v>41719739889</v>
      </c>
      <c r="C1090" s="72" t="s">
        <v>4982</v>
      </c>
      <c r="D1090" s="69">
        <v>35883252800</v>
      </c>
      <c r="E1090" s="9">
        <v>1752</v>
      </c>
      <c r="F1090" s="25">
        <v>43051</v>
      </c>
      <c r="G1090" s="70" t="s">
        <v>3356</v>
      </c>
      <c r="H1090" s="9"/>
      <c r="I1090" s="8"/>
      <c r="J1090" s="8"/>
      <c r="K1090" s="8"/>
      <c r="L1090" s="9">
        <v>1759</v>
      </c>
      <c r="M1090" s="8"/>
    </row>
    <row r="1091" spans="1:13">
      <c r="A1091" s="72" t="s">
        <v>4983</v>
      </c>
      <c r="B1091" s="67">
        <v>31524778800</v>
      </c>
      <c r="C1091" s="72" t="s">
        <v>4984</v>
      </c>
      <c r="D1091" s="69">
        <v>7322672852</v>
      </c>
      <c r="E1091" s="9"/>
      <c r="F1091" s="25"/>
      <c r="G1091" s="70"/>
      <c r="H1091" s="9"/>
      <c r="I1091" s="8"/>
      <c r="J1091" s="8"/>
      <c r="K1091" s="8"/>
      <c r="L1091" s="8"/>
      <c r="M1091" s="8"/>
    </row>
    <row r="1092" spans="1:13">
      <c r="A1092" s="15" t="s">
        <v>4985</v>
      </c>
      <c r="B1092" s="67">
        <v>44807003828</v>
      </c>
      <c r="C1092" s="72"/>
      <c r="D1092" s="69"/>
      <c r="E1092" s="9"/>
      <c r="F1092" s="25"/>
      <c r="G1092" s="70"/>
      <c r="H1092" s="9"/>
      <c r="I1092" s="8"/>
      <c r="J1092" s="8"/>
      <c r="K1092" s="8"/>
      <c r="L1092" s="8"/>
      <c r="M1092" s="8"/>
    </row>
    <row r="1093" spans="1:13">
      <c r="A1093" s="18" t="s">
        <v>4986</v>
      </c>
      <c r="B1093" s="67"/>
      <c r="C1093" s="18"/>
      <c r="D1093" s="69"/>
      <c r="E1093" s="9"/>
      <c r="F1093" s="25"/>
      <c r="G1093" s="70"/>
      <c r="H1093" s="9"/>
      <c r="I1093" s="8"/>
      <c r="J1093" s="8"/>
      <c r="K1093" s="8"/>
      <c r="L1093" s="8"/>
      <c r="M1093" s="8"/>
    </row>
    <row r="1094" spans="1:13">
      <c r="A1094" s="71" t="s">
        <v>4987</v>
      </c>
      <c r="B1094" s="67">
        <v>6614830376</v>
      </c>
      <c r="C1094" s="72" t="s">
        <v>4988</v>
      </c>
      <c r="D1094" s="69">
        <v>6372277352</v>
      </c>
      <c r="E1094" s="9">
        <v>229</v>
      </c>
      <c r="F1094" s="25">
        <v>43151</v>
      </c>
      <c r="G1094" s="70" t="s">
        <v>3356</v>
      </c>
      <c r="H1094" s="9"/>
      <c r="I1094" s="8"/>
      <c r="J1094" s="8"/>
      <c r="K1094" s="8"/>
      <c r="L1094" s="9">
        <v>232</v>
      </c>
      <c r="M1094" s="8"/>
    </row>
    <row r="1095" spans="1:13">
      <c r="A1095" s="71" t="s">
        <v>4989</v>
      </c>
      <c r="B1095" s="67">
        <v>44518229800</v>
      </c>
      <c r="C1095" s="72"/>
      <c r="D1095" s="69"/>
      <c r="E1095" s="9"/>
      <c r="F1095" s="25"/>
      <c r="G1095" s="70"/>
      <c r="H1095" s="9"/>
      <c r="I1095" s="8"/>
      <c r="J1095" s="8"/>
      <c r="K1095" s="8"/>
      <c r="L1095" s="8"/>
      <c r="M1095" s="8"/>
    </row>
    <row r="1096" spans="1:13">
      <c r="A1096" s="71" t="s">
        <v>4990</v>
      </c>
      <c r="B1096" s="67">
        <v>36382134805</v>
      </c>
      <c r="C1096" s="72"/>
      <c r="D1096" s="69"/>
      <c r="E1096" s="9">
        <v>1359</v>
      </c>
      <c r="F1096" s="25">
        <v>43006</v>
      </c>
      <c r="G1096" s="70" t="s">
        <v>3356</v>
      </c>
      <c r="H1096" s="9"/>
      <c r="I1096" s="8"/>
      <c r="J1096" s="8"/>
      <c r="K1096" s="8"/>
      <c r="L1096" s="8"/>
      <c r="M1096" s="8"/>
    </row>
    <row r="1097" spans="1:13">
      <c r="A1097" s="71" t="s">
        <v>4991</v>
      </c>
      <c r="B1097" s="67">
        <v>25670732804</v>
      </c>
      <c r="C1097" s="72"/>
      <c r="D1097" s="69"/>
      <c r="E1097" s="9"/>
      <c r="F1097" s="25"/>
      <c r="G1097" s="70"/>
      <c r="H1097" s="9"/>
      <c r="I1097" s="8"/>
      <c r="J1097" s="8"/>
      <c r="K1097" s="8"/>
      <c r="L1097" s="8"/>
      <c r="M1097" s="8"/>
    </row>
    <row r="1098" spans="1:13">
      <c r="A1098" s="15" t="s">
        <v>4992</v>
      </c>
      <c r="B1098" s="67">
        <v>98438107591</v>
      </c>
      <c r="C1098" s="72"/>
      <c r="D1098" s="69"/>
      <c r="E1098" s="9">
        <v>85</v>
      </c>
      <c r="F1098" s="25">
        <v>43109</v>
      </c>
      <c r="G1098" s="70" t="s">
        <v>3356</v>
      </c>
      <c r="H1098" s="25">
        <v>43151</v>
      </c>
      <c r="I1098" s="8"/>
      <c r="J1098" s="8"/>
      <c r="K1098" s="8"/>
      <c r="L1098" s="8"/>
      <c r="M1098" s="8"/>
    </row>
    <row r="1099" spans="1:13">
      <c r="A1099" s="29" t="s">
        <v>4993</v>
      </c>
      <c r="B1099" s="67">
        <v>23047254818</v>
      </c>
      <c r="C1099" s="18" t="s">
        <v>3466</v>
      </c>
      <c r="D1099" s="69"/>
      <c r="E1099" s="9"/>
      <c r="F1099" s="25"/>
      <c r="G1099" s="70"/>
      <c r="H1099" s="9"/>
      <c r="I1099" s="8"/>
      <c r="J1099" s="8"/>
      <c r="K1099" s="8"/>
      <c r="L1099" s="8"/>
      <c r="M1099" s="8"/>
    </row>
    <row r="1100" spans="1:13">
      <c r="A1100" s="72" t="s">
        <v>4994</v>
      </c>
      <c r="B1100" s="69">
        <v>15755371504</v>
      </c>
      <c r="C1100" s="71" t="s">
        <v>4995</v>
      </c>
      <c r="D1100" s="67">
        <v>14596377553</v>
      </c>
      <c r="E1100" s="9"/>
      <c r="F1100" s="25"/>
      <c r="G1100" s="70"/>
      <c r="H1100" s="9"/>
      <c r="I1100" s="8"/>
      <c r="J1100" s="8"/>
      <c r="K1100" s="8"/>
      <c r="L1100" s="8"/>
      <c r="M1100" s="8"/>
    </row>
    <row r="1101" spans="1:13">
      <c r="A1101" s="29" t="s">
        <v>4996</v>
      </c>
      <c r="B1101" s="67"/>
      <c r="C1101" s="29" t="s">
        <v>3466</v>
      </c>
      <c r="D1101" s="69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73" t="s">
        <v>4997</v>
      </c>
      <c r="B1102" s="67">
        <v>37975016845</v>
      </c>
      <c r="C1102" s="72" t="s">
        <v>4998</v>
      </c>
      <c r="D1102" s="69">
        <v>31274964865</v>
      </c>
      <c r="E1102" s="9">
        <v>810</v>
      </c>
      <c r="F1102" s="25">
        <v>42915</v>
      </c>
      <c r="G1102" s="70" t="s">
        <v>3356</v>
      </c>
      <c r="H1102" s="9"/>
      <c r="I1102" s="8"/>
      <c r="J1102" s="8"/>
      <c r="K1102" s="8"/>
      <c r="L1102" s="9" t="s">
        <v>3475</v>
      </c>
      <c r="M1102" s="8"/>
    </row>
    <row r="1103" spans="1:13">
      <c r="A1103" s="71" t="s">
        <v>4999</v>
      </c>
      <c r="B1103" s="67">
        <v>40964976811</v>
      </c>
      <c r="C1103" s="72"/>
      <c r="D1103" s="69"/>
      <c r="E1103" s="9">
        <v>573</v>
      </c>
      <c r="F1103" s="25">
        <v>43224</v>
      </c>
      <c r="G1103" s="70"/>
      <c r="H1103" s="9"/>
      <c r="I1103" s="8"/>
      <c r="J1103" s="8"/>
      <c r="K1103" s="8"/>
      <c r="L1103" s="8"/>
      <c r="M1103" s="8"/>
    </row>
    <row r="1104" spans="1:13">
      <c r="A1104" s="15" t="s">
        <v>5000</v>
      </c>
      <c r="B1104" s="67">
        <v>28077257836</v>
      </c>
      <c r="C1104" s="72"/>
      <c r="D1104" s="69"/>
      <c r="E1104" s="9"/>
      <c r="F1104" s="25"/>
      <c r="G1104" s="70"/>
      <c r="H1104" s="9"/>
      <c r="I1104" s="8"/>
      <c r="J1104" s="8"/>
      <c r="K1104" s="8"/>
      <c r="L1104" s="8"/>
      <c r="M1104" s="8"/>
    </row>
    <row r="1105" spans="1:13">
      <c r="A1105" s="71" t="s">
        <v>5001</v>
      </c>
      <c r="B1105" s="67">
        <v>16130607857</v>
      </c>
      <c r="C1105" s="72"/>
      <c r="D1105" s="69"/>
      <c r="E1105" s="9">
        <v>117</v>
      </c>
      <c r="F1105" s="25">
        <v>43117</v>
      </c>
      <c r="G1105" s="70" t="s">
        <v>3356</v>
      </c>
      <c r="H1105" s="9"/>
      <c r="I1105" s="8"/>
      <c r="J1105" s="8"/>
      <c r="K1105" s="8"/>
      <c r="L1105" s="9" t="s">
        <v>3507</v>
      </c>
      <c r="M1105" s="8"/>
    </row>
    <row r="1106" spans="1:13">
      <c r="A1106" s="14" t="s">
        <v>5002</v>
      </c>
      <c r="B1106" s="67">
        <v>27747323875</v>
      </c>
      <c r="C1106" s="72"/>
      <c r="D1106" s="69"/>
      <c r="E1106" s="9">
        <v>262</v>
      </c>
      <c r="F1106" s="25">
        <v>43160</v>
      </c>
      <c r="G1106" s="70" t="s">
        <v>3356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5003</v>
      </c>
      <c r="B1107" s="67">
        <v>46889759885</v>
      </c>
      <c r="C1107" s="72"/>
      <c r="D1107" s="69"/>
      <c r="E1107" s="9"/>
      <c r="F1107" s="25"/>
      <c r="G1107" s="70"/>
      <c r="H1107" s="9"/>
      <c r="I1107" s="8"/>
      <c r="J1107" s="8"/>
      <c r="K1107" s="8"/>
      <c r="L1107" s="8"/>
      <c r="M1107" s="8"/>
    </row>
    <row r="1108" spans="1:13">
      <c r="A1108" s="71" t="s">
        <v>5004</v>
      </c>
      <c r="B1108" s="67">
        <v>22833429886</v>
      </c>
      <c r="C1108" s="72"/>
      <c r="D1108" s="69"/>
      <c r="E1108" s="9">
        <v>1752</v>
      </c>
      <c r="F1108" s="25">
        <v>43051</v>
      </c>
      <c r="G1108" s="83" t="s">
        <v>3356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5005</v>
      </c>
      <c r="B1109" s="67">
        <v>15957110582</v>
      </c>
      <c r="C1109" s="87"/>
      <c r="D1109" s="69"/>
      <c r="E1109" s="9"/>
      <c r="F1109" s="25"/>
      <c r="G1109" s="70"/>
      <c r="H1109" s="9"/>
      <c r="I1109" s="8"/>
      <c r="J1109" s="8"/>
      <c r="K1109" s="8"/>
      <c r="L1109" s="8"/>
      <c r="M1109" s="8"/>
    </row>
    <row r="1110" spans="1:13">
      <c r="A1110" s="18" t="s">
        <v>5006</v>
      </c>
      <c r="B1110" s="67">
        <v>14913495810</v>
      </c>
      <c r="C1110" s="18"/>
      <c r="D1110" s="69"/>
      <c r="E1110" s="9"/>
      <c r="F1110" s="25"/>
      <c r="G1110" s="70"/>
      <c r="H1110" s="9"/>
      <c r="I1110" s="8"/>
      <c r="J1110" s="8"/>
      <c r="K1110" s="8"/>
      <c r="L1110" s="8"/>
      <c r="M1110" s="8"/>
    </row>
    <row r="1111" spans="1:13">
      <c r="A1111" s="71" t="s">
        <v>5007</v>
      </c>
      <c r="B1111" s="67">
        <v>7604072828</v>
      </c>
      <c r="C1111" s="72"/>
      <c r="D1111" s="69"/>
      <c r="E1111" s="9">
        <v>262</v>
      </c>
      <c r="F1111" s="25">
        <v>43160</v>
      </c>
      <c r="G1111" s="9" t="s">
        <v>3356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9" t="s">
        <v>5008</v>
      </c>
      <c r="B1112" s="67"/>
      <c r="C1112" s="29" t="s">
        <v>5009</v>
      </c>
      <c r="D1112" s="69"/>
      <c r="E1112" s="9"/>
      <c r="F1112" s="25"/>
      <c r="G1112" s="70"/>
      <c r="H1112" s="9"/>
      <c r="I1112" s="8"/>
      <c r="J1112" s="8"/>
      <c r="K1112" s="8"/>
      <c r="L1112" s="8"/>
      <c r="M1112" s="8"/>
    </row>
    <row r="1113" spans="1:13">
      <c r="A1113" s="18" t="s">
        <v>5010</v>
      </c>
      <c r="B1113" s="67"/>
      <c r="C1113" s="18"/>
      <c r="D1113" s="69"/>
      <c r="E1113" s="9"/>
      <c r="F1113" s="25"/>
      <c r="G1113" s="70"/>
      <c r="H1113" s="9"/>
      <c r="I1113" s="8"/>
      <c r="J1113" s="8"/>
      <c r="K1113" s="8"/>
      <c r="L1113" s="8"/>
      <c r="M1113" s="8"/>
    </row>
    <row r="1114" spans="1:13">
      <c r="A1114" s="15" t="s">
        <v>5011</v>
      </c>
      <c r="B1114" s="67">
        <v>4983532811</v>
      </c>
      <c r="C1114" s="72"/>
      <c r="D1114" s="69"/>
      <c r="E1114" s="9"/>
      <c r="F1114" s="25"/>
      <c r="G1114" s="70"/>
      <c r="H1114" s="9"/>
      <c r="I1114" s="8"/>
      <c r="J1114" s="8"/>
      <c r="K1114" s="8"/>
      <c r="L1114" s="8"/>
      <c r="M1114" s="8"/>
    </row>
    <row r="1115" spans="1:13">
      <c r="A1115" s="18" t="s">
        <v>5012</v>
      </c>
      <c r="B1115" s="67">
        <v>31228148899</v>
      </c>
      <c r="C1115" s="18" t="s">
        <v>5013</v>
      </c>
      <c r="D1115" s="69">
        <v>37290767870</v>
      </c>
      <c r="E1115" s="9"/>
      <c r="F1115" s="25"/>
      <c r="G1115" s="70"/>
      <c r="H1115" s="9"/>
      <c r="I1115" s="8"/>
      <c r="J1115" s="8"/>
      <c r="K1115" s="8"/>
      <c r="L1115" s="8"/>
      <c r="M1115" s="8"/>
    </row>
    <row r="1116" spans="1:13">
      <c r="A1116" s="73" t="s">
        <v>5014</v>
      </c>
      <c r="B1116" s="67">
        <v>28077309810</v>
      </c>
      <c r="C1116" s="72" t="s">
        <v>5015</v>
      </c>
      <c r="D1116" s="69">
        <v>62568370530</v>
      </c>
      <c r="E1116" s="9">
        <v>229</v>
      </c>
      <c r="F1116" s="25">
        <v>43151</v>
      </c>
      <c r="G1116" s="70" t="s">
        <v>3356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5016</v>
      </c>
      <c r="B1117" s="67">
        <v>43681754845</v>
      </c>
      <c r="C1117" s="72" t="s">
        <v>5017</v>
      </c>
      <c r="D1117" s="69">
        <v>51120226805</v>
      </c>
      <c r="E1117" s="9">
        <v>1555</v>
      </c>
      <c r="F1117" s="25">
        <v>43049</v>
      </c>
      <c r="G1117" s="70" t="s">
        <v>3356</v>
      </c>
      <c r="H1117" s="9"/>
      <c r="I1117" s="8"/>
      <c r="J1117" s="8"/>
      <c r="K1117" s="8"/>
      <c r="L1117" s="9" t="s">
        <v>3735</v>
      </c>
      <c r="M1117" s="8"/>
    </row>
    <row r="1118" spans="1:13">
      <c r="A1118" s="29" t="s">
        <v>5018</v>
      </c>
      <c r="B1118" s="67"/>
      <c r="C1118" s="29" t="s">
        <v>5019</v>
      </c>
      <c r="D1118" s="69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71" t="s">
        <v>5020</v>
      </c>
      <c r="B1119" s="67"/>
      <c r="C1119" s="72"/>
      <c r="D1119" s="69"/>
      <c r="E1119" s="9"/>
      <c r="F1119" s="25"/>
      <c r="G1119" s="70"/>
      <c r="H1119" s="9"/>
      <c r="I1119" s="8"/>
      <c r="J1119" s="8"/>
      <c r="K1119" s="8"/>
      <c r="L1119" s="8"/>
      <c r="M1119" s="8"/>
    </row>
    <row r="1120" spans="1:13">
      <c r="A1120" s="14" t="s">
        <v>5021</v>
      </c>
      <c r="B1120" s="67">
        <v>11898774811</v>
      </c>
      <c r="C1120" s="72"/>
      <c r="D1120" s="69"/>
      <c r="E1120" s="9">
        <v>262</v>
      </c>
      <c r="F1120" s="25">
        <v>43160</v>
      </c>
      <c r="G1120" s="70" t="s">
        <v>3356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71" t="s">
        <v>5022</v>
      </c>
      <c r="B1121" s="67">
        <v>44708151870</v>
      </c>
      <c r="C1121" s="88" t="s">
        <v>5023</v>
      </c>
      <c r="D1121" s="69">
        <v>38842284807</v>
      </c>
      <c r="E1121" s="9"/>
      <c r="F1121" s="25"/>
      <c r="G1121" s="70"/>
      <c r="H1121" s="9"/>
      <c r="I1121" s="8"/>
      <c r="J1121" s="8"/>
      <c r="K1121" s="8"/>
      <c r="L1121" s="8"/>
      <c r="M1121" s="8"/>
    </row>
    <row r="1122" spans="1:13">
      <c r="A1122" s="71" t="s">
        <v>5024</v>
      </c>
      <c r="B1122" s="67">
        <v>3633309845</v>
      </c>
      <c r="C1122" s="72"/>
      <c r="D1122" s="69"/>
      <c r="E1122" s="9"/>
      <c r="F1122" s="25"/>
      <c r="G1122" s="70"/>
      <c r="H1122" s="9"/>
      <c r="I1122" s="8"/>
      <c r="J1122" s="8"/>
      <c r="K1122" s="8"/>
      <c r="L1122" s="8"/>
      <c r="M1122" s="8"/>
    </row>
    <row r="1123" spans="1:13">
      <c r="A1123" s="18" t="s">
        <v>5025</v>
      </c>
      <c r="B1123" s="67">
        <v>33594224813</v>
      </c>
      <c r="C1123" s="18"/>
      <c r="D1123" s="69"/>
      <c r="E1123" s="9"/>
      <c r="F1123" s="25"/>
      <c r="G1123" s="70"/>
      <c r="H1123" s="9"/>
      <c r="I1123" s="8"/>
      <c r="J1123" s="8"/>
      <c r="K1123" s="8"/>
      <c r="L1123" s="8"/>
      <c r="M1123" s="8"/>
    </row>
    <row r="1124" spans="1:13">
      <c r="A1124" s="71" t="s">
        <v>5026</v>
      </c>
      <c r="B1124" s="67">
        <v>8368671817</v>
      </c>
      <c r="C1124" s="72" t="s">
        <v>5027</v>
      </c>
      <c r="D1124" s="69">
        <v>19184424877</v>
      </c>
      <c r="E1124" s="9">
        <v>292</v>
      </c>
      <c r="F1124" s="25">
        <v>43168</v>
      </c>
      <c r="G1124" s="70" t="s">
        <v>3356</v>
      </c>
      <c r="H1124" s="9"/>
      <c r="I1124" s="8"/>
      <c r="J1124" s="8"/>
      <c r="K1124" s="8"/>
      <c r="L1124" s="9">
        <v>318</v>
      </c>
      <c r="M1124" s="8"/>
    </row>
    <row r="1125" spans="1:13">
      <c r="A1125" s="71" t="s">
        <v>5028</v>
      </c>
      <c r="B1125" s="67">
        <v>3103189478</v>
      </c>
      <c r="C1125" s="72"/>
      <c r="D1125" s="69"/>
      <c r="E1125" s="9">
        <v>262</v>
      </c>
      <c r="F1125" s="25">
        <v>43160</v>
      </c>
      <c r="G1125" s="9" t="s">
        <v>3356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71" t="s">
        <v>5029</v>
      </c>
      <c r="B1126" s="67">
        <v>8230783888</v>
      </c>
      <c r="C1126" s="72"/>
      <c r="D1126" s="69"/>
      <c r="E1126" s="9">
        <v>810</v>
      </c>
      <c r="F1126" s="25">
        <v>42915</v>
      </c>
      <c r="G1126" s="70" t="s">
        <v>3356</v>
      </c>
      <c r="H1126" s="9"/>
      <c r="I1126" s="8"/>
      <c r="J1126" s="8"/>
      <c r="K1126" s="8"/>
      <c r="L1126" s="9" t="s">
        <v>3475</v>
      </c>
      <c r="M1126" s="8"/>
    </row>
    <row r="1127" spans="1:13">
      <c r="A1127" s="18" t="s">
        <v>5030</v>
      </c>
      <c r="B1127" s="67">
        <v>14688534817</v>
      </c>
      <c r="C1127" s="18"/>
      <c r="D1127" s="69"/>
      <c r="E1127" s="9"/>
      <c r="F1127" s="25"/>
      <c r="G1127" s="70"/>
      <c r="H1127" s="9"/>
      <c r="I1127" s="8"/>
      <c r="J1127" s="8"/>
      <c r="K1127" s="8"/>
      <c r="L1127" s="8"/>
      <c r="M1127" s="8"/>
    </row>
    <row r="1128" spans="1:13">
      <c r="A1128" s="15" t="s">
        <v>5031</v>
      </c>
      <c r="B1128" s="67">
        <v>45127604825</v>
      </c>
      <c r="C1128" s="72" t="s">
        <v>5032</v>
      </c>
      <c r="D1128" s="69" t="s">
        <v>5033</v>
      </c>
      <c r="E1128" s="9">
        <v>229</v>
      </c>
      <c r="F1128" s="25">
        <v>43151</v>
      </c>
      <c r="G1128" s="70" t="s">
        <v>3370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5034</v>
      </c>
      <c r="B1129" s="67">
        <v>42987674856</v>
      </c>
      <c r="C1129" s="72" t="s">
        <v>5035</v>
      </c>
      <c r="D1129" s="69">
        <v>38745840890</v>
      </c>
      <c r="E1129" s="9">
        <v>85</v>
      </c>
      <c r="F1129" s="25">
        <v>43109</v>
      </c>
      <c r="G1129" s="70" t="s">
        <v>3356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5036</v>
      </c>
      <c r="B1130" s="67">
        <v>36406558855</v>
      </c>
      <c r="C1130" s="72" t="s">
        <v>5037</v>
      </c>
      <c r="D1130" s="69">
        <v>37561765843</v>
      </c>
      <c r="E1130" s="9"/>
      <c r="F1130" s="25"/>
      <c r="G1130" s="70"/>
      <c r="H1130" s="9"/>
      <c r="I1130" s="8"/>
      <c r="J1130" s="8"/>
      <c r="K1130" s="8"/>
      <c r="L1130" s="8"/>
      <c r="M1130" s="8"/>
    </row>
    <row r="1131" spans="1:13">
      <c r="A1131" s="71" t="s">
        <v>5038</v>
      </c>
      <c r="B1131" s="67">
        <v>22758320843</v>
      </c>
      <c r="C1131" s="72" t="s">
        <v>5039</v>
      </c>
      <c r="D1131" s="69">
        <v>14229403810</v>
      </c>
      <c r="E1131" s="9">
        <v>1752</v>
      </c>
      <c r="F1131" s="25">
        <v>43051</v>
      </c>
      <c r="G1131" s="70" t="s">
        <v>3356</v>
      </c>
      <c r="H1131" s="9"/>
      <c r="I1131" s="8"/>
      <c r="J1131" s="8"/>
      <c r="K1131" s="8"/>
      <c r="L1131" s="9">
        <v>1759</v>
      </c>
      <c r="M1131" s="8"/>
    </row>
    <row r="1132" spans="1:13">
      <c r="A1132" s="30" t="s">
        <v>5040</v>
      </c>
      <c r="B1132" s="67">
        <v>4943769535</v>
      </c>
      <c r="C1132" s="72"/>
      <c r="D1132" s="69"/>
      <c r="E1132" s="9"/>
      <c r="F1132" s="25"/>
      <c r="G1132" s="70"/>
      <c r="H1132" s="9"/>
      <c r="I1132" s="8"/>
      <c r="J1132" s="8"/>
      <c r="K1132" s="8"/>
      <c r="L1132" s="8"/>
      <c r="M1132" s="8"/>
    </row>
    <row r="1133" spans="1:13">
      <c r="A1133" s="71" t="s">
        <v>5041</v>
      </c>
      <c r="B1133" s="67">
        <v>25135632808</v>
      </c>
      <c r="C1133" s="72"/>
      <c r="D1133" s="69"/>
      <c r="E1133" s="9">
        <v>608</v>
      </c>
      <c r="F1133" s="25">
        <v>43012</v>
      </c>
      <c r="G1133" s="70" t="s">
        <v>3356</v>
      </c>
      <c r="H1133" s="9"/>
      <c r="I1133" s="8"/>
      <c r="J1133" s="8"/>
      <c r="K1133" s="8"/>
      <c r="L1133" s="8"/>
      <c r="M1133" s="8"/>
    </row>
    <row r="1134" spans="1:13">
      <c r="A1134" s="71" t="s">
        <v>5042</v>
      </c>
      <c r="B1134" s="67">
        <v>82469210453</v>
      </c>
      <c r="C1134" s="72"/>
      <c r="D1134" s="69"/>
      <c r="E1134" s="9">
        <v>608</v>
      </c>
      <c r="F1134" s="25">
        <v>43012</v>
      </c>
      <c r="G1134" s="70" t="s">
        <v>3356</v>
      </c>
      <c r="H1134" s="9"/>
      <c r="I1134" s="8"/>
      <c r="J1134" s="8"/>
      <c r="K1134" s="8"/>
      <c r="L1134" s="8"/>
      <c r="M1134" s="8"/>
    </row>
    <row r="1135" spans="1:13">
      <c r="A1135" s="13" t="s">
        <v>5043</v>
      </c>
      <c r="B1135" s="67">
        <v>10316594806</v>
      </c>
      <c r="C1135" s="86"/>
      <c r="D1135" s="69"/>
      <c r="E1135" s="9">
        <v>1128</v>
      </c>
      <c r="F1135" s="25">
        <v>42972</v>
      </c>
      <c r="G1135" s="70" t="s">
        <v>3356</v>
      </c>
      <c r="H1135" s="9"/>
      <c r="I1135" s="8"/>
      <c r="J1135" s="8"/>
      <c r="K1135" s="8"/>
      <c r="L1135" s="8"/>
      <c r="M1135" s="8"/>
    </row>
    <row r="1136" spans="1:13">
      <c r="A1136" s="73" t="s">
        <v>5044</v>
      </c>
      <c r="B1136" s="67">
        <v>32518683810</v>
      </c>
      <c r="C1136" s="72" t="s">
        <v>5045</v>
      </c>
      <c r="D1136" s="69">
        <v>32570919829</v>
      </c>
      <c r="E1136" s="9">
        <v>262</v>
      </c>
      <c r="F1136" s="25">
        <v>43160</v>
      </c>
      <c r="G1136" s="70" t="s">
        <v>3362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9" t="s">
        <v>5046</v>
      </c>
      <c r="B1137" s="67">
        <v>35723911805</v>
      </c>
      <c r="C1137" s="18" t="s">
        <v>3466</v>
      </c>
      <c r="D1137" s="69"/>
      <c r="E1137" s="9"/>
      <c r="F1137" s="25"/>
      <c r="G1137" s="70"/>
      <c r="H1137" s="9"/>
      <c r="I1137" s="8"/>
      <c r="J1137" s="8"/>
      <c r="K1137" s="8"/>
      <c r="L1137" s="8"/>
      <c r="M1137" s="8"/>
    </row>
    <row r="1138" spans="1:13">
      <c r="A1138" s="71" t="s">
        <v>5047</v>
      </c>
      <c r="B1138" s="67">
        <v>10318952807</v>
      </c>
      <c r="C1138" s="72"/>
      <c r="D1138" s="69"/>
      <c r="E1138" s="9">
        <v>1106</v>
      </c>
      <c r="F1138" s="25">
        <v>42965</v>
      </c>
      <c r="G1138" s="70" t="s">
        <v>3356</v>
      </c>
      <c r="H1138" s="9"/>
      <c r="I1138" s="8"/>
      <c r="J1138" s="8"/>
      <c r="K1138" s="8"/>
      <c r="L1138" s="8"/>
      <c r="M1138" s="8"/>
    </row>
    <row r="1139" spans="1:13">
      <c r="A1139" s="71" t="s">
        <v>5048</v>
      </c>
      <c r="B1139" s="67">
        <v>4194301560</v>
      </c>
      <c r="C1139" s="72"/>
      <c r="D1139" s="69"/>
      <c r="E1139" s="9">
        <v>1214</v>
      </c>
      <c r="F1139" s="25">
        <v>42989</v>
      </c>
      <c r="G1139" s="70" t="s">
        <v>3356</v>
      </c>
      <c r="H1139" s="9"/>
      <c r="I1139" s="8"/>
      <c r="J1139" s="8"/>
      <c r="K1139" s="8"/>
      <c r="L1139" s="8"/>
      <c r="M1139" s="8"/>
    </row>
    <row r="1140" spans="1:13">
      <c r="A1140" s="71" t="s">
        <v>5049</v>
      </c>
      <c r="B1140" s="67">
        <v>9484796800</v>
      </c>
      <c r="C1140" s="72"/>
      <c r="D1140" s="69"/>
      <c r="E1140" s="9">
        <v>85</v>
      </c>
      <c r="F1140" s="25">
        <v>43109</v>
      </c>
      <c r="G1140" s="70" t="s">
        <v>3356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5050</v>
      </c>
      <c r="B1141" s="67">
        <v>9527670667</v>
      </c>
      <c r="C1141" s="18" t="s">
        <v>5051</v>
      </c>
      <c r="D1141" s="69">
        <v>3817602600</v>
      </c>
      <c r="E1141" s="9"/>
      <c r="F1141" s="25"/>
      <c r="G1141" s="70"/>
      <c r="H1141" s="9"/>
      <c r="I1141" s="8"/>
      <c r="J1141" s="8"/>
      <c r="K1141" s="8"/>
      <c r="L1141" s="8"/>
      <c r="M1141" s="8"/>
    </row>
    <row r="1142" spans="1:13">
      <c r="A1142" s="71" t="s">
        <v>5052</v>
      </c>
      <c r="B1142" s="67">
        <v>1228452857</v>
      </c>
      <c r="C1142" s="72"/>
      <c r="D1142" s="69"/>
      <c r="E1142" s="9">
        <v>1214</v>
      </c>
      <c r="F1142" s="25">
        <v>42989</v>
      </c>
      <c r="G1142" s="70" t="s">
        <v>3356</v>
      </c>
      <c r="H1142" s="9"/>
      <c r="I1142" s="8"/>
      <c r="J1142" s="8"/>
      <c r="K1142" s="8"/>
      <c r="L1142" s="8"/>
      <c r="M1142" s="8"/>
    </row>
    <row r="1143" spans="1:13">
      <c r="A1143" s="51" t="s">
        <v>5053</v>
      </c>
      <c r="B1143" s="80">
        <v>15404916842</v>
      </c>
      <c r="C1143" s="81" t="s">
        <v>5054</v>
      </c>
      <c r="D1143" s="82">
        <v>26437120487</v>
      </c>
      <c r="E1143" s="47">
        <v>1752</v>
      </c>
      <c r="F1143" s="48">
        <v>43051</v>
      </c>
      <c r="G1143" s="83" t="s">
        <v>3370</v>
      </c>
      <c r="H1143" s="47"/>
      <c r="I1143" s="49"/>
      <c r="J1143" s="49"/>
      <c r="K1143" s="49"/>
      <c r="L1143" s="9">
        <v>1759</v>
      </c>
      <c r="M1143" s="49"/>
    </row>
    <row r="1144" spans="1:13">
      <c r="A1144" s="71" t="s">
        <v>5055</v>
      </c>
      <c r="B1144" s="67">
        <v>12991463848</v>
      </c>
      <c r="C1144" s="72"/>
      <c r="D1144" s="69"/>
      <c r="E1144" s="9">
        <v>262</v>
      </c>
      <c r="F1144" s="25">
        <v>43160</v>
      </c>
      <c r="G1144" s="70" t="s">
        <v>3356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71" t="s">
        <v>5056</v>
      </c>
      <c r="B1145" s="67">
        <v>16618981816</v>
      </c>
      <c r="C1145" s="77" t="s">
        <v>5057</v>
      </c>
      <c r="D1145" s="69">
        <v>41182268803</v>
      </c>
      <c r="E1145" s="9"/>
      <c r="F1145" s="25"/>
      <c r="G1145" s="70"/>
      <c r="H1145" s="9"/>
      <c r="I1145" s="8"/>
      <c r="J1145" s="8"/>
      <c r="K1145" s="8"/>
      <c r="L1145" s="8"/>
      <c r="M1145" s="8"/>
    </row>
    <row r="1146" spans="1:13">
      <c r="A1146" s="71" t="s">
        <v>5058</v>
      </c>
      <c r="B1146" s="67">
        <v>17618357854</v>
      </c>
      <c r="C1146" s="72"/>
      <c r="D1146" s="69"/>
      <c r="E1146" s="9">
        <v>1752</v>
      </c>
      <c r="F1146" s="25">
        <v>43051</v>
      </c>
      <c r="G1146" s="70" t="s">
        <v>3356</v>
      </c>
      <c r="H1146" s="9"/>
      <c r="I1146" s="8"/>
      <c r="J1146" s="8"/>
      <c r="K1146" s="8"/>
      <c r="L1146" s="9">
        <v>1759</v>
      </c>
      <c r="M1146" s="8"/>
    </row>
    <row r="1147" spans="1:13">
      <c r="A1147" s="71" t="s">
        <v>5059</v>
      </c>
      <c r="B1147" s="67">
        <v>14396561857</v>
      </c>
      <c r="C1147" s="72" t="s">
        <v>5060</v>
      </c>
      <c r="D1147" s="69">
        <v>26877955854</v>
      </c>
      <c r="E1147" s="9">
        <v>1350</v>
      </c>
      <c r="F1147" s="25">
        <v>43006</v>
      </c>
      <c r="G1147" s="70" t="s">
        <v>3356</v>
      </c>
      <c r="H1147" s="9"/>
      <c r="I1147" s="8"/>
      <c r="J1147" s="8"/>
      <c r="K1147" s="8"/>
      <c r="L1147" s="8"/>
      <c r="M1147" s="8"/>
    </row>
    <row r="1148" spans="1:13">
      <c r="A1148" s="71" t="s">
        <v>5061</v>
      </c>
      <c r="B1148" s="67">
        <v>89014774591</v>
      </c>
      <c r="C1148" s="72" t="s">
        <v>5062</v>
      </c>
      <c r="D1148" s="69">
        <v>63982650500</v>
      </c>
      <c r="E1148" s="9"/>
      <c r="F1148" s="25"/>
      <c r="G1148" s="70"/>
      <c r="H1148" s="9"/>
      <c r="I1148" s="8"/>
      <c r="J1148" s="8"/>
      <c r="K1148" s="8"/>
      <c r="L1148" s="8"/>
      <c r="M1148" s="8"/>
    </row>
    <row r="1149" spans="1:13">
      <c r="A1149" s="71" t="s">
        <v>5063</v>
      </c>
      <c r="B1149" s="67">
        <v>36708561883</v>
      </c>
      <c r="C1149" s="72" t="s">
        <v>5064</v>
      </c>
      <c r="D1149" s="69">
        <v>2327353440</v>
      </c>
      <c r="E1149" s="9"/>
      <c r="F1149" s="25"/>
      <c r="G1149" s="70"/>
      <c r="H1149" s="9"/>
      <c r="I1149" s="8"/>
      <c r="J1149" s="8"/>
      <c r="K1149" s="8"/>
      <c r="L1149" s="8"/>
      <c r="M1149" s="8"/>
    </row>
    <row r="1150" spans="1:13">
      <c r="A1150" s="71" t="s">
        <v>5065</v>
      </c>
      <c r="B1150" s="67">
        <v>34053400805</v>
      </c>
      <c r="C1150" s="72"/>
      <c r="D1150" s="69"/>
      <c r="E1150" s="9">
        <v>1752</v>
      </c>
      <c r="F1150" s="25">
        <v>43051</v>
      </c>
      <c r="G1150" s="70" t="s">
        <v>3356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5066</v>
      </c>
      <c r="B1151" s="67">
        <v>96998164572</v>
      </c>
      <c r="C1151" s="72"/>
      <c r="D1151" s="69"/>
      <c r="E1151" s="9">
        <v>85</v>
      </c>
      <c r="F1151" s="25">
        <v>43109</v>
      </c>
      <c r="G1151" s="70" t="s">
        <v>3356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5067</v>
      </c>
      <c r="B1152" s="67">
        <v>11448724481</v>
      </c>
      <c r="C1152" s="72"/>
      <c r="D1152" s="69"/>
      <c r="E1152" s="9">
        <v>85</v>
      </c>
      <c r="F1152" s="25">
        <v>43109</v>
      </c>
      <c r="G1152" s="70" t="s">
        <v>3356</v>
      </c>
      <c r="H1152" s="25">
        <v>43151</v>
      </c>
      <c r="I1152" s="8"/>
      <c r="J1152" s="8"/>
      <c r="K1152" s="8"/>
      <c r="L1152" s="8"/>
      <c r="M1152" s="8"/>
    </row>
    <row r="1153" spans="1:13">
      <c r="A1153" s="71" t="s">
        <v>5068</v>
      </c>
      <c r="B1153" s="67">
        <v>36082898877</v>
      </c>
      <c r="C1153" s="72"/>
      <c r="D1153" s="69"/>
      <c r="E1153" s="9"/>
      <c r="F1153" s="25"/>
      <c r="G1153" s="70"/>
      <c r="H1153" s="9"/>
      <c r="I1153" s="8"/>
      <c r="J1153" s="8"/>
      <c r="K1153" s="8"/>
      <c r="L1153" s="8"/>
      <c r="M1153" s="8"/>
    </row>
    <row r="1154" spans="1:13">
      <c r="A1154" s="71" t="s">
        <v>5069</v>
      </c>
      <c r="B1154" s="67">
        <v>35744098852</v>
      </c>
      <c r="C1154" s="72"/>
      <c r="D1154" s="69"/>
      <c r="E1154" s="9"/>
      <c r="F1154" s="25"/>
      <c r="G1154" s="70"/>
      <c r="H1154" s="9"/>
      <c r="I1154" s="8"/>
      <c r="J1154" s="8"/>
      <c r="K1154" s="8"/>
      <c r="L1154" s="8"/>
      <c r="M1154" s="8"/>
    </row>
    <row r="1155" spans="1:13">
      <c r="A1155" s="71" t="s">
        <v>5070</v>
      </c>
      <c r="B1155" s="67">
        <v>26114066855</v>
      </c>
      <c r="C1155" s="72"/>
      <c r="D1155" s="69"/>
      <c r="E1155" s="9">
        <v>1350</v>
      </c>
      <c r="F1155" s="25">
        <v>43006</v>
      </c>
      <c r="G1155" s="70" t="s">
        <v>3356</v>
      </c>
      <c r="H1155" s="9"/>
      <c r="I1155" s="8"/>
      <c r="J1155" s="8"/>
      <c r="K1155" s="8"/>
      <c r="L1155" s="8"/>
      <c r="M1155" s="8"/>
    </row>
    <row r="1156" spans="1:13">
      <c r="A1156" s="71" t="s">
        <v>5071</v>
      </c>
      <c r="B1156" s="67">
        <v>35706404852</v>
      </c>
      <c r="C1156" s="72"/>
      <c r="D1156" s="69"/>
      <c r="E1156" s="9">
        <v>117</v>
      </c>
      <c r="F1156" s="25"/>
      <c r="G1156" s="70" t="s">
        <v>3370</v>
      </c>
      <c r="H1156" s="9"/>
      <c r="I1156" s="8"/>
      <c r="J1156" s="8"/>
      <c r="K1156" s="8"/>
      <c r="L1156" s="8"/>
      <c r="M1156" s="8"/>
    </row>
    <row r="1157" spans="1:13">
      <c r="A1157" s="71" t="s">
        <v>5072</v>
      </c>
      <c r="B1157" s="67">
        <v>2044062348</v>
      </c>
      <c r="C1157" s="72" t="s">
        <v>5073</v>
      </c>
      <c r="D1157" s="69">
        <v>61505005353</v>
      </c>
      <c r="E1157" s="9">
        <v>1214</v>
      </c>
      <c r="F1157" s="25">
        <v>42989</v>
      </c>
      <c r="G1157" s="70" t="s">
        <v>3356</v>
      </c>
      <c r="H1157" s="9"/>
      <c r="I1157" s="8"/>
      <c r="J1157" s="8"/>
      <c r="K1157" s="8"/>
      <c r="L1157" s="8"/>
      <c r="M1157" s="8"/>
    </row>
    <row r="1158" spans="1:13">
      <c r="A1158" s="71" t="s">
        <v>5074</v>
      </c>
      <c r="B1158" s="67">
        <v>17426779831</v>
      </c>
      <c r="C1158" s="72"/>
      <c r="D1158" s="69"/>
      <c r="E1158" s="9">
        <v>292</v>
      </c>
      <c r="F1158" s="25">
        <v>43168</v>
      </c>
      <c r="G1158" s="70" t="s">
        <v>3356</v>
      </c>
      <c r="H1158" s="9"/>
      <c r="I1158" s="8"/>
      <c r="J1158" s="8"/>
      <c r="K1158" s="8"/>
      <c r="L1158" s="9">
        <v>318</v>
      </c>
      <c r="M1158" s="8"/>
    </row>
    <row r="1159" spans="1:13">
      <c r="A1159" s="84" t="s">
        <v>5075</v>
      </c>
      <c r="B1159" s="67">
        <v>8650626840</v>
      </c>
      <c r="C1159" s="72"/>
      <c r="D1159" s="69"/>
      <c r="E1159" s="9"/>
      <c r="F1159" s="25"/>
      <c r="G1159" s="70"/>
      <c r="H1159" s="9"/>
      <c r="I1159" s="8"/>
      <c r="J1159" s="8"/>
      <c r="K1159" s="8"/>
      <c r="L1159" s="8"/>
      <c r="M1159" s="8"/>
    </row>
    <row r="1160" spans="1:13">
      <c r="A1160" s="71" t="s">
        <v>5076</v>
      </c>
      <c r="B1160" s="67">
        <v>32376309859</v>
      </c>
      <c r="C1160" s="72"/>
      <c r="D1160" s="69"/>
      <c r="E1160" s="9">
        <v>262</v>
      </c>
      <c r="F1160" s="25">
        <v>43160</v>
      </c>
      <c r="G1160" s="70" t="s">
        <v>3356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71" t="s">
        <v>5077</v>
      </c>
      <c r="B1161" s="67">
        <v>11126789801</v>
      </c>
      <c r="C1161" s="72" t="s">
        <v>5078</v>
      </c>
      <c r="D1161" s="69">
        <v>13442330823</v>
      </c>
      <c r="E1161" s="9">
        <v>85</v>
      </c>
      <c r="F1161" s="25">
        <v>43109</v>
      </c>
      <c r="G1161" s="70" t="s">
        <v>3356</v>
      </c>
      <c r="H1161" s="25">
        <v>43151</v>
      </c>
      <c r="I1161" s="8"/>
      <c r="J1161" s="8"/>
      <c r="K1161" s="8"/>
      <c r="L1161" s="8"/>
      <c r="M1161" s="8"/>
    </row>
    <row r="1162" spans="1:13">
      <c r="A1162" s="71" t="s">
        <v>5079</v>
      </c>
      <c r="B1162" s="67">
        <v>24547333823</v>
      </c>
      <c r="C1162" s="72"/>
      <c r="D1162" s="69"/>
      <c r="E1162" s="9">
        <v>262</v>
      </c>
      <c r="F1162" s="25">
        <v>43160</v>
      </c>
      <c r="G1162" s="70" t="s">
        <v>3356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71" t="s">
        <v>5080</v>
      </c>
      <c r="B1163" s="67">
        <v>27902290823</v>
      </c>
      <c r="C1163" s="72"/>
      <c r="D1163" s="69"/>
      <c r="E1163" s="9">
        <v>1824</v>
      </c>
      <c r="F1163" s="25">
        <v>43091</v>
      </c>
      <c r="G1163" s="70" t="s">
        <v>3356</v>
      </c>
      <c r="H1163" s="9"/>
      <c r="I1163" s="8"/>
      <c r="J1163" s="8"/>
      <c r="K1163" s="8"/>
      <c r="L1163" s="9">
        <v>1828</v>
      </c>
      <c r="M1163" s="8"/>
    </row>
    <row r="1164" spans="1:13">
      <c r="A1164" s="71" t="s">
        <v>5081</v>
      </c>
      <c r="B1164" s="67">
        <v>42134258861</v>
      </c>
      <c r="C1164" s="72" t="s">
        <v>5082</v>
      </c>
      <c r="D1164" s="69">
        <v>36485490817</v>
      </c>
      <c r="E1164" s="9">
        <v>262</v>
      </c>
      <c r="F1164" s="25">
        <v>43160</v>
      </c>
      <c r="G1164" s="9" t="s">
        <v>3356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5083</v>
      </c>
      <c r="B1165" s="67">
        <v>1772681318</v>
      </c>
      <c r="C1165" s="72" t="s">
        <v>5084</v>
      </c>
      <c r="D1165" s="69">
        <v>88109810306</v>
      </c>
      <c r="E1165" s="9">
        <v>85</v>
      </c>
      <c r="F1165" s="25">
        <v>43109</v>
      </c>
      <c r="G1165" s="70" t="s">
        <v>3356</v>
      </c>
      <c r="H1165" s="25">
        <v>43151</v>
      </c>
      <c r="I1165" s="8"/>
      <c r="J1165" s="8"/>
      <c r="K1165" s="8"/>
      <c r="L1165" s="8"/>
      <c r="M1165" s="8"/>
    </row>
    <row r="1166" spans="1:13">
      <c r="A1166" s="71" t="s">
        <v>5085</v>
      </c>
      <c r="B1166" s="67">
        <v>88244881291</v>
      </c>
      <c r="C1166" s="72" t="s">
        <v>5086</v>
      </c>
      <c r="D1166" s="69">
        <v>71885609272</v>
      </c>
      <c r="E1166" s="9">
        <v>292</v>
      </c>
      <c r="F1166" s="25">
        <v>43168</v>
      </c>
      <c r="G1166" s="9" t="s">
        <v>3356</v>
      </c>
      <c r="H1166" s="9"/>
      <c r="I1166" s="8"/>
      <c r="J1166" s="8"/>
      <c r="K1166" s="8"/>
      <c r="L1166" s="9">
        <v>318</v>
      </c>
      <c r="M1166" s="8"/>
    </row>
    <row r="1167" spans="1:13">
      <c r="A1167" s="71" t="s">
        <v>5087</v>
      </c>
      <c r="B1167" s="67">
        <v>33535539838</v>
      </c>
      <c r="C1167" s="72" t="s">
        <v>5088</v>
      </c>
      <c r="D1167" s="69">
        <v>19438586830</v>
      </c>
      <c r="E1167" s="9">
        <v>85</v>
      </c>
      <c r="F1167" s="25">
        <v>43109</v>
      </c>
      <c r="G1167" s="70" t="s">
        <v>3356</v>
      </c>
      <c r="H1167" s="25">
        <v>43151</v>
      </c>
      <c r="I1167" s="8"/>
      <c r="J1167" s="8"/>
      <c r="K1167" s="8"/>
      <c r="L1167" s="8"/>
      <c r="M1167" s="8"/>
    </row>
    <row r="1168" spans="1:13">
      <c r="A1168" s="71" t="s">
        <v>5089</v>
      </c>
      <c r="B1168" s="67">
        <v>48136867534</v>
      </c>
      <c r="C1168" s="72"/>
      <c r="D1168" s="69"/>
      <c r="E1168" s="9">
        <v>1628</v>
      </c>
      <c r="F1168" s="25">
        <v>43077</v>
      </c>
      <c r="G1168" s="9" t="s">
        <v>3356</v>
      </c>
      <c r="H1168" s="9"/>
      <c r="I1168" s="8"/>
      <c r="J1168" s="8"/>
      <c r="K1168" s="8"/>
      <c r="L1168" s="8"/>
      <c r="M1168" s="8"/>
    </row>
    <row r="1169" spans="1:13">
      <c r="A1169" s="71" t="s">
        <v>5090</v>
      </c>
      <c r="B1169" s="67">
        <v>70743070410</v>
      </c>
      <c r="C1169" s="72"/>
      <c r="D1169" s="69"/>
      <c r="E1169" s="9">
        <v>117</v>
      </c>
      <c r="F1169" s="25">
        <v>43117</v>
      </c>
      <c r="G1169" s="70" t="s">
        <v>3356</v>
      </c>
      <c r="H1169" s="9"/>
      <c r="I1169" s="8"/>
      <c r="J1169" s="8"/>
      <c r="K1169" s="8"/>
      <c r="L1169" s="9" t="s">
        <v>3507</v>
      </c>
      <c r="M1169" s="8"/>
    </row>
    <row r="1170" spans="1:13">
      <c r="A1170" s="71" t="s">
        <v>5091</v>
      </c>
      <c r="B1170" s="67">
        <v>45709200808</v>
      </c>
      <c r="C1170" s="77"/>
      <c r="D1170" s="69"/>
      <c r="E1170" s="9"/>
      <c r="F1170" s="25"/>
      <c r="G1170" s="70"/>
      <c r="H1170" s="9"/>
      <c r="I1170" s="8"/>
      <c r="J1170" s="8"/>
      <c r="K1170" s="8"/>
      <c r="L1170" s="8"/>
      <c r="M1170" s="8"/>
    </row>
    <row r="1171" spans="1:13">
      <c r="A1171" s="71" t="s">
        <v>5092</v>
      </c>
      <c r="B1171" s="67">
        <v>1785278584</v>
      </c>
      <c r="C1171" s="72"/>
      <c r="D1171" s="69"/>
      <c r="E1171" s="9">
        <v>810</v>
      </c>
      <c r="F1171" s="25">
        <v>42915</v>
      </c>
      <c r="G1171" s="70" t="s">
        <v>3356</v>
      </c>
      <c r="H1171" s="9"/>
      <c r="I1171" s="8"/>
      <c r="J1171" s="8"/>
      <c r="K1171" s="8"/>
      <c r="L1171" s="9" t="s">
        <v>3475</v>
      </c>
      <c r="M1171" s="8"/>
    </row>
    <row r="1172" spans="1:13">
      <c r="A1172" s="71" t="s">
        <v>5093</v>
      </c>
      <c r="B1172" s="67">
        <v>92262848572</v>
      </c>
      <c r="C1172" s="72"/>
      <c r="D1172" s="69"/>
      <c r="E1172" s="9">
        <v>1555</v>
      </c>
      <c r="F1172" s="25">
        <v>43049</v>
      </c>
      <c r="G1172" s="83" t="s">
        <v>3356</v>
      </c>
      <c r="H1172" s="9"/>
      <c r="I1172" s="8"/>
      <c r="J1172" s="8"/>
      <c r="K1172" s="8"/>
      <c r="L1172" s="9" t="s">
        <v>3735</v>
      </c>
      <c r="M1172" s="8"/>
    </row>
    <row r="1173" spans="1:13">
      <c r="A1173" s="72" t="s">
        <v>5094</v>
      </c>
      <c r="B1173" s="67">
        <v>42160981850</v>
      </c>
      <c r="C1173" s="72" t="s">
        <v>5095</v>
      </c>
      <c r="D1173" s="69">
        <v>40077808894</v>
      </c>
      <c r="E1173" s="9">
        <v>608</v>
      </c>
      <c r="F1173" s="25">
        <v>43012</v>
      </c>
      <c r="G1173" s="70" t="s">
        <v>3356</v>
      </c>
      <c r="H1173" s="9"/>
      <c r="I1173" s="8"/>
      <c r="J1173" s="8"/>
      <c r="K1173" s="8"/>
      <c r="L1173" s="8"/>
      <c r="M1173" s="8"/>
    </row>
    <row r="1174" spans="1:13">
      <c r="A1174" s="71" t="s">
        <v>5096</v>
      </c>
      <c r="B1174" s="67">
        <v>73684600504</v>
      </c>
      <c r="C1174" s="72"/>
      <c r="D1174" s="69"/>
      <c r="E1174" s="9">
        <v>1628</v>
      </c>
      <c r="F1174" s="25">
        <v>43077</v>
      </c>
      <c r="G1174" s="70" t="s">
        <v>3362</v>
      </c>
      <c r="H1174" s="9"/>
      <c r="I1174" s="8"/>
      <c r="J1174" s="8"/>
      <c r="K1174" s="8"/>
      <c r="L1174" s="8"/>
      <c r="M1174" s="8"/>
    </row>
    <row r="1175" spans="1:13">
      <c r="A1175" s="71" t="s">
        <v>5097</v>
      </c>
      <c r="B1175" s="67">
        <v>6426658502</v>
      </c>
      <c r="C1175" s="77"/>
      <c r="D1175" s="69"/>
      <c r="E1175" s="9"/>
      <c r="F1175" s="25"/>
      <c r="G1175" s="70"/>
      <c r="H1175" s="9"/>
      <c r="I1175" s="8"/>
      <c r="J1175" s="8"/>
      <c r="K1175" s="8"/>
      <c r="L1175" s="8"/>
      <c r="M1175" s="8"/>
    </row>
    <row r="1176" spans="1:13">
      <c r="A1176" s="71" t="s">
        <v>5098</v>
      </c>
      <c r="B1176" s="67">
        <v>28651118813</v>
      </c>
      <c r="C1176" s="72"/>
      <c r="D1176" s="69"/>
      <c r="E1176" s="9">
        <v>563</v>
      </c>
      <c r="F1176" s="25">
        <v>43217</v>
      </c>
      <c r="G1176" s="70"/>
      <c r="H1176" s="9"/>
      <c r="I1176" s="8"/>
      <c r="J1176" s="8"/>
      <c r="K1176" s="8"/>
      <c r="L1176" s="9" t="s">
        <v>3636</v>
      </c>
      <c r="M1176" s="8"/>
    </row>
    <row r="1177" spans="1:13">
      <c r="A1177" s="29" t="s">
        <v>5099</v>
      </c>
      <c r="B1177" s="67"/>
      <c r="C1177" s="29" t="s">
        <v>5100</v>
      </c>
      <c r="D1177" s="69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71" t="s">
        <v>5101</v>
      </c>
      <c r="B1178" s="67">
        <v>19181635885</v>
      </c>
      <c r="C1178" s="72"/>
      <c r="D1178" s="69"/>
      <c r="E1178" s="9"/>
      <c r="F1178" s="25"/>
      <c r="G1178" s="70"/>
      <c r="H1178" s="9"/>
      <c r="I1178" s="8"/>
      <c r="J1178" s="8"/>
      <c r="K1178" s="8"/>
      <c r="L1178" s="8"/>
      <c r="M1178" s="8"/>
    </row>
    <row r="1179" spans="1:13">
      <c r="A1179" s="71" t="s">
        <v>5102</v>
      </c>
      <c r="B1179" s="67">
        <v>11754585469</v>
      </c>
      <c r="C1179" s="77" t="s">
        <v>5103</v>
      </c>
      <c r="D1179" s="69">
        <v>9504153402</v>
      </c>
      <c r="E1179" s="9">
        <v>563</v>
      </c>
      <c r="F1179" s="25">
        <v>43217</v>
      </c>
      <c r="G1179" s="70"/>
      <c r="H1179" s="9"/>
      <c r="I1179" s="8"/>
      <c r="J1179" s="8"/>
      <c r="K1179" s="8"/>
      <c r="L1179" s="9" t="s">
        <v>3636</v>
      </c>
      <c r="M1179" s="8"/>
    </row>
    <row r="1180" spans="1:13">
      <c r="A1180" s="29" t="s">
        <v>5104</v>
      </c>
      <c r="B1180" s="67">
        <v>7621874503</v>
      </c>
      <c r="C1180" s="29" t="s">
        <v>5105</v>
      </c>
      <c r="D1180" s="69">
        <v>9206244809</v>
      </c>
      <c r="E1180" s="9"/>
      <c r="F1180" s="25"/>
      <c r="G1180" s="70"/>
      <c r="H1180" s="9"/>
      <c r="I1180" s="8"/>
      <c r="J1180" s="8"/>
      <c r="K1180" s="8"/>
      <c r="L1180" s="8"/>
      <c r="M1180" s="8"/>
    </row>
    <row r="1181" spans="1:13">
      <c r="A1181" s="71" t="s">
        <v>5106</v>
      </c>
      <c r="B1181" s="67">
        <v>33550053800</v>
      </c>
      <c r="C1181" s="72"/>
      <c r="D1181" s="69"/>
      <c r="E1181" s="9">
        <v>608</v>
      </c>
      <c r="F1181" s="25">
        <v>43012</v>
      </c>
      <c r="G1181" s="70" t="s">
        <v>3356</v>
      </c>
      <c r="H1181" s="9"/>
      <c r="I1181" s="8"/>
      <c r="J1181" s="8"/>
      <c r="K1181" s="8"/>
      <c r="L1181" s="8"/>
      <c r="M1181" s="8"/>
    </row>
    <row r="1182" spans="1:13">
      <c r="A1182" s="13" t="s">
        <v>5107</v>
      </c>
      <c r="B1182" s="67">
        <v>16310109804</v>
      </c>
      <c r="C1182" s="68"/>
      <c r="D1182" s="69"/>
      <c r="E1182" s="9">
        <v>1555</v>
      </c>
      <c r="F1182" s="25">
        <v>43049</v>
      </c>
      <c r="G1182" s="70" t="s">
        <v>3356</v>
      </c>
      <c r="H1182" s="9"/>
      <c r="I1182" s="8"/>
      <c r="J1182" s="8"/>
      <c r="K1182" s="8"/>
      <c r="L1182" s="9" t="s">
        <v>3735</v>
      </c>
      <c r="M1182" s="8"/>
    </row>
    <row r="1183" spans="1:13">
      <c r="A1183" s="29" t="s">
        <v>5108</v>
      </c>
      <c r="B1183" s="67">
        <v>29913700841</v>
      </c>
      <c r="C1183" s="18" t="s">
        <v>3466</v>
      </c>
      <c r="D1183" s="69"/>
      <c r="E1183" s="9"/>
      <c r="F1183" s="25"/>
      <c r="G1183" s="70"/>
      <c r="H1183" s="9"/>
      <c r="I1183" s="8"/>
      <c r="J1183" s="8"/>
      <c r="K1183" s="8"/>
      <c r="L1183" s="8"/>
      <c r="M1183" s="8"/>
    </row>
    <row r="1184" spans="1:13">
      <c r="A1184" s="29" t="s">
        <v>5109</v>
      </c>
      <c r="B1184" s="67">
        <v>28907743843</v>
      </c>
      <c r="C1184" s="29" t="s">
        <v>5110</v>
      </c>
      <c r="D1184" s="69">
        <v>3303974861</v>
      </c>
      <c r="E1184" s="9"/>
      <c r="F1184" s="25"/>
      <c r="G1184" s="70"/>
      <c r="H1184" s="9"/>
      <c r="I1184" s="8"/>
      <c r="J1184" s="8"/>
      <c r="K1184" s="8"/>
      <c r="L1184" s="8"/>
      <c r="M1184" s="8"/>
    </row>
    <row r="1185" spans="1:13">
      <c r="A1185" s="71" t="s">
        <v>5111</v>
      </c>
      <c r="B1185" s="67">
        <v>60957190468</v>
      </c>
      <c r="C1185" s="72"/>
      <c r="D1185" s="69"/>
      <c r="E1185" s="9">
        <v>810</v>
      </c>
      <c r="F1185" s="25">
        <v>42915</v>
      </c>
      <c r="G1185" s="70" t="s">
        <v>3356</v>
      </c>
      <c r="H1185" s="9"/>
      <c r="I1185" s="8"/>
      <c r="J1185" s="8"/>
      <c r="K1185" s="8"/>
      <c r="L1185" s="9" t="s">
        <v>3475</v>
      </c>
      <c r="M1185" s="8"/>
    </row>
    <row r="1186" spans="1:13">
      <c r="A1186" s="29" t="s">
        <v>5112</v>
      </c>
      <c r="B1186" s="67"/>
      <c r="C1186" s="18" t="s">
        <v>3466</v>
      </c>
      <c r="D1186" s="69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71" t="s">
        <v>5113</v>
      </c>
      <c r="B1187" s="67">
        <v>16468436818</v>
      </c>
      <c r="C1187" s="72"/>
      <c r="D1187" s="69"/>
      <c r="E1187" s="9">
        <v>810</v>
      </c>
      <c r="F1187" s="25">
        <v>42915</v>
      </c>
      <c r="G1187" s="70" t="s">
        <v>3356</v>
      </c>
      <c r="H1187" s="9"/>
      <c r="I1187" s="8"/>
      <c r="J1187" s="8"/>
      <c r="K1187" s="8"/>
      <c r="L1187" s="9" t="s">
        <v>3475</v>
      </c>
      <c r="M1187" s="8"/>
    </row>
    <row r="1188" spans="1:13">
      <c r="A1188" s="73" t="s">
        <v>5114</v>
      </c>
      <c r="B1188" s="67">
        <v>1198397500</v>
      </c>
      <c r="C1188" s="72" t="s">
        <v>5115</v>
      </c>
      <c r="D1188" s="69">
        <v>87142503572</v>
      </c>
      <c r="E1188" s="9">
        <v>810</v>
      </c>
      <c r="F1188" s="25">
        <v>42915</v>
      </c>
      <c r="G1188" s="70" t="s">
        <v>3356</v>
      </c>
      <c r="H1188" s="9"/>
      <c r="I1188" s="8"/>
      <c r="J1188" s="8"/>
      <c r="K1188" s="8"/>
      <c r="L1188" s="9" t="s">
        <v>3475</v>
      </c>
      <c r="M1188" s="8"/>
    </row>
    <row r="1189" spans="1:13">
      <c r="A1189" s="29" t="s">
        <v>5116</v>
      </c>
      <c r="B1189" s="67">
        <v>17487364852</v>
      </c>
      <c r="C1189" s="29" t="s">
        <v>5117</v>
      </c>
      <c r="D1189" s="69">
        <v>17007791840</v>
      </c>
      <c r="E1189" s="9"/>
      <c r="F1189" s="25"/>
      <c r="G1189" s="70"/>
      <c r="H1189" s="9"/>
      <c r="I1189" s="8"/>
      <c r="J1189" s="8"/>
      <c r="K1189" s="8"/>
      <c r="L1189" s="8"/>
      <c r="M1189" s="8"/>
    </row>
    <row r="1190" spans="1:13">
      <c r="A1190" s="15" t="s">
        <v>5118</v>
      </c>
      <c r="B1190" s="67">
        <v>13421467862</v>
      </c>
      <c r="C1190" s="72"/>
      <c r="D1190" s="69"/>
      <c r="E1190" s="9">
        <v>262</v>
      </c>
      <c r="F1190" s="25">
        <v>43160</v>
      </c>
      <c r="G1190" s="70" t="s">
        <v>3356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71" t="s">
        <v>5119</v>
      </c>
      <c r="B1191" s="67">
        <v>33874635880</v>
      </c>
      <c r="C1191" s="68"/>
      <c r="D1191" s="69"/>
      <c r="E1191" s="9"/>
      <c r="F1191" s="25"/>
      <c r="G1191" s="70"/>
      <c r="H1191" s="9"/>
      <c r="I1191" s="8"/>
      <c r="J1191" s="8"/>
      <c r="K1191" s="8"/>
      <c r="L1191" s="8"/>
      <c r="M1191" s="8"/>
    </row>
    <row r="1192" spans="1:13">
      <c r="A1192" s="71" t="s">
        <v>5120</v>
      </c>
      <c r="B1192" s="67">
        <v>28539588846</v>
      </c>
      <c r="C1192" s="72"/>
      <c r="D1192" s="69"/>
      <c r="E1192" s="9"/>
      <c r="F1192" s="25"/>
      <c r="G1192" s="70"/>
      <c r="H1192" s="9"/>
      <c r="I1192" s="8"/>
      <c r="J1192" s="8"/>
      <c r="K1192" s="8"/>
      <c r="L1192" s="8"/>
      <c r="M1192" s="8"/>
    </row>
    <row r="1193" spans="1:13">
      <c r="A1193" s="71" t="s">
        <v>5121</v>
      </c>
      <c r="B1193" s="67">
        <v>32993187805</v>
      </c>
      <c r="C1193" s="72" t="s">
        <v>5122</v>
      </c>
      <c r="D1193" s="69">
        <v>2605272460</v>
      </c>
      <c r="E1193" s="9">
        <v>1439</v>
      </c>
      <c r="F1193" s="25">
        <v>43025</v>
      </c>
      <c r="G1193" s="70" t="s">
        <v>3356</v>
      </c>
      <c r="H1193" s="9"/>
      <c r="I1193" s="8"/>
      <c r="J1193" s="8"/>
      <c r="K1193" s="8"/>
      <c r="L1193" s="9" t="s">
        <v>3838</v>
      </c>
      <c r="M1193" s="8"/>
    </row>
    <row r="1194" spans="1:13">
      <c r="A1194" s="71" t="s">
        <v>5123</v>
      </c>
      <c r="B1194" s="67">
        <v>33182368885</v>
      </c>
      <c r="C1194" s="77" t="s">
        <v>5124</v>
      </c>
      <c r="D1194" s="69">
        <v>18461801806</v>
      </c>
      <c r="E1194" s="9"/>
      <c r="F1194" s="25"/>
      <c r="G1194" s="70"/>
      <c r="H1194" s="9"/>
      <c r="I1194" s="8"/>
      <c r="J1194" s="8"/>
      <c r="K1194" s="8"/>
      <c r="L1194" s="8"/>
      <c r="M1194" s="8"/>
    </row>
    <row r="1195" spans="1:13">
      <c r="A1195" s="71" t="s">
        <v>5125</v>
      </c>
      <c r="B1195" s="67">
        <v>22675476862</v>
      </c>
      <c r="C1195" s="72"/>
      <c r="D1195" s="69"/>
      <c r="E1195" s="9">
        <v>608</v>
      </c>
      <c r="F1195" s="25">
        <v>43012</v>
      </c>
      <c r="G1195" s="70" t="s">
        <v>3356</v>
      </c>
      <c r="H1195" s="9"/>
      <c r="I1195" s="8"/>
      <c r="J1195" s="8"/>
      <c r="K1195" s="8"/>
      <c r="L1195" s="8"/>
      <c r="M1195" s="8"/>
    </row>
    <row r="1196" spans="1:13">
      <c r="A1196" s="71" t="s">
        <v>5126</v>
      </c>
      <c r="B1196" s="67">
        <v>26559297802</v>
      </c>
      <c r="C1196" s="72"/>
      <c r="D1196" s="69"/>
      <c r="E1196" s="9">
        <v>262</v>
      </c>
      <c r="F1196" s="25">
        <v>43160</v>
      </c>
      <c r="G1196" s="70" t="s">
        <v>3356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71" t="s">
        <v>5127</v>
      </c>
      <c r="B1197" s="67">
        <v>30907802591</v>
      </c>
      <c r="C1197" s="72"/>
      <c r="D1197" s="69"/>
      <c r="E1197" s="9">
        <v>1241</v>
      </c>
      <c r="F1197" s="25">
        <v>42992</v>
      </c>
      <c r="G1197" s="70" t="s">
        <v>3356</v>
      </c>
      <c r="H1197" s="9"/>
      <c r="I1197" s="8"/>
      <c r="J1197" s="8"/>
      <c r="K1197" s="8"/>
      <c r="L1197" s="8"/>
      <c r="M1197" s="8"/>
    </row>
    <row r="1198" spans="1:13">
      <c r="A1198" s="71" t="s">
        <v>5128</v>
      </c>
      <c r="B1198" s="67">
        <v>32557609846</v>
      </c>
      <c r="C1198" s="72" t="s">
        <v>5129</v>
      </c>
      <c r="D1198" s="69">
        <v>19150806904</v>
      </c>
      <c r="E1198" s="9">
        <v>1241</v>
      </c>
      <c r="F1198" s="25">
        <v>42992</v>
      </c>
      <c r="G1198" s="70" t="s">
        <v>3356</v>
      </c>
      <c r="H1198" s="9"/>
      <c r="I1198" s="8"/>
      <c r="J1198" s="8"/>
      <c r="K1198" s="8"/>
      <c r="L1198" s="8"/>
      <c r="M1198" s="8"/>
    </row>
    <row r="1199" spans="1:13">
      <c r="A1199" s="13" t="s">
        <v>5130</v>
      </c>
      <c r="B1199" s="67">
        <v>38402923879</v>
      </c>
      <c r="C1199" s="68"/>
      <c r="D1199" s="69"/>
      <c r="E1199" s="9">
        <v>1214</v>
      </c>
      <c r="F1199" s="25">
        <v>42989</v>
      </c>
      <c r="G1199" s="70" t="s">
        <v>3356</v>
      </c>
      <c r="H1199" s="9"/>
      <c r="I1199" s="8"/>
      <c r="J1199" s="8"/>
      <c r="K1199" s="8"/>
      <c r="L1199" s="8"/>
      <c r="M1199" s="8"/>
    </row>
    <row r="1200" spans="1:13">
      <c r="A1200" s="14" t="s">
        <v>5131</v>
      </c>
      <c r="B1200" s="67">
        <v>38236980871</v>
      </c>
      <c r="C1200" s="72" t="s">
        <v>5132</v>
      </c>
      <c r="D1200" s="69">
        <v>5177834360</v>
      </c>
      <c r="E1200" s="9">
        <v>262</v>
      </c>
      <c r="F1200" s="25">
        <v>43160</v>
      </c>
      <c r="G1200" s="70" t="s">
        <v>3356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71" t="s">
        <v>5133</v>
      </c>
      <c r="B1201" s="67">
        <v>30534850871</v>
      </c>
      <c r="C1201" s="72"/>
      <c r="D1201" s="69"/>
      <c r="E1201" s="9">
        <v>810</v>
      </c>
      <c r="F1201" s="25">
        <v>42915</v>
      </c>
      <c r="G1201" s="70" t="s">
        <v>3356</v>
      </c>
      <c r="H1201" s="9"/>
      <c r="I1201" s="8"/>
      <c r="J1201" s="8"/>
      <c r="K1201" s="8"/>
      <c r="L1201" s="9" t="s">
        <v>3475</v>
      </c>
      <c r="M1201" s="8"/>
    </row>
    <row r="1202" spans="1:13">
      <c r="A1202" s="72" t="s">
        <v>5134</v>
      </c>
      <c r="B1202" s="67">
        <v>2932004832</v>
      </c>
      <c r="C1202" s="72"/>
      <c r="D1202" s="69"/>
      <c r="E1202" s="9"/>
      <c r="F1202" s="25"/>
      <c r="G1202" s="70"/>
      <c r="H1202" s="9"/>
      <c r="I1202" s="8"/>
      <c r="J1202" s="8"/>
      <c r="K1202" s="8"/>
      <c r="L1202" s="8"/>
      <c r="M1202" s="8"/>
    </row>
    <row r="1203" spans="1:13">
      <c r="A1203" s="15" t="s">
        <v>5135</v>
      </c>
      <c r="B1203" s="67">
        <v>177446102</v>
      </c>
      <c r="C1203" s="72" t="s">
        <v>5136</v>
      </c>
      <c r="D1203" s="69">
        <v>31301235806</v>
      </c>
      <c r="E1203" s="9">
        <v>229</v>
      </c>
      <c r="F1203" s="25">
        <v>43151</v>
      </c>
      <c r="G1203" s="70" t="s">
        <v>3356</v>
      </c>
      <c r="H1203" s="9"/>
      <c r="I1203" s="8"/>
      <c r="J1203" s="8"/>
      <c r="K1203" s="8"/>
      <c r="L1203" s="9">
        <v>232</v>
      </c>
      <c r="M1203" s="8"/>
    </row>
    <row r="1204" spans="1:13">
      <c r="A1204" s="29" t="s">
        <v>5137</v>
      </c>
      <c r="B1204" s="67"/>
      <c r="C1204" s="29" t="s">
        <v>3466</v>
      </c>
      <c r="D1204" s="69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71" t="s">
        <v>5138</v>
      </c>
      <c r="B1205" s="67">
        <v>22394984805</v>
      </c>
      <c r="C1205" s="72" t="s">
        <v>5139</v>
      </c>
      <c r="D1205" s="69">
        <v>29161087858</v>
      </c>
      <c r="E1205" s="9">
        <v>1106</v>
      </c>
      <c r="F1205" s="25">
        <v>42965</v>
      </c>
      <c r="G1205" s="70" t="s">
        <v>3356</v>
      </c>
      <c r="H1205" s="9"/>
      <c r="I1205" s="8"/>
      <c r="J1205" s="8"/>
      <c r="K1205" s="8"/>
      <c r="L1205" s="8"/>
      <c r="M1205" s="8"/>
    </row>
    <row r="1206" spans="1:13">
      <c r="A1206" s="13" t="s">
        <v>5140</v>
      </c>
      <c r="B1206" s="67">
        <v>22495577806</v>
      </c>
      <c r="C1206" s="72" t="s">
        <v>5141</v>
      </c>
      <c r="D1206" s="69">
        <v>28219312807</v>
      </c>
      <c r="E1206" s="9"/>
      <c r="F1206" s="25"/>
      <c r="G1206" s="70"/>
      <c r="H1206" s="9"/>
      <c r="I1206" s="8"/>
      <c r="J1206" s="8"/>
      <c r="K1206" s="8"/>
      <c r="L1206" s="8"/>
      <c r="M1206" s="8"/>
    </row>
    <row r="1207" spans="1:13">
      <c r="A1207" s="71" t="s">
        <v>5142</v>
      </c>
      <c r="B1207" s="67">
        <v>31586367862</v>
      </c>
      <c r="C1207" s="72"/>
      <c r="D1207" s="69"/>
      <c r="E1207" s="9"/>
      <c r="F1207" s="25"/>
      <c r="G1207" s="70"/>
      <c r="H1207" s="9"/>
      <c r="I1207" s="8"/>
      <c r="J1207" s="8"/>
      <c r="K1207" s="8"/>
      <c r="L1207" s="8"/>
      <c r="M1207" s="8"/>
    </row>
    <row r="1208" spans="1:13">
      <c r="A1208" s="71" t="s">
        <v>5143</v>
      </c>
      <c r="B1208" s="67">
        <v>38904444829</v>
      </c>
      <c r="C1208" s="72"/>
      <c r="D1208" s="69"/>
      <c r="E1208" s="9">
        <v>509</v>
      </c>
      <c r="F1208" s="25">
        <v>43203</v>
      </c>
      <c r="G1208" s="76"/>
      <c r="H1208" s="76">
        <v>43213</v>
      </c>
      <c r="I1208" s="8"/>
      <c r="J1208" s="8"/>
      <c r="K1208" s="8"/>
      <c r="L1208" s="8"/>
      <c r="M1208" s="8"/>
    </row>
    <row r="1209" spans="1:13">
      <c r="A1209" s="71" t="s">
        <v>5144</v>
      </c>
      <c r="B1209" s="67">
        <v>19678307898</v>
      </c>
      <c r="C1209" s="72"/>
      <c r="D1209" s="69"/>
      <c r="E1209" s="9">
        <v>1214</v>
      </c>
      <c r="F1209" s="25">
        <v>42989</v>
      </c>
      <c r="G1209" s="70" t="s">
        <v>3356</v>
      </c>
      <c r="H1209" s="76">
        <v>43213</v>
      </c>
      <c r="I1209" s="8"/>
      <c r="J1209" s="8"/>
      <c r="K1209" s="8"/>
      <c r="L1209" s="8"/>
      <c r="M1209" s="8"/>
    </row>
    <row r="1210" spans="1:13">
      <c r="A1210" s="71" t="s">
        <v>5145</v>
      </c>
      <c r="B1210" s="67"/>
      <c r="C1210" s="72"/>
      <c r="D1210" s="69"/>
      <c r="E1210" s="9"/>
      <c r="F1210" s="25"/>
      <c r="G1210" s="70"/>
      <c r="H1210" s="76">
        <v>43213</v>
      </c>
      <c r="I1210" s="8"/>
      <c r="J1210" s="8"/>
      <c r="K1210" s="8"/>
      <c r="L1210" s="8"/>
      <c r="M1210" s="8"/>
    </row>
    <row r="1211" spans="1:13">
      <c r="A1211" s="72" t="s">
        <v>5146</v>
      </c>
      <c r="B1211" s="67">
        <v>37304527897</v>
      </c>
      <c r="C1211" s="72" t="s">
        <v>5147</v>
      </c>
      <c r="D1211" s="69">
        <v>24051935825</v>
      </c>
      <c r="E1211" s="9"/>
      <c r="F1211" s="25"/>
      <c r="G1211" s="70"/>
      <c r="H1211" s="76">
        <v>43213</v>
      </c>
      <c r="I1211" s="8"/>
      <c r="J1211" s="8"/>
      <c r="K1211" s="8"/>
      <c r="L1211" s="8"/>
      <c r="M1211" s="8"/>
    </row>
    <row r="1212" spans="1:13">
      <c r="A1212" s="14" t="s">
        <v>5148</v>
      </c>
      <c r="B1212" s="67">
        <v>11328067807</v>
      </c>
      <c r="C1212" s="72" t="s">
        <v>5149</v>
      </c>
      <c r="D1212" s="69">
        <v>60769793800</v>
      </c>
      <c r="E1212" s="9">
        <v>262</v>
      </c>
      <c r="F1212" s="25">
        <v>43160</v>
      </c>
      <c r="G1212" s="70" t="s">
        <v>3356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71" t="s">
        <v>5150</v>
      </c>
      <c r="B1213" s="67">
        <v>4007781575</v>
      </c>
      <c r="C1213" s="72" t="s">
        <v>5151</v>
      </c>
      <c r="D1213" s="69">
        <v>31812904835</v>
      </c>
      <c r="E1213" s="9"/>
      <c r="F1213" s="25"/>
      <c r="G1213" s="70"/>
      <c r="H1213" s="76">
        <v>43213</v>
      </c>
      <c r="I1213" s="8"/>
      <c r="J1213" s="8"/>
      <c r="K1213" s="8"/>
      <c r="L1213" s="8"/>
      <c r="M1213" s="8"/>
    </row>
    <row r="1214" spans="1:13">
      <c r="A1214" s="71" t="s">
        <v>5152</v>
      </c>
      <c r="B1214" s="67">
        <v>38448111842</v>
      </c>
      <c r="C1214" s="72" t="s">
        <v>5153</v>
      </c>
      <c r="D1214" s="69">
        <v>38350911824</v>
      </c>
      <c r="E1214" s="9"/>
      <c r="F1214" s="25"/>
      <c r="G1214" s="70" t="s">
        <v>3356</v>
      </c>
      <c r="H1214" s="76">
        <v>43213</v>
      </c>
      <c r="I1214" s="8"/>
      <c r="J1214" s="8"/>
      <c r="K1214" s="8"/>
      <c r="L1214" s="8"/>
      <c r="M1214" s="8"/>
    </row>
    <row r="1215" spans="1:13">
      <c r="A1215" s="29" t="s">
        <v>5154</v>
      </c>
      <c r="B1215" s="67"/>
      <c r="C1215" s="18" t="s">
        <v>3466</v>
      </c>
      <c r="D1215" s="69"/>
      <c r="E1215" s="9"/>
      <c r="F1215" s="25"/>
      <c r="G1215" s="70"/>
      <c r="H1215" s="76">
        <v>43213</v>
      </c>
      <c r="I1215" s="8"/>
      <c r="J1215" s="8"/>
      <c r="K1215" s="8"/>
      <c r="L1215" s="8"/>
      <c r="M1215" s="8"/>
    </row>
    <row r="1216" spans="1:13">
      <c r="A1216" s="15" t="s">
        <v>5155</v>
      </c>
      <c r="B1216" s="67">
        <v>104666579</v>
      </c>
      <c r="C1216" s="72"/>
      <c r="D1216" s="69"/>
      <c r="E1216" s="9">
        <v>229</v>
      </c>
      <c r="F1216" s="25">
        <v>43151</v>
      </c>
      <c r="G1216" s="70" t="s">
        <v>3356</v>
      </c>
      <c r="H1216" s="76">
        <v>43213</v>
      </c>
      <c r="I1216" s="8"/>
      <c r="J1216" s="8"/>
      <c r="K1216" s="8"/>
      <c r="L1216" s="9">
        <v>232</v>
      </c>
      <c r="M1216" s="8"/>
    </row>
    <row r="1217" spans="1:13">
      <c r="A1217" s="71" t="s">
        <v>5156</v>
      </c>
      <c r="B1217" s="67">
        <v>39893425840</v>
      </c>
      <c r="C1217" s="72"/>
      <c r="D1217" s="69"/>
      <c r="E1217" s="9">
        <v>1106</v>
      </c>
      <c r="F1217" s="25">
        <v>42965</v>
      </c>
      <c r="G1217" s="70" t="s">
        <v>3356</v>
      </c>
      <c r="H1217" s="76">
        <v>43213</v>
      </c>
      <c r="I1217" s="8"/>
      <c r="J1217" s="8"/>
      <c r="K1217" s="8"/>
      <c r="L1217" s="8"/>
      <c r="M1217" s="8"/>
    </row>
    <row r="1218" spans="1:13">
      <c r="A1218" s="13" t="s">
        <v>5157</v>
      </c>
      <c r="B1218" s="67">
        <v>29040829802</v>
      </c>
      <c r="C1218" s="68" t="s">
        <v>5158</v>
      </c>
      <c r="D1218" s="69">
        <v>17804755864</v>
      </c>
      <c r="E1218" s="9">
        <v>1128</v>
      </c>
      <c r="F1218" s="25">
        <v>42972</v>
      </c>
      <c r="G1218" s="70" t="s">
        <v>3356</v>
      </c>
      <c r="H1218" s="9"/>
      <c r="I1218" s="8"/>
      <c r="J1218" s="8"/>
      <c r="K1218" s="8"/>
      <c r="L1218" s="8"/>
      <c r="M1218" s="8"/>
    </row>
    <row r="1219" spans="1:13">
      <c r="A1219" s="71" t="s">
        <v>5159</v>
      </c>
      <c r="B1219" s="67">
        <v>41459843827</v>
      </c>
      <c r="C1219" s="72"/>
      <c r="D1219" s="69"/>
      <c r="E1219" s="9"/>
      <c r="F1219" s="25"/>
      <c r="G1219" s="70"/>
      <c r="H1219" s="9"/>
      <c r="I1219" s="8"/>
      <c r="J1219" s="8"/>
      <c r="K1219" s="8"/>
      <c r="L1219" s="8"/>
      <c r="M1219" s="8"/>
    </row>
    <row r="1220" spans="1:13">
      <c r="A1220" s="71" t="s">
        <v>5160</v>
      </c>
      <c r="B1220" s="67">
        <v>43311254830</v>
      </c>
      <c r="C1220" s="72"/>
      <c r="D1220" s="69"/>
      <c r="E1220" s="9">
        <v>1417</v>
      </c>
      <c r="F1220" s="25">
        <v>43017</v>
      </c>
      <c r="G1220" s="70" t="s">
        <v>3356</v>
      </c>
      <c r="H1220" s="9"/>
      <c r="I1220" s="8"/>
      <c r="J1220" s="8"/>
      <c r="K1220" s="8"/>
      <c r="L1220" s="9" t="s">
        <v>3590</v>
      </c>
      <c r="M1220" s="8"/>
    </row>
    <row r="1221" spans="1:13">
      <c r="A1221" s="14" t="s">
        <v>5161</v>
      </c>
      <c r="B1221" s="67">
        <v>38633385880</v>
      </c>
      <c r="C1221" s="72"/>
      <c r="D1221" s="69"/>
      <c r="E1221" s="9"/>
      <c r="F1221" s="25"/>
      <c r="G1221" s="70"/>
      <c r="H1221" s="9"/>
      <c r="I1221" s="8"/>
      <c r="J1221" s="8"/>
      <c r="K1221" s="8"/>
      <c r="L1221" s="8"/>
      <c r="M1221" s="8"/>
    </row>
    <row r="1222" spans="1:13">
      <c r="A1222" s="29" t="s">
        <v>5162</v>
      </c>
      <c r="B1222" s="67">
        <v>22614376841</v>
      </c>
      <c r="C1222" s="18" t="s">
        <v>3466</v>
      </c>
      <c r="D1222" s="69"/>
      <c r="E1222" s="9"/>
      <c r="F1222" s="25"/>
      <c r="G1222" s="70"/>
      <c r="H1222" s="9"/>
      <c r="I1222" s="8"/>
      <c r="J1222" s="8"/>
      <c r="K1222" s="8"/>
      <c r="L1222" s="8"/>
      <c r="M1222" s="8"/>
    </row>
    <row r="1223" spans="1:13">
      <c r="A1223" s="71" t="s">
        <v>5163</v>
      </c>
      <c r="B1223" s="67">
        <v>37814224888</v>
      </c>
      <c r="C1223" s="72"/>
      <c r="D1223" s="69"/>
      <c r="E1223" s="9"/>
      <c r="F1223" s="25"/>
      <c r="G1223" s="70"/>
      <c r="H1223" s="9"/>
      <c r="I1223" s="8"/>
      <c r="J1223" s="8"/>
      <c r="K1223" s="8"/>
      <c r="L1223" s="8"/>
      <c r="M1223" s="8"/>
    </row>
    <row r="1224" spans="1:13">
      <c r="A1224" s="15" t="s">
        <v>5164</v>
      </c>
      <c r="B1224" s="67">
        <v>95023003515</v>
      </c>
      <c r="C1224" s="72" t="s">
        <v>5165</v>
      </c>
      <c r="D1224" s="69">
        <v>2283584507</v>
      </c>
      <c r="E1224" s="9">
        <v>117</v>
      </c>
      <c r="F1224" s="25">
        <v>43117</v>
      </c>
      <c r="G1224" s="70" t="s">
        <v>3356</v>
      </c>
      <c r="H1224" s="9"/>
      <c r="I1224" s="8"/>
      <c r="J1224" s="8"/>
      <c r="K1224" s="8"/>
      <c r="L1224" s="9" t="s">
        <v>3507</v>
      </c>
      <c r="M1224" s="8"/>
    </row>
    <row r="1225" spans="1:13">
      <c r="A1225" s="15" t="s">
        <v>5166</v>
      </c>
      <c r="B1225" s="67">
        <v>618375554</v>
      </c>
      <c r="C1225" s="72"/>
      <c r="D1225" s="69"/>
      <c r="E1225" s="9">
        <v>229</v>
      </c>
      <c r="F1225" s="25">
        <v>43151</v>
      </c>
      <c r="G1225" s="70" t="s">
        <v>3356</v>
      </c>
      <c r="H1225" s="9"/>
      <c r="I1225" s="8"/>
      <c r="J1225" s="8"/>
      <c r="K1225" s="8"/>
      <c r="L1225" s="9">
        <v>232</v>
      </c>
      <c r="M1225" s="8"/>
    </row>
    <row r="1226" spans="1:13">
      <c r="A1226" s="71" t="s">
        <v>5167</v>
      </c>
      <c r="B1226" s="67">
        <v>2235225896</v>
      </c>
      <c r="C1226" s="72"/>
      <c r="D1226" s="69"/>
      <c r="E1226" s="9"/>
      <c r="F1226" s="25"/>
      <c r="G1226" s="70"/>
      <c r="H1226" s="9"/>
      <c r="I1226" s="8"/>
      <c r="J1226" s="8"/>
      <c r="K1226" s="8"/>
      <c r="L1226" s="8"/>
      <c r="M1226" s="8"/>
    </row>
    <row r="1227" spans="1:13">
      <c r="A1227" s="15" t="s">
        <v>5168</v>
      </c>
      <c r="B1227" s="67">
        <v>3288115565</v>
      </c>
      <c r="C1227" s="72"/>
      <c r="D1227" s="69"/>
      <c r="E1227" s="9">
        <v>229</v>
      </c>
      <c r="F1227" s="25">
        <v>43151</v>
      </c>
      <c r="G1227" s="70" t="s">
        <v>3356</v>
      </c>
      <c r="H1227" s="9"/>
      <c r="I1227" s="8"/>
      <c r="J1227" s="8"/>
      <c r="K1227" s="8"/>
      <c r="L1227" s="9">
        <v>232</v>
      </c>
      <c r="M1227" s="8"/>
    </row>
    <row r="1228" spans="1:13">
      <c r="A1228" s="71" t="s">
        <v>5169</v>
      </c>
      <c r="B1228" s="67">
        <v>40584610807</v>
      </c>
      <c r="C1228" s="72" t="s">
        <v>5170</v>
      </c>
      <c r="D1228" s="69">
        <v>29182543801</v>
      </c>
      <c r="E1228" s="9">
        <v>810</v>
      </c>
      <c r="F1228" s="25">
        <v>42915</v>
      </c>
      <c r="G1228" s="70" t="s">
        <v>3356</v>
      </c>
      <c r="H1228" s="9"/>
      <c r="I1228" s="8"/>
      <c r="J1228" s="8"/>
      <c r="K1228" s="8"/>
      <c r="L1228" s="9" t="s">
        <v>3475</v>
      </c>
      <c r="M1228" s="8"/>
    </row>
    <row r="1229" spans="1:13">
      <c r="A1229" s="71" t="s">
        <v>5171</v>
      </c>
      <c r="B1229" s="67">
        <v>36098983801</v>
      </c>
      <c r="C1229" s="72"/>
      <c r="D1229" s="69"/>
      <c r="E1229" s="9">
        <v>1106</v>
      </c>
      <c r="F1229" s="25">
        <v>42965</v>
      </c>
      <c r="G1229" s="70" t="s">
        <v>3356</v>
      </c>
      <c r="H1229" s="9"/>
      <c r="I1229" s="8"/>
      <c r="J1229" s="8"/>
      <c r="K1229" s="8"/>
      <c r="L1229" s="8"/>
      <c r="M1229" s="8"/>
    </row>
    <row r="1230" spans="1:13">
      <c r="A1230" s="18" t="s">
        <v>5172</v>
      </c>
      <c r="B1230" s="67">
        <v>2330650590</v>
      </c>
      <c r="C1230" s="18" t="s">
        <v>3729</v>
      </c>
      <c r="D1230" s="69">
        <v>38338305812</v>
      </c>
      <c r="E1230" s="9"/>
      <c r="F1230" s="25"/>
      <c r="G1230" s="70"/>
      <c r="H1230" s="9"/>
      <c r="I1230" s="8"/>
      <c r="J1230" s="8"/>
      <c r="K1230" s="8"/>
      <c r="L1230" s="8"/>
      <c r="M1230" s="8"/>
    </row>
    <row r="1231" spans="1:13">
      <c r="A1231" s="15" t="s">
        <v>5173</v>
      </c>
      <c r="B1231" s="67">
        <v>84324937591</v>
      </c>
      <c r="C1231" s="72"/>
      <c r="D1231" s="69"/>
      <c r="E1231" s="9">
        <v>563</v>
      </c>
      <c r="F1231" s="25">
        <v>43217</v>
      </c>
      <c r="G1231" s="70"/>
      <c r="H1231" s="9"/>
      <c r="I1231" s="8"/>
      <c r="J1231" s="8"/>
      <c r="K1231" s="8"/>
      <c r="L1231" s="9" t="s">
        <v>3636</v>
      </c>
      <c r="M1231" s="8"/>
    </row>
    <row r="1232" spans="1:13">
      <c r="A1232" s="71" t="s">
        <v>5174</v>
      </c>
      <c r="B1232" s="67">
        <v>30065520831</v>
      </c>
      <c r="C1232" s="72"/>
      <c r="D1232" s="69"/>
      <c r="E1232" s="9">
        <v>1350</v>
      </c>
      <c r="F1232" s="25">
        <v>43006</v>
      </c>
      <c r="G1232" s="70" t="s">
        <v>3356</v>
      </c>
      <c r="H1232" s="9"/>
      <c r="I1232" s="8"/>
      <c r="J1232" s="8"/>
      <c r="K1232" s="8"/>
      <c r="L1232" s="8"/>
      <c r="M1232" s="8"/>
    </row>
    <row r="1233" spans="1:13">
      <c r="A1233" s="71" t="s">
        <v>5175</v>
      </c>
      <c r="B1233" s="67">
        <v>45235006810</v>
      </c>
      <c r="C1233" s="72"/>
      <c r="D1233" s="69"/>
      <c r="E1233" s="9"/>
      <c r="F1233" s="25"/>
      <c r="G1233" s="70"/>
      <c r="H1233" s="9"/>
      <c r="I1233" s="8"/>
      <c r="J1233" s="8"/>
      <c r="K1233" s="8"/>
      <c r="L1233" s="8"/>
      <c r="M1233" s="8"/>
    </row>
    <row r="1234" spans="1:13">
      <c r="A1234" s="13" t="s">
        <v>5176</v>
      </c>
      <c r="B1234" s="67">
        <v>35116318826</v>
      </c>
      <c r="C1234" s="72" t="s">
        <v>5177</v>
      </c>
      <c r="D1234" s="69">
        <v>22432837860</v>
      </c>
      <c r="E1234" s="9">
        <v>1824</v>
      </c>
      <c r="F1234" s="25">
        <v>43091</v>
      </c>
      <c r="G1234" s="70" t="s">
        <v>3356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5178</v>
      </c>
      <c r="B1235" s="67">
        <v>40048912808</v>
      </c>
      <c r="C1235" s="72" t="s">
        <v>5179</v>
      </c>
      <c r="D1235" s="69">
        <v>43519054841</v>
      </c>
      <c r="E1235" s="9">
        <v>262</v>
      </c>
      <c r="F1235" s="25">
        <v>43160</v>
      </c>
      <c r="G1235" s="70" t="s">
        <v>3356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5180</v>
      </c>
      <c r="B1236" s="67">
        <v>26016197831</v>
      </c>
      <c r="C1236" s="15" t="s">
        <v>5181</v>
      </c>
      <c r="D1236" s="67">
        <v>60231920504</v>
      </c>
      <c r="E1236" s="9"/>
      <c r="F1236" s="25"/>
      <c r="G1236" s="70"/>
      <c r="H1236" s="9"/>
      <c r="I1236" s="8"/>
      <c r="J1236" s="8"/>
      <c r="K1236" s="8"/>
      <c r="L1236" s="8"/>
      <c r="M1236" s="8"/>
    </row>
    <row r="1237" spans="1:13">
      <c r="A1237" s="15" t="s">
        <v>5182</v>
      </c>
      <c r="B1237" s="67">
        <v>43412243876</v>
      </c>
      <c r="C1237" s="72"/>
      <c r="D1237" s="69"/>
      <c r="E1237" s="9">
        <v>229</v>
      </c>
      <c r="F1237" s="25">
        <v>43151</v>
      </c>
      <c r="G1237" s="70" t="s">
        <v>3356</v>
      </c>
      <c r="H1237" s="9"/>
      <c r="I1237" s="8"/>
      <c r="J1237" s="8"/>
      <c r="K1237" s="8"/>
      <c r="L1237" s="9">
        <v>232</v>
      </c>
      <c r="M1237" s="8"/>
    </row>
    <row r="1238" spans="1:13">
      <c r="A1238" s="71" t="s">
        <v>5183</v>
      </c>
      <c r="B1238" s="67">
        <v>40121535878</v>
      </c>
      <c r="C1238" s="72" t="s">
        <v>5184</v>
      </c>
      <c r="D1238" s="69">
        <v>33343601802</v>
      </c>
      <c r="E1238" s="9">
        <v>292</v>
      </c>
      <c r="F1238" s="25">
        <v>43168</v>
      </c>
      <c r="G1238" s="70" t="s">
        <v>3356</v>
      </c>
      <c r="H1238" s="9"/>
      <c r="I1238" s="8"/>
      <c r="J1238" s="8"/>
      <c r="K1238" s="8"/>
      <c r="L1238" s="9">
        <v>318</v>
      </c>
      <c r="M1238" s="8"/>
    </row>
    <row r="1239" spans="1:13">
      <c r="A1239" s="71" t="s">
        <v>5185</v>
      </c>
      <c r="B1239" s="67">
        <v>4056444501</v>
      </c>
      <c r="C1239" s="72"/>
      <c r="D1239" s="69"/>
      <c r="E1239" s="9">
        <v>262</v>
      </c>
      <c r="F1239" s="25">
        <v>43160</v>
      </c>
      <c r="G1239" s="70" t="s">
        <v>3356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5186</v>
      </c>
      <c r="B1240" s="67">
        <v>5388702570</v>
      </c>
      <c r="C1240" s="72"/>
      <c r="D1240" s="69"/>
      <c r="E1240" s="9">
        <v>85</v>
      </c>
      <c r="F1240" s="25">
        <v>43109</v>
      </c>
      <c r="G1240" s="70" t="s">
        <v>3356</v>
      </c>
      <c r="H1240" s="25">
        <v>43151</v>
      </c>
      <c r="I1240" s="8"/>
      <c r="J1240" s="8"/>
      <c r="K1240" s="8"/>
      <c r="L1240" s="8"/>
      <c r="M1240" s="8"/>
    </row>
    <row r="1241" spans="1:13">
      <c r="A1241" s="71" t="s">
        <v>5187</v>
      </c>
      <c r="B1241" s="67">
        <v>31029975892</v>
      </c>
      <c r="C1241" s="72" t="s">
        <v>5188</v>
      </c>
      <c r="D1241" s="69">
        <v>36873004472</v>
      </c>
      <c r="E1241" s="9">
        <v>1106</v>
      </c>
      <c r="F1241" s="25">
        <v>42965</v>
      </c>
      <c r="G1241" s="9" t="s">
        <v>3356</v>
      </c>
      <c r="H1241" s="9"/>
      <c r="I1241" s="8"/>
      <c r="J1241" s="8"/>
      <c r="K1241" s="8"/>
      <c r="L1241" s="8"/>
      <c r="M1241" s="8"/>
    </row>
    <row r="1242" spans="1:13">
      <c r="A1242" s="72" t="s">
        <v>5189</v>
      </c>
      <c r="B1242" s="67">
        <v>38951708870</v>
      </c>
      <c r="C1242" s="72"/>
      <c r="D1242" s="69"/>
      <c r="E1242" s="9">
        <v>292</v>
      </c>
      <c r="F1242" s="25">
        <v>43168</v>
      </c>
      <c r="G1242" s="9" t="s">
        <v>3356</v>
      </c>
      <c r="H1242" s="9"/>
      <c r="I1242" s="8"/>
      <c r="J1242" s="8"/>
      <c r="K1242" s="8"/>
      <c r="L1242" s="9">
        <v>318</v>
      </c>
      <c r="M1242" s="8"/>
    </row>
    <row r="1243" spans="1:13">
      <c r="A1243" s="71" t="s">
        <v>5190</v>
      </c>
      <c r="B1243" s="67">
        <v>36051592814</v>
      </c>
      <c r="C1243" s="72" t="s">
        <v>5191</v>
      </c>
      <c r="D1243" s="69">
        <v>13109522847</v>
      </c>
      <c r="E1243" s="9">
        <v>810</v>
      </c>
      <c r="F1243" s="25">
        <v>42915</v>
      </c>
      <c r="G1243" s="70" t="s">
        <v>3356</v>
      </c>
      <c r="H1243" s="9"/>
      <c r="I1243" s="8"/>
      <c r="J1243" s="8"/>
      <c r="K1243" s="8"/>
      <c r="L1243" s="9" t="s">
        <v>3475</v>
      </c>
      <c r="M1243" s="8"/>
    </row>
    <row r="1244" spans="1:13">
      <c r="A1244" s="71" t="s">
        <v>5192</v>
      </c>
      <c r="B1244" s="67">
        <v>33681405824</v>
      </c>
      <c r="C1244" s="72"/>
      <c r="D1244" s="69"/>
      <c r="E1244" s="9"/>
      <c r="F1244" s="25"/>
      <c r="G1244" s="70"/>
      <c r="H1244" s="9"/>
      <c r="I1244" s="8"/>
      <c r="J1244" s="8"/>
      <c r="K1244" s="8"/>
      <c r="L1244" s="8"/>
      <c r="M1244" s="8"/>
    </row>
    <row r="1245" spans="1:13">
      <c r="A1245" s="18" t="s">
        <v>5193</v>
      </c>
      <c r="B1245" s="67">
        <v>28142782820</v>
      </c>
      <c r="C1245" s="18" t="s">
        <v>5194</v>
      </c>
      <c r="D1245" s="69"/>
      <c r="E1245" s="9"/>
      <c r="F1245" s="25"/>
      <c r="G1245" s="70"/>
      <c r="H1245" s="9"/>
      <c r="I1245" s="8"/>
      <c r="J1245" s="8"/>
      <c r="K1245" s="8"/>
      <c r="L1245" s="8"/>
      <c r="M1245" s="8"/>
    </row>
    <row r="1246" spans="1:13">
      <c r="A1246" s="71" t="s">
        <v>5195</v>
      </c>
      <c r="B1246" s="67">
        <v>30088939880</v>
      </c>
      <c r="C1246" s="72" t="s">
        <v>5196</v>
      </c>
      <c r="D1246" s="69">
        <v>2051861579</v>
      </c>
      <c r="E1246" s="9">
        <v>292</v>
      </c>
      <c r="F1246" s="25">
        <v>43168</v>
      </c>
      <c r="G1246" s="9" t="s">
        <v>3356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5197</v>
      </c>
      <c r="B1247" s="67">
        <v>11525085476</v>
      </c>
      <c r="C1247" s="72" t="s">
        <v>5198</v>
      </c>
      <c r="D1247" s="69">
        <v>9293576473</v>
      </c>
      <c r="E1247" s="9">
        <v>262</v>
      </c>
      <c r="F1247" s="25">
        <v>43160</v>
      </c>
      <c r="G1247" s="70" t="s">
        <v>3356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9" t="s">
        <v>5199</v>
      </c>
      <c r="B1248" s="67"/>
      <c r="C1248" s="29" t="s">
        <v>5200</v>
      </c>
      <c r="D1248" s="69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5201</v>
      </c>
      <c r="B1249" s="67">
        <v>31265129843</v>
      </c>
      <c r="C1249" s="68" t="s">
        <v>5202</v>
      </c>
      <c r="D1249" s="69">
        <v>2078435546</v>
      </c>
      <c r="E1249" s="9">
        <v>1241</v>
      </c>
      <c r="F1249" s="25">
        <v>42992</v>
      </c>
      <c r="G1249" s="70" t="s">
        <v>3356</v>
      </c>
      <c r="H1249" s="9"/>
      <c r="I1249" s="8"/>
      <c r="J1249" s="8"/>
      <c r="K1249" s="8"/>
      <c r="L1249" s="8"/>
      <c r="M1249" s="8"/>
    </row>
    <row r="1250" spans="1:13">
      <c r="A1250" s="15" t="s">
        <v>5203</v>
      </c>
      <c r="B1250" s="67">
        <v>22524200817</v>
      </c>
      <c r="C1250" s="72" t="s">
        <v>5204</v>
      </c>
      <c r="D1250" s="69">
        <v>22961531861</v>
      </c>
      <c r="E1250" s="9">
        <v>229</v>
      </c>
      <c r="F1250" s="25">
        <v>43151</v>
      </c>
      <c r="G1250" s="70" t="s">
        <v>3362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5205</v>
      </c>
      <c r="B1251" s="67">
        <v>33374817874</v>
      </c>
      <c r="C1251" s="72"/>
      <c r="D1251" s="69"/>
      <c r="E1251" s="9">
        <v>85</v>
      </c>
      <c r="F1251" s="25">
        <v>43109</v>
      </c>
      <c r="G1251" s="70" t="s">
        <v>3356</v>
      </c>
      <c r="H1251" s="25">
        <v>43151</v>
      </c>
      <c r="I1251" s="8"/>
      <c r="J1251" s="8"/>
      <c r="K1251" s="8"/>
      <c r="L1251" s="8"/>
      <c r="M1251" s="8"/>
    </row>
    <row r="1252" spans="1:13">
      <c r="A1252" s="72" t="s">
        <v>5206</v>
      </c>
      <c r="B1252" s="67">
        <v>29736807860</v>
      </c>
      <c r="C1252" s="72" t="s">
        <v>5207</v>
      </c>
      <c r="D1252" s="69">
        <v>29733572845</v>
      </c>
      <c r="E1252" s="9"/>
      <c r="F1252" s="25"/>
      <c r="G1252" s="70"/>
      <c r="H1252" s="9"/>
      <c r="I1252" s="8"/>
      <c r="J1252" s="8"/>
      <c r="K1252" s="8"/>
      <c r="L1252" s="8"/>
      <c r="M1252" s="8"/>
    </row>
    <row r="1253" spans="1:13">
      <c r="A1253" s="71" t="s">
        <v>5208</v>
      </c>
      <c r="B1253" s="67">
        <v>4890860398</v>
      </c>
      <c r="C1253" s="72" t="s">
        <v>5209</v>
      </c>
      <c r="D1253" s="69">
        <v>43034983867</v>
      </c>
      <c r="E1253" s="9">
        <v>262</v>
      </c>
      <c r="F1253" s="25">
        <v>43160</v>
      </c>
      <c r="G1253" s="70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5210</v>
      </c>
      <c r="B1254" s="67">
        <v>10412889803</v>
      </c>
      <c r="C1254" s="72"/>
      <c r="D1254" s="69"/>
      <c r="E1254" s="9">
        <v>85</v>
      </c>
      <c r="F1254" s="25">
        <v>43109</v>
      </c>
      <c r="G1254" s="70" t="s">
        <v>3356</v>
      </c>
      <c r="H1254" s="25">
        <v>43151</v>
      </c>
      <c r="I1254" s="8"/>
      <c r="J1254" s="8"/>
      <c r="K1254" s="8"/>
      <c r="L1254" s="8"/>
      <c r="M1254" s="8"/>
    </row>
    <row r="1255" spans="1:13">
      <c r="A1255" s="29" t="s">
        <v>5211</v>
      </c>
      <c r="B1255" s="67">
        <v>35336343889</v>
      </c>
      <c r="C1255" s="18" t="s">
        <v>5212</v>
      </c>
      <c r="D1255" s="69">
        <v>3929463512</v>
      </c>
      <c r="E1255" s="9"/>
      <c r="F1255" s="25"/>
      <c r="G1255" s="70"/>
      <c r="H1255" s="9"/>
      <c r="I1255" s="8"/>
      <c r="J1255" s="8"/>
      <c r="K1255" s="8"/>
      <c r="L1255" s="8"/>
      <c r="M1255" s="8"/>
    </row>
    <row r="1256" spans="1:13">
      <c r="A1256" s="71" t="s">
        <v>5213</v>
      </c>
      <c r="B1256" s="67">
        <v>94907293887</v>
      </c>
      <c r="C1256" s="72"/>
      <c r="D1256" s="69"/>
      <c r="E1256" s="9">
        <v>563</v>
      </c>
      <c r="F1256" s="25">
        <v>43217</v>
      </c>
      <c r="G1256" s="70"/>
      <c r="H1256" s="9"/>
      <c r="I1256" s="8"/>
      <c r="J1256" s="8"/>
      <c r="K1256" s="8"/>
      <c r="L1256" s="9" t="s">
        <v>3636</v>
      </c>
      <c r="M1256" s="8"/>
    </row>
    <row r="1257" spans="1:13">
      <c r="A1257" s="14" t="s">
        <v>5214</v>
      </c>
      <c r="B1257" s="67">
        <v>38772091819</v>
      </c>
      <c r="C1257" s="72"/>
      <c r="D1257" s="69"/>
      <c r="E1257" s="9"/>
      <c r="F1257" s="25"/>
      <c r="G1257" s="70"/>
      <c r="H1257" s="9"/>
      <c r="I1257" s="8"/>
      <c r="J1257" s="8"/>
      <c r="K1257" s="8"/>
      <c r="L1257" s="8"/>
      <c r="M1257" s="8"/>
    </row>
    <row r="1258" spans="1:13">
      <c r="A1258" s="15" t="s">
        <v>5215</v>
      </c>
      <c r="B1258" s="67">
        <v>39107511809</v>
      </c>
      <c r="C1258" s="72" t="s">
        <v>5216</v>
      </c>
      <c r="D1258" s="69">
        <v>33332246828</v>
      </c>
      <c r="E1258" s="9">
        <v>262</v>
      </c>
      <c r="F1258" s="25">
        <v>43160</v>
      </c>
      <c r="G1258" s="70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71" t="s">
        <v>5217</v>
      </c>
      <c r="B1259" s="67">
        <v>6652314584</v>
      </c>
      <c r="C1259" s="72" t="s">
        <v>5218</v>
      </c>
      <c r="D1259" s="69">
        <v>4945754500</v>
      </c>
      <c r="E1259" s="9">
        <v>85</v>
      </c>
      <c r="F1259" s="25">
        <v>43109</v>
      </c>
      <c r="G1259" s="70" t="s">
        <v>3362</v>
      </c>
      <c r="H1259" s="25">
        <v>43151</v>
      </c>
      <c r="I1259" s="8"/>
      <c r="J1259" s="8"/>
      <c r="K1259" s="8"/>
      <c r="L1259" s="8"/>
      <c r="M1259" s="8"/>
    </row>
    <row r="1260" spans="1:13">
      <c r="A1260" s="71" t="s">
        <v>5219</v>
      </c>
      <c r="B1260" s="67">
        <v>43135974847</v>
      </c>
      <c r="C1260" s="73" t="s">
        <v>5220</v>
      </c>
      <c r="D1260" s="69" t="s">
        <v>5221</v>
      </c>
      <c r="E1260" s="9">
        <v>563</v>
      </c>
      <c r="F1260" s="25">
        <v>43217</v>
      </c>
      <c r="G1260" s="70"/>
      <c r="H1260" s="9"/>
      <c r="I1260" s="8"/>
      <c r="J1260" s="8"/>
      <c r="K1260" s="8"/>
      <c r="L1260" s="9" t="s">
        <v>3636</v>
      </c>
      <c r="M1260" s="8"/>
    </row>
    <row r="1261" spans="1:13">
      <c r="A1261" s="13" t="s">
        <v>5222</v>
      </c>
      <c r="B1261" s="67">
        <v>18481038830</v>
      </c>
      <c r="C1261" s="68"/>
      <c r="D1261" s="69"/>
      <c r="E1261" s="9">
        <v>1128</v>
      </c>
      <c r="F1261" s="25">
        <v>42972</v>
      </c>
      <c r="G1261" s="70" t="s">
        <v>3356</v>
      </c>
      <c r="H1261" s="9"/>
      <c r="I1261" s="8"/>
      <c r="J1261" s="8"/>
      <c r="K1261" s="8"/>
      <c r="L1261" s="8"/>
      <c r="M1261" s="8"/>
    </row>
    <row r="1262" spans="1:13">
      <c r="A1262" s="71" t="s">
        <v>5223</v>
      </c>
      <c r="B1262" s="67">
        <v>24952272877</v>
      </c>
      <c r="C1262" s="77"/>
      <c r="D1262" s="69"/>
      <c r="E1262" s="9">
        <v>563</v>
      </c>
      <c r="F1262" s="25">
        <v>43217</v>
      </c>
      <c r="G1262" s="70"/>
      <c r="H1262" s="9"/>
      <c r="I1262" s="8"/>
      <c r="J1262" s="8"/>
      <c r="K1262" s="8"/>
      <c r="L1262" s="9" t="s">
        <v>3636</v>
      </c>
      <c r="M1262" s="8"/>
    </row>
    <row r="1263" spans="1:13">
      <c r="A1263" s="14" t="s">
        <v>5224</v>
      </c>
      <c r="B1263" s="67">
        <v>40950857890</v>
      </c>
      <c r="C1263" s="72"/>
      <c r="D1263" s="69"/>
      <c r="E1263" s="9">
        <v>292</v>
      </c>
      <c r="F1263" s="25">
        <v>43168</v>
      </c>
      <c r="G1263" s="70" t="s">
        <v>3356</v>
      </c>
      <c r="H1263" s="9"/>
      <c r="I1263" s="8"/>
      <c r="J1263" s="8"/>
      <c r="K1263" s="8"/>
      <c r="L1263" s="9">
        <v>318</v>
      </c>
      <c r="M1263" s="8"/>
    </row>
    <row r="1264" spans="1:13">
      <c r="A1264" s="71" t="s">
        <v>5225</v>
      </c>
      <c r="B1264" s="67">
        <v>35510628898</v>
      </c>
      <c r="C1264" s="72"/>
      <c r="D1264" s="69"/>
      <c r="E1264" s="9"/>
      <c r="F1264" s="25"/>
      <c r="G1264" s="70"/>
      <c r="H1264" s="9"/>
      <c r="I1264" s="8"/>
      <c r="J1264" s="8"/>
      <c r="K1264" s="8"/>
      <c r="L1264" s="8"/>
      <c r="M1264" s="8"/>
    </row>
    <row r="1265" spans="1:13">
      <c r="A1265" s="71" t="s">
        <v>5226</v>
      </c>
      <c r="B1265" s="67">
        <v>29767521844</v>
      </c>
      <c r="C1265" s="72"/>
      <c r="D1265" s="69"/>
      <c r="E1265" s="9">
        <v>85</v>
      </c>
      <c r="F1265" s="25">
        <v>43109</v>
      </c>
      <c r="G1265" s="70" t="s">
        <v>3362</v>
      </c>
      <c r="H1265" s="25">
        <v>43151</v>
      </c>
      <c r="I1265" s="8"/>
      <c r="J1265" s="8"/>
      <c r="K1265" s="8"/>
      <c r="L1265" s="8"/>
      <c r="M1265" s="8"/>
    </row>
    <row r="1266" spans="1:13">
      <c r="A1266" s="71" t="s">
        <v>5227</v>
      </c>
      <c r="B1266" s="67">
        <v>1748350943</v>
      </c>
      <c r="C1266" s="72" t="s">
        <v>5228</v>
      </c>
      <c r="D1266" s="69">
        <v>42332889817</v>
      </c>
      <c r="E1266" s="9"/>
      <c r="F1266" s="25"/>
      <c r="G1266" s="70"/>
      <c r="H1266" s="9"/>
      <c r="I1266" s="8"/>
      <c r="J1266" s="8"/>
      <c r="K1266" s="8"/>
      <c r="L1266" s="8"/>
      <c r="M1266" s="8"/>
    </row>
    <row r="1267" spans="1:13">
      <c r="A1267" s="71" t="s">
        <v>5229</v>
      </c>
      <c r="B1267" s="67">
        <v>15751377800</v>
      </c>
      <c r="C1267" s="72"/>
      <c r="D1267" s="69"/>
      <c r="E1267" s="9"/>
      <c r="F1267" s="25"/>
      <c r="G1267" s="70"/>
      <c r="H1267" s="9"/>
      <c r="I1267" s="8"/>
      <c r="J1267" s="8"/>
      <c r="K1267" s="8"/>
      <c r="L1267" s="8"/>
      <c r="M1267" s="8"/>
    </row>
    <row r="1268" spans="1:13">
      <c r="A1268" s="71" t="s">
        <v>5230</v>
      </c>
      <c r="B1268" s="67">
        <v>23502610851</v>
      </c>
      <c r="C1268" s="73" t="s">
        <v>5231</v>
      </c>
      <c r="D1268" s="69" t="s">
        <v>5232</v>
      </c>
      <c r="E1268" s="9"/>
      <c r="F1268" s="25"/>
      <c r="G1268" s="70"/>
      <c r="H1268" s="9"/>
      <c r="I1268" s="8"/>
      <c r="J1268" s="8"/>
      <c r="K1268" s="8"/>
      <c r="L1268" s="8"/>
      <c r="M1268" s="8"/>
    </row>
    <row r="1269" spans="1:13">
      <c r="A1269" s="39" t="s">
        <v>5233</v>
      </c>
      <c r="B1269" s="67">
        <v>48857598896</v>
      </c>
      <c r="C1269" s="72" t="s">
        <v>5234</v>
      </c>
      <c r="D1269" s="69">
        <v>36223394896</v>
      </c>
      <c r="E1269" s="9">
        <v>262</v>
      </c>
      <c r="F1269" s="25">
        <v>43160</v>
      </c>
      <c r="G1269" s="46" t="s">
        <v>3362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5235</v>
      </c>
      <c r="B1270" s="67">
        <v>45967878831</v>
      </c>
      <c r="C1270" s="72"/>
      <c r="D1270" s="69"/>
      <c r="E1270" s="9">
        <v>485</v>
      </c>
      <c r="F1270" s="25">
        <v>43196</v>
      </c>
      <c r="G1270" s="70"/>
      <c r="H1270" s="9"/>
      <c r="I1270" s="8"/>
      <c r="J1270" s="8"/>
      <c r="K1270" s="8"/>
      <c r="L1270" s="9">
        <v>483</v>
      </c>
      <c r="M1270" s="8"/>
    </row>
    <row r="1271" spans="1:13">
      <c r="A1271" s="72" t="s">
        <v>5236</v>
      </c>
      <c r="B1271" s="67">
        <v>44889177809</v>
      </c>
      <c r="C1271" s="72"/>
      <c r="D1271" s="69"/>
      <c r="E1271" s="9">
        <v>443</v>
      </c>
      <c r="F1271" s="25">
        <v>43188</v>
      </c>
      <c r="G1271" s="70"/>
      <c r="H1271" s="9"/>
      <c r="I1271" s="8"/>
      <c r="J1271" s="8"/>
      <c r="K1271" s="8"/>
      <c r="L1271" s="8"/>
      <c r="M1271" s="8"/>
    </row>
    <row r="1272" spans="1:13">
      <c r="A1272" s="71" t="s">
        <v>5237</v>
      </c>
      <c r="B1272" s="67">
        <v>43581566818</v>
      </c>
      <c r="C1272" s="72"/>
      <c r="D1272" s="69"/>
      <c r="E1272" s="9">
        <v>229</v>
      </c>
      <c r="F1272" s="25">
        <v>43151</v>
      </c>
      <c r="G1272" s="70" t="s">
        <v>3356</v>
      </c>
      <c r="H1272" s="9"/>
      <c r="I1272" s="8"/>
      <c r="J1272" s="8"/>
      <c r="K1272" s="8"/>
      <c r="L1272" s="9">
        <v>232</v>
      </c>
      <c r="M1272" s="8"/>
    </row>
    <row r="1273" spans="1:13">
      <c r="A1273" s="71" t="s">
        <v>5238</v>
      </c>
      <c r="B1273" s="67">
        <v>44886132847</v>
      </c>
      <c r="C1273" s="72"/>
      <c r="D1273" s="69"/>
      <c r="E1273" s="9">
        <v>563</v>
      </c>
      <c r="F1273" s="25">
        <v>43217</v>
      </c>
      <c r="G1273" s="70"/>
      <c r="H1273" s="9"/>
      <c r="I1273" s="8"/>
      <c r="J1273" s="8"/>
      <c r="K1273" s="8"/>
      <c r="L1273" s="9" t="s">
        <v>3636</v>
      </c>
      <c r="M1273" s="8"/>
    </row>
    <row r="1274" spans="1:13">
      <c r="A1274" s="71" t="s">
        <v>5239</v>
      </c>
      <c r="B1274" s="78" t="s">
        <v>5240</v>
      </c>
      <c r="C1274" s="77"/>
      <c r="D1274" s="69"/>
      <c r="E1274" s="9"/>
      <c r="F1274" s="25"/>
      <c r="G1274" s="70"/>
      <c r="H1274" s="9"/>
      <c r="I1274" s="8"/>
      <c r="J1274" s="8"/>
      <c r="K1274" s="8"/>
      <c r="L1274" s="8"/>
      <c r="M1274" s="8"/>
    </row>
    <row r="1275" spans="1:13">
      <c r="A1275" s="71" t="s">
        <v>5241</v>
      </c>
      <c r="B1275" s="67">
        <v>62267990482</v>
      </c>
      <c r="C1275" s="72"/>
      <c r="D1275" s="69"/>
      <c r="E1275" s="9">
        <v>423</v>
      </c>
      <c r="F1275" s="25">
        <v>43182</v>
      </c>
      <c r="G1275" s="70" t="s">
        <v>3356</v>
      </c>
      <c r="H1275" s="9"/>
      <c r="I1275" s="8"/>
      <c r="J1275" s="8"/>
      <c r="K1275" s="8"/>
      <c r="L1275" s="8"/>
      <c r="M1275" s="8"/>
    </row>
    <row r="1276" spans="1:13">
      <c r="A1276" s="71" t="s">
        <v>5242</v>
      </c>
      <c r="B1276" s="67">
        <v>16354483876</v>
      </c>
      <c r="C1276" s="68" t="s">
        <v>5243</v>
      </c>
      <c r="D1276" s="69">
        <v>2853992845</v>
      </c>
      <c r="E1276" s="9">
        <v>1267</v>
      </c>
      <c r="F1276" s="25">
        <v>42998</v>
      </c>
      <c r="G1276" s="70" t="s">
        <v>3356</v>
      </c>
      <c r="H1276" s="9"/>
      <c r="I1276" s="8"/>
      <c r="J1276" s="8"/>
      <c r="K1276" s="8"/>
      <c r="L1276" s="8"/>
      <c r="M1276" s="8"/>
    </row>
    <row r="1277" spans="1:13">
      <c r="A1277" s="71" t="s">
        <v>5244</v>
      </c>
      <c r="B1277" s="67">
        <v>40753885816</v>
      </c>
      <c r="C1277" s="72" t="s">
        <v>5245</v>
      </c>
      <c r="D1277" s="69">
        <v>35877507850</v>
      </c>
      <c r="E1277" s="9">
        <v>85</v>
      </c>
      <c r="F1277" s="25">
        <v>43109</v>
      </c>
      <c r="G1277" s="70" t="s">
        <v>3356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5246</v>
      </c>
      <c r="B1278" s="67">
        <v>23725076804</v>
      </c>
      <c r="C1278" s="72"/>
      <c r="D1278" s="69"/>
      <c r="E1278" s="9">
        <v>262</v>
      </c>
      <c r="F1278" s="25">
        <v>43160</v>
      </c>
      <c r="G1278" s="70" t="s">
        <v>3356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71" t="s">
        <v>5247</v>
      </c>
      <c r="B1279" s="67">
        <v>39311045837</v>
      </c>
      <c r="C1279" s="72"/>
      <c r="D1279" s="69"/>
      <c r="E1279" s="9">
        <v>292</v>
      </c>
      <c r="F1279" s="25">
        <v>43168</v>
      </c>
      <c r="G1279" s="70" t="s">
        <v>3356</v>
      </c>
      <c r="H1279" s="9"/>
      <c r="I1279" s="8"/>
      <c r="J1279" s="8"/>
      <c r="K1279" s="8"/>
      <c r="L1279" s="9">
        <v>318</v>
      </c>
      <c r="M1279" s="8"/>
    </row>
    <row r="1280" spans="1:13">
      <c r="A1280" s="71" t="s">
        <v>5248</v>
      </c>
      <c r="B1280" s="67">
        <v>41200936892</v>
      </c>
      <c r="C1280" s="77"/>
      <c r="D1280" s="69"/>
      <c r="E1280" s="9"/>
      <c r="F1280" s="25"/>
      <c r="G1280" s="70"/>
      <c r="H1280" s="9"/>
      <c r="I1280" s="8"/>
      <c r="J1280" s="8"/>
      <c r="K1280" s="8"/>
      <c r="L1280" s="8"/>
      <c r="M1280" s="8"/>
    </row>
    <row r="1281" spans="1:13">
      <c r="A1281" s="71" t="s">
        <v>5249</v>
      </c>
      <c r="B1281" s="67">
        <v>22938943806</v>
      </c>
      <c r="C1281" s="72"/>
      <c r="D1281" s="69"/>
      <c r="E1281" s="9">
        <v>262</v>
      </c>
      <c r="F1281" s="25">
        <v>43160</v>
      </c>
      <c r="G1281" s="9" t="s">
        <v>3356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71" t="s">
        <v>5250</v>
      </c>
      <c r="B1282" s="67">
        <v>42792081821</v>
      </c>
      <c r="C1282" s="72"/>
      <c r="D1282" s="69"/>
      <c r="E1282" s="9">
        <v>443</v>
      </c>
      <c r="F1282" s="25">
        <v>43188</v>
      </c>
      <c r="G1282" s="70"/>
      <c r="H1282" s="9"/>
      <c r="I1282" s="8"/>
      <c r="J1282" s="8"/>
      <c r="K1282" s="8"/>
      <c r="L1282" s="8"/>
      <c r="M1282" s="8"/>
    </row>
    <row r="1283" spans="1:13">
      <c r="A1283" s="71" t="s">
        <v>5251</v>
      </c>
      <c r="B1283" s="67">
        <v>44632196800</v>
      </c>
      <c r="C1283" s="72" t="s">
        <v>5252</v>
      </c>
      <c r="D1283" s="69">
        <v>38901506831</v>
      </c>
      <c r="E1283" s="9">
        <v>1359</v>
      </c>
      <c r="F1283" s="25">
        <v>43006</v>
      </c>
      <c r="G1283" s="9" t="s">
        <v>3356</v>
      </c>
      <c r="H1283" s="9"/>
      <c r="I1283" s="8"/>
      <c r="J1283" s="8"/>
      <c r="K1283" s="8"/>
      <c r="L1283" s="8"/>
      <c r="M1283" s="8"/>
    </row>
    <row r="1284" spans="1:13">
      <c r="A1284" s="18" t="s">
        <v>5253</v>
      </c>
      <c r="B1284" s="67"/>
      <c r="C1284" s="18" t="s">
        <v>5254</v>
      </c>
      <c r="D1284" s="69"/>
      <c r="E1284" s="9"/>
      <c r="F1284" s="25"/>
      <c r="G1284" s="70"/>
      <c r="H1284" s="9"/>
      <c r="I1284" s="8"/>
      <c r="J1284" s="8"/>
      <c r="K1284" s="8"/>
      <c r="L1284" s="8"/>
      <c r="M1284" s="8"/>
    </row>
    <row r="1285" spans="1:13">
      <c r="A1285" s="71" t="s">
        <v>5255</v>
      </c>
      <c r="B1285" s="67">
        <v>40522805809</v>
      </c>
      <c r="C1285" s="72"/>
      <c r="D1285" s="69"/>
      <c r="E1285" s="9">
        <v>229</v>
      </c>
      <c r="F1285" s="25">
        <v>43151</v>
      </c>
      <c r="G1285" s="70" t="s">
        <v>3356</v>
      </c>
      <c r="H1285" s="9"/>
      <c r="I1285" s="8"/>
      <c r="J1285" s="8"/>
      <c r="K1285" s="8"/>
      <c r="L1285" s="9">
        <v>232</v>
      </c>
      <c r="M1285" s="8"/>
    </row>
    <row r="1286" spans="1:13">
      <c r="A1286" s="71" t="s">
        <v>5256</v>
      </c>
      <c r="B1286" s="67">
        <v>7354753505</v>
      </c>
      <c r="C1286" s="72" t="s">
        <v>5257</v>
      </c>
      <c r="D1286" s="69">
        <v>26646541876</v>
      </c>
      <c r="E1286" s="9">
        <v>117</v>
      </c>
      <c r="F1286" s="25">
        <v>43117</v>
      </c>
      <c r="G1286" s="70" t="s">
        <v>3356</v>
      </c>
      <c r="H1286" s="9"/>
      <c r="I1286" s="8"/>
      <c r="J1286" s="8"/>
      <c r="K1286" s="8"/>
      <c r="L1286" s="9" t="s">
        <v>3507</v>
      </c>
      <c r="M1286" s="8"/>
    </row>
    <row r="1287" spans="1:13">
      <c r="A1287" s="71" t="s">
        <v>5258</v>
      </c>
      <c r="B1287" s="67">
        <v>45378515890</v>
      </c>
      <c r="C1287" s="72" t="s">
        <v>5259</v>
      </c>
      <c r="D1287" s="69">
        <v>35635754520</v>
      </c>
      <c r="E1287" s="9">
        <v>1752</v>
      </c>
      <c r="F1287" s="25">
        <v>43051</v>
      </c>
      <c r="G1287" s="70" t="s">
        <v>3356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5260</v>
      </c>
      <c r="B1288" s="67">
        <v>41274505844</v>
      </c>
      <c r="C1288" s="18" t="s">
        <v>5261</v>
      </c>
      <c r="D1288" s="69">
        <v>37995816855</v>
      </c>
      <c r="E1288" s="9"/>
      <c r="F1288" s="25"/>
      <c r="G1288" s="70"/>
      <c r="H1288" s="9"/>
      <c r="I1288" s="8"/>
      <c r="J1288" s="8"/>
      <c r="K1288" s="8"/>
      <c r="L1288" s="8"/>
      <c r="M1288" s="8"/>
    </row>
    <row r="1289" spans="1:13">
      <c r="A1289" s="72" t="s">
        <v>5262</v>
      </c>
      <c r="B1289" s="67">
        <v>46583836831</v>
      </c>
      <c r="C1289" s="72" t="s">
        <v>5263</v>
      </c>
      <c r="D1289" s="69">
        <v>39199167867</v>
      </c>
      <c r="E1289" s="9">
        <v>292</v>
      </c>
      <c r="F1289" s="25">
        <v>43168</v>
      </c>
      <c r="G1289" s="9" t="s">
        <v>3356</v>
      </c>
      <c r="H1289" s="9"/>
      <c r="I1289" s="8"/>
      <c r="J1289" s="8"/>
      <c r="K1289" s="8"/>
      <c r="L1289" s="9">
        <v>318</v>
      </c>
      <c r="M1289" s="8"/>
    </row>
    <row r="1290" spans="1:13">
      <c r="A1290" s="29" t="s">
        <v>5264</v>
      </c>
      <c r="B1290" s="67"/>
      <c r="C1290" s="29" t="s">
        <v>5265</v>
      </c>
      <c r="D1290" s="69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9" t="s">
        <v>5266</v>
      </c>
      <c r="B1291" s="67">
        <v>37483362847</v>
      </c>
      <c r="C1291" s="29" t="s">
        <v>5267</v>
      </c>
      <c r="D1291" s="69">
        <v>33637268809</v>
      </c>
      <c r="E1291" s="9"/>
      <c r="F1291" s="25"/>
      <c r="G1291" s="70"/>
      <c r="H1291" s="9"/>
      <c r="I1291" s="8"/>
      <c r="J1291" s="8"/>
      <c r="K1291" s="8"/>
      <c r="L1291" s="8"/>
      <c r="M1291" s="8"/>
    </row>
    <row r="1292" spans="1:13">
      <c r="A1292" s="18" t="s">
        <v>5268</v>
      </c>
      <c r="B1292" s="67">
        <v>43663899837</v>
      </c>
      <c r="C1292" s="18" t="s">
        <v>5269</v>
      </c>
      <c r="D1292" s="69">
        <v>40179072889</v>
      </c>
      <c r="E1292" s="9"/>
      <c r="F1292" s="25"/>
      <c r="G1292" s="70"/>
      <c r="H1292" s="9"/>
      <c r="I1292" s="8"/>
      <c r="J1292" s="8"/>
      <c r="K1292" s="8"/>
      <c r="L1292" s="8"/>
      <c r="M1292" s="8"/>
    </row>
    <row r="1293" spans="1:13">
      <c r="A1293" s="71" t="s">
        <v>5270</v>
      </c>
      <c r="B1293" s="67">
        <v>39203446850</v>
      </c>
      <c r="C1293" s="72" t="s">
        <v>5271</v>
      </c>
      <c r="D1293" s="69">
        <v>39255518836</v>
      </c>
      <c r="E1293" s="9">
        <v>292</v>
      </c>
      <c r="F1293" s="25">
        <v>43168</v>
      </c>
      <c r="G1293" s="70" t="s">
        <v>3356</v>
      </c>
      <c r="H1293" s="9"/>
      <c r="I1293" s="8"/>
      <c r="J1293" s="8"/>
      <c r="K1293" s="8"/>
      <c r="L1293" s="9">
        <v>318</v>
      </c>
      <c r="M1293" s="8"/>
    </row>
    <row r="1294" spans="1:13">
      <c r="A1294" s="71" t="s">
        <v>5272</v>
      </c>
      <c r="B1294" s="67">
        <v>37165598812</v>
      </c>
      <c r="C1294" s="72"/>
      <c r="D1294" s="69"/>
      <c r="E1294" s="9"/>
      <c r="F1294" s="25"/>
      <c r="G1294" s="70"/>
      <c r="H1294" s="9"/>
      <c r="I1294" s="8"/>
      <c r="J1294" s="8"/>
      <c r="K1294" s="8"/>
      <c r="L1294" s="8"/>
      <c r="M1294" s="8"/>
    </row>
    <row r="1295" spans="1:13">
      <c r="A1295" s="15" t="s">
        <v>5273</v>
      </c>
      <c r="B1295" s="67">
        <v>45722318850</v>
      </c>
      <c r="C1295" s="72" t="s">
        <v>5274</v>
      </c>
      <c r="D1295" s="69">
        <v>61122102313</v>
      </c>
      <c r="E1295" s="9">
        <v>229</v>
      </c>
      <c r="F1295" s="25">
        <v>43151</v>
      </c>
      <c r="G1295" s="70" t="s">
        <v>3356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5275</v>
      </c>
      <c r="B1296" s="67">
        <v>8478216847</v>
      </c>
      <c r="C1296" s="72"/>
      <c r="D1296" s="69"/>
      <c r="E1296" s="9">
        <v>262</v>
      </c>
      <c r="F1296" s="25">
        <v>43160</v>
      </c>
      <c r="G1296" s="70" t="s">
        <v>3356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5276</v>
      </c>
      <c r="B1297" s="67">
        <v>47697684861</v>
      </c>
      <c r="C1297" s="72" t="s">
        <v>5277</v>
      </c>
      <c r="D1297" s="69">
        <v>42642601838</v>
      </c>
      <c r="E1297" s="9">
        <v>229</v>
      </c>
      <c r="F1297" s="25">
        <v>43151</v>
      </c>
      <c r="G1297" s="70" t="s">
        <v>3356</v>
      </c>
      <c r="H1297" s="9"/>
      <c r="I1297" s="8"/>
      <c r="J1297" s="8"/>
      <c r="K1297" s="8"/>
      <c r="L1297" s="9">
        <v>232</v>
      </c>
      <c r="M1297" s="8"/>
    </row>
    <row r="1298" spans="1:13">
      <c r="A1298" s="72" t="s">
        <v>5278</v>
      </c>
      <c r="B1298" s="67">
        <v>97503479515</v>
      </c>
      <c r="C1298" s="15" t="s">
        <v>5279</v>
      </c>
      <c r="D1298" s="69">
        <v>28269015830</v>
      </c>
      <c r="E1298" s="9">
        <v>262</v>
      </c>
      <c r="F1298" s="25">
        <v>43160</v>
      </c>
      <c r="G1298" s="70" t="s">
        <v>3356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71" t="s">
        <v>5280</v>
      </c>
      <c r="B1299" s="67">
        <v>84327510491</v>
      </c>
      <c r="C1299" s="72" t="s">
        <v>5281</v>
      </c>
      <c r="D1299" s="69">
        <v>17305875856</v>
      </c>
      <c r="E1299" s="9">
        <v>292</v>
      </c>
      <c r="F1299" s="25">
        <v>43168</v>
      </c>
      <c r="G1299" s="70" t="s">
        <v>3356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5282</v>
      </c>
      <c r="B1300" s="67">
        <v>24870791854</v>
      </c>
      <c r="C1300" s="68" t="s">
        <v>5283</v>
      </c>
      <c r="D1300" s="69">
        <v>4398744835</v>
      </c>
      <c r="E1300" s="9">
        <v>1128</v>
      </c>
      <c r="F1300" s="25">
        <v>42972</v>
      </c>
      <c r="G1300" s="70" t="s">
        <v>3356</v>
      </c>
      <c r="H1300" s="9"/>
      <c r="I1300" s="8"/>
      <c r="J1300" s="8"/>
      <c r="K1300" s="8"/>
      <c r="L1300" s="8"/>
      <c r="M1300" s="8"/>
    </row>
    <row r="1301" spans="1:13">
      <c r="A1301" s="71" t="s">
        <v>5284</v>
      </c>
      <c r="B1301" s="67">
        <v>5426932328</v>
      </c>
      <c r="C1301" s="72"/>
      <c r="D1301" s="69"/>
      <c r="E1301" s="9">
        <v>1241</v>
      </c>
      <c r="F1301" s="25">
        <v>42992</v>
      </c>
      <c r="G1301" s="70" t="s">
        <v>3356</v>
      </c>
      <c r="H1301" s="9"/>
      <c r="I1301" s="8"/>
      <c r="J1301" s="8"/>
      <c r="K1301" s="8"/>
      <c r="L1301" s="8"/>
      <c r="M1301" s="8"/>
    </row>
    <row r="1302" spans="1:13">
      <c r="A1302" s="29" t="s">
        <v>5285</v>
      </c>
      <c r="B1302" s="67"/>
      <c r="C1302" s="18" t="s">
        <v>3466</v>
      </c>
      <c r="D1302" s="69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71" t="s">
        <v>5286</v>
      </c>
      <c r="B1303" s="67">
        <v>25533246851</v>
      </c>
      <c r="C1303" s="72" t="s">
        <v>5287</v>
      </c>
      <c r="D1303" s="69">
        <v>2336832836</v>
      </c>
      <c r="E1303" s="9">
        <v>810</v>
      </c>
      <c r="F1303" s="25">
        <v>42915</v>
      </c>
      <c r="G1303" s="70" t="s">
        <v>3356</v>
      </c>
      <c r="H1303" s="9"/>
      <c r="I1303" s="8"/>
      <c r="J1303" s="8"/>
      <c r="K1303" s="8"/>
      <c r="L1303" s="9" t="s">
        <v>3475</v>
      </c>
      <c r="M1303" s="8"/>
    </row>
    <row r="1304" spans="1:13">
      <c r="A1304" s="71" t="s">
        <v>5288</v>
      </c>
      <c r="B1304" s="67">
        <v>47116625453</v>
      </c>
      <c r="C1304" s="72"/>
      <c r="D1304" s="69"/>
      <c r="E1304" s="9">
        <v>1350</v>
      </c>
      <c r="F1304" s="25">
        <v>43006</v>
      </c>
      <c r="G1304" s="70" t="s">
        <v>3356</v>
      </c>
      <c r="H1304" s="9"/>
      <c r="I1304" s="8"/>
      <c r="J1304" s="8"/>
      <c r="K1304" s="8"/>
      <c r="L1304" s="8"/>
      <c r="M1304" s="8"/>
    </row>
    <row r="1305" spans="1:13">
      <c r="A1305" s="15" t="s">
        <v>5289</v>
      </c>
      <c r="B1305" s="67">
        <v>29279558838</v>
      </c>
      <c r="C1305" s="72"/>
      <c r="D1305" s="69"/>
      <c r="E1305" s="9"/>
      <c r="F1305" s="25"/>
      <c r="G1305" s="70"/>
      <c r="H1305" s="9"/>
      <c r="I1305" s="8"/>
      <c r="J1305" s="8"/>
      <c r="K1305" s="8"/>
      <c r="L1305" s="8"/>
      <c r="M1305" s="8"/>
    </row>
    <row r="1306" spans="1:13">
      <c r="A1306" s="15" t="s">
        <v>5290</v>
      </c>
      <c r="B1306" s="67">
        <v>78092965404</v>
      </c>
      <c r="C1306" s="72"/>
      <c r="D1306" s="69"/>
      <c r="E1306" s="9"/>
      <c r="F1306" s="25"/>
      <c r="G1306" s="70"/>
      <c r="H1306" s="9"/>
      <c r="I1306" s="8"/>
      <c r="J1306" s="8"/>
      <c r="K1306" s="8"/>
      <c r="L1306" s="8"/>
      <c r="M1306" s="8"/>
    </row>
    <row r="1307" spans="1:13">
      <c r="A1307" s="72" t="s">
        <v>5291</v>
      </c>
      <c r="B1307" s="67">
        <v>90077814800</v>
      </c>
      <c r="C1307" s="72"/>
      <c r="D1307" s="69"/>
      <c r="E1307" s="9"/>
      <c r="F1307" s="25"/>
      <c r="G1307" s="70"/>
      <c r="H1307" s="9"/>
      <c r="I1307" s="8"/>
      <c r="J1307" s="8"/>
      <c r="K1307" s="8"/>
      <c r="L1307" s="8"/>
      <c r="M1307" s="8"/>
    </row>
    <row r="1308" spans="1:13">
      <c r="A1308" s="18" t="s">
        <v>5292</v>
      </c>
      <c r="B1308" s="67">
        <v>89273710891</v>
      </c>
      <c r="C1308" s="18"/>
      <c r="D1308" s="69"/>
      <c r="E1308" s="9"/>
      <c r="F1308" s="25"/>
      <c r="G1308" s="70"/>
      <c r="H1308" s="9"/>
      <c r="I1308" s="8"/>
      <c r="J1308" s="8"/>
      <c r="K1308" s="8"/>
      <c r="L1308" s="8"/>
      <c r="M1308" s="8"/>
    </row>
    <row r="1309" spans="1:13">
      <c r="A1309" s="71" t="s">
        <v>5293</v>
      </c>
      <c r="B1309" s="67">
        <v>98433466453</v>
      </c>
      <c r="C1309" s="72"/>
      <c r="D1309" s="69"/>
      <c r="E1309" s="9"/>
      <c r="F1309" s="25"/>
      <c r="G1309" s="70"/>
      <c r="H1309" s="9"/>
      <c r="I1309" s="8"/>
      <c r="J1309" s="8"/>
      <c r="K1309" s="8"/>
      <c r="L1309" s="8"/>
      <c r="M1309" s="8"/>
    </row>
    <row r="1310" spans="1:13">
      <c r="A1310" s="15" t="s">
        <v>5294</v>
      </c>
      <c r="B1310" s="67">
        <v>2993507893</v>
      </c>
      <c r="C1310" s="72"/>
      <c r="D1310" s="69"/>
      <c r="E1310" s="9"/>
      <c r="F1310" s="25"/>
      <c r="G1310" s="70"/>
      <c r="H1310" s="9"/>
      <c r="I1310" s="8"/>
      <c r="J1310" s="8"/>
      <c r="K1310" s="8"/>
      <c r="L1310" s="8"/>
      <c r="M1310" s="8"/>
    </row>
    <row r="1311" spans="1:13">
      <c r="A1311" s="72" t="s">
        <v>5295</v>
      </c>
      <c r="B1311" s="67">
        <v>38941886856</v>
      </c>
      <c r="C1311" s="72"/>
      <c r="D1311" s="69"/>
      <c r="E1311" s="9">
        <v>292</v>
      </c>
      <c r="F1311" s="25">
        <v>43168</v>
      </c>
      <c r="G1311" s="9" t="s">
        <v>3356</v>
      </c>
      <c r="H1311" s="9"/>
      <c r="I1311" s="8"/>
      <c r="J1311" s="8"/>
      <c r="K1311" s="8"/>
      <c r="L1311" s="9">
        <v>318</v>
      </c>
      <c r="M1311" s="8"/>
    </row>
    <row r="1312" spans="1:13">
      <c r="A1312" s="71" t="s">
        <v>5296</v>
      </c>
      <c r="B1312" s="67">
        <v>24992183808</v>
      </c>
      <c r="C1312" s="72"/>
      <c r="D1312" s="69"/>
      <c r="E1312" s="9">
        <v>1106</v>
      </c>
      <c r="F1312" s="25">
        <v>42965</v>
      </c>
      <c r="G1312" s="70" t="s">
        <v>3356</v>
      </c>
      <c r="H1312" s="9"/>
      <c r="I1312" s="8"/>
      <c r="J1312" s="8"/>
      <c r="K1312" s="8"/>
      <c r="L1312" s="8"/>
      <c r="M1312" s="8"/>
    </row>
    <row r="1313" spans="1:13">
      <c r="A1313" s="18" t="s">
        <v>5297</v>
      </c>
      <c r="B1313" s="67">
        <v>17245334870</v>
      </c>
      <c r="C1313" s="18"/>
      <c r="D1313" s="69"/>
      <c r="E1313" s="9"/>
      <c r="F1313" s="25"/>
      <c r="G1313" s="70"/>
      <c r="H1313" s="9"/>
      <c r="I1313" s="8"/>
      <c r="J1313" s="8"/>
      <c r="K1313" s="8"/>
      <c r="L1313" s="8"/>
      <c r="M1313" s="8"/>
    </row>
    <row r="1314" spans="1:13">
      <c r="A1314" s="15" t="s">
        <v>5298</v>
      </c>
      <c r="B1314" s="67">
        <v>35553677491</v>
      </c>
      <c r="C1314" s="72"/>
      <c r="D1314" s="69"/>
      <c r="E1314" s="9"/>
      <c r="F1314" s="25"/>
      <c r="G1314" s="70"/>
      <c r="H1314" s="9"/>
      <c r="I1314" s="8"/>
      <c r="J1314" s="8"/>
      <c r="K1314" s="8"/>
      <c r="L1314" s="8"/>
      <c r="M1314" s="8"/>
    </row>
    <row r="1315" spans="1:13">
      <c r="A1315" s="71" t="s">
        <v>5299</v>
      </c>
      <c r="B1315" s="67">
        <v>10359607888</v>
      </c>
      <c r="C1315" s="72"/>
      <c r="D1315" s="69"/>
      <c r="E1315" s="9">
        <v>1417</v>
      </c>
      <c r="F1315" s="25">
        <v>43017</v>
      </c>
      <c r="G1315" s="70" t="s">
        <v>3356</v>
      </c>
      <c r="H1315" s="9"/>
      <c r="I1315" s="8"/>
      <c r="J1315" s="8"/>
      <c r="K1315" s="8"/>
      <c r="L1315" s="9" t="s">
        <v>3590</v>
      </c>
      <c r="M1315" s="8"/>
    </row>
    <row r="1316" spans="1:13">
      <c r="A1316" s="71" t="s">
        <v>5300</v>
      </c>
      <c r="B1316" s="67">
        <v>73756393534</v>
      </c>
      <c r="C1316" s="72"/>
      <c r="D1316" s="69"/>
      <c r="E1316" s="9">
        <v>1106</v>
      </c>
      <c r="F1316" s="25">
        <v>42965</v>
      </c>
      <c r="G1316" s="70" t="s">
        <v>3356</v>
      </c>
      <c r="H1316" s="9"/>
      <c r="I1316" s="8"/>
      <c r="J1316" s="8"/>
      <c r="K1316" s="8"/>
      <c r="L1316" s="8"/>
      <c r="M1316" s="8"/>
    </row>
    <row r="1317" spans="1:13">
      <c r="A1317" s="18" t="s">
        <v>5301</v>
      </c>
      <c r="B1317" s="67">
        <v>10450938824</v>
      </c>
      <c r="C1317" s="18"/>
      <c r="D1317" s="69"/>
      <c r="E1317" s="9"/>
      <c r="F1317" s="25"/>
      <c r="G1317" s="70"/>
      <c r="H1317" s="9"/>
      <c r="I1317" s="8"/>
      <c r="J1317" s="8"/>
      <c r="K1317" s="8"/>
      <c r="L1317" s="8"/>
      <c r="M1317" s="8"/>
    </row>
    <row r="1318" spans="1:13">
      <c r="A1318" s="71" t="s">
        <v>5302</v>
      </c>
      <c r="B1318" s="67">
        <v>30077566858</v>
      </c>
      <c r="C1318" s="72"/>
      <c r="D1318" s="69"/>
      <c r="E1318" s="9">
        <v>1439</v>
      </c>
      <c r="F1318" s="25">
        <v>43025</v>
      </c>
      <c r="G1318" s="70" t="s">
        <v>3356</v>
      </c>
      <c r="H1318" s="9"/>
      <c r="I1318" s="8"/>
      <c r="J1318" s="8"/>
      <c r="K1318" s="8"/>
      <c r="L1318" s="9" t="s">
        <v>3838</v>
      </c>
      <c r="M1318" s="8"/>
    </row>
    <row r="1319" spans="1:13">
      <c r="A1319" s="15" t="s">
        <v>5303</v>
      </c>
      <c r="B1319" s="67">
        <v>6354096589</v>
      </c>
      <c r="C1319" s="73"/>
      <c r="D1319" s="69"/>
      <c r="E1319" s="9"/>
      <c r="F1319" s="25"/>
      <c r="G1319" s="70"/>
      <c r="H1319" s="9"/>
      <c r="I1319" s="8"/>
      <c r="J1319" s="8"/>
      <c r="K1319" s="8"/>
      <c r="L1319" s="8"/>
      <c r="M1319" s="8"/>
    </row>
    <row r="1320" spans="1:13">
      <c r="A1320" s="15" t="s">
        <v>5304</v>
      </c>
      <c r="B1320" s="67">
        <v>70771006420</v>
      </c>
      <c r="C1320" s="72"/>
      <c r="D1320" s="69"/>
      <c r="E1320" s="9"/>
      <c r="F1320" s="25"/>
      <c r="G1320" s="70"/>
      <c r="H1320" s="9"/>
      <c r="I1320" s="8"/>
      <c r="J1320" s="8"/>
      <c r="K1320" s="8"/>
      <c r="L1320" s="8"/>
      <c r="M1320" s="8"/>
    </row>
    <row r="1321" spans="1:13">
      <c r="A1321" s="15" t="s">
        <v>5305</v>
      </c>
      <c r="B1321" s="67">
        <v>34076893816</v>
      </c>
      <c r="C1321" s="72"/>
      <c r="D1321" s="69"/>
      <c r="E1321" s="9">
        <v>85</v>
      </c>
      <c r="F1321" s="25">
        <v>43109</v>
      </c>
      <c r="G1321" s="70" t="s">
        <v>3356</v>
      </c>
      <c r="H1321" s="25">
        <v>43151</v>
      </c>
      <c r="I1321" s="8"/>
      <c r="J1321" s="8"/>
      <c r="K1321" s="8"/>
      <c r="L1321" s="8"/>
      <c r="M1321" s="8"/>
    </row>
    <row r="1322" spans="1:13">
      <c r="A1322" s="71" t="s">
        <v>5306</v>
      </c>
      <c r="B1322" s="67">
        <v>10519320921</v>
      </c>
      <c r="C1322" s="77" t="s">
        <v>5307</v>
      </c>
      <c r="D1322" s="69">
        <v>2310751545</v>
      </c>
      <c r="E1322" s="9"/>
      <c r="F1322" s="25"/>
      <c r="G1322" s="70"/>
      <c r="H1322" s="9"/>
      <c r="I1322" s="8"/>
      <c r="J1322" s="8"/>
      <c r="K1322" s="8"/>
      <c r="L1322" s="8"/>
      <c r="M1322" s="8"/>
    </row>
    <row r="1323" spans="1:13">
      <c r="A1323" s="71" t="s">
        <v>5308</v>
      </c>
      <c r="B1323" s="67">
        <v>26845797846</v>
      </c>
      <c r="C1323" s="72"/>
      <c r="D1323" s="69"/>
      <c r="E1323" s="9">
        <v>1214</v>
      </c>
      <c r="F1323" s="25">
        <v>42989</v>
      </c>
      <c r="G1323" s="70" t="s">
        <v>3356</v>
      </c>
      <c r="H1323" s="9"/>
      <c r="I1323" s="8"/>
      <c r="J1323" s="8"/>
      <c r="K1323" s="8"/>
      <c r="L1323" s="8"/>
      <c r="M1323" s="8"/>
    </row>
    <row r="1324" spans="1:13">
      <c r="A1324" s="29" t="s">
        <v>5309</v>
      </c>
      <c r="B1324" s="67"/>
      <c r="C1324" s="18" t="s">
        <v>3466</v>
      </c>
      <c r="D1324" s="69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71" t="s">
        <v>5310</v>
      </c>
      <c r="B1325" s="67">
        <v>2186448505</v>
      </c>
      <c r="C1325" s="72"/>
      <c r="D1325" s="69"/>
      <c r="E1325" s="9"/>
      <c r="F1325" s="25"/>
      <c r="G1325" s="70"/>
      <c r="H1325" s="9"/>
      <c r="I1325" s="8"/>
      <c r="J1325" s="8"/>
      <c r="K1325" s="8"/>
      <c r="L1325" s="8"/>
      <c r="M1325" s="8"/>
    </row>
    <row r="1326" spans="1:13">
      <c r="A1326" s="29" t="s">
        <v>5311</v>
      </c>
      <c r="B1326" s="67"/>
      <c r="C1326" s="29" t="s">
        <v>3466</v>
      </c>
      <c r="D1326" s="69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71" t="s">
        <v>5312</v>
      </c>
      <c r="B1327" s="67">
        <v>26446436866</v>
      </c>
      <c r="C1327" s="72"/>
      <c r="D1327" s="69"/>
      <c r="E1327" s="9">
        <v>1214</v>
      </c>
      <c r="F1327" s="25">
        <v>42989</v>
      </c>
      <c r="G1327" s="70" t="s">
        <v>3356</v>
      </c>
      <c r="H1327" s="9"/>
      <c r="I1327" s="8"/>
      <c r="J1327" s="8"/>
      <c r="K1327" s="8"/>
      <c r="L1327" s="8"/>
      <c r="M1327" s="8"/>
    </row>
    <row r="1328" spans="1:13">
      <c r="A1328" s="71" t="s">
        <v>5313</v>
      </c>
      <c r="B1328" s="67">
        <v>14047193852</v>
      </c>
      <c r="C1328" s="72"/>
      <c r="D1328" s="69"/>
      <c r="E1328" s="9"/>
      <c r="F1328" s="25"/>
      <c r="G1328" s="70"/>
      <c r="H1328" s="9"/>
      <c r="I1328" s="8"/>
      <c r="J1328" s="8"/>
      <c r="K1328" s="8"/>
      <c r="L1328" s="8"/>
      <c r="M1328" s="8"/>
    </row>
    <row r="1329" spans="1:13">
      <c r="A1329" s="71" t="s">
        <v>5314</v>
      </c>
      <c r="B1329" s="67">
        <v>52674142472</v>
      </c>
      <c r="C1329" s="72"/>
      <c r="D1329" s="69"/>
      <c r="E1329" s="9">
        <v>1106</v>
      </c>
      <c r="F1329" s="25">
        <v>42965</v>
      </c>
      <c r="G1329" s="70" t="s">
        <v>3356</v>
      </c>
      <c r="H1329" s="9"/>
      <c r="I1329" s="8"/>
      <c r="J1329" s="8"/>
      <c r="K1329" s="8"/>
      <c r="L1329" s="8"/>
      <c r="M1329" s="8"/>
    </row>
    <row r="1330" spans="1:13">
      <c r="A1330" s="15" t="s">
        <v>5315</v>
      </c>
      <c r="B1330" s="67">
        <v>85700274434</v>
      </c>
      <c r="C1330" s="73"/>
      <c r="D1330" s="69"/>
      <c r="E1330" s="9"/>
      <c r="F1330" s="25"/>
      <c r="G1330" s="70"/>
      <c r="H1330" s="9"/>
      <c r="I1330" s="8"/>
      <c r="J1330" s="8"/>
      <c r="K1330" s="8"/>
      <c r="L1330" s="8"/>
      <c r="M1330" s="8"/>
    </row>
    <row r="1331" spans="1:13">
      <c r="A1331" s="71" t="s">
        <v>5316</v>
      </c>
      <c r="B1331" s="67">
        <v>25824127832</v>
      </c>
      <c r="C1331" s="72"/>
      <c r="D1331" s="69"/>
      <c r="E1331" s="9">
        <v>1752</v>
      </c>
      <c r="F1331" s="25">
        <v>43051</v>
      </c>
      <c r="G1331" s="70" t="s">
        <v>3356</v>
      </c>
      <c r="H1331" s="9"/>
      <c r="I1331" s="8"/>
      <c r="J1331" s="8"/>
      <c r="K1331" s="8"/>
      <c r="L1331" s="9">
        <v>1759</v>
      </c>
      <c r="M1331" s="8"/>
    </row>
    <row r="1332" spans="1:13">
      <c r="A1332" s="72" t="s">
        <v>5317</v>
      </c>
      <c r="B1332" s="67">
        <v>27211072830</v>
      </c>
      <c r="C1332" s="72" t="s">
        <v>5318</v>
      </c>
      <c r="D1332" s="69">
        <v>33489007867</v>
      </c>
      <c r="E1332" s="9"/>
      <c r="F1332" s="25"/>
      <c r="G1332" s="70"/>
      <c r="H1332" s="9"/>
      <c r="I1332" s="8"/>
      <c r="J1332" s="8"/>
      <c r="K1332" s="8"/>
      <c r="L1332" s="8"/>
      <c r="M1332" s="8"/>
    </row>
    <row r="1333" spans="1:13">
      <c r="A1333" s="72" t="s">
        <v>5319</v>
      </c>
      <c r="B1333" s="67">
        <v>42824118806</v>
      </c>
      <c r="C1333" s="72"/>
      <c r="D1333" s="69"/>
      <c r="E1333" s="9"/>
      <c r="F1333" s="25"/>
      <c r="G1333" s="70"/>
      <c r="H1333" s="9"/>
      <c r="I1333" s="8"/>
      <c r="J1333" s="8"/>
      <c r="K1333" s="8"/>
      <c r="L1333" s="8"/>
      <c r="M1333" s="8"/>
    </row>
    <row r="1334" spans="1:13">
      <c r="A1334" s="71" t="s">
        <v>5320</v>
      </c>
      <c r="B1334" s="67">
        <v>35197770880</v>
      </c>
      <c r="C1334" s="72" t="s">
        <v>5321</v>
      </c>
      <c r="D1334" s="69">
        <v>40663771811</v>
      </c>
      <c r="E1334" s="9">
        <v>509</v>
      </c>
      <c r="F1334" s="25">
        <v>43203</v>
      </c>
      <c r="G1334" s="76"/>
      <c r="H1334" s="76">
        <v>43213</v>
      </c>
      <c r="I1334" s="8"/>
      <c r="J1334" s="8"/>
      <c r="K1334" s="8"/>
      <c r="L1334" s="8">
        <v>516</v>
      </c>
      <c r="M1334" s="8"/>
    </row>
    <row r="1335" spans="1:13">
      <c r="A1335" s="71" t="s">
        <v>5322</v>
      </c>
      <c r="B1335" s="67">
        <v>40291686800</v>
      </c>
      <c r="C1335" s="72"/>
      <c r="D1335" s="69"/>
      <c r="E1335" s="9"/>
      <c r="F1335" s="25"/>
      <c r="G1335" s="70"/>
      <c r="H1335" s="76">
        <v>43213</v>
      </c>
      <c r="I1335" s="8"/>
      <c r="J1335" s="8"/>
      <c r="K1335" s="8"/>
      <c r="L1335" s="8"/>
      <c r="M1335" s="8"/>
    </row>
    <row r="1336" spans="1:13">
      <c r="A1336" s="71" t="s">
        <v>5323</v>
      </c>
      <c r="B1336" s="67">
        <v>35236970857</v>
      </c>
      <c r="C1336" s="68" t="s">
        <v>5324</v>
      </c>
      <c r="D1336" s="69">
        <v>41901199894</v>
      </c>
      <c r="E1336" s="9">
        <v>1417</v>
      </c>
      <c r="F1336" s="25">
        <v>43017</v>
      </c>
      <c r="G1336" s="70" t="s">
        <v>3356</v>
      </c>
      <c r="H1336" s="76">
        <v>43213</v>
      </c>
      <c r="I1336" s="8"/>
      <c r="J1336" s="8"/>
      <c r="K1336" s="8"/>
      <c r="L1336" s="9" t="s">
        <v>3590</v>
      </c>
      <c r="M1336" s="8"/>
    </row>
    <row r="1337" spans="1:13">
      <c r="A1337" s="71" t="s">
        <v>5325</v>
      </c>
      <c r="B1337" s="67">
        <v>34455580867</v>
      </c>
      <c r="C1337" s="68"/>
      <c r="D1337" s="69"/>
      <c r="E1337" s="9">
        <v>1128</v>
      </c>
      <c r="F1337" s="25">
        <v>42972</v>
      </c>
      <c r="G1337" s="70" t="s">
        <v>3356</v>
      </c>
      <c r="H1337" s="76">
        <v>43213</v>
      </c>
      <c r="I1337" s="8"/>
      <c r="J1337" s="8"/>
      <c r="K1337" s="8"/>
      <c r="L1337" s="8"/>
      <c r="M1337" s="8"/>
    </row>
    <row r="1338" spans="1:13">
      <c r="A1338" s="29" t="s">
        <v>5326</v>
      </c>
      <c r="B1338" s="67"/>
      <c r="C1338" s="29" t="s">
        <v>3466</v>
      </c>
      <c r="D1338" s="69"/>
      <c r="E1338" s="9"/>
      <c r="F1338" s="25"/>
      <c r="G1338" s="2"/>
      <c r="H1338" s="76">
        <v>43213</v>
      </c>
      <c r="I1338" s="8"/>
      <c r="J1338" s="8"/>
      <c r="K1338" s="8"/>
      <c r="L1338" s="8"/>
      <c r="M1338" s="8"/>
    </row>
    <row r="1339" spans="1:13">
      <c r="A1339" s="71" t="s">
        <v>5327</v>
      </c>
      <c r="B1339" s="67">
        <v>4310949690</v>
      </c>
      <c r="C1339" s="72"/>
      <c r="D1339" s="69"/>
      <c r="E1339" s="9">
        <v>292</v>
      </c>
      <c r="F1339" s="25">
        <v>43168</v>
      </c>
      <c r="G1339" s="9" t="s">
        <v>3356</v>
      </c>
      <c r="H1339" s="76">
        <v>43213</v>
      </c>
      <c r="I1339" s="8"/>
      <c r="J1339" s="8"/>
      <c r="K1339" s="8"/>
      <c r="L1339" s="9">
        <v>318</v>
      </c>
      <c r="M1339" s="8"/>
    </row>
    <row r="1340" spans="1:13">
      <c r="A1340" s="72" t="s">
        <v>5328</v>
      </c>
      <c r="B1340" s="67">
        <v>5263835850</v>
      </c>
      <c r="C1340" s="72" t="s">
        <v>5329</v>
      </c>
      <c r="D1340" s="69">
        <v>18461500865</v>
      </c>
      <c r="E1340" s="9"/>
      <c r="F1340" s="25"/>
      <c r="G1340" s="70"/>
      <c r="H1340" s="76">
        <v>43213</v>
      </c>
      <c r="I1340" s="8"/>
      <c r="J1340" s="8"/>
      <c r="K1340" s="8"/>
      <c r="L1340" s="8"/>
      <c r="M1340" s="8"/>
    </row>
    <row r="1341" spans="1:13">
      <c r="A1341" s="71" t="s">
        <v>5330</v>
      </c>
      <c r="B1341" s="67">
        <v>29230365572</v>
      </c>
      <c r="C1341" s="72"/>
      <c r="D1341" s="69"/>
      <c r="E1341" s="9">
        <v>1824</v>
      </c>
      <c r="F1341" s="25">
        <v>43091</v>
      </c>
      <c r="G1341" s="70" t="s">
        <v>3356</v>
      </c>
      <c r="H1341" s="76">
        <v>43213</v>
      </c>
      <c r="I1341" s="8"/>
      <c r="J1341" s="8"/>
      <c r="K1341" s="8"/>
      <c r="L1341" s="9">
        <v>1828</v>
      </c>
      <c r="M1341" s="8"/>
    </row>
    <row r="1342" spans="1:13">
      <c r="A1342" s="71" t="s">
        <v>5331</v>
      </c>
      <c r="B1342" s="67">
        <v>18506628865</v>
      </c>
      <c r="C1342" s="72"/>
      <c r="D1342" s="69"/>
      <c r="E1342" s="9">
        <v>117</v>
      </c>
      <c r="F1342" s="25">
        <v>43117</v>
      </c>
      <c r="G1342" s="70" t="s">
        <v>3356</v>
      </c>
      <c r="H1342" s="76">
        <v>43213</v>
      </c>
      <c r="I1342" s="8"/>
      <c r="J1342" s="8"/>
      <c r="K1342" s="8"/>
      <c r="L1342" s="9" t="s">
        <v>3507</v>
      </c>
      <c r="M1342" s="8"/>
    </row>
    <row r="1343" spans="1:13">
      <c r="A1343" s="29" t="s">
        <v>5332</v>
      </c>
      <c r="B1343" s="67">
        <v>31148209808</v>
      </c>
      <c r="C1343" s="18" t="s">
        <v>3466</v>
      </c>
      <c r="D1343" s="69"/>
      <c r="E1343" s="9"/>
      <c r="F1343" s="25"/>
      <c r="G1343" s="70"/>
      <c r="H1343" s="76">
        <v>43213</v>
      </c>
      <c r="I1343" s="8"/>
      <c r="J1343" s="8"/>
      <c r="K1343" s="8"/>
      <c r="L1343" s="8"/>
      <c r="M1343" s="8"/>
    </row>
    <row r="1344" spans="1:13">
      <c r="A1344" s="71" t="s">
        <v>5333</v>
      </c>
      <c r="B1344" s="67">
        <v>32072608880</v>
      </c>
      <c r="C1344" s="72"/>
      <c r="D1344" s="69"/>
      <c r="E1344" s="9"/>
      <c r="F1344" s="25"/>
      <c r="G1344" s="70"/>
      <c r="H1344" s="9"/>
      <c r="I1344" s="8"/>
      <c r="J1344" s="8"/>
      <c r="K1344" s="8"/>
      <c r="L1344" s="8"/>
      <c r="M1344" s="8"/>
    </row>
    <row r="1345" spans="1:13">
      <c r="A1345" s="71" t="s">
        <v>5334</v>
      </c>
      <c r="B1345" s="67">
        <v>11907186859</v>
      </c>
      <c r="C1345" s="72"/>
      <c r="D1345" s="69"/>
      <c r="E1345" s="9">
        <v>1752</v>
      </c>
      <c r="F1345" s="25">
        <v>43051</v>
      </c>
      <c r="G1345" s="70" t="s">
        <v>3356</v>
      </c>
      <c r="H1345" s="9"/>
      <c r="I1345" s="8"/>
      <c r="J1345" s="8"/>
      <c r="K1345" s="8"/>
      <c r="L1345" s="9">
        <v>1759</v>
      </c>
      <c r="M1345" s="8"/>
    </row>
    <row r="1346" spans="1:13">
      <c r="A1346" s="71" t="s">
        <v>5335</v>
      </c>
      <c r="B1346" s="67">
        <v>85794398507</v>
      </c>
      <c r="C1346" s="72" t="s">
        <v>5336</v>
      </c>
      <c r="D1346" s="69">
        <v>59689188534</v>
      </c>
      <c r="E1346" s="9">
        <v>292</v>
      </c>
      <c r="F1346" s="25">
        <v>43168</v>
      </c>
      <c r="G1346" s="70" t="s">
        <v>3356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5337</v>
      </c>
      <c r="B1347" s="67">
        <v>2770765442</v>
      </c>
      <c r="C1347" s="72" t="s">
        <v>5338</v>
      </c>
      <c r="D1347" s="69">
        <v>24730161866</v>
      </c>
      <c r="E1347" s="9">
        <v>229</v>
      </c>
      <c r="F1347" s="25">
        <v>43151</v>
      </c>
      <c r="G1347" s="70" t="s">
        <v>3356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5339</v>
      </c>
      <c r="B1348" s="67">
        <v>1295044838</v>
      </c>
      <c r="C1348" s="72" t="s">
        <v>5340</v>
      </c>
      <c r="D1348" s="69">
        <v>29976206860</v>
      </c>
      <c r="E1348" s="9">
        <v>485</v>
      </c>
      <c r="F1348" s="25">
        <v>43196</v>
      </c>
      <c r="G1348" s="70" t="s">
        <v>3362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5341</v>
      </c>
      <c r="B1349" s="67">
        <v>25137412856</v>
      </c>
      <c r="C1349" s="72"/>
      <c r="D1349" s="69"/>
      <c r="E1349" s="9">
        <v>1824</v>
      </c>
      <c r="F1349" s="25">
        <v>43091</v>
      </c>
      <c r="G1349" s="70" t="s">
        <v>3356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5342</v>
      </c>
      <c r="B1350" s="67">
        <v>3298866652</v>
      </c>
      <c r="C1350" s="72"/>
      <c r="D1350" s="69"/>
      <c r="E1350" s="9"/>
      <c r="F1350" s="25"/>
      <c r="G1350" s="70"/>
      <c r="H1350" s="9"/>
      <c r="I1350" s="8"/>
      <c r="J1350" s="8"/>
      <c r="K1350" s="8"/>
      <c r="L1350" s="8"/>
      <c r="M1350" s="8"/>
    </row>
    <row r="1351" spans="1:13">
      <c r="A1351" s="71" t="s">
        <v>5343</v>
      </c>
      <c r="B1351" s="67">
        <v>6391703825</v>
      </c>
      <c r="C1351" s="72"/>
      <c r="D1351" s="69"/>
      <c r="E1351" s="9"/>
      <c r="F1351" s="25"/>
      <c r="G1351" s="70"/>
      <c r="H1351" s="9"/>
      <c r="I1351" s="8"/>
      <c r="J1351" s="8"/>
      <c r="K1351" s="8"/>
      <c r="L1351" s="8"/>
      <c r="M1351" s="8"/>
    </row>
    <row r="1352" spans="1:13">
      <c r="A1352" s="71" t="s">
        <v>5344</v>
      </c>
      <c r="B1352" s="67">
        <v>52479242315</v>
      </c>
      <c r="C1352" s="72"/>
      <c r="D1352" s="69"/>
      <c r="E1352" s="9">
        <v>1214</v>
      </c>
      <c r="F1352" s="25">
        <v>42989</v>
      </c>
      <c r="G1352" s="70" t="s">
        <v>3356</v>
      </c>
      <c r="H1352" s="9"/>
      <c r="I1352" s="8"/>
      <c r="J1352" s="8"/>
      <c r="K1352" s="8"/>
      <c r="L1352" s="8"/>
      <c r="M1352" s="8"/>
    </row>
    <row r="1353" spans="1:13">
      <c r="A1353" s="71" t="s">
        <v>5345</v>
      </c>
      <c r="B1353" s="67">
        <v>80932819320</v>
      </c>
      <c r="C1353" s="72"/>
      <c r="D1353" s="69"/>
      <c r="E1353" s="9">
        <v>1214</v>
      </c>
      <c r="F1353" s="25">
        <v>42989</v>
      </c>
      <c r="G1353" s="70" t="s">
        <v>3356</v>
      </c>
      <c r="H1353" s="9"/>
      <c r="I1353" s="8"/>
      <c r="J1353" s="8"/>
      <c r="K1353" s="8"/>
      <c r="L1353" s="8"/>
      <c r="M1353" s="8"/>
    </row>
    <row r="1354" spans="1:13">
      <c r="A1354" s="15" t="s">
        <v>5346</v>
      </c>
      <c r="B1354" s="67">
        <v>28298254899</v>
      </c>
      <c r="C1354" s="72"/>
      <c r="D1354" s="69"/>
      <c r="E1354" s="9"/>
      <c r="F1354" s="25"/>
      <c r="G1354" s="70"/>
      <c r="H1354" s="9"/>
      <c r="I1354" s="8"/>
      <c r="J1354" s="8"/>
      <c r="K1354" s="8"/>
      <c r="L1354" s="8"/>
      <c r="M1354" s="8"/>
    </row>
    <row r="1355" spans="1:13">
      <c r="A1355" s="14" t="s">
        <v>5347</v>
      </c>
      <c r="B1355" s="67">
        <v>75678772520</v>
      </c>
      <c r="C1355" s="72" t="s">
        <v>5348</v>
      </c>
      <c r="D1355" s="69">
        <v>2724517466</v>
      </c>
      <c r="E1355" s="9"/>
      <c r="F1355" s="25"/>
      <c r="G1355" s="70"/>
      <c r="H1355" s="9"/>
      <c r="I1355" s="8"/>
      <c r="J1355" s="8"/>
      <c r="K1355" s="8"/>
      <c r="L1355" s="8"/>
      <c r="M1355" s="8"/>
    </row>
    <row r="1356" spans="1:13">
      <c r="A1356" s="71" t="s">
        <v>5349</v>
      </c>
      <c r="B1356" s="67">
        <v>48196240325</v>
      </c>
      <c r="C1356" s="72"/>
      <c r="D1356" s="69"/>
      <c r="E1356" s="9"/>
      <c r="F1356" s="25"/>
      <c r="G1356" s="70"/>
      <c r="H1356" s="9"/>
      <c r="I1356" s="8"/>
      <c r="J1356" s="8"/>
      <c r="K1356" s="8"/>
      <c r="L1356" s="8"/>
      <c r="M1356" s="8"/>
    </row>
    <row r="1357" spans="1:13">
      <c r="A1357" s="71" t="s">
        <v>5350</v>
      </c>
      <c r="B1357" s="67">
        <v>14608508822</v>
      </c>
      <c r="C1357" s="72"/>
      <c r="D1357" s="69"/>
      <c r="E1357" s="9"/>
      <c r="F1357" s="25"/>
      <c r="G1357" s="70"/>
      <c r="H1357" s="9"/>
      <c r="I1357" s="8"/>
      <c r="J1357" s="8"/>
      <c r="K1357" s="8"/>
      <c r="L1357" s="8"/>
      <c r="M1357" s="8"/>
    </row>
    <row r="1358" spans="1:13">
      <c r="A1358" s="15" t="s">
        <v>5351</v>
      </c>
      <c r="B1358" s="67">
        <v>1810483883</v>
      </c>
      <c r="C1358" s="72"/>
      <c r="D1358" s="69"/>
      <c r="E1358" s="9">
        <v>85</v>
      </c>
      <c r="F1358" s="25">
        <v>43109</v>
      </c>
      <c r="G1358" s="70" t="s">
        <v>3356</v>
      </c>
      <c r="H1358" s="25">
        <v>43151</v>
      </c>
      <c r="I1358" s="8"/>
      <c r="J1358" s="8"/>
      <c r="K1358" s="8"/>
      <c r="L1358" s="8"/>
      <c r="M1358" s="8"/>
    </row>
    <row r="1359" spans="1:13">
      <c r="A1359" s="71" t="s">
        <v>5352</v>
      </c>
      <c r="B1359" s="67">
        <v>16621243847</v>
      </c>
      <c r="C1359" s="72"/>
      <c r="D1359" s="69"/>
      <c r="E1359" s="9">
        <v>262</v>
      </c>
      <c r="F1359" s="25">
        <v>43160</v>
      </c>
      <c r="G1359" s="9" t="s">
        <v>3356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71" t="s">
        <v>5353</v>
      </c>
      <c r="B1360" s="67">
        <v>1634430506</v>
      </c>
      <c r="C1360" s="72"/>
      <c r="D1360" s="69"/>
      <c r="E1360" s="9">
        <v>292</v>
      </c>
      <c r="F1360" s="25">
        <v>43168</v>
      </c>
      <c r="G1360" s="9" t="s">
        <v>3356</v>
      </c>
      <c r="H1360" s="9"/>
      <c r="I1360" s="8"/>
      <c r="J1360" s="8"/>
      <c r="K1360" s="8"/>
      <c r="L1360" s="9">
        <v>318</v>
      </c>
      <c r="M1360" s="8"/>
    </row>
    <row r="1361" spans="1:13">
      <c r="A1361" s="72" t="s">
        <v>5354</v>
      </c>
      <c r="B1361" s="67">
        <v>23374244807</v>
      </c>
      <c r="C1361" s="72"/>
      <c r="D1361" s="69"/>
      <c r="E1361" s="9">
        <v>608</v>
      </c>
      <c r="F1361" s="25">
        <v>43012</v>
      </c>
      <c r="G1361" s="70" t="s">
        <v>3356</v>
      </c>
      <c r="H1361" s="9"/>
      <c r="I1361" s="8"/>
      <c r="J1361" s="8"/>
      <c r="K1361" s="8"/>
      <c r="L1361" s="8"/>
      <c r="M1361" s="8"/>
    </row>
    <row r="1362" spans="1:13">
      <c r="A1362" s="29" t="s">
        <v>5355</v>
      </c>
      <c r="B1362" s="67"/>
      <c r="C1362" s="18" t="s">
        <v>3466</v>
      </c>
      <c r="D1362" s="69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71" t="s">
        <v>5356</v>
      </c>
      <c r="B1363" s="67">
        <v>3231449855</v>
      </c>
      <c r="C1363" s="72"/>
      <c r="D1363" s="69"/>
      <c r="E1363" s="9"/>
      <c r="F1363" s="25"/>
      <c r="G1363" s="70"/>
      <c r="H1363" s="9"/>
      <c r="I1363" s="8"/>
      <c r="J1363" s="8"/>
      <c r="K1363" s="8"/>
      <c r="L1363" s="8"/>
      <c r="M1363" s="8"/>
    </row>
    <row r="1364" spans="1:13">
      <c r="A1364" s="15" t="s">
        <v>5357</v>
      </c>
      <c r="B1364" s="67">
        <v>25191008855</v>
      </c>
      <c r="C1364" s="72"/>
      <c r="D1364" s="69"/>
      <c r="E1364" s="9"/>
      <c r="F1364" s="25"/>
      <c r="G1364" s="70"/>
      <c r="H1364" s="9"/>
      <c r="I1364" s="8"/>
      <c r="J1364" s="8"/>
      <c r="K1364" s="8"/>
      <c r="L1364" s="8"/>
      <c r="M1364" s="8"/>
    </row>
    <row r="1365" spans="1:13">
      <c r="A1365" s="71" t="s">
        <v>5358</v>
      </c>
      <c r="B1365" s="67">
        <v>32851598805</v>
      </c>
      <c r="C1365" s="72"/>
      <c r="D1365" s="69"/>
      <c r="E1365" s="9">
        <v>262</v>
      </c>
      <c r="F1365" s="25">
        <v>43160</v>
      </c>
      <c r="G1365" s="70" t="s">
        <v>3356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5359</v>
      </c>
      <c r="B1366" s="67">
        <v>39207068893</v>
      </c>
      <c r="C1366" s="72"/>
      <c r="D1366" s="69"/>
      <c r="E1366" s="9">
        <v>229</v>
      </c>
      <c r="F1366" s="25">
        <v>43151</v>
      </c>
      <c r="G1366" s="70" t="s">
        <v>3356</v>
      </c>
      <c r="H1366" s="9"/>
      <c r="I1366" s="8"/>
      <c r="J1366" s="8"/>
      <c r="K1366" s="8"/>
      <c r="L1366" s="9">
        <v>232</v>
      </c>
      <c r="M1366" s="8"/>
    </row>
    <row r="1367" spans="1:13">
      <c r="A1367" s="72" t="s">
        <v>5360</v>
      </c>
      <c r="B1367" s="67">
        <v>44992401821</v>
      </c>
      <c r="C1367" s="72"/>
      <c r="D1367" s="69"/>
      <c r="E1367" s="9"/>
      <c r="F1367" s="25"/>
      <c r="G1367" s="70"/>
      <c r="H1367" s="9"/>
      <c r="I1367" s="8"/>
      <c r="J1367" s="8"/>
      <c r="K1367" s="8"/>
      <c r="L1367" s="8"/>
      <c r="M1367" s="8"/>
    </row>
    <row r="1368" spans="1:13">
      <c r="A1368" s="71" t="s">
        <v>5361</v>
      </c>
      <c r="B1368" s="67">
        <v>26096680828</v>
      </c>
      <c r="C1368" s="72"/>
      <c r="D1368" s="69"/>
      <c r="E1368" s="9">
        <v>117</v>
      </c>
      <c r="F1368" s="25">
        <v>43117</v>
      </c>
      <c r="G1368" s="70" t="s">
        <v>3356</v>
      </c>
      <c r="H1368" s="9"/>
      <c r="I1368" s="8"/>
      <c r="J1368" s="8"/>
      <c r="K1368" s="8"/>
      <c r="L1368" s="9" t="s">
        <v>3507</v>
      </c>
      <c r="M1368" s="8"/>
    </row>
    <row r="1369" spans="1:13">
      <c r="A1369" s="29" t="s">
        <v>5362</v>
      </c>
      <c r="B1369" s="67"/>
      <c r="C1369" s="29" t="s">
        <v>3466</v>
      </c>
      <c r="D1369" s="69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5363</v>
      </c>
      <c r="B1370" s="67">
        <v>87915170520</v>
      </c>
      <c r="C1370" s="72" t="s">
        <v>5364</v>
      </c>
      <c r="D1370" s="69">
        <v>28175744863</v>
      </c>
      <c r="E1370" s="9"/>
      <c r="F1370" s="25"/>
      <c r="G1370" s="70"/>
      <c r="H1370" s="9"/>
      <c r="I1370" s="8"/>
      <c r="J1370" s="8"/>
      <c r="K1370" s="8"/>
      <c r="L1370" s="8"/>
      <c r="M1370" s="8"/>
    </row>
    <row r="1371" spans="1:13">
      <c r="A1371" s="71" t="s">
        <v>5365</v>
      </c>
      <c r="B1371" s="67">
        <v>30693970855</v>
      </c>
      <c r="C1371" s="72" t="s">
        <v>5366</v>
      </c>
      <c r="D1371" s="69">
        <v>6402681610</v>
      </c>
      <c r="E1371" s="9">
        <v>608</v>
      </c>
      <c r="F1371" s="25">
        <v>43012</v>
      </c>
      <c r="G1371" s="70" t="s">
        <v>3362</v>
      </c>
      <c r="H1371" s="9"/>
      <c r="I1371" s="8"/>
      <c r="J1371" s="8"/>
      <c r="K1371" s="8"/>
      <c r="L1371" s="8"/>
      <c r="M1371" s="8"/>
    </row>
    <row r="1372" spans="1:13">
      <c r="A1372" s="71" t="s">
        <v>5367</v>
      </c>
      <c r="B1372" s="67">
        <v>2091286400</v>
      </c>
      <c r="C1372" s="72"/>
      <c r="D1372" s="69"/>
      <c r="E1372" s="9"/>
      <c r="F1372" s="25"/>
      <c r="G1372" s="70"/>
      <c r="H1372" s="9"/>
      <c r="I1372" s="8"/>
      <c r="J1372" s="8"/>
      <c r="K1372" s="8"/>
      <c r="L1372" s="8"/>
      <c r="M1372" s="8"/>
    </row>
    <row r="1373" spans="1:13">
      <c r="A1373" s="14" t="s">
        <v>5368</v>
      </c>
      <c r="B1373" s="67">
        <v>32032994453</v>
      </c>
      <c r="C1373" s="72"/>
      <c r="D1373" s="69"/>
      <c r="E1373" s="9"/>
      <c r="F1373" s="25"/>
      <c r="G1373" s="70"/>
      <c r="H1373" s="9"/>
      <c r="I1373" s="8"/>
      <c r="J1373" s="8"/>
      <c r="K1373" s="8"/>
      <c r="L1373" s="8"/>
      <c r="M1373" s="8"/>
    </row>
    <row r="1374" spans="1:13">
      <c r="A1374" s="71" t="s">
        <v>5369</v>
      </c>
      <c r="B1374" s="67">
        <v>76687210882</v>
      </c>
      <c r="C1374" s="72"/>
      <c r="D1374" s="69"/>
      <c r="E1374" s="9"/>
      <c r="F1374" s="25"/>
      <c r="G1374" s="70"/>
      <c r="H1374" s="9"/>
      <c r="I1374" s="8"/>
      <c r="J1374" s="8"/>
      <c r="K1374" s="8"/>
      <c r="L1374" s="8"/>
      <c r="M1374" s="8"/>
    </row>
    <row r="1375" spans="1:13">
      <c r="A1375" s="71" t="s">
        <v>5370</v>
      </c>
      <c r="B1375" s="67">
        <v>65528450578</v>
      </c>
      <c r="C1375" s="72"/>
      <c r="D1375" s="69"/>
      <c r="E1375" s="9">
        <v>1106</v>
      </c>
      <c r="F1375" s="25">
        <v>42965</v>
      </c>
      <c r="G1375" s="70" t="s">
        <v>3356</v>
      </c>
      <c r="H1375" s="9"/>
      <c r="I1375" s="8"/>
      <c r="J1375" s="8"/>
      <c r="K1375" s="8"/>
      <c r="L1375" s="8"/>
      <c r="M1375" s="8"/>
    </row>
    <row r="1376" spans="1:13">
      <c r="A1376" s="71" t="s">
        <v>5371</v>
      </c>
      <c r="B1376" s="67">
        <v>11048471837</v>
      </c>
      <c r="C1376" s="72"/>
      <c r="D1376" s="69"/>
      <c r="E1376" s="9">
        <v>810</v>
      </c>
      <c r="F1376" s="25">
        <v>42915</v>
      </c>
      <c r="G1376" s="70" t="s">
        <v>3356</v>
      </c>
      <c r="H1376" s="9"/>
      <c r="I1376" s="8"/>
      <c r="J1376" s="8"/>
      <c r="K1376" s="8"/>
      <c r="L1376" s="9" t="s">
        <v>3475</v>
      </c>
      <c r="M1376" s="8"/>
    </row>
    <row r="1377" spans="1:13">
      <c r="A1377" s="71" t="s">
        <v>5372</v>
      </c>
      <c r="B1377" s="67">
        <v>337174865</v>
      </c>
      <c r="C1377" s="72"/>
      <c r="D1377" s="69"/>
      <c r="E1377" s="9">
        <v>292</v>
      </c>
      <c r="F1377" s="25">
        <v>43168</v>
      </c>
      <c r="G1377" s="70" t="s">
        <v>3356</v>
      </c>
      <c r="H1377" s="9"/>
      <c r="I1377" s="8"/>
      <c r="J1377" s="8"/>
      <c r="K1377" s="8"/>
      <c r="L1377" s="9">
        <v>318</v>
      </c>
      <c r="M1377" s="8"/>
    </row>
    <row r="1378" spans="1:13">
      <c r="A1378" s="71" t="s">
        <v>5373</v>
      </c>
      <c r="B1378" s="78" t="s">
        <v>5374</v>
      </c>
      <c r="C1378" s="72"/>
      <c r="D1378" s="69"/>
      <c r="E1378" s="9">
        <v>292</v>
      </c>
      <c r="F1378" s="25">
        <v>43168</v>
      </c>
      <c r="G1378" s="9" t="s">
        <v>3356</v>
      </c>
      <c r="H1378" s="9"/>
      <c r="I1378" s="8"/>
      <c r="J1378" s="8"/>
      <c r="K1378" s="8"/>
      <c r="L1378" s="9">
        <v>318</v>
      </c>
      <c r="M1378" s="8"/>
    </row>
    <row r="1379" spans="1:13">
      <c r="A1379" s="71" t="s">
        <v>5375</v>
      </c>
      <c r="B1379" s="67">
        <v>9137625802</v>
      </c>
      <c r="C1379" s="72"/>
      <c r="D1379" s="69"/>
      <c r="E1379" s="9"/>
      <c r="F1379" s="25"/>
      <c r="G1379" s="70"/>
      <c r="H1379" s="9"/>
      <c r="I1379" s="8"/>
      <c r="J1379" s="8"/>
      <c r="K1379" s="8"/>
      <c r="L1379" s="8"/>
      <c r="M1379" s="8"/>
    </row>
    <row r="1380" spans="1:13">
      <c r="A1380" s="13" t="s">
        <v>5376</v>
      </c>
      <c r="B1380" s="67">
        <v>31194905803</v>
      </c>
      <c r="C1380" s="72"/>
      <c r="D1380" s="69"/>
      <c r="E1380" s="9">
        <v>1350</v>
      </c>
      <c r="F1380" s="25">
        <v>43006</v>
      </c>
      <c r="G1380" s="70" t="s">
        <v>3356</v>
      </c>
      <c r="H1380" s="9"/>
      <c r="I1380" s="8"/>
      <c r="J1380" s="8"/>
      <c r="K1380" s="8"/>
      <c r="L1380" s="8"/>
      <c r="M1380" s="8"/>
    </row>
    <row r="1381" spans="1:13">
      <c r="A1381" s="71" t="s">
        <v>5377</v>
      </c>
      <c r="B1381" s="67">
        <v>3277958329</v>
      </c>
      <c r="C1381" s="72"/>
      <c r="D1381" s="69"/>
      <c r="E1381" s="9">
        <v>1555</v>
      </c>
      <c r="F1381" s="25">
        <v>43049</v>
      </c>
      <c r="G1381" s="70" t="s">
        <v>3356</v>
      </c>
      <c r="H1381" s="9"/>
      <c r="I1381" s="8"/>
      <c r="J1381" s="8"/>
      <c r="K1381" s="8"/>
      <c r="L1381" s="9" t="s">
        <v>3735</v>
      </c>
      <c r="M1381" s="8"/>
    </row>
    <row r="1382" spans="1:13">
      <c r="A1382" s="71" t="s">
        <v>5378</v>
      </c>
      <c r="B1382" s="67">
        <v>67595715415</v>
      </c>
      <c r="C1382" s="77"/>
      <c r="D1382" s="69"/>
      <c r="E1382" s="9"/>
      <c r="F1382" s="25"/>
      <c r="G1382" s="70"/>
      <c r="H1382" s="9"/>
      <c r="I1382" s="8"/>
      <c r="J1382" s="8"/>
      <c r="K1382" s="8"/>
      <c r="L1382" s="8"/>
      <c r="M1382" s="8"/>
    </row>
    <row r="1383" spans="1:13">
      <c r="A1383" s="13" t="s">
        <v>5379</v>
      </c>
      <c r="B1383" s="67">
        <v>14683142899</v>
      </c>
      <c r="C1383" s="72"/>
      <c r="D1383" s="69"/>
      <c r="E1383" s="9"/>
      <c r="F1383" s="25"/>
      <c r="G1383" s="70"/>
      <c r="H1383" s="9"/>
      <c r="I1383" s="8"/>
      <c r="J1383" s="8"/>
      <c r="K1383" s="8"/>
      <c r="L1383" s="8"/>
      <c r="M1383" s="8"/>
    </row>
    <row r="1384" spans="1:13">
      <c r="A1384" s="71" t="s">
        <v>5380</v>
      </c>
      <c r="B1384" s="67">
        <v>5676742402</v>
      </c>
      <c r="C1384" s="72"/>
      <c r="D1384" s="69"/>
      <c r="E1384" s="9">
        <v>262</v>
      </c>
      <c r="F1384" s="25">
        <v>43160</v>
      </c>
      <c r="G1384" s="70" t="s">
        <v>3356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71" t="s">
        <v>5381</v>
      </c>
      <c r="B1385" s="67">
        <v>25333346852</v>
      </c>
      <c r="C1385" s="72"/>
      <c r="D1385" s="69"/>
      <c r="E1385" s="9">
        <v>292</v>
      </c>
      <c r="F1385" s="25">
        <v>43168</v>
      </c>
      <c r="G1385" s="70" t="s">
        <v>3356</v>
      </c>
      <c r="H1385" s="9"/>
      <c r="I1385" s="8"/>
      <c r="J1385" s="8"/>
      <c r="K1385" s="8"/>
      <c r="L1385" s="9">
        <v>318</v>
      </c>
      <c r="M1385" s="8"/>
    </row>
    <row r="1386" spans="1:13">
      <c r="A1386" s="71" t="s">
        <v>5382</v>
      </c>
      <c r="B1386" s="67">
        <v>44936958468</v>
      </c>
      <c r="C1386" s="72"/>
      <c r="D1386" s="69"/>
      <c r="E1386" s="9">
        <v>1214</v>
      </c>
      <c r="F1386" s="25">
        <v>42989</v>
      </c>
      <c r="G1386" s="70" t="s">
        <v>3356</v>
      </c>
      <c r="H1386" s="9"/>
      <c r="I1386" s="8"/>
      <c r="J1386" s="8"/>
      <c r="K1386" s="8"/>
      <c r="L1386" s="8"/>
      <c r="M1386" s="8"/>
    </row>
    <row r="1387" spans="1:13">
      <c r="A1387" s="29" t="s">
        <v>5383</v>
      </c>
      <c r="B1387" s="67">
        <v>5753509894</v>
      </c>
      <c r="C1387" s="9" t="s">
        <v>3466</v>
      </c>
      <c r="D1387" s="69"/>
      <c r="E1387" s="9"/>
      <c r="F1387" s="25"/>
      <c r="G1387" s="70"/>
      <c r="H1387" s="9"/>
      <c r="I1387" s="8"/>
      <c r="J1387" s="8"/>
      <c r="K1387" s="8"/>
      <c r="L1387" s="8"/>
      <c r="M1387" s="8"/>
    </row>
    <row r="1388" spans="1:13">
      <c r="A1388" s="18" t="s">
        <v>5384</v>
      </c>
      <c r="B1388" s="67"/>
      <c r="C1388" s="18" t="s">
        <v>5385</v>
      </c>
      <c r="D1388" s="69"/>
      <c r="E1388" s="9"/>
      <c r="F1388" s="25"/>
      <c r="G1388" s="70"/>
      <c r="H1388" s="9"/>
      <c r="I1388" s="8"/>
      <c r="J1388" s="8"/>
      <c r="K1388" s="8"/>
      <c r="L1388" s="8"/>
      <c r="M1388" s="8"/>
    </row>
    <row r="1389" spans="1:13">
      <c r="A1389" s="71" t="s">
        <v>5386</v>
      </c>
      <c r="B1389" s="67">
        <v>1103155377</v>
      </c>
      <c r="C1389" s="89"/>
      <c r="D1389" s="69"/>
      <c r="E1389" s="9"/>
      <c r="F1389" s="25"/>
      <c r="G1389" s="70"/>
      <c r="H1389" s="9"/>
      <c r="I1389" s="8"/>
      <c r="J1389" s="8"/>
      <c r="K1389" s="8"/>
      <c r="L1389" s="8"/>
      <c r="M1389" s="8"/>
    </row>
    <row r="1390" spans="1:13">
      <c r="A1390" s="71" t="s">
        <v>5387</v>
      </c>
      <c r="B1390" s="67">
        <v>5132262570</v>
      </c>
      <c r="C1390" s="72"/>
      <c r="D1390" s="69"/>
      <c r="E1390" s="9">
        <v>810</v>
      </c>
      <c r="F1390" s="25">
        <v>42915</v>
      </c>
      <c r="G1390" s="9" t="s">
        <v>3356</v>
      </c>
      <c r="H1390" s="9"/>
      <c r="I1390" s="8"/>
      <c r="J1390" s="8"/>
      <c r="K1390" s="8"/>
      <c r="L1390" s="9" t="s">
        <v>3475</v>
      </c>
      <c r="M1390" s="8"/>
    </row>
    <row r="1391" spans="1:13">
      <c r="A1391" s="71" t="s">
        <v>5388</v>
      </c>
      <c r="B1391" s="67">
        <v>49423657400</v>
      </c>
      <c r="C1391" s="72"/>
      <c r="D1391" s="69"/>
      <c r="E1391" s="9">
        <v>810</v>
      </c>
      <c r="F1391" s="25">
        <v>42915</v>
      </c>
      <c r="G1391" s="70" t="s">
        <v>3356</v>
      </c>
      <c r="H1391" s="9"/>
      <c r="I1391" s="8"/>
      <c r="J1391" s="8"/>
      <c r="K1391" s="8"/>
      <c r="L1391" s="9" t="s">
        <v>3475</v>
      </c>
      <c r="M1391" s="8"/>
    </row>
    <row r="1392" spans="1:13">
      <c r="A1392" s="13" t="s">
        <v>5389</v>
      </c>
      <c r="B1392" s="67">
        <v>1109563892</v>
      </c>
      <c r="C1392" s="68"/>
      <c r="D1392" s="69"/>
      <c r="E1392" s="9">
        <v>1752</v>
      </c>
      <c r="F1392" s="25">
        <v>43051</v>
      </c>
      <c r="G1392" s="70" t="s">
        <v>3356</v>
      </c>
      <c r="H1392" s="9"/>
      <c r="I1392" s="8"/>
      <c r="J1392" s="8"/>
      <c r="K1392" s="8"/>
      <c r="L1392" s="9">
        <v>1759</v>
      </c>
      <c r="M1392" s="8"/>
    </row>
    <row r="1393" spans="1:13">
      <c r="A1393" s="71" t="s">
        <v>5390</v>
      </c>
      <c r="B1393" s="67">
        <v>43356229885</v>
      </c>
      <c r="C1393" s="72"/>
      <c r="D1393" s="69"/>
      <c r="E1393" s="9">
        <v>85</v>
      </c>
      <c r="F1393" s="25">
        <v>43109</v>
      </c>
      <c r="G1393" s="70" t="s">
        <v>3362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5391</v>
      </c>
      <c r="B1394" s="67">
        <v>6644491820</v>
      </c>
      <c r="C1394" s="73"/>
      <c r="D1394" s="69"/>
      <c r="E1394" s="9"/>
      <c r="F1394" s="25"/>
      <c r="G1394" s="70"/>
      <c r="H1394" s="9"/>
      <c r="I1394" s="8"/>
      <c r="J1394" s="8"/>
      <c r="K1394" s="8"/>
      <c r="L1394" s="8"/>
      <c r="M1394" s="8"/>
    </row>
    <row r="1395" spans="1:13">
      <c r="A1395" s="72" t="s">
        <v>5392</v>
      </c>
      <c r="B1395" s="67">
        <v>61260606449</v>
      </c>
      <c r="C1395" s="72" t="s">
        <v>5393</v>
      </c>
      <c r="D1395" s="69">
        <v>73505854468</v>
      </c>
      <c r="E1395" s="9">
        <v>608</v>
      </c>
      <c r="F1395" s="25">
        <v>43012</v>
      </c>
      <c r="G1395" s="70" t="s">
        <v>3356</v>
      </c>
      <c r="H1395" s="9"/>
      <c r="I1395" s="8"/>
      <c r="J1395" s="8"/>
      <c r="K1395" s="8"/>
      <c r="L1395" s="8"/>
      <c r="M1395" s="8"/>
    </row>
    <row r="1396" spans="1:13">
      <c r="A1396" s="71" t="s">
        <v>5394</v>
      </c>
      <c r="B1396" s="67">
        <v>42522433865</v>
      </c>
      <c r="C1396" s="72"/>
      <c r="D1396" s="69"/>
      <c r="E1396" s="9">
        <v>1752</v>
      </c>
      <c r="F1396" s="25">
        <v>43051</v>
      </c>
      <c r="G1396" s="70" t="s">
        <v>3356</v>
      </c>
      <c r="H1396" s="9"/>
      <c r="I1396" s="8"/>
      <c r="J1396" s="8"/>
      <c r="K1396" s="8"/>
      <c r="L1396" s="9">
        <v>1759</v>
      </c>
      <c r="M1396" s="8"/>
    </row>
    <row r="1397" spans="1:13">
      <c r="A1397" s="71" t="s">
        <v>5395</v>
      </c>
      <c r="B1397" s="67">
        <v>1565324501</v>
      </c>
      <c r="C1397" s="72"/>
      <c r="D1397" s="69"/>
      <c r="E1397" s="9"/>
      <c r="F1397" s="25"/>
      <c r="G1397" s="70"/>
      <c r="H1397" s="9"/>
      <c r="I1397" s="8"/>
      <c r="J1397" s="8"/>
      <c r="K1397" s="8"/>
      <c r="L1397" s="8"/>
      <c r="M1397" s="8"/>
    </row>
    <row r="1398" spans="1:13">
      <c r="A1398" s="29" t="s">
        <v>5396</v>
      </c>
      <c r="B1398" s="67">
        <v>68516274853</v>
      </c>
      <c r="C1398" s="18" t="s">
        <v>3466</v>
      </c>
      <c r="D1398" s="69"/>
      <c r="E1398" s="9"/>
      <c r="F1398" s="25"/>
      <c r="G1398" s="70"/>
      <c r="H1398" s="9"/>
      <c r="I1398" s="8"/>
      <c r="J1398" s="8"/>
      <c r="K1398" s="8"/>
      <c r="L1398" s="8"/>
      <c r="M1398" s="8"/>
    </row>
    <row r="1399" spans="1:13">
      <c r="A1399" s="71" t="s">
        <v>5397</v>
      </c>
      <c r="B1399" s="67">
        <v>12435437870</v>
      </c>
      <c r="C1399" s="72"/>
      <c r="D1399" s="69"/>
      <c r="E1399" s="9">
        <v>1489</v>
      </c>
      <c r="F1399" s="25">
        <v>43038</v>
      </c>
      <c r="G1399" s="70" t="s">
        <v>3356</v>
      </c>
      <c r="H1399" s="9"/>
      <c r="I1399" s="8"/>
      <c r="J1399" s="8"/>
      <c r="K1399" s="8"/>
      <c r="L1399" s="9" t="s">
        <v>3497</v>
      </c>
      <c r="M1399" s="8"/>
    </row>
    <row r="1400" spans="1:13">
      <c r="A1400" s="15" t="s">
        <v>5398</v>
      </c>
      <c r="B1400" s="67">
        <v>29538850807</v>
      </c>
      <c r="C1400" s="72"/>
      <c r="D1400" s="69"/>
      <c r="E1400" s="9">
        <v>85</v>
      </c>
      <c r="F1400" s="25">
        <v>43109</v>
      </c>
      <c r="G1400" s="70" t="s">
        <v>3356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5399</v>
      </c>
      <c r="B1401" s="67">
        <v>85576492820</v>
      </c>
      <c r="C1401" s="72" t="s">
        <v>5400</v>
      </c>
      <c r="D1401" s="69">
        <v>81968779434</v>
      </c>
      <c r="E1401" s="9">
        <v>527</v>
      </c>
      <c r="F1401" s="25">
        <v>43210</v>
      </c>
      <c r="G1401" s="70"/>
      <c r="H1401" s="9"/>
      <c r="I1401" s="8"/>
      <c r="J1401" s="8"/>
      <c r="K1401" s="8"/>
      <c r="L1401" s="9">
        <v>528</v>
      </c>
      <c r="M1401" s="8"/>
    </row>
    <row r="1402" spans="1:13">
      <c r="A1402" s="71" t="s">
        <v>5401</v>
      </c>
      <c r="B1402" s="67">
        <v>67345301591</v>
      </c>
      <c r="C1402" s="72"/>
      <c r="D1402" s="69"/>
      <c r="E1402" s="9"/>
      <c r="F1402" s="25"/>
      <c r="G1402" s="70"/>
      <c r="H1402" s="9"/>
      <c r="I1402" s="8"/>
      <c r="J1402" s="8"/>
      <c r="K1402" s="8"/>
      <c r="L1402" s="8"/>
      <c r="M1402" s="8"/>
    </row>
    <row r="1403" spans="1:13">
      <c r="A1403" s="71" t="s">
        <v>5402</v>
      </c>
      <c r="B1403" s="67">
        <v>23527439404</v>
      </c>
      <c r="C1403" s="72"/>
      <c r="D1403" s="69"/>
      <c r="E1403" s="9">
        <v>292</v>
      </c>
      <c r="F1403" s="25">
        <v>43168</v>
      </c>
      <c r="G1403" s="9" t="s">
        <v>3356</v>
      </c>
      <c r="H1403" s="9"/>
      <c r="I1403" s="8"/>
      <c r="J1403" s="8"/>
      <c r="K1403" s="8"/>
      <c r="L1403" s="9">
        <v>318</v>
      </c>
      <c r="M1403" s="8"/>
    </row>
    <row r="1404" spans="1:13">
      <c r="A1404" s="30" t="s">
        <v>5403</v>
      </c>
      <c r="B1404" s="67">
        <v>27903916882</v>
      </c>
      <c r="C1404" s="32" t="s">
        <v>5404</v>
      </c>
      <c r="D1404" s="69"/>
      <c r="E1404" s="9"/>
      <c r="F1404" s="25"/>
      <c r="G1404" s="70"/>
      <c r="H1404" s="9"/>
      <c r="I1404" s="8"/>
      <c r="J1404" s="8"/>
      <c r="K1404" s="8"/>
      <c r="L1404" s="8"/>
      <c r="M1404" s="8"/>
    </row>
    <row r="1405" spans="1:13">
      <c r="A1405" s="71" t="s">
        <v>5405</v>
      </c>
      <c r="B1405" s="67">
        <v>18243063854</v>
      </c>
      <c r="C1405" s="72"/>
      <c r="D1405" s="69"/>
      <c r="E1405" s="9">
        <v>1489</v>
      </c>
      <c r="F1405" s="25">
        <v>43038</v>
      </c>
      <c r="G1405" s="70" t="s">
        <v>3356</v>
      </c>
      <c r="H1405" s="9"/>
      <c r="I1405" s="8"/>
      <c r="J1405" s="8"/>
      <c r="K1405" s="8"/>
      <c r="L1405" s="9" t="s">
        <v>3497</v>
      </c>
      <c r="M1405" s="8"/>
    </row>
    <row r="1406" spans="1:13">
      <c r="A1406" s="71" t="s">
        <v>5406</v>
      </c>
      <c r="B1406" s="67">
        <v>27628221300</v>
      </c>
      <c r="C1406" s="72"/>
      <c r="D1406" s="69"/>
      <c r="E1406" s="9">
        <v>1106</v>
      </c>
      <c r="F1406" s="25">
        <v>42965</v>
      </c>
      <c r="G1406" s="70" t="s">
        <v>3362</v>
      </c>
      <c r="H1406" s="9"/>
      <c r="I1406" s="8"/>
      <c r="J1406" s="8"/>
      <c r="K1406" s="8"/>
      <c r="L1406" s="8"/>
      <c r="M1406" s="8"/>
    </row>
    <row r="1407" spans="1:13">
      <c r="A1407" s="71" t="s">
        <v>5407</v>
      </c>
      <c r="B1407" s="67">
        <v>63413337572</v>
      </c>
      <c r="C1407" s="72"/>
      <c r="D1407" s="69"/>
      <c r="E1407" s="9">
        <v>262</v>
      </c>
      <c r="F1407" s="25">
        <v>43160</v>
      </c>
      <c r="G1407" s="70" t="s">
        <v>3356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71" t="s">
        <v>5408</v>
      </c>
      <c r="B1408" s="67">
        <v>2928428569</v>
      </c>
      <c r="C1408" s="72"/>
      <c r="D1408" s="69"/>
      <c r="E1408" s="9">
        <v>810</v>
      </c>
      <c r="F1408" s="25">
        <v>42915</v>
      </c>
      <c r="G1408" s="70" t="s">
        <v>3356</v>
      </c>
      <c r="H1408" s="9"/>
      <c r="I1408" s="8"/>
      <c r="J1408" s="8"/>
      <c r="K1408" s="8"/>
      <c r="L1408" s="9" t="s">
        <v>3475</v>
      </c>
      <c r="M1408" s="8"/>
    </row>
    <row r="1409" spans="1:13">
      <c r="A1409" s="15" t="s">
        <v>5409</v>
      </c>
      <c r="B1409" s="67">
        <v>3279564450</v>
      </c>
      <c r="C1409" s="72"/>
      <c r="D1409" s="69"/>
      <c r="E1409" s="9">
        <v>262</v>
      </c>
      <c r="F1409" s="25">
        <v>43160</v>
      </c>
      <c r="G1409" s="70" t="s">
        <v>3356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72" t="s">
        <v>5410</v>
      </c>
      <c r="B1410" s="67">
        <v>754731863</v>
      </c>
      <c r="C1410" s="72" t="s">
        <v>5411</v>
      </c>
      <c r="D1410" s="69">
        <v>25557405895</v>
      </c>
      <c r="E1410" s="9"/>
      <c r="F1410" s="25"/>
      <c r="G1410" s="70"/>
      <c r="H1410" s="9"/>
      <c r="I1410" s="8"/>
      <c r="J1410" s="8"/>
      <c r="K1410" s="8"/>
      <c r="L1410" s="8"/>
      <c r="M1410" s="8"/>
    </row>
    <row r="1411" spans="1:13">
      <c r="A1411" s="71" t="s">
        <v>5412</v>
      </c>
      <c r="B1411" s="67">
        <v>17317559881</v>
      </c>
      <c r="C1411" s="72"/>
      <c r="D1411" s="69"/>
      <c r="E1411" s="9">
        <v>292</v>
      </c>
      <c r="F1411" s="25">
        <v>43168</v>
      </c>
      <c r="G1411" s="9" t="s">
        <v>3356</v>
      </c>
      <c r="H1411" s="9"/>
      <c r="I1411" s="8"/>
      <c r="J1411" s="8"/>
      <c r="K1411" s="8"/>
      <c r="L1411" s="9">
        <v>318</v>
      </c>
      <c r="M1411" s="8"/>
    </row>
    <row r="1412" spans="1:13">
      <c r="A1412" s="71" t="s">
        <v>5413</v>
      </c>
      <c r="B1412" s="67">
        <v>34097938878</v>
      </c>
      <c r="C1412" s="72"/>
      <c r="D1412" s="69"/>
      <c r="E1412" s="9">
        <v>292</v>
      </c>
      <c r="F1412" s="25">
        <v>43168</v>
      </c>
      <c r="G1412" s="70" t="s">
        <v>3356</v>
      </c>
      <c r="H1412" s="9"/>
      <c r="I1412" s="8"/>
      <c r="J1412" s="8"/>
      <c r="K1412" s="8"/>
      <c r="L1412" s="9">
        <v>318</v>
      </c>
      <c r="M1412" s="8"/>
    </row>
    <row r="1413" spans="1:13">
      <c r="A1413" s="71" t="s">
        <v>5414</v>
      </c>
      <c r="B1413" s="67" t="s">
        <v>5415</v>
      </c>
      <c r="C1413" s="77"/>
      <c r="D1413" s="69"/>
      <c r="E1413" s="9"/>
      <c r="F1413" s="25"/>
      <c r="G1413" s="70"/>
      <c r="H1413" s="9"/>
      <c r="I1413" s="8"/>
      <c r="J1413" s="8"/>
      <c r="K1413" s="8"/>
      <c r="L1413" s="8"/>
      <c r="M1413" s="8"/>
    </row>
    <row r="1414" spans="1:13">
      <c r="A1414" s="15" t="s">
        <v>5416</v>
      </c>
      <c r="B1414" s="67">
        <v>7727254894</v>
      </c>
      <c r="C1414" s="72"/>
      <c r="D1414" s="69"/>
      <c r="E1414" s="9">
        <v>85</v>
      </c>
      <c r="F1414" s="25">
        <v>43109</v>
      </c>
      <c r="G1414" s="70" t="s">
        <v>3356</v>
      </c>
      <c r="H1414" s="25">
        <v>43151</v>
      </c>
      <c r="I1414" s="8"/>
      <c r="J1414" s="8"/>
      <c r="K1414" s="8"/>
      <c r="L1414" s="8"/>
      <c r="M1414" s="8"/>
    </row>
    <row r="1415" spans="1:13">
      <c r="A1415" s="71" t="s">
        <v>5417</v>
      </c>
      <c r="B1415" s="67">
        <v>9667570843</v>
      </c>
      <c r="C1415" s="72"/>
      <c r="D1415" s="69"/>
      <c r="E1415" s="9">
        <v>810</v>
      </c>
      <c r="F1415" s="25">
        <v>42915</v>
      </c>
      <c r="G1415" s="70" t="s">
        <v>3356</v>
      </c>
      <c r="H1415" s="9"/>
      <c r="I1415" s="8"/>
      <c r="J1415" s="8"/>
      <c r="K1415" s="8"/>
      <c r="L1415" s="9" t="s">
        <v>3475</v>
      </c>
      <c r="M1415" s="8"/>
    </row>
    <row r="1416" spans="1:13">
      <c r="A1416" s="71" t="s">
        <v>5418</v>
      </c>
      <c r="B1416" s="67">
        <v>36988828842</v>
      </c>
      <c r="C1416" s="72"/>
      <c r="D1416" s="69"/>
      <c r="E1416" s="9">
        <v>1570</v>
      </c>
      <c r="F1416" s="25">
        <v>43077</v>
      </c>
      <c r="G1416" s="70" t="s">
        <v>3356</v>
      </c>
      <c r="H1416" s="9"/>
      <c r="I1416" s="8"/>
      <c r="J1416" s="8"/>
      <c r="K1416" s="8"/>
      <c r="L1416" s="8"/>
      <c r="M1416" s="8"/>
    </row>
    <row r="1417" spans="1:13">
      <c r="A1417" s="15" t="s">
        <v>5419</v>
      </c>
      <c r="B1417" s="67">
        <v>32045988880</v>
      </c>
      <c r="C1417" s="72" t="s">
        <v>5420</v>
      </c>
      <c r="D1417" s="69">
        <v>28522432880</v>
      </c>
      <c r="E1417" s="9">
        <v>85</v>
      </c>
      <c r="F1417" s="25">
        <v>43109</v>
      </c>
      <c r="G1417" s="70" t="s">
        <v>3356</v>
      </c>
      <c r="H1417" s="25">
        <v>43151</v>
      </c>
      <c r="I1417" s="8"/>
      <c r="J1417" s="8"/>
      <c r="K1417" s="8"/>
      <c r="L1417" s="8"/>
      <c r="M1417" s="8"/>
    </row>
    <row r="1418" spans="1:13">
      <c r="A1418" s="29" t="s">
        <v>5421</v>
      </c>
      <c r="B1418" s="67">
        <v>14692639806</v>
      </c>
      <c r="C1418" s="18" t="s">
        <v>3466</v>
      </c>
      <c r="D1418" s="69"/>
      <c r="E1418" s="9"/>
      <c r="F1418" s="25"/>
      <c r="G1418" s="70"/>
      <c r="H1418" s="9"/>
      <c r="I1418" s="8"/>
      <c r="J1418" s="8"/>
      <c r="K1418" s="8"/>
      <c r="L1418" s="8"/>
      <c r="M1418" s="8"/>
    </row>
    <row r="1419" spans="1:13">
      <c r="A1419" s="71" t="s">
        <v>5422</v>
      </c>
      <c r="B1419" s="67">
        <v>10657804860</v>
      </c>
      <c r="C1419" s="72"/>
      <c r="D1419" s="69"/>
      <c r="E1419" s="9">
        <v>573</v>
      </c>
      <c r="F1419" s="25">
        <v>43224</v>
      </c>
      <c r="G1419" s="70"/>
      <c r="H1419" s="9"/>
      <c r="I1419" s="8"/>
      <c r="J1419" s="8"/>
      <c r="K1419" s="8"/>
      <c r="L1419" s="8"/>
      <c r="M1419" s="8"/>
    </row>
    <row r="1420" spans="1:13">
      <c r="A1420" s="29" t="s">
        <v>5423</v>
      </c>
      <c r="B1420" s="67">
        <v>25745713801</v>
      </c>
      <c r="C1420" s="29" t="s">
        <v>5424</v>
      </c>
      <c r="D1420" s="69">
        <v>1983704822</v>
      </c>
      <c r="E1420" s="9"/>
      <c r="F1420" s="25"/>
      <c r="G1420" s="70"/>
      <c r="H1420" s="9"/>
      <c r="I1420" s="8"/>
      <c r="J1420" s="8"/>
      <c r="K1420" s="8"/>
      <c r="L1420" s="8"/>
      <c r="M1420" s="8"/>
    </row>
    <row r="1421" spans="1:13">
      <c r="A1421" s="71" t="s">
        <v>5425</v>
      </c>
      <c r="B1421" s="67">
        <v>10373973802</v>
      </c>
      <c r="C1421" s="72" t="s">
        <v>5426</v>
      </c>
      <c r="D1421" s="69">
        <v>3613530813</v>
      </c>
      <c r="E1421" s="9">
        <v>1752</v>
      </c>
      <c r="F1421" s="25">
        <v>43051</v>
      </c>
      <c r="G1421" s="70" t="s">
        <v>3356</v>
      </c>
      <c r="H1421" s="9"/>
      <c r="I1421" s="8"/>
      <c r="J1421" s="8"/>
      <c r="K1421" s="8"/>
      <c r="L1421" s="9">
        <v>1759</v>
      </c>
      <c r="M1421" s="8"/>
    </row>
    <row r="1422" spans="1:13">
      <c r="A1422" s="29" t="s">
        <v>5427</v>
      </c>
      <c r="B1422" s="67">
        <v>25397304859</v>
      </c>
      <c r="C1422" s="29" t="s">
        <v>5428</v>
      </c>
      <c r="D1422" s="69">
        <v>13241305805</v>
      </c>
      <c r="E1422" s="9"/>
      <c r="F1422" s="25"/>
      <c r="G1422" s="70"/>
      <c r="H1422" s="9"/>
      <c r="I1422" s="8"/>
      <c r="J1422" s="8"/>
      <c r="K1422" s="8"/>
      <c r="L1422" s="8"/>
      <c r="M1422" s="8"/>
    </row>
    <row r="1423" spans="1:13">
      <c r="A1423" s="13" t="s">
        <v>5429</v>
      </c>
      <c r="B1423" s="67">
        <v>21703365836</v>
      </c>
      <c r="C1423" s="68"/>
      <c r="D1423" s="69"/>
      <c r="E1423" s="9"/>
      <c r="F1423" s="25"/>
      <c r="G1423" s="70"/>
      <c r="H1423" s="9"/>
      <c r="I1423" s="8"/>
      <c r="J1423" s="8"/>
      <c r="K1423" s="8"/>
      <c r="L1423" s="8"/>
      <c r="M1423" s="8"/>
    </row>
    <row r="1424" spans="1:13">
      <c r="A1424" s="71" t="s">
        <v>5430</v>
      </c>
      <c r="B1424" s="67">
        <v>26926775877</v>
      </c>
      <c r="C1424" s="72"/>
      <c r="D1424" s="69"/>
      <c r="E1424" s="9">
        <v>1752</v>
      </c>
      <c r="F1424" s="25">
        <v>43051</v>
      </c>
      <c r="G1424" s="70" t="s">
        <v>3356</v>
      </c>
      <c r="H1424" s="9"/>
      <c r="I1424" s="8"/>
      <c r="J1424" s="8"/>
      <c r="K1424" s="8"/>
      <c r="L1424" s="9">
        <v>1759</v>
      </c>
      <c r="M1424" s="8"/>
    </row>
    <row r="1425" spans="1:13">
      <c r="A1425" s="71" t="s">
        <v>5431</v>
      </c>
      <c r="B1425" s="67">
        <v>28186250840</v>
      </c>
      <c r="C1425" s="72"/>
      <c r="D1425" s="69"/>
      <c r="E1425" s="9"/>
      <c r="F1425" s="25"/>
      <c r="G1425" s="70"/>
      <c r="H1425" s="9"/>
      <c r="I1425" s="8"/>
      <c r="J1425" s="8"/>
      <c r="K1425" s="8"/>
      <c r="L1425" s="8"/>
      <c r="M1425" s="8"/>
    </row>
    <row r="1426" spans="1:13">
      <c r="A1426" s="71" t="s">
        <v>5432</v>
      </c>
      <c r="B1426" s="67">
        <v>27135970802</v>
      </c>
      <c r="C1426" s="72"/>
      <c r="D1426" s="69"/>
      <c r="E1426" s="9">
        <v>443</v>
      </c>
      <c r="F1426" s="25">
        <v>43188</v>
      </c>
      <c r="G1426" s="70"/>
      <c r="H1426" s="9"/>
      <c r="I1426" s="8"/>
      <c r="J1426" s="8"/>
      <c r="K1426" s="8"/>
      <c r="L1426" s="8"/>
      <c r="M1426" s="8"/>
    </row>
    <row r="1427" spans="1:13">
      <c r="A1427" s="13" t="s">
        <v>5433</v>
      </c>
      <c r="B1427" s="67">
        <v>18287400805</v>
      </c>
      <c r="C1427" s="68"/>
      <c r="D1427" s="69"/>
      <c r="E1427" s="9">
        <v>1570</v>
      </c>
      <c r="F1427" s="25">
        <v>43077</v>
      </c>
      <c r="G1427" s="70" t="s">
        <v>3356</v>
      </c>
      <c r="H1427" s="9"/>
      <c r="I1427" s="8"/>
      <c r="J1427" s="8"/>
      <c r="K1427" s="8"/>
      <c r="L1427" s="8"/>
      <c r="M1427" s="8"/>
    </row>
    <row r="1428" spans="1:13">
      <c r="A1428" s="72" t="s">
        <v>5434</v>
      </c>
      <c r="B1428" s="67">
        <v>76435962472</v>
      </c>
      <c r="C1428" s="72"/>
      <c r="D1428" s="69"/>
      <c r="E1428" s="9">
        <v>292</v>
      </c>
      <c r="F1428" s="25">
        <v>43168</v>
      </c>
      <c r="G1428" s="9" t="s">
        <v>3356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5435</v>
      </c>
      <c r="B1429" s="67">
        <v>31115215833</v>
      </c>
      <c r="C1429" s="72" t="s">
        <v>5436</v>
      </c>
      <c r="D1429" s="69">
        <v>54134781515</v>
      </c>
      <c r="E1429" s="9">
        <v>608</v>
      </c>
      <c r="F1429" s="25">
        <v>43012</v>
      </c>
      <c r="G1429" s="70" t="s">
        <v>3356</v>
      </c>
      <c r="H1429" s="9"/>
      <c r="I1429" s="8"/>
      <c r="J1429" s="8"/>
      <c r="K1429" s="8"/>
      <c r="L1429" s="8"/>
      <c r="M1429" s="8"/>
    </row>
    <row r="1430" spans="1:13">
      <c r="A1430" s="15" t="s">
        <v>5437</v>
      </c>
      <c r="B1430" s="67">
        <v>33223746889</v>
      </c>
      <c r="C1430" s="72"/>
      <c r="D1430" s="69"/>
      <c r="E1430" s="9">
        <v>262</v>
      </c>
      <c r="F1430" s="25">
        <v>43160</v>
      </c>
      <c r="G1430" s="70" t="s">
        <v>3356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71" t="s">
        <v>5438</v>
      </c>
      <c r="B1431" s="67">
        <v>27207642806</v>
      </c>
      <c r="C1431" s="72"/>
      <c r="D1431" s="69"/>
      <c r="E1431" s="9">
        <v>1752</v>
      </c>
      <c r="F1431" s="25">
        <v>43051</v>
      </c>
      <c r="G1431" s="70" t="s">
        <v>3356</v>
      </c>
      <c r="H1431" s="9"/>
      <c r="I1431" s="8"/>
      <c r="J1431" s="8"/>
      <c r="K1431" s="8"/>
      <c r="L1431" s="9">
        <v>1759</v>
      </c>
      <c r="M1431" s="8"/>
    </row>
    <row r="1432" spans="1:13">
      <c r="A1432" s="71" t="s">
        <v>5439</v>
      </c>
      <c r="B1432" s="67">
        <v>8587525816</v>
      </c>
      <c r="C1432" s="72"/>
      <c r="D1432" s="69"/>
      <c r="E1432" s="9">
        <v>608</v>
      </c>
      <c r="F1432" s="25">
        <v>43012</v>
      </c>
      <c r="G1432" s="70" t="s">
        <v>3356</v>
      </c>
      <c r="H1432" s="9"/>
      <c r="I1432" s="8"/>
      <c r="J1432" s="8"/>
      <c r="K1432" s="8"/>
      <c r="L1432" s="8"/>
      <c r="M1432" s="8"/>
    </row>
    <row r="1433" spans="1:13">
      <c r="A1433" s="71" t="s">
        <v>5440</v>
      </c>
      <c r="B1433" s="67">
        <v>64682544500</v>
      </c>
      <c r="C1433" s="72"/>
      <c r="D1433" s="69"/>
      <c r="E1433" s="9">
        <v>1350</v>
      </c>
      <c r="F1433" s="25">
        <v>43006</v>
      </c>
      <c r="G1433" s="70" t="s">
        <v>3356</v>
      </c>
      <c r="H1433" s="9"/>
      <c r="I1433" s="8"/>
      <c r="J1433" s="8"/>
      <c r="K1433" s="8"/>
      <c r="L1433" s="8"/>
      <c r="M1433" s="8"/>
    </row>
    <row r="1434" spans="1:13">
      <c r="A1434" s="71" t="s">
        <v>5441</v>
      </c>
      <c r="B1434" s="67">
        <v>35198444863</v>
      </c>
      <c r="C1434" s="72" t="s">
        <v>5442</v>
      </c>
      <c r="D1434" s="69">
        <v>30956969810</v>
      </c>
      <c r="E1434" s="9">
        <v>1489</v>
      </c>
      <c r="F1434" s="25">
        <v>43038</v>
      </c>
      <c r="G1434" s="70" t="s">
        <v>3356</v>
      </c>
      <c r="H1434" s="9"/>
      <c r="I1434" s="8"/>
      <c r="J1434" s="8"/>
      <c r="K1434" s="8"/>
      <c r="L1434" s="9" t="s">
        <v>3497</v>
      </c>
      <c r="M1434" s="8"/>
    </row>
    <row r="1435" spans="1:13">
      <c r="A1435" s="72" t="s">
        <v>5443</v>
      </c>
      <c r="B1435" s="67">
        <v>24766625854</v>
      </c>
      <c r="C1435" s="72"/>
      <c r="D1435" s="69"/>
      <c r="E1435" s="9">
        <v>573</v>
      </c>
      <c r="F1435" s="25">
        <v>43224</v>
      </c>
      <c r="G1435" s="70"/>
      <c r="H1435" s="9"/>
      <c r="I1435" s="8"/>
      <c r="J1435" s="8"/>
      <c r="K1435" s="8"/>
      <c r="L1435" s="8"/>
      <c r="M1435" s="8"/>
    </row>
    <row r="1436" spans="1:13">
      <c r="A1436" s="71" t="s">
        <v>5444</v>
      </c>
      <c r="B1436" s="67">
        <v>3877896421</v>
      </c>
      <c r="C1436" s="72"/>
      <c r="D1436" s="69"/>
      <c r="E1436" s="9">
        <v>292</v>
      </c>
      <c r="F1436" s="25">
        <v>43168</v>
      </c>
      <c r="G1436" s="70" t="s">
        <v>3356</v>
      </c>
      <c r="H1436" s="9"/>
      <c r="I1436" s="8"/>
      <c r="J1436" s="8"/>
      <c r="K1436" s="8"/>
      <c r="L1436" s="9">
        <v>318</v>
      </c>
      <c r="M1436" s="8"/>
    </row>
    <row r="1437" spans="1:13">
      <c r="A1437" s="71" t="s">
        <v>5445</v>
      </c>
      <c r="B1437" s="67">
        <v>11290057800</v>
      </c>
      <c r="C1437" s="72"/>
      <c r="D1437" s="69"/>
      <c r="E1437" s="9">
        <v>1824</v>
      </c>
      <c r="F1437" s="25">
        <v>43091</v>
      </c>
      <c r="G1437" s="70" t="s">
        <v>3356</v>
      </c>
      <c r="H1437" s="9"/>
      <c r="I1437" s="8"/>
      <c r="J1437" s="8"/>
      <c r="K1437" s="8"/>
      <c r="L1437" s="9">
        <v>1828</v>
      </c>
      <c r="M1437" s="8"/>
    </row>
    <row r="1438" spans="1:13">
      <c r="A1438" s="71" t="s">
        <v>5446</v>
      </c>
      <c r="B1438" s="67">
        <v>22472713835</v>
      </c>
      <c r="C1438" s="72"/>
      <c r="D1438" s="69"/>
      <c r="E1438" s="9">
        <v>85</v>
      </c>
      <c r="F1438" s="25">
        <v>43109</v>
      </c>
      <c r="G1438" s="70" t="s">
        <v>3356</v>
      </c>
      <c r="H1438" s="25">
        <v>43151</v>
      </c>
      <c r="I1438" s="8"/>
      <c r="J1438" s="8"/>
      <c r="K1438" s="8"/>
      <c r="L1438" s="8"/>
      <c r="M1438" s="8"/>
    </row>
    <row r="1439" spans="1:13">
      <c r="A1439" s="71" t="s">
        <v>5447</v>
      </c>
      <c r="B1439" s="67">
        <v>1930099517</v>
      </c>
      <c r="C1439" s="68" t="s">
        <v>5448</v>
      </c>
      <c r="D1439" s="69">
        <v>91788226534</v>
      </c>
      <c r="E1439" s="9">
        <v>1752</v>
      </c>
      <c r="F1439" s="25">
        <v>43051</v>
      </c>
      <c r="G1439" s="70" t="s">
        <v>3356</v>
      </c>
      <c r="H1439" s="9"/>
      <c r="I1439" s="8"/>
      <c r="J1439" s="8"/>
      <c r="K1439" s="8"/>
      <c r="L1439" s="9">
        <v>1759</v>
      </c>
      <c r="M1439" s="8"/>
    </row>
    <row r="1440" spans="1:13">
      <c r="A1440" s="71" t="s">
        <v>5449</v>
      </c>
      <c r="B1440" s="67">
        <v>1941225497</v>
      </c>
      <c r="C1440" s="72"/>
      <c r="D1440" s="69"/>
      <c r="E1440" s="9"/>
      <c r="F1440" s="25"/>
      <c r="G1440" s="70"/>
      <c r="H1440" s="9"/>
      <c r="I1440" s="8"/>
      <c r="J1440" s="8"/>
      <c r="K1440" s="8"/>
      <c r="L1440" s="8"/>
      <c r="M1440" s="8"/>
    </row>
    <row r="1441" spans="1:13">
      <c r="A1441" s="71" t="s">
        <v>5450</v>
      </c>
      <c r="B1441" s="67">
        <v>31068143819</v>
      </c>
      <c r="C1441" s="72" t="s">
        <v>5451</v>
      </c>
      <c r="D1441" s="69">
        <v>27121002809</v>
      </c>
      <c r="E1441" s="9">
        <v>608</v>
      </c>
      <c r="F1441" s="25">
        <v>43012</v>
      </c>
      <c r="G1441" s="70" t="s">
        <v>3362</v>
      </c>
      <c r="H1441" s="9"/>
      <c r="I1441" s="8"/>
      <c r="J1441" s="8"/>
      <c r="K1441" s="8"/>
      <c r="L1441" s="8"/>
      <c r="M1441" s="8"/>
    </row>
    <row r="1442" spans="1:13">
      <c r="A1442" s="71" t="s">
        <v>5452</v>
      </c>
      <c r="B1442" s="67">
        <v>30845554867</v>
      </c>
      <c r="C1442" s="72"/>
      <c r="D1442" s="69"/>
      <c r="E1442" s="9">
        <v>1439</v>
      </c>
      <c r="F1442" s="25">
        <v>43025</v>
      </c>
      <c r="G1442" s="70" t="s">
        <v>3356</v>
      </c>
      <c r="H1442" s="9"/>
      <c r="I1442" s="8"/>
      <c r="J1442" s="8"/>
      <c r="K1442" s="8"/>
      <c r="L1442" s="9" t="s">
        <v>3838</v>
      </c>
      <c r="M1442" s="8"/>
    </row>
    <row r="1443" spans="1:13">
      <c r="A1443" s="15" t="s">
        <v>5453</v>
      </c>
      <c r="B1443" s="67">
        <v>33100600800</v>
      </c>
      <c r="C1443" s="72" t="s">
        <v>5454</v>
      </c>
      <c r="D1443" s="69">
        <v>1505310520</v>
      </c>
      <c r="E1443" s="9">
        <v>485</v>
      </c>
      <c r="F1443" s="25">
        <v>43196</v>
      </c>
      <c r="G1443" s="70"/>
      <c r="H1443" s="9"/>
      <c r="I1443" s="8"/>
      <c r="J1443" s="8"/>
      <c r="K1443" s="8"/>
      <c r="L1443" s="9">
        <v>483</v>
      </c>
      <c r="M1443" s="8"/>
    </row>
    <row r="1444" spans="1:13">
      <c r="A1444" s="71" t="s">
        <v>5455</v>
      </c>
      <c r="B1444" s="67">
        <v>23284980865</v>
      </c>
      <c r="C1444" s="72" t="s">
        <v>5456</v>
      </c>
      <c r="D1444" s="69">
        <v>8170993792</v>
      </c>
      <c r="E1444" s="9">
        <v>1214</v>
      </c>
      <c r="F1444" s="25">
        <v>42989</v>
      </c>
      <c r="G1444" s="70" t="s">
        <v>3356</v>
      </c>
      <c r="H1444" s="9"/>
      <c r="I1444" s="8"/>
      <c r="J1444" s="8"/>
      <c r="K1444" s="8"/>
      <c r="L1444" s="8"/>
      <c r="M1444" s="8"/>
    </row>
    <row r="1445" spans="1:13">
      <c r="A1445" s="73" t="s">
        <v>5457</v>
      </c>
      <c r="B1445" s="67">
        <v>27235231874</v>
      </c>
      <c r="C1445" s="72" t="s">
        <v>5458</v>
      </c>
      <c r="D1445" s="69">
        <v>36182133520</v>
      </c>
      <c r="E1445" s="9">
        <v>1106</v>
      </c>
      <c r="F1445" s="25">
        <v>42965</v>
      </c>
      <c r="G1445" s="70" t="s">
        <v>3356</v>
      </c>
      <c r="H1445" s="9"/>
      <c r="I1445" s="8"/>
      <c r="J1445" s="8"/>
      <c r="K1445" s="8"/>
      <c r="L1445" s="8"/>
      <c r="M1445" s="8"/>
    </row>
    <row r="1446" spans="1:13">
      <c r="A1446" s="71" t="s">
        <v>5459</v>
      </c>
      <c r="B1446" s="67">
        <v>91539358534</v>
      </c>
      <c r="C1446" s="72"/>
      <c r="D1446" s="69"/>
      <c r="E1446" s="9"/>
      <c r="F1446" s="25"/>
      <c r="G1446" s="70"/>
      <c r="H1446" s="9"/>
      <c r="I1446" s="8"/>
      <c r="J1446" s="8"/>
      <c r="K1446" s="8"/>
      <c r="L1446" s="8"/>
      <c r="M1446" s="8"/>
    </row>
    <row r="1447" spans="1:13">
      <c r="A1447" s="71" t="s">
        <v>5460</v>
      </c>
      <c r="B1447" s="67">
        <v>38328397803</v>
      </c>
      <c r="C1447" s="72"/>
      <c r="D1447" s="69"/>
      <c r="E1447" s="9">
        <v>262</v>
      </c>
      <c r="F1447" s="25">
        <v>43160</v>
      </c>
      <c r="G1447" s="70" t="s">
        <v>3356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71" t="s">
        <v>5461</v>
      </c>
      <c r="B1448" s="67">
        <v>34862428819</v>
      </c>
      <c r="C1448" s="77"/>
      <c r="D1448" s="69"/>
      <c r="E1448" s="9"/>
      <c r="F1448" s="25"/>
      <c r="G1448" s="70"/>
      <c r="H1448" s="9"/>
      <c r="I1448" s="8"/>
      <c r="J1448" s="8"/>
      <c r="K1448" s="8"/>
      <c r="L1448" s="8"/>
      <c r="M1448" s="8"/>
    </row>
    <row r="1449" spans="1:13">
      <c r="A1449" s="73" t="s">
        <v>5462</v>
      </c>
      <c r="B1449" s="67">
        <v>22012002897</v>
      </c>
      <c r="C1449" s="72"/>
      <c r="D1449" s="69"/>
      <c r="E1449" s="9"/>
      <c r="F1449" s="25"/>
      <c r="G1449" s="70"/>
      <c r="H1449" s="9"/>
      <c r="I1449" s="8"/>
      <c r="J1449" s="8"/>
      <c r="K1449" s="8"/>
      <c r="L1449" s="8"/>
      <c r="M1449" s="8"/>
    </row>
    <row r="1450" spans="1:13">
      <c r="A1450" s="73" t="s">
        <v>5463</v>
      </c>
      <c r="B1450" s="67">
        <v>68904304415</v>
      </c>
      <c r="C1450" s="72"/>
      <c r="D1450" s="69"/>
      <c r="E1450" s="9"/>
      <c r="F1450" s="25"/>
      <c r="G1450" s="70"/>
      <c r="H1450" s="9"/>
      <c r="I1450" s="8"/>
      <c r="J1450" s="8"/>
      <c r="K1450" s="8"/>
      <c r="L1450" s="8"/>
      <c r="M1450" s="8"/>
    </row>
    <row r="1451" spans="1:13">
      <c r="A1451" s="71" t="s">
        <v>5464</v>
      </c>
      <c r="B1451" s="67">
        <v>774242809</v>
      </c>
      <c r="C1451" s="72" t="s">
        <v>5465</v>
      </c>
      <c r="D1451" s="69">
        <v>16619607829</v>
      </c>
      <c r="E1451" s="9">
        <v>1824</v>
      </c>
      <c r="F1451" s="25">
        <v>43091</v>
      </c>
      <c r="G1451" s="70" t="s">
        <v>3356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5466</v>
      </c>
      <c r="B1452" s="67">
        <v>32317196822</v>
      </c>
      <c r="C1452" s="68"/>
      <c r="D1452" s="69"/>
      <c r="E1452" s="9">
        <v>1267</v>
      </c>
      <c r="F1452" s="25">
        <v>42998</v>
      </c>
      <c r="G1452" s="70" t="s">
        <v>3356</v>
      </c>
      <c r="H1452" s="9"/>
      <c r="I1452" s="8"/>
      <c r="J1452" s="8"/>
      <c r="K1452" s="8"/>
      <c r="L1452" s="8"/>
      <c r="M1452" s="8"/>
    </row>
    <row r="1453" spans="1:13">
      <c r="A1453" s="71" t="s">
        <v>5467</v>
      </c>
      <c r="B1453" s="67">
        <v>34817829850</v>
      </c>
      <c r="C1453" s="72" t="s">
        <v>5468</v>
      </c>
      <c r="D1453" s="69">
        <v>8025534863</v>
      </c>
      <c r="E1453" s="9">
        <v>1241</v>
      </c>
      <c r="F1453" s="25">
        <v>42992</v>
      </c>
      <c r="G1453" s="70" t="s">
        <v>3370</v>
      </c>
      <c r="H1453" s="9"/>
      <c r="I1453" s="8"/>
      <c r="J1453" s="8"/>
      <c r="K1453" s="8"/>
      <c r="L1453" s="8"/>
      <c r="M1453" s="8"/>
    </row>
    <row r="1454" spans="1:13">
      <c r="A1454" s="71" t="s">
        <v>5469</v>
      </c>
      <c r="B1454" s="67">
        <v>42992112860</v>
      </c>
      <c r="C1454" s="72"/>
      <c r="D1454" s="69"/>
      <c r="E1454" s="9"/>
      <c r="F1454" s="25"/>
      <c r="G1454" s="70"/>
      <c r="H1454" s="9"/>
      <c r="I1454" s="8"/>
      <c r="J1454" s="8"/>
      <c r="K1454" s="8"/>
      <c r="L1454" s="8"/>
      <c r="M1454" s="8"/>
    </row>
    <row r="1455" spans="1:13">
      <c r="A1455" s="14" t="s">
        <v>5470</v>
      </c>
      <c r="B1455" s="67">
        <v>11162298898</v>
      </c>
      <c r="C1455" s="72"/>
      <c r="D1455" s="69"/>
      <c r="E1455" s="9">
        <v>262</v>
      </c>
      <c r="F1455" s="25">
        <v>43160</v>
      </c>
      <c r="G1455" s="70" t="s">
        <v>3356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71" t="s">
        <v>5471</v>
      </c>
      <c r="B1456" s="67">
        <v>38154090805</v>
      </c>
      <c r="C1456" s="72"/>
      <c r="D1456" s="69"/>
      <c r="E1456" s="9">
        <v>1106</v>
      </c>
      <c r="F1456" s="25">
        <v>42965</v>
      </c>
      <c r="G1456" s="70" t="s">
        <v>3356</v>
      </c>
      <c r="H1456" s="9"/>
      <c r="I1456" s="8"/>
      <c r="J1456" s="8"/>
      <c r="K1456" s="8"/>
      <c r="L1456" s="8"/>
      <c r="M1456" s="8"/>
    </row>
    <row r="1457" spans="1:13">
      <c r="A1457" s="71" t="s">
        <v>5472</v>
      </c>
      <c r="B1457" s="67">
        <v>30142727873</v>
      </c>
      <c r="C1457" s="77"/>
      <c r="D1457" s="69"/>
      <c r="E1457" s="9">
        <v>563</v>
      </c>
      <c r="F1457" s="25">
        <v>43217</v>
      </c>
      <c r="G1457" s="70"/>
      <c r="H1457" s="9"/>
      <c r="I1457" s="8"/>
      <c r="J1457" s="8"/>
      <c r="K1457" s="8"/>
      <c r="L1457" s="9" t="s">
        <v>3636</v>
      </c>
      <c r="M1457" s="8"/>
    </row>
    <row r="1458" spans="1:13">
      <c r="A1458" s="14" t="s">
        <v>5473</v>
      </c>
      <c r="B1458" s="67">
        <v>36648473851</v>
      </c>
      <c r="C1458" s="72"/>
      <c r="D1458" s="69"/>
      <c r="E1458" s="9">
        <v>262</v>
      </c>
      <c r="F1458" s="25">
        <v>43160</v>
      </c>
      <c r="G1458" s="70" t="s">
        <v>3356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5474</v>
      </c>
      <c r="B1459" s="67">
        <v>32547457873</v>
      </c>
      <c r="C1459" s="72" t="s">
        <v>5475</v>
      </c>
      <c r="D1459" s="69">
        <v>23172645851</v>
      </c>
      <c r="E1459" s="9"/>
      <c r="F1459" s="25"/>
      <c r="G1459" s="70"/>
      <c r="H1459" s="9"/>
      <c r="I1459" s="8"/>
      <c r="J1459" s="8"/>
      <c r="K1459" s="8"/>
      <c r="L1459" s="8"/>
      <c r="M1459" s="8"/>
    </row>
    <row r="1460" spans="1:13">
      <c r="A1460" s="71" t="s">
        <v>5476</v>
      </c>
      <c r="B1460" s="67">
        <v>16784597800</v>
      </c>
      <c r="C1460" s="72" t="s">
        <v>5477</v>
      </c>
      <c r="D1460" s="69">
        <v>31123603898</v>
      </c>
      <c r="E1460" s="9"/>
      <c r="F1460" s="25"/>
      <c r="G1460" s="70"/>
      <c r="H1460" s="9"/>
      <c r="I1460" s="8"/>
      <c r="J1460" s="8"/>
      <c r="K1460" s="8"/>
      <c r="L1460" s="8"/>
      <c r="M1460" s="8"/>
    </row>
    <row r="1461" spans="1:13">
      <c r="A1461" s="15" t="s">
        <v>4525</v>
      </c>
      <c r="B1461" s="67">
        <v>5418522566</v>
      </c>
      <c r="C1461" s="72"/>
      <c r="D1461" s="69"/>
      <c r="E1461" s="9"/>
      <c r="F1461" s="25"/>
      <c r="G1461" s="70"/>
      <c r="H1461" s="9"/>
      <c r="I1461" s="8"/>
      <c r="J1461" s="8"/>
      <c r="K1461" s="8"/>
      <c r="L1461" s="8"/>
      <c r="M1461" s="8"/>
    </row>
    <row r="1462" spans="1:13">
      <c r="A1462" s="71" t="s">
        <v>5478</v>
      </c>
      <c r="B1462" s="67">
        <v>40709582404</v>
      </c>
      <c r="C1462" s="72"/>
      <c r="D1462" s="69"/>
      <c r="E1462" s="9">
        <v>1106</v>
      </c>
      <c r="F1462" s="25">
        <v>42965</v>
      </c>
      <c r="G1462" s="70" t="s">
        <v>3356</v>
      </c>
      <c r="H1462" s="9"/>
      <c r="I1462" s="8"/>
      <c r="J1462" s="8"/>
      <c r="K1462" s="8"/>
      <c r="L1462" s="8"/>
      <c r="M1462" s="8"/>
    </row>
    <row r="1463" spans="1:13">
      <c r="A1463" s="71" t="s">
        <v>5479</v>
      </c>
      <c r="B1463" s="67">
        <v>36639689871</v>
      </c>
      <c r="C1463" s="72"/>
      <c r="D1463" s="69"/>
      <c r="E1463" s="9"/>
      <c r="F1463" s="25"/>
      <c r="G1463" s="70"/>
      <c r="H1463" s="9"/>
      <c r="I1463" s="8"/>
      <c r="J1463" s="8"/>
      <c r="K1463" s="8"/>
      <c r="L1463" s="8"/>
      <c r="M1463" s="8"/>
    </row>
    <row r="1464" spans="1:13">
      <c r="A1464" s="72" t="s">
        <v>5480</v>
      </c>
      <c r="B1464" s="67">
        <v>2467378403</v>
      </c>
      <c r="C1464" s="72" t="s">
        <v>5481</v>
      </c>
      <c r="D1464" s="69">
        <v>70485232472</v>
      </c>
      <c r="E1464" s="9"/>
      <c r="F1464" s="25"/>
      <c r="G1464" s="70"/>
      <c r="H1464" s="9"/>
      <c r="I1464" s="8"/>
      <c r="J1464" s="8"/>
      <c r="K1464" s="8"/>
      <c r="L1464" s="8"/>
      <c r="M1464" s="8"/>
    </row>
    <row r="1465" spans="1:13">
      <c r="A1465" s="71" t="s">
        <v>5482</v>
      </c>
      <c r="B1465" s="67">
        <v>26932806487</v>
      </c>
      <c r="C1465" s="72"/>
      <c r="D1465" s="69"/>
      <c r="E1465" s="9"/>
      <c r="F1465" s="25"/>
      <c r="G1465" s="70"/>
      <c r="H1465" s="9"/>
      <c r="I1465" s="8"/>
      <c r="J1465" s="8"/>
      <c r="K1465" s="8"/>
      <c r="L1465" s="8"/>
      <c r="M1465" s="8"/>
    </row>
    <row r="1466" spans="1:13">
      <c r="A1466" s="71" t="s">
        <v>5483</v>
      </c>
      <c r="B1466" s="67">
        <v>34247512862</v>
      </c>
      <c r="C1466" s="77" t="s">
        <v>5484</v>
      </c>
      <c r="D1466" s="69">
        <v>23228557820</v>
      </c>
      <c r="E1466" s="9">
        <v>563</v>
      </c>
      <c r="F1466" s="25">
        <v>43217</v>
      </c>
      <c r="G1466" s="70"/>
      <c r="H1466" s="9"/>
      <c r="I1466" s="8"/>
      <c r="J1466" s="8"/>
      <c r="K1466" s="8"/>
      <c r="L1466" s="9" t="s">
        <v>3636</v>
      </c>
      <c r="M1466" s="8"/>
    </row>
    <row r="1467" spans="1:13">
      <c r="A1467" s="71" t="s">
        <v>5485</v>
      </c>
      <c r="B1467" s="67" t="s">
        <v>5486</v>
      </c>
      <c r="C1467" s="73"/>
      <c r="D1467" s="69"/>
      <c r="E1467" s="9">
        <v>573</v>
      </c>
      <c r="F1467" s="25">
        <v>43224</v>
      </c>
      <c r="G1467" s="70"/>
      <c r="H1467" s="9"/>
      <c r="I1467" s="8"/>
      <c r="J1467" s="8"/>
      <c r="K1467" s="8"/>
      <c r="L1467" s="8"/>
      <c r="M1467" s="8"/>
    </row>
    <row r="1468" spans="1:13">
      <c r="A1468" s="15" t="s">
        <v>5487</v>
      </c>
      <c r="B1468" s="67">
        <v>47168211889</v>
      </c>
      <c r="C1468" s="72" t="s">
        <v>5488</v>
      </c>
      <c r="D1468" s="69">
        <v>46765554823</v>
      </c>
      <c r="E1468" s="9"/>
      <c r="F1468" s="25"/>
      <c r="G1468" s="70"/>
      <c r="H1468" s="9"/>
      <c r="I1468" s="8"/>
      <c r="J1468" s="8"/>
      <c r="K1468" s="8"/>
      <c r="L1468" s="8"/>
      <c r="M1468" s="8"/>
    </row>
    <row r="1469" spans="1:13">
      <c r="A1469" s="13" t="s">
        <v>5489</v>
      </c>
      <c r="B1469" s="67">
        <v>16700203805</v>
      </c>
      <c r="C1469" s="68"/>
      <c r="D1469" s="69"/>
      <c r="E1469" s="9">
        <v>1128</v>
      </c>
      <c r="F1469" s="25">
        <v>42972</v>
      </c>
      <c r="G1469" s="70" t="s">
        <v>3356</v>
      </c>
      <c r="H1469" s="9"/>
      <c r="I1469" s="8"/>
      <c r="J1469" s="8"/>
      <c r="K1469" s="8"/>
      <c r="L1469" s="8"/>
      <c r="M1469" s="8"/>
    </row>
    <row r="1470" spans="1:13">
      <c r="A1470" s="71" t="s">
        <v>5490</v>
      </c>
      <c r="B1470" s="67">
        <v>1532239521</v>
      </c>
      <c r="C1470" s="72" t="s">
        <v>5491</v>
      </c>
      <c r="D1470" s="69">
        <v>37104060804</v>
      </c>
      <c r="E1470" s="9">
        <v>810</v>
      </c>
      <c r="F1470" s="25">
        <v>42915</v>
      </c>
      <c r="G1470" s="70" t="s">
        <v>3356</v>
      </c>
      <c r="H1470" s="9"/>
      <c r="I1470" s="8"/>
      <c r="J1470" s="8"/>
      <c r="K1470" s="8"/>
      <c r="L1470" s="9" t="s">
        <v>3475</v>
      </c>
      <c r="M1470" s="8"/>
    </row>
    <row r="1471" spans="1:13">
      <c r="A1471" s="15" t="s">
        <v>5492</v>
      </c>
      <c r="B1471" s="67">
        <v>52648281568</v>
      </c>
      <c r="C1471" s="72"/>
      <c r="D1471" s="69"/>
      <c r="E1471" s="9">
        <v>229</v>
      </c>
      <c r="F1471" s="25">
        <v>43151</v>
      </c>
      <c r="G1471" s="70" t="s">
        <v>3356</v>
      </c>
      <c r="H1471" s="9"/>
      <c r="I1471" s="8"/>
      <c r="J1471" s="8"/>
      <c r="K1471" s="8"/>
      <c r="L1471" s="9">
        <v>232</v>
      </c>
      <c r="M1471" s="8"/>
    </row>
    <row r="1472" spans="1:13">
      <c r="A1472" s="71" t="s">
        <v>5493</v>
      </c>
      <c r="B1472" s="67">
        <v>37734630812</v>
      </c>
      <c r="C1472" s="72"/>
      <c r="D1472" s="69"/>
      <c r="E1472" s="9">
        <v>810</v>
      </c>
      <c r="F1472" s="25">
        <v>42915</v>
      </c>
      <c r="G1472" s="70" t="s">
        <v>3356</v>
      </c>
      <c r="H1472" s="9"/>
      <c r="I1472" s="8"/>
      <c r="J1472" s="8"/>
      <c r="K1472" s="8"/>
      <c r="L1472" s="9" t="s">
        <v>3475</v>
      </c>
      <c r="M1472" s="8"/>
    </row>
    <row r="1473" spans="1:13">
      <c r="A1473" s="71" t="s">
        <v>5494</v>
      </c>
      <c r="B1473" s="67">
        <v>37117512881</v>
      </c>
      <c r="C1473" s="75" t="s">
        <v>5495</v>
      </c>
      <c r="D1473" s="69">
        <v>39740259871</v>
      </c>
      <c r="E1473" s="9">
        <v>1106</v>
      </c>
      <c r="F1473" s="25">
        <v>42965</v>
      </c>
      <c r="G1473" s="70" t="s">
        <v>3356</v>
      </c>
      <c r="H1473" s="9"/>
      <c r="I1473" s="8"/>
      <c r="J1473" s="8"/>
      <c r="K1473" s="8"/>
      <c r="L1473" s="8"/>
      <c r="M1473" s="8"/>
    </row>
    <row r="1474" spans="1:13">
      <c r="A1474" s="13" t="s">
        <v>5496</v>
      </c>
      <c r="B1474" s="67">
        <v>39967942827</v>
      </c>
      <c r="C1474" s="72" t="s">
        <v>5497</v>
      </c>
      <c r="D1474" s="69">
        <v>32777947848</v>
      </c>
      <c r="E1474" s="9">
        <v>1267</v>
      </c>
      <c r="F1474" s="25">
        <v>42998</v>
      </c>
      <c r="G1474" s="70" t="s">
        <v>3356</v>
      </c>
      <c r="H1474" s="9"/>
      <c r="I1474" s="8"/>
      <c r="J1474" s="8"/>
      <c r="K1474" s="8"/>
      <c r="L1474" s="8"/>
      <c r="M1474" s="8"/>
    </row>
    <row r="1475" spans="1:13">
      <c r="A1475" s="71" t="s">
        <v>5498</v>
      </c>
      <c r="B1475" s="67">
        <v>18464307802</v>
      </c>
      <c r="C1475" s="72" t="s">
        <v>5499</v>
      </c>
      <c r="D1475" s="69">
        <v>13642437842</v>
      </c>
      <c r="E1475" s="9">
        <v>608</v>
      </c>
      <c r="F1475" s="25">
        <v>43012</v>
      </c>
      <c r="G1475" s="70" t="s">
        <v>3362</v>
      </c>
      <c r="H1475" s="9"/>
      <c r="I1475" s="8"/>
      <c r="J1475" s="8"/>
      <c r="K1475" s="8"/>
      <c r="L1475" s="8"/>
      <c r="M1475" s="8"/>
    </row>
    <row r="1476" spans="1:13">
      <c r="A1476" s="71" t="s">
        <v>5500</v>
      </c>
      <c r="B1476" s="67">
        <v>29790847866</v>
      </c>
      <c r="C1476" s="68"/>
      <c r="D1476" s="69"/>
      <c r="E1476" s="9">
        <v>1570</v>
      </c>
      <c r="F1476" s="25">
        <v>43077</v>
      </c>
      <c r="G1476" s="70" t="s">
        <v>3356</v>
      </c>
      <c r="H1476" s="9"/>
      <c r="I1476" s="8"/>
      <c r="J1476" s="8"/>
      <c r="K1476" s="8"/>
      <c r="L1476" s="8"/>
      <c r="M1476" s="8"/>
    </row>
    <row r="1477" spans="1:13">
      <c r="A1477" s="71" t="s">
        <v>5501</v>
      </c>
      <c r="B1477" s="67">
        <v>38572422803</v>
      </c>
      <c r="C1477" s="72"/>
      <c r="D1477" s="69"/>
      <c r="E1477" s="9">
        <v>1350</v>
      </c>
      <c r="F1477" s="25">
        <v>43006</v>
      </c>
      <c r="G1477" s="70" t="s">
        <v>3356</v>
      </c>
      <c r="H1477" s="9"/>
      <c r="I1477" s="8"/>
      <c r="J1477" s="8"/>
      <c r="K1477" s="8"/>
      <c r="L1477" s="8"/>
      <c r="M1477" s="8"/>
    </row>
    <row r="1478" spans="1:13">
      <c r="A1478" s="71" t="s">
        <v>5502</v>
      </c>
      <c r="B1478" s="67">
        <v>91413168515</v>
      </c>
      <c r="C1478" s="72" t="s">
        <v>5503</v>
      </c>
      <c r="D1478" s="69">
        <v>12713438861</v>
      </c>
      <c r="E1478" s="9">
        <v>810</v>
      </c>
      <c r="F1478" s="25">
        <v>42915</v>
      </c>
      <c r="G1478" s="70" t="s">
        <v>3356</v>
      </c>
      <c r="H1478" s="9"/>
      <c r="I1478" s="8"/>
      <c r="J1478" s="8"/>
      <c r="K1478" s="8"/>
      <c r="L1478" s="9" t="s">
        <v>3475</v>
      </c>
      <c r="M1478" s="8"/>
    </row>
    <row r="1479" spans="1:13">
      <c r="A1479" s="72" t="s">
        <v>5504</v>
      </c>
      <c r="B1479" s="67">
        <v>13554461806</v>
      </c>
      <c r="C1479" s="72" t="s">
        <v>5505</v>
      </c>
      <c r="D1479" s="69">
        <v>10720281822</v>
      </c>
      <c r="E1479" s="9"/>
      <c r="F1479" s="25"/>
      <c r="G1479" s="70"/>
      <c r="H1479" s="9"/>
      <c r="I1479" s="8"/>
      <c r="J1479" s="8"/>
      <c r="K1479" s="8"/>
      <c r="L1479" s="8"/>
      <c r="M1479" s="8"/>
    </row>
    <row r="1480" spans="1:13">
      <c r="A1480" s="71" t="s">
        <v>5506</v>
      </c>
      <c r="B1480" s="67">
        <v>6941864818</v>
      </c>
      <c r="C1480" s="72"/>
      <c r="D1480" s="69"/>
      <c r="E1480" s="9">
        <v>229</v>
      </c>
      <c r="F1480" s="25">
        <v>43151</v>
      </c>
      <c r="G1480" s="70" t="s">
        <v>3356</v>
      </c>
      <c r="H1480" s="9"/>
      <c r="I1480" s="8"/>
      <c r="J1480" s="8"/>
      <c r="K1480" s="8"/>
      <c r="L1480" s="9">
        <v>232</v>
      </c>
      <c r="M1480" s="8"/>
    </row>
    <row r="1481" spans="1:13">
      <c r="A1481" s="71" t="s">
        <v>5507</v>
      </c>
      <c r="B1481" s="67">
        <v>23473313882</v>
      </c>
      <c r="C1481" s="72" t="s">
        <v>5508</v>
      </c>
      <c r="D1481" s="69">
        <v>51042797404</v>
      </c>
      <c r="E1481" s="9">
        <v>485</v>
      </c>
      <c r="F1481" s="25">
        <v>43196</v>
      </c>
      <c r="G1481" s="70" t="s">
        <v>3362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5509</v>
      </c>
      <c r="B1482" s="67">
        <v>7753877895</v>
      </c>
      <c r="C1482" s="68" t="s">
        <v>5510</v>
      </c>
      <c r="D1482" s="69">
        <v>66725372872</v>
      </c>
      <c r="E1482" s="9">
        <v>1214</v>
      </c>
      <c r="F1482" s="25">
        <v>42989</v>
      </c>
      <c r="G1482" s="70" t="s">
        <v>3356</v>
      </c>
      <c r="H1482" s="9"/>
      <c r="I1482" s="8"/>
      <c r="J1482" s="8"/>
      <c r="K1482" s="8"/>
      <c r="L1482" s="8"/>
      <c r="M1482" s="8"/>
    </row>
    <row r="1483" spans="1:13">
      <c r="A1483" s="71" t="s">
        <v>5511</v>
      </c>
      <c r="B1483" s="67">
        <v>33977518534</v>
      </c>
      <c r="C1483" s="72"/>
      <c r="D1483" s="69"/>
      <c r="E1483" s="9"/>
      <c r="F1483" s="25"/>
      <c r="G1483" s="70"/>
      <c r="H1483" s="9"/>
      <c r="I1483" s="8"/>
      <c r="J1483" s="8"/>
      <c r="K1483" s="8"/>
      <c r="L1483" s="8"/>
      <c r="M1483" s="8"/>
    </row>
    <row r="1484" spans="1:13">
      <c r="A1484" s="71" t="s">
        <v>5512</v>
      </c>
      <c r="B1484" s="67">
        <v>17802538858</v>
      </c>
      <c r="C1484" s="72"/>
      <c r="D1484" s="69"/>
      <c r="E1484" s="9">
        <v>810</v>
      </c>
      <c r="F1484" s="25">
        <v>42915</v>
      </c>
      <c r="G1484" s="70" t="s">
        <v>3356</v>
      </c>
      <c r="H1484" s="9"/>
      <c r="I1484" s="8"/>
      <c r="J1484" s="8"/>
      <c r="K1484" s="8"/>
      <c r="L1484" s="9" t="s">
        <v>3475</v>
      </c>
      <c r="M1484" s="8"/>
    </row>
    <row r="1485" spans="1:13">
      <c r="A1485" s="71" t="s">
        <v>5513</v>
      </c>
      <c r="B1485" s="67">
        <v>5037830800</v>
      </c>
      <c r="C1485" s="72"/>
      <c r="D1485" s="69"/>
      <c r="E1485" s="9">
        <v>810</v>
      </c>
      <c r="F1485" s="25">
        <v>42915</v>
      </c>
      <c r="G1485" s="70" t="s">
        <v>3356</v>
      </c>
      <c r="H1485" s="9"/>
      <c r="I1485" s="8"/>
      <c r="J1485" s="8"/>
      <c r="K1485" s="8"/>
      <c r="L1485" s="9" t="s">
        <v>3475</v>
      </c>
      <c r="M1485" s="8"/>
    </row>
    <row r="1486" spans="1:13">
      <c r="A1486" s="13" t="s">
        <v>5514</v>
      </c>
      <c r="B1486" s="67">
        <v>40779583850</v>
      </c>
      <c r="C1486" s="68" t="s">
        <v>5515</v>
      </c>
      <c r="D1486" s="69">
        <v>36411481890</v>
      </c>
      <c r="E1486" s="9">
        <v>1343</v>
      </c>
      <c r="F1486" s="25">
        <v>43004</v>
      </c>
      <c r="G1486" s="70" t="s">
        <v>3356</v>
      </c>
      <c r="H1486" s="9"/>
      <c r="I1486" s="8"/>
      <c r="J1486" s="8"/>
      <c r="K1486" s="8"/>
      <c r="L1486" s="8"/>
      <c r="M1486" s="8"/>
    </row>
    <row r="1487" spans="1:13">
      <c r="A1487" s="29" t="s">
        <v>5516</v>
      </c>
      <c r="B1487" s="67"/>
      <c r="C1487" s="29" t="s">
        <v>3466</v>
      </c>
      <c r="D1487" s="69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71" t="s">
        <v>5517</v>
      </c>
      <c r="B1488" s="67">
        <v>35486024878</v>
      </c>
      <c r="C1488" s="72"/>
      <c r="D1488" s="69"/>
      <c r="E1488" s="9"/>
      <c r="F1488" s="25"/>
      <c r="G1488" s="70"/>
      <c r="H1488" s="9"/>
      <c r="I1488" s="8"/>
      <c r="J1488" s="8"/>
      <c r="K1488" s="8"/>
      <c r="L1488" s="8"/>
      <c r="M1488" s="8"/>
    </row>
    <row r="1489" spans="1:13">
      <c r="A1489" s="71" t="s">
        <v>5518</v>
      </c>
      <c r="B1489" s="67">
        <v>37900094822</v>
      </c>
      <c r="C1489" s="72"/>
      <c r="D1489" s="69"/>
      <c r="E1489" s="9">
        <v>810</v>
      </c>
      <c r="F1489" s="25">
        <v>42915</v>
      </c>
      <c r="G1489" s="70" t="s">
        <v>3356</v>
      </c>
      <c r="H1489" s="9"/>
      <c r="I1489" s="8"/>
      <c r="J1489" s="8"/>
      <c r="K1489" s="8"/>
      <c r="L1489" s="9" t="s">
        <v>3475</v>
      </c>
      <c r="M1489" s="8"/>
    </row>
    <row r="1490" spans="1:13">
      <c r="A1490" s="15" t="s">
        <v>5519</v>
      </c>
      <c r="B1490" s="67">
        <v>45854900866</v>
      </c>
      <c r="C1490" s="72" t="s">
        <v>5520</v>
      </c>
      <c r="D1490" s="69">
        <v>23474048813</v>
      </c>
      <c r="E1490" s="9">
        <v>229</v>
      </c>
      <c r="F1490" s="25">
        <v>43151</v>
      </c>
      <c r="G1490" s="70" t="s">
        <v>3356</v>
      </c>
      <c r="H1490" s="9"/>
      <c r="I1490" s="8"/>
      <c r="J1490" s="8"/>
      <c r="K1490" s="8"/>
      <c r="L1490" s="9">
        <v>232</v>
      </c>
      <c r="M1490" s="8"/>
    </row>
    <row r="1491" spans="1:13">
      <c r="A1491" s="71" t="s">
        <v>5521</v>
      </c>
      <c r="B1491" s="67">
        <v>40870285858</v>
      </c>
      <c r="C1491" s="72" t="s">
        <v>5522</v>
      </c>
      <c r="D1491" s="69">
        <v>39638342854</v>
      </c>
      <c r="E1491" s="9">
        <v>229</v>
      </c>
      <c r="F1491" s="25">
        <v>43151</v>
      </c>
      <c r="G1491" s="70" t="s">
        <v>3370</v>
      </c>
      <c r="H1491" s="9"/>
      <c r="I1491" s="8"/>
      <c r="J1491" s="8"/>
      <c r="K1491" s="8"/>
      <c r="L1491" s="9">
        <v>232</v>
      </c>
      <c r="M1491" s="8"/>
    </row>
    <row r="1492" spans="1:13">
      <c r="A1492" s="72" t="s">
        <v>5523</v>
      </c>
      <c r="B1492" s="67">
        <v>43053164809</v>
      </c>
      <c r="C1492" s="71" t="s">
        <v>5524</v>
      </c>
      <c r="D1492" s="69">
        <v>35649973857</v>
      </c>
      <c r="E1492" s="9">
        <v>292</v>
      </c>
      <c r="F1492" s="25">
        <v>43168</v>
      </c>
      <c r="G1492" s="70" t="s">
        <v>3362</v>
      </c>
      <c r="H1492" s="9"/>
      <c r="I1492" s="8"/>
      <c r="J1492" s="8"/>
      <c r="K1492" s="8"/>
      <c r="L1492" s="9">
        <v>318</v>
      </c>
      <c r="M1492" s="8"/>
    </row>
    <row r="1493" spans="1:13">
      <c r="A1493" s="71" t="s">
        <v>5525</v>
      </c>
      <c r="B1493" s="67">
        <v>36082912888</v>
      </c>
      <c r="C1493" s="72"/>
      <c r="D1493" s="69"/>
      <c r="E1493" s="9"/>
      <c r="F1493" s="25"/>
      <c r="G1493" s="70"/>
      <c r="H1493" s="9"/>
      <c r="I1493" s="8"/>
      <c r="J1493" s="8"/>
      <c r="K1493" s="8"/>
      <c r="L1493" s="8"/>
      <c r="M1493" s="8"/>
    </row>
    <row r="1494" spans="1:13">
      <c r="A1494" s="15" t="s">
        <v>5526</v>
      </c>
      <c r="B1494" s="67">
        <v>34727823829</v>
      </c>
      <c r="C1494" s="72" t="s">
        <v>5527</v>
      </c>
      <c r="D1494" s="69">
        <v>33790197807</v>
      </c>
      <c r="E1494" s="9">
        <v>262</v>
      </c>
      <c r="F1494" s="25">
        <v>43160</v>
      </c>
      <c r="G1494" s="70" t="s">
        <v>3362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71" t="s">
        <v>5528</v>
      </c>
      <c r="B1495" s="67">
        <v>8034712620</v>
      </c>
      <c r="C1495" s="72"/>
      <c r="D1495" s="69"/>
      <c r="E1495" s="9"/>
      <c r="F1495" s="25"/>
      <c r="G1495" s="70"/>
      <c r="H1495" s="9"/>
      <c r="I1495" s="8"/>
      <c r="J1495" s="8"/>
      <c r="K1495" s="8"/>
      <c r="L1495" s="8"/>
      <c r="M1495" s="8"/>
    </row>
    <row r="1496" spans="1:13">
      <c r="A1496" s="71" t="s">
        <v>5529</v>
      </c>
      <c r="B1496" s="67">
        <v>121667820</v>
      </c>
      <c r="C1496" s="72"/>
      <c r="D1496" s="69"/>
      <c r="E1496" s="9">
        <v>292</v>
      </c>
      <c r="F1496" s="25">
        <v>43168</v>
      </c>
      <c r="G1496" s="9" t="s">
        <v>3356</v>
      </c>
      <c r="H1496" s="9"/>
      <c r="I1496" s="8"/>
      <c r="J1496" s="8"/>
      <c r="K1496" s="8"/>
      <c r="L1496" s="9">
        <v>318</v>
      </c>
      <c r="M1496" s="8"/>
    </row>
    <row r="1497" spans="1:13">
      <c r="A1497" s="72" t="s">
        <v>5530</v>
      </c>
      <c r="B1497" s="67">
        <v>35021423860</v>
      </c>
      <c r="C1497" s="72"/>
      <c r="D1497" s="69"/>
      <c r="E1497" s="9"/>
      <c r="F1497" s="25"/>
      <c r="G1497" s="70"/>
      <c r="H1497" s="9"/>
      <c r="I1497" s="8"/>
      <c r="J1497" s="8"/>
      <c r="K1497" s="8"/>
      <c r="L1497" s="8"/>
      <c r="M1497" s="8"/>
    </row>
    <row r="1498" spans="1:13">
      <c r="A1498" s="15" t="s">
        <v>5531</v>
      </c>
      <c r="B1498" s="67">
        <v>22056512858</v>
      </c>
      <c r="C1498" s="72"/>
      <c r="D1498" s="69"/>
      <c r="E1498" s="9">
        <v>85</v>
      </c>
      <c r="F1498" s="25">
        <v>43109</v>
      </c>
      <c r="G1498" s="70" t="s">
        <v>3356</v>
      </c>
      <c r="H1498" s="25">
        <v>43151</v>
      </c>
      <c r="I1498" s="8"/>
      <c r="J1498" s="8"/>
      <c r="K1498" s="8"/>
      <c r="L1498" s="8"/>
      <c r="M1498" s="8"/>
    </row>
    <row r="1499" spans="1:13">
      <c r="A1499" s="71" t="s">
        <v>5532</v>
      </c>
      <c r="B1499" s="67">
        <v>13576812830</v>
      </c>
      <c r="C1499" s="72" t="s">
        <v>5533</v>
      </c>
      <c r="D1499" s="69">
        <v>1075554845</v>
      </c>
      <c r="E1499" s="9">
        <v>1489</v>
      </c>
      <c r="F1499" s="25">
        <v>43038</v>
      </c>
      <c r="G1499" s="70" t="s">
        <v>3356</v>
      </c>
      <c r="H1499" s="9"/>
      <c r="I1499" s="8"/>
      <c r="J1499" s="8"/>
      <c r="K1499" s="8"/>
      <c r="L1499" s="9" t="s">
        <v>3497</v>
      </c>
      <c r="M1499" s="8"/>
    </row>
    <row r="1500" spans="1:13">
      <c r="A1500" s="71" t="s">
        <v>5534</v>
      </c>
      <c r="B1500" s="67">
        <v>10324539827</v>
      </c>
      <c r="C1500" s="72"/>
      <c r="D1500" s="69"/>
      <c r="E1500" s="9"/>
      <c r="F1500" s="25"/>
      <c r="G1500" s="70"/>
      <c r="H1500" s="9"/>
      <c r="I1500" s="8"/>
      <c r="J1500" s="8"/>
      <c r="K1500" s="8"/>
      <c r="L1500" s="8"/>
      <c r="M1500" s="8"/>
    </row>
    <row r="1501" spans="1:13">
      <c r="A1501" s="71" t="s">
        <v>5535</v>
      </c>
      <c r="B1501" s="67">
        <v>10705685896</v>
      </c>
      <c r="C1501" s="72"/>
      <c r="D1501" s="69"/>
      <c r="E1501" s="9"/>
      <c r="F1501" s="25"/>
      <c r="G1501" s="70"/>
      <c r="H1501" s="9"/>
      <c r="I1501" s="8"/>
      <c r="J1501" s="8"/>
      <c r="K1501" s="8"/>
      <c r="L1501" s="8"/>
      <c r="M1501" s="8"/>
    </row>
    <row r="1502" spans="1:13">
      <c r="A1502" s="71" t="s">
        <v>5536</v>
      </c>
      <c r="B1502" s="67">
        <v>37693517898</v>
      </c>
      <c r="C1502" s="72"/>
      <c r="D1502" s="69"/>
      <c r="E1502" s="9">
        <v>810</v>
      </c>
      <c r="F1502" s="25">
        <v>42915</v>
      </c>
      <c r="G1502" s="70" t="s">
        <v>3356</v>
      </c>
      <c r="H1502" s="9"/>
      <c r="I1502" s="8"/>
      <c r="J1502" s="8"/>
      <c r="K1502" s="8"/>
      <c r="L1502" s="9" t="s">
        <v>3475</v>
      </c>
      <c r="M1502" s="8"/>
    </row>
    <row r="1503" spans="1:13">
      <c r="A1503" s="71" t="s">
        <v>5537</v>
      </c>
      <c r="B1503" s="67">
        <v>42490041800</v>
      </c>
      <c r="C1503" s="71" t="s">
        <v>5538</v>
      </c>
      <c r="D1503" s="69">
        <v>33324957800</v>
      </c>
      <c r="E1503" s="9"/>
      <c r="F1503" s="25"/>
      <c r="G1503" s="70"/>
      <c r="H1503" s="9"/>
      <c r="I1503" s="8"/>
      <c r="J1503" s="8"/>
      <c r="K1503" s="8"/>
      <c r="L1503" s="8"/>
      <c r="M1503" s="8"/>
    </row>
    <row r="1504" spans="1:13">
      <c r="A1504" s="71" t="s">
        <v>5539</v>
      </c>
      <c r="B1504" s="67">
        <v>37150144829</v>
      </c>
      <c r="C1504" s="72" t="s">
        <v>5540</v>
      </c>
      <c r="D1504" s="69">
        <v>33420633866</v>
      </c>
      <c r="E1504" s="9">
        <v>1417</v>
      </c>
      <c r="F1504" s="25">
        <v>43017</v>
      </c>
      <c r="G1504" s="70" t="s">
        <v>3370</v>
      </c>
      <c r="H1504" s="9"/>
      <c r="I1504" s="8"/>
      <c r="J1504" s="8"/>
      <c r="K1504" s="8"/>
      <c r="L1504" s="9" t="s">
        <v>3590</v>
      </c>
      <c r="M1504" s="8"/>
    </row>
    <row r="1505" spans="1:13">
      <c r="A1505" s="71" t="s">
        <v>5541</v>
      </c>
      <c r="B1505" s="67">
        <v>14336666857</v>
      </c>
      <c r="C1505" s="72"/>
      <c r="D1505" s="69"/>
      <c r="E1505" s="9">
        <v>443</v>
      </c>
      <c r="F1505" s="25">
        <v>43188</v>
      </c>
      <c r="G1505" s="70"/>
      <c r="H1505" s="9"/>
      <c r="I1505" s="8"/>
      <c r="J1505" s="8"/>
      <c r="K1505" s="8"/>
      <c r="L1505" s="8"/>
      <c r="M1505" s="8"/>
    </row>
    <row r="1506" spans="1:13">
      <c r="A1506" s="71" t="s">
        <v>5542</v>
      </c>
      <c r="B1506" s="67">
        <v>95482300544</v>
      </c>
      <c r="C1506" s="72" t="s">
        <v>5543</v>
      </c>
      <c r="D1506" s="69">
        <v>86925130406</v>
      </c>
      <c r="E1506" s="9"/>
      <c r="F1506" s="25"/>
      <c r="G1506" s="70"/>
      <c r="H1506" s="9"/>
      <c r="I1506" s="8"/>
      <c r="J1506" s="8"/>
      <c r="K1506" s="8"/>
      <c r="L1506" s="8"/>
      <c r="M1506" s="8"/>
    </row>
    <row r="1507" spans="1:13">
      <c r="A1507" s="15" t="s">
        <v>5544</v>
      </c>
      <c r="B1507" s="67">
        <v>3915987590</v>
      </c>
      <c r="C1507" s="72" t="s">
        <v>5545</v>
      </c>
      <c r="D1507" s="69">
        <v>1733607501</v>
      </c>
      <c r="E1507" s="9">
        <v>85</v>
      </c>
      <c r="F1507" s="25">
        <v>43109</v>
      </c>
      <c r="G1507" s="70" t="s">
        <v>3356</v>
      </c>
      <c r="H1507" s="25">
        <v>43151</v>
      </c>
      <c r="I1507" s="8"/>
      <c r="J1507" s="8"/>
      <c r="K1507" s="8"/>
      <c r="L1507" s="8"/>
      <c r="M1507" s="8"/>
    </row>
    <row r="1508" spans="1:13">
      <c r="A1508" s="71" t="s">
        <v>5546</v>
      </c>
      <c r="B1508" s="67">
        <v>19266092800</v>
      </c>
      <c r="C1508" s="72"/>
      <c r="D1508" s="69"/>
      <c r="E1508" s="9">
        <v>1439</v>
      </c>
      <c r="F1508" s="25">
        <v>43025</v>
      </c>
      <c r="G1508" s="70" t="s">
        <v>3356</v>
      </c>
      <c r="H1508" s="9"/>
      <c r="I1508" s="8"/>
      <c r="J1508" s="8"/>
      <c r="K1508" s="8"/>
      <c r="L1508" s="9" t="s">
        <v>3838</v>
      </c>
      <c r="M1508" s="8"/>
    </row>
    <row r="1509" spans="1:13">
      <c r="A1509" s="71" t="s">
        <v>5547</v>
      </c>
      <c r="B1509" s="67">
        <v>30489665870</v>
      </c>
      <c r="C1509" s="72"/>
      <c r="D1509" s="69"/>
      <c r="E1509" s="9">
        <v>117</v>
      </c>
      <c r="F1509" s="25">
        <v>43117</v>
      </c>
      <c r="G1509" s="70" t="s">
        <v>3356</v>
      </c>
      <c r="H1509" s="9"/>
      <c r="I1509" s="8"/>
      <c r="J1509" s="8"/>
      <c r="K1509" s="8"/>
      <c r="L1509" s="9" t="s">
        <v>3507</v>
      </c>
      <c r="M1509" s="8"/>
    </row>
    <row r="1510" spans="1:13">
      <c r="A1510" s="29" t="s">
        <v>5548</v>
      </c>
      <c r="B1510" s="67"/>
      <c r="C1510" s="18" t="s">
        <v>3466</v>
      </c>
      <c r="D1510" s="69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81" t="s">
        <v>5549</v>
      </c>
      <c r="B1511" s="80">
        <v>39490354864</v>
      </c>
      <c r="C1511" s="81" t="s">
        <v>5550</v>
      </c>
      <c r="D1511" s="82">
        <v>22686520841</v>
      </c>
      <c r="E1511" s="47">
        <v>423</v>
      </c>
      <c r="F1511" s="48">
        <v>43182</v>
      </c>
      <c r="G1511" s="83"/>
      <c r="H1511" s="47"/>
      <c r="I1511" s="49"/>
      <c r="J1511" s="49"/>
      <c r="K1511" s="49"/>
      <c r="L1511" s="49"/>
      <c r="M1511" s="49"/>
    </row>
    <row r="1512" spans="1:13">
      <c r="A1512" s="71" t="s">
        <v>5551</v>
      </c>
      <c r="B1512" s="67">
        <v>36190827829</v>
      </c>
      <c r="C1512" s="72" t="s">
        <v>5552</v>
      </c>
      <c r="D1512" s="69">
        <v>6501914809</v>
      </c>
      <c r="E1512" s="9">
        <v>1489</v>
      </c>
      <c r="F1512" s="25">
        <v>43038</v>
      </c>
      <c r="G1512" s="70" t="s">
        <v>3356</v>
      </c>
      <c r="H1512" s="9"/>
      <c r="I1512" s="8"/>
      <c r="J1512" s="8"/>
      <c r="K1512" s="8"/>
      <c r="L1512" s="9" t="s">
        <v>3497</v>
      </c>
      <c r="M1512" s="8"/>
    </row>
    <row r="1513" spans="1:13">
      <c r="A1513" s="71" t="s">
        <v>5553</v>
      </c>
      <c r="B1513" s="67">
        <v>41044253894</v>
      </c>
      <c r="C1513" s="72"/>
      <c r="D1513" s="69"/>
      <c r="E1513" s="9">
        <v>292</v>
      </c>
      <c r="F1513" s="25">
        <v>43168</v>
      </c>
      <c r="G1513" s="70" t="s">
        <v>3356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5554</v>
      </c>
      <c r="B1514" s="67">
        <v>37978221890</v>
      </c>
      <c r="C1514" s="15" t="s">
        <v>5555</v>
      </c>
      <c r="D1514" s="69">
        <v>31525485830</v>
      </c>
      <c r="E1514" s="9"/>
      <c r="F1514" s="25"/>
      <c r="G1514" s="70"/>
      <c r="H1514" s="9"/>
      <c r="I1514" s="8"/>
      <c r="J1514" s="8"/>
      <c r="K1514" s="8"/>
      <c r="L1514" s="8"/>
      <c r="M1514" s="8"/>
    </row>
    <row r="1515" spans="1:13">
      <c r="A1515" s="71" t="s">
        <v>5556</v>
      </c>
      <c r="B1515" s="67">
        <v>41352323885</v>
      </c>
      <c r="C1515" s="77"/>
      <c r="D1515" s="69"/>
      <c r="E1515" s="9">
        <v>563</v>
      </c>
      <c r="F1515" s="25">
        <v>43217</v>
      </c>
      <c r="G1515" s="70"/>
      <c r="H1515" s="9"/>
      <c r="I1515" s="8"/>
      <c r="J1515" s="8"/>
      <c r="K1515" s="8"/>
      <c r="L1515" s="9" t="s">
        <v>3636</v>
      </c>
      <c r="M1515" s="8"/>
    </row>
    <row r="1516" spans="1:13">
      <c r="A1516" s="71" t="s">
        <v>5557</v>
      </c>
      <c r="B1516" s="67">
        <v>23341671854</v>
      </c>
      <c r="C1516" s="72" t="s">
        <v>5558</v>
      </c>
      <c r="D1516" s="69">
        <v>34413431820</v>
      </c>
      <c r="E1516" s="9">
        <v>810</v>
      </c>
      <c r="F1516" s="25">
        <v>42915</v>
      </c>
      <c r="G1516" s="83" t="s">
        <v>3356</v>
      </c>
      <c r="H1516" s="9"/>
      <c r="I1516" s="8"/>
      <c r="J1516" s="8"/>
      <c r="K1516" s="8"/>
      <c r="L1516" s="9" t="s">
        <v>3475</v>
      </c>
      <c r="M1516" s="8"/>
    </row>
    <row r="1517" spans="1:13">
      <c r="A1517" s="71" t="s">
        <v>5559</v>
      </c>
      <c r="B1517" s="67">
        <v>35934079816</v>
      </c>
      <c r="C1517" s="72" t="s">
        <v>5560</v>
      </c>
      <c r="D1517" s="69">
        <v>2511538512</v>
      </c>
      <c r="E1517" s="9">
        <v>262</v>
      </c>
      <c r="F1517" s="25">
        <v>43160</v>
      </c>
      <c r="G1517" s="70" t="s">
        <v>3356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71" t="s">
        <v>5561</v>
      </c>
      <c r="B1518" s="67">
        <v>38500063874</v>
      </c>
      <c r="C1518" s="72"/>
      <c r="D1518" s="69"/>
      <c r="E1518" s="9">
        <v>117</v>
      </c>
      <c r="F1518" s="25">
        <v>43117</v>
      </c>
      <c r="G1518" s="70" t="s">
        <v>3356</v>
      </c>
      <c r="H1518" s="9"/>
      <c r="I1518" s="8"/>
      <c r="J1518" s="8"/>
      <c r="K1518" s="8"/>
      <c r="L1518" s="9" t="s">
        <v>3507</v>
      </c>
      <c r="M1518" s="8"/>
    </row>
    <row r="1519" spans="1:13">
      <c r="A1519" s="71" t="s">
        <v>5562</v>
      </c>
      <c r="B1519" s="67">
        <v>36888640850</v>
      </c>
      <c r="C1519" s="72"/>
      <c r="D1519" s="69"/>
      <c r="E1519" s="9">
        <v>262</v>
      </c>
      <c r="F1519" s="25">
        <v>43160</v>
      </c>
      <c r="G1519" s="70" t="s">
        <v>3356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73" t="s">
        <v>5563</v>
      </c>
      <c r="B1520" s="67">
        <v>37395316819</v>
      </c>
      <c r="C1520" s="72" t="s">
        <v>5564</v>
      </c>
      <c r="D1520" s="69">
        <v>33924311846</v>
      </c>
      <c r="E1520" s="9"/>
      <c r="F1520" s="25"/>
      <c r="G1520" s="70"/>
      <c r="H1520" s="9"/>
      <c r="I1520" s="8"/>
      <c r="J1520" s="8"/>
      <c r="K1520" s="8"/>
      <c r="L1520" s="8"/>
      <c r="M1520" s="8"/>
    </row>
    <row r="1521" spans="1:13">
      <c r="A1521" s="81" t="s">
        <v>5565</v>
      </c>
      <c r="B1521" s="80">
        <v>47168651854</v>
      </c>
      <c r="C1521" s="50" t="s">
        <v>5566</v>
      </c>
      <c r="D1521" s="82">
        <v>43506708821</v>
      </c>
      <c r="E1521" s="47">
        <v>292</v>
      </c>
      <c r="F1521" s="48">
        <v>43168</v>
      </c>
      <c r="G1521" s="83"/>
      <c r="H1521" s="47"/>
      <c r="I1521" s="49"/>
      <c r="J1521" s="49"/>
      <c r="K1521" s="49"/>
      <c r="L1521" s="9">
        <v>318</v>
      </c>
      <c r="M1521" s="49"/>
    </row>
    <row r="1522" spans="1:13">
      <c r="A1522" s="71" t="s">
        <v>5567</v>
      </c>
      <c r="B1522" s="67">
        <v>44475449898</v>
      </c>
      <c r="C1522" s="72"/>
      <c r="D1522" s="69"/>
      <c r="E1522" s="9"/>
      <c r="F1522" s="25"/>
      <c r="G1522" s="70"/>
      <c r="H1522" s="9"/>
      <c r="I1522" s="8"/>
      <c r="J1522" s="8"/>
      <c r="K1522" s="8"/>
      <c r="L1522" s="8"/>
      <c r="M1522" s="8"/>
    </row>
    <row r="1523" spans="1:13">
      <c r="A1523" s="71" t="s">
        <v>5568</v>
      </c>
      <c r="B1523" s="67">
        <v>23041828871</v>
      </c>
      <c r="C1523" s="72"/>
      <c r="D1523" s="69"/>
      <c r="E1523" s="9">
        <v>292</v>
      </c>
      <c r="F1523" s="25">
        <v>43168</v>
      </c>
      <c r="G1523" s="70" t="s">
        <v>3356</v>
      </c>
      <c r="H1523" s="9"/>
      <c r="I1523" s="8"/>
      <c r="J1523" s="8"/>
      <c r="K1523" s="8"/>
      <c r="L1523" s="9">
        <v>318</v>
      </c>
      <c r="M1523" s="8"/>
    </row>
    <row r="1524" spans="1:13">
      <c r="A1524" s="71" t="s">
        <v>5569</v>
      </c>
      <c r="B1524" s="67">
        <v>5351568470</v>
      </c>
      <c r="C1524" s="72"/>
      <c r="D1524" s="69"/>
      <c r="E1524" s="9">
        <v>1824</v>
      </c>
      <c r="F1524" s="25">
        <v>43091</v>
      </c>
      <c r="G1524" s="70" t="s">
        <v>3356</v>
      </c>
      <c r="H1524" s="9"/>
      <c r="I1524" s="8"/>
      <c r="J1524" s="8"/>
      <c r="K1524" s="8"/>
      <c r="L1524" s="9">
        <v>1828</v>
      </c>
      <c r="M1524" s="8"/>
    </row>
    <row r="1525" spans="1:13">
      <c r="A1525" s="71" t="s">
        <v>5570</v>
      </c>
      <c r="B1525" s="67">
        <v>38904061814</v>
      </c>
      <c r="C1525" s="72"/>
      <c r="D1525" s="69"/>
      <c r="E1525" s="9"/>
      <c r="F1525" s="25"/>
      <c r="G1525" s="70"/>
      <c r="H1525" s="9"/>
      <c r="I1525" s="8"/>
      <c r="J1525" s="8"/>
      <c r="K1525" s="8"/>
      <c r="L1525" s="8"/>
      <c r="M1525" s="8"/>
    </row>
    <row r="1526" spans="1:13">
      <c r="A1526" s="73" t="s">
        <v>5571</v>
      </c>
      <c r="B1526" s="67">
        <v>36776791848</v>
      </c>
      <c r="C1526" s="72" t="s">
        <v>5572</v>
      </c>
      <c r="D1526" s="69">
        <v>23340578869</v>
      </c>
      <c r="E1526" s="9">
        <v>608</v>
      </c>
      <c r="F1526" s="25">
        <v>43012</v>
      </c>
      <c r="G1526" s="70" t="s">
        <v>3356</v>
      </c>
      <c r="H1526" s="9"/>
      <c r="I1526" s="8"/>
      <c r="J1526" s="8"/>
      <c r="K1526" s="8"/>
      <c r="L1526" s="8"/>
      <c r="M1526" s="8"/>
    </row>
    <row r="1527" spans="1:13">
      <c r="A1527" s="71" t="s">
        <v>5573</v>
      </c>
      <c r="B1527" s="67">
        <v>34897196892</v>
      </c>
      <c r="C1527" s="72"/>
      <c r="D1527" s="69"/>
      <c r="E1527" s="9">
        <v>292</v>
      </c>
      <c r="F1527" s="25">
        <v>43168</v>
      </c>
      <c r="G1527" s="70"/>
      <c r="H1527" s="9"/>
      <c r="I1527" s="8"/>
      <c r="J1527" s="8"/>
      <c r="K1527" s="8"/>
      <c r="L1527" s="9">
        <v>318</v>
      </c>
      <c r="M1527" s="8"/>
    </row>
    <row r="1528" spans="1:13">
      <c r="A1528" s="71" t="s">
        <v>5574</v>
      </c>
      <c r="B1528" s="67">
        <v>32561817830</v>
      </c>
      <c r="C1528" s="72" t="s">
        <v>5575</v>
      </c>
      <c r="D1528" s="69">
        <v>30328335827</v>
      </c>
      <c r="E1528" s="9">
        <v>1824</v>
      </c>
      <c r="F1528" s="25">
        <v>43091</v>
      </c>
      <c r="G1528" s="70" t="s">
        <v>3362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5576</v>
      </c>
      <c r="B1529" s="67">
        <v>32443660826</v>
      </c>
      <c r="C1529" s="68"/>
      <c r="D1529" s="69"/>
      <c r="E1529" s="9">
        <v>1752</v>
      </c>
      <c r="F1529" s="25">
        <v>43051</v>
      </c>
      <c r="G1529" s="70" t="s">
        <v>3356</v>
      </c>
      <c r="H1529" s="9"/>
      <c r="I1529" s="8"/>
      <c r="J1529" s="8"/>
      <c r="K1529" s="8"/>
      <c r="L1529" s="9">
        <v>1759</v>
      </c>
      <c r="M1529" s="8"/>
    </row>
    <row r="1530" spans="1:13">
      <c r="A1530" s="71" t="s">
        <v>5577</v>
      </c>
      <c r="B1530" s="67">
        <v>36044847829</v>
      </c>
      <c r="C1530" s="72" t="s">
        <v>5578</v>
      </c>
      <c r="D1530" s="69">
        <v>38308190804</v>
      </c>
      <c r="E1530" s="9">
        <v>443</v>
      </c>
      <c r="F1530" s="25">
        <v>43188</v>
      </c>
      <c r="G1530" s="70"/>
      <c r="H1530" s="9"/>
      <c r="I1530" s="8"/>
      <c r="J1530" s="8"/>
      <c r="K1530" s="8"/>
      <c r="L1530" s="8"/>
      <c r="M1530" s="8"/>
    </row>
    <row r="1531" spans="1:13">
      <c r="A1531" s="71" t="s">
        <v>5579</v>
      </c>
      <c r="B1531" s="67">
        <v>31679812882</v>
      </c>
      <c r="C1531" s="72"/>
      <c r="D1531" s="69"/>
      <c r="E1531" s="9"/>
      <c r="F1531" s="25"/>
      <c r="G1531" s="70"/>
      <c r="H1531" s="9"/>
      <c r="I1531" s="8"/>
      <c r="J1531" s="8"/>
      <c r="K1531" s="8"/>
      <c r="L1531" s="8"/>
      <c r="M1531" s="8"/>
    </row>
    <row r="1532" spans="1:13">
      <c r="A1532" s="71" t="s">
        <v>5580</v>
      </c>
      <c r="B1532" s="67">
        <v>35070422820</v>
      </c>
      <c r="C1532" s="72" t="s">
        <v>5581</v>
      </c>
      <c r="D1532" s="69">
        <v>24871235831</v>
      </c>
      <c r="E1532" s="9">
        <v>292</v>
      </c>
      <c r="F1532" s="25">
        <v>43168</v>
      </c>
      <c r="G1532" s="70" t="s">
        <v>3356</v>
      </c>
      <c r="H1532" s="9"/>
      <c r="I1532" s="8"/>
      <c r="J1532" s="8"/>
      <c r="K1532" s="8"/>
      <c r="L1532" s="9">
        <v>318</v>
      </c>
      <c r="M1532" s="8"/>
    </row>
    <row r="1533" spans="1:13">
      <c r="A1533" s="71" t="s">
        <v>5582</v>
      </c>
      <c r="B1533" s="67">
        <v>33973397821</v>
      </c>
      <c r="C1533" s="77"/>
      <c r="D1533" s="69"/>
      <c r="E1533" s="9">
        <v>563</v>
      </c>
      <c r="F1533" s="25">
        <v>43217</v>
      </c>
      <c r="G1533" s="70"/>
      <c r="H1533" s="9"/>
      <c r="I1533" s="8"/>
      <c r="J1533" s="8"/>
      <c r="K1533" s="8"/>
      <c r="L1533" s="9" t="s">
        <v>3636</v>
      </c>
      <c r="M1533" s="8"/>
    </row>
    <row r="1534" spans="1:13">
      <c r="A1534" s="15" t="s">
        <v>5583</v>
      </c>
      <c r="B1534" s="67">
        <v>34649795800</v>
      </c>
      <c r="C1534" s="72"/>
      <c r="D1534" s="69"/>
      <c r="E1534" s="9">
        <v>509</v>
      </c>
      <c r="F1534" s="25">
        <v>43203</v>
      </c>
      <c r="G1534" s="76"/>
      <c r="H1534" s="76">
        <v>43213</v>
      </c>
      <c r="I1534" s="8"/>
      <c r="J1534" s="8"/>
      <c r="K1534" s="8"/>
      <c r="L1534" s="8"/>
      <c r="M1534" s="8"/>
    </row>
    <row r="1535" spans="1:13">
      <c r="A1535" s="29" t="s">
        <v>5584</v>
      </c>
      <c r="B1535" s="67"/>
      <c r="C1535" s="29" t="s">
        <v>5585</v>
      </c>
      <c r="D1535" s="69"/>
      <c r="E1535" s="9"/>
      <c r="F1535" s="25"/>
      <c r="G1535" s="70"/>
      <c r="H1535" s="76">
        <v>43213</v>
      </c>
      <c r="I1535" s="8"/>
      <c r="J1535" s="8"/>
      <c r="K1535" s="8"/>
      <c r="L1535" s="8"/>
      <c r="M1535" s="8"/>
    </row>
    <row r="1536" spans="1:13">
      <c r="A1536" s="13" t="s">
        <v>5586</v>
      </c>
      <c r="B1536" s="67">
        <v>47240915840</v>
      </c>
      <c r="C1536" s="72"/>
      <c r="D1536" s="69"/>
      <c r="E1536" s="9"/>
      <c r="F1536" s="25"/>
      <c r="G1536" s="70" t="s">
        <v>3356</v>
      </c>
      <c r="H1536" s="76">
        <v>43213</v>
      </c>
      <c r="I1536" s="8"/>
      <c r="J1536" s="8"/>
      <c r="K1536" s="8"/>
      <c r="L1536" s="8"/>
      <c r="M1536" s="8"/>
    </row>
    <row r="1537" spans="1:13">
      <c r="A1537" s="29" t="s">
        <v>5587</v>
      </c>
      <c r="B1537" s="67"/>
      <c r="C1537" s="18" t="s">
        <v>3466</v>
      </c>
      <c r="D1537" s="69"/>
      <c r="E1537" s="9"/>
      <c r="F1537" s="25"/>
      <c r="G1537" s="70"/>
      <c r="H1537" s="76">
        <v>43213</v>
      </c>
      <c r="I1537" s="8"/>
      <c r="J1537" s="8"/>
      <c r="K1537" s="8"/>
      <c r="L1537" s="8"/>
      <c r="M1537" s="8"/>
    </row>
    <row r="1538" spans="1:13">
      <c r="A1538" s="73" t="s">
        <v>5588</v>
      </c>
      <c r="B1538" s="67">
        <v>42424051895</v>
      </c>
      <c r="C1538" s="72" t="s">
        <v>5589</v>
      </c>
      <c r="D1538" s="69">
        <v>34920392869</v>
      </c>
      <c r="E1538" s="9">
        <v>1214</v>
      </c>
      <c r="F1538" s="25">
        <v>42989</v>
      </c>
      <c r="G1538" s="70" t="s">
        <v>3356</v>
      </c>
      <c r="H1538" s="76">
        <v>43213</v>
      </c>
      <c r="I1538" s="8"/>
      <c r="J1538" s="8"/>
      <c r="K1538" s="8"/>
      <c r="L1538" s="8"/>
      <c r="M1538" s="8"/>
    </row>
    <row r="1539" spans="1:13">
      <c r="A1539" s="29" t="s">
        <v>5590</v>
      </c>
      <c r="B1539" s="67">
        <v>45298965873</v>
      </c>
      <c r="C1539" s="18" t="s">
        <v>3466</v>
      </c>
      <c r="D1539" s="69"/>
      <c r="E1539" s="9"/>
      <c r="F1539" s="25"/>
      <c r="G1539" s="70"/>
      <c r="H1539" s="76">
        <v>43213</v>
      </c>
      <c r="I1539" s="8"/>
      <c r="J1539" s="8"/>
      <c r="K1539" s="8"/>
      <c r="L1539" s="8"/>
      <c r="M1539" s="8"/>
    </row>
    <row r="1540" spans="1:13">
      <c r="A1540" s="29" t="s">
        <v>5591</v>
      </c>
      <c r="B1540" s="67">
        <v>48176009857</v>
      </c>
      <c r="C1540" s="18" t="s">
        <v>3466</v>
      </c>
      <c r="D1540" s="69"/>
      <c r="E1540" s="9"/>
      <c r="F1540" s="25"/>
      <c r="G1540" s="70"/>
      <c r="H1540" s="76">
        <v>43213</v>
      </c>
      <c r="I1540" s="8"/>
      <c r="J1540" s="8"/>
      <c r="K1540" s="8"/>
      <c r="L1540" s="8"/>
      <c r="M1540" s="8"/>
    </row>
    <row r="1541" spans="1:13">
      <c r="A1541" s="71" t="s">
        <v>5592</v>
      </c>
      <c r="B1541" s="67">
        <v>32645353860</v>
      </c>
      <c r="C1541" s="71" t="s">
        <v>5593</v>
      </c>
      <c r="D1541" s="69">
        <v>23432184808</v>
      </c>
      <c r="E1541" s="9"/>
      <c r="F1541" s="25"/>
      <c r="G1541" s="70"/>
      <c r="H1541" s="76">
        <v>43213</v>
      </c>
      <c r="I1541" s="8"/>
      <c r="J1541" s="8"/>
      <c r="K1541" s="8"/>
      <c r="L1541" s="8"/>
      <c r="M1541" s="8"/>
    </row>
    <row r="1542" spans="1:13">
      <c r="A1542" s="71" t="s">
        <v>5594</v>
      </c>
      <c r="B1542" s="67">
        <v>35663923837</v>
      </c>
      <c r="C1542" s="72"/>
      <c r="D1542" s="69"/>
      <c r="E1542" s="9">
        <v>262</v>
      </c>
      <c r="F1542" s="25">
        <v>43160</v>
      </c>
      <c r="G1542" s="70" t="s">
        <v>3356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71" t="s">
        <v>5595</v>
      </c>
      <c r="B1543" s="67">
        <v>34899686897</v>
      </c>
      <c r="C1543" s="72" t="s">
        <v>5596</v>
      </c>
      <c r="D1543" s="69">
        <v>34782852835</v>
      </c>
      <c r="E1543" s="9">
        <v>810</v>
      </c>
      <c r="F1543" s="25">
        <v>42915</v>
      </c>
      <c r="G1543" s="70" t="s">
        <v>3356</v>
      </c>
      <c r="H1543" s="76">
        <v>43213</v>
      </c>
      <c r="I1543" s="8"/>
      <c r="J1543" s="8"/>
      <c r="K1543" s="8"/>
      <c r="L1543" s="9" t="s">
        <v>3475</v>
      </c>
      <c r="M1543" s="8"/>
    </row>
    <row r="1544" spans="1:13">
      <c r="A1544" s="71" t="s">
        <v>5597</v>
      </c>
      <c r="B1544" s="67">
        <v>39778910812</v>
      </c>
      <c r="C1544" s="68" t="s">
        <v>5598</v>
      </c>
      <c r="D1544" s="69">
        <v>34703237806</v>
      </c>
      <c r="E1544" s="9">
        <v>1128</v>
      </c>
      <c r="F1544" s="25">
        <v>42972</v>
      </c>
      <c r="G1544" s="70" t="s">
        <v>3356</v>
      </c>
      <c r="H1544" s="9"/>
      <c r="I1544" s="8"/>
      <c r="J1544" s="8"/>
      <c r="K1544" s="8"/>
      <c r="L1544" s="8"/>
      <c r="M1544" s="8"/>
    </row>
    <row r="1545" spans="1:13">
      <c r="A1545" s="71" t="s">
        <v>5599</v>
      </c>
      <c r="B1545" s="67">
        <v>21646087801</v>
      </c>
      <c r="C1545" s="77"/>
      <c r="D1545" s="69"/>
      <c r="E1545" s="9">
        <v>563</v>
      </c>
      <c r="F1545" s="25">
        <v>43217</v>
      </c>
      <c r="G1545" s="70"/>
      <c r="H1545" s="9"/>
      <c r="I1545" s="8"/>
      <c r="J1545" s="8"/>
      <c r="K1545" s="8"/>
      <c r="L1545" s="9" t="s">
        <v>3636</v>
      </c>
      <c r="M1545" s="8"/>
    </row>
    <row r="1546" spans="1:13">
      <c r="A1546" s="72" t="s">
        <v>5600</v>
      </c>
      <c r="B1546" s="67">
        <v>22429349884</v>
      </c>
      <c r="C1546" s="72" t="s">
        <v>5601</v>
      </c>
      <c r="D1546" s="69">
        <v>32307277897</v>
      </c>
      <c r="E1546" s="9">
        <v>1417</v>
      </c>
      <c r="F1546" s="25">
        <v>43017</v>
      </c>
      <c r="G1546" s="70" t="s">
        <v>3356</v>
      </c>
      <c r="H1546" s="9"/>
      <c r="I1546" s="8"/>
      <c r="J1546" s="8"/>
      <c r="K1546" s="8"/>
      <c r="L1546" s="9" t="s">
        <v>3590</v>
      </c>
      <c r="M1546" s="8"/>
    </row>
    <row r="1547" spans="1:13">
      <c r="A1547" s="13" t="s">
        <v>5602</v>
      </c>
      <c r="B1547" s="67">
        <v>23131226897</v>
      </c>
      <c r="C1547" s="72"/>
      <c r="D1547" s="69"/>
      <c r="E1547" s="9">
        <v>1350</v>
      </c>
      <c r="F1547" s="25">
        <v>43006</v>
      </c>
      <c r="G1547" s="70" t="s">
        <v>3356</v>
      </c>
      <c r="H1547" s="9"/>
      <c r="I1547" s="8"/>
      <c r="J1547" s="8"/>
      <c r="K1547" s="8"/>
      <c r="L1547" s="8"/>
      <c r="M1547" s="8"/>
    </row>
    <row r="1548" spans="1:13">
      <c r="A1548" s="71" t="s">
        <v>5603</v>
      </c>
      <c r="B1548" s="67">
        <v>42829835824</v>
      </c>
      <c r="C1548" s="77"/>
      <c r="D1548" s="69"/>
      <c r="E1548" s="9">
        <v>563</v>
      </c>
      <c r="F1548" s="25">
        <v>43217</v>
      </c>
      <c r="G1548" s="70"/>
      <c r="H1548" s="9"/>
      <c r="I1548" s="8"/>
      <c r="J1548" s="8"/>
      <c r="K1548" s="8"/>
      <c r="L1548" s="9" t="s">
        <v>3636</v>
      </c>
      <c r="M1548" s="8"/>
    </row>
    <row r="1549" spans="1:13">
      <c r="A1549" s="15" t="s">
        <v>5604</v>
      </c>
      <c r="B1549" s="67">
        <v>6872674474</v>
      </c>
      <c r="C1549" s="72"/>
      <c r="D1549" s="69"/>
      <c r="E1549" s="9">
        <v>117</v>
      </c>
      <c r="F1549" s="25">
        <v>43117</v>
      </c>
      <c r="G1549" s="70" t="s">
        <v>3356</v>
      </c>
      <c r="H1549" s="9"/>
      <c r="I1549" s="8"/>
      <c r="J1549" s="8"/>
      <c r="K1549" s="8"/>
      <c r="L1549" s="9" t="s">
        <v>3507</v>
      </c>
      <c r="M1549" s="8"/>
    </row>
    <row r="1550" spans="1:13">
      <c r="A1550" s="15" t="s">
        <v>5605</v>
      </c>
      <c r="B1550" s="67">
        <v>7081215432</v>
      </c>
      <c r="C1550" s="15" t="s">
        <v>5606</v>
      </c>
      <c r="D1550" s="69">
        <v>34273628848</v>
      </c>
      <c r="E1550" s="9">
        <v>563</v>
      </c>
      <c r="F1550" s="25">
        <v>43217</v>
      </c>
      <c r="G1550" s="70"/>
      <c r="H1550" s="9"/>
      <c r="I1550" s="8"/>
      <c r="J1550" s="8"/>
      <c r="K1550" s="8"/>
      <c r="L1550" s="9" t="s">
        <v>3636</v>
      </c>
      <c r="M1550" s="8"/>
    </row>
    <row r="1551" spans="1:13">
      <c r="A1551" s="71" t="s">
        <v>5607</v>
      </c>
      <c r="B1551" s="67">
        <v>37104895809</v>
      </c>
      <c r="C1551" s="72" t="s">
        <v>5608</v>
      </c>
      <c r="D1551" s="69">
        <v>34256763856</v>
      </c>
      <c r="E1551" s="9">
        <v>1752</v>
      </c>
      <c r="F1551" s="25">
        <v>43051</v>
      </c>
      <c r="G1551" s="70" t="s">
        <v>3370</v>
      </c>
      <c r="H1551" s="9"/>
      <c r="I1551" s="8"/>
      <c r="J1551" s="8"/>
      <c r="K1551" s="8"/>
      <c r="L1551" s="9">
        <v>1759</v>
      </c>
      <c r="M1551" s="8"/>
    </row>
    <row r="1552" spans="1:13">
      <c r="A1552" s="29" t="s">
        <v>5609</v>
      </c>
      <c r="B1552" s="67"/>
      <c r="C1552" s="29" t="s">
        <v>3466</v>
      </c>
      <c r="D1552" s="69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71" t="s">
        <v>5610</v>
      </c>
      <c r="B1553" s="67">
        <v>4265155529</v>
      </c>
      <c r="C1553" s="72"/>
      <c r="D1553" s="69"/>
      <c r="E1553" s="9">
        <v>563</v>
      </c>
      <c r="F1553" s="25">
        <v>43217</v>
      </c>
      <c r="G1553" s="70"/>
      <c r="H1553" s="9"/>
      <c r="I1553" s="8"/>
      <c r="J1553" s="8"/>
      <c r="K1553" s="8"/>
      <c r="L1553" s="9" t="s">
        <v>3636</v>
      </c>
      <c r="M1553" s="8"/>
    </row>
    <row r="1554" spans="1:13">
      <c r="A1554" s="14" t="s">
        <v>5611</v>
      </c>
      <c r="B1554" s="67">
        <v>45529283845</v>
      </c>
      <c r="C1554" s="72"/>
      <c r="D1554" s="69"/>
      <c r="E1554" s="9">
        <v>292</v>
      </c>
      <c r="F1554" s="25">
        <v>43168</v>
      </c>
      <c r="G1554" s="70" t="s">
        <v>3356</v>
      </c>
      <c r="H1554" s="9"/>
      <c r="I1554" s="8"/>
      <c r="J1554" s="8"/>
      <c r="K1554" s="8"/>
      <c r="L1554" s="9">
        <v>318</v>
      </c>
      <c r="M1554" s="8"/>
    </row>
    <row r="1555" spans="1:13">
      <c r="A1555" s="71" t="s">
        <v>5612</v>
      </c>
      <c r="B1555" s="67">
        <v>45862437835</v>
      </c>
      <c r="C1555" s="72" t="s">
        <v>5613</v>
      </c>
      <c r="D1555" s="69">
        <v>2301226280</v>
      </c>
      <c r="E1555" s="9">
        <v>1752</v>
      </c>
      <c r="F1555" s="25">
        <v>43051</v>
      </c>
      <c r="G1555" s="70" t="s">
        <v>3356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5614</v>
      </c>
      <c r="B1556" s="67">
        <v>41957089822</v>
      </c>
      <c r="C1556" s="72"/>
      <c r="D1556" s="69"/>
      <c r="E1556" s="9">
        <v>1350</v>
      </c>
      <c r="F1556" s="25">
        <v>43006</v>
      </c>
      <c r="G1556" s="70" t="s">
        <v>3356</v>
      </c>
      <c r="H1556" s="9"/>
      <c r="I1556" s="8"/>
      <c r="J1556" s="8"/>
      <c r="K1556" s="8"/>
      <c r="L1556" s="8"/>
      <c r="M1556" s="8"/>
    </row>
    <row r="1557" spans="1:13">
      <c r="A1557" s="29" t="s">
        <v>5615</v>
      </c>
      <c r="B1557" s="67"/>
      <c r="C1557" s="29" t="s">
        <v>5616</v>
      </c>
      <c r="D1557" s="69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72" t="s">
        <v>5617</v>
      </c>
      <c r="B1558" s="67">
        <v>48245426857</v>
      </c>
      <c r="C1558" s="72"/>
      <c r="D1558" s="69"/>
      <c r="E1558" s="9"/>
      <c r="F1558" s="25"/>
      <c r="G1558" s="70"/>
      <c r="H1558" s="9"/>
      <c r="I1558" s="8"/>
      <c r="J1558" s="8"/>
      <c r="K1558" s="8"/>
      <c r="L1558" s="8"/>
      <c r="M1558" s="8"/>
    </row>
    <row r="1559" spans="1:13">
      <c r="A1559" s="71" t="s">
        <v>5618</v>
      </c>
      <c r="B1559" s="67">
        <v>94914680815</v>
      </c>
      <c r="C1559" s="77"/>
      <c r="D1559" s="69"/>
      <c r="E1559" s="9">
        <v>563</v>
      </c>
      <c r="F1559" s="25">
        <v>43217</v>
      </c>
      <c r="G1559" s="70"/>
      <c r="H1559" s="9"/>
      <c r="I1559" s="8"/>
      <c r="J1559" s="8"/>
      <c r="K1559" s="8"/>
      <c r="L1559" s="9" t="s">
        <v>3636</v>
      </c>
      <c r="M1559" s="8"/>
    </row>
    <row r="1560" spans="1:13">
      <c r="A1560" s="71" t="s">
        <v>5619</v>
      </c>
      <c r="B1560" s="67">
        <v>38488019572</v>
      </c>
      <c r="C1560" s="72"/>
      <c r="D1560" s="69"/>
      <c r="E1560" s="9">
        <v>262</v>
      </c>
      <c r="F1560" s="25">
        <v>43160</v>
      </c>
      <c r="G1560" s="70" t="s">
        <v>3356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71" t="s">
        <v>5620</v>
      </c>
      <c r="B1561" s="67">
        <v>14041229820</v>
      </c>
      <c r="C1561" s="68"/>
      <c r="D1561" s="69"/>
      <c r="E1561" s="9">
        <v>1128</v>
      </c>
      <c r="F1561" s="25">
        <v>42972</v>
      </c>
      <c r="G1561" s="70" t="s">
        <v>3356</v>
      </c>
      <c r="H1561" s="9"/>
      <c r="I1561" s="8"/>
      <c r="J1561" s="8"/>
      <c r="K1561" s="8"/>
      <c r="L1561" s="8"/>
      <c r="M1561" s="8"/>
    </row>
    <row r="1562" spans="1:13">
      <c r="A1562" s="71" t="s">
        <v>5621</v>
      </c>
      <c r="B1562" s="67">
        <v>18360292841</v>
      </c>
      <c r="C1562" s="72"/>
      <c r="D1562" s="69"/>
      <c r="E1562" s="9">
        <v>810</v>
      </c>
      <c r="F1562" s="25">
        <v>42915</v>
      </c>
      <c r="G1562" s="70" t="s">
        <v>3356</v>
      </c>
      <c r="H1562" s="9"/>
      <c r="I1562" s="8"/>
      <c r="J1562" s="8"/>
      <c r="K1562" s="8"/>
      <c r="L1562" s="9" t="s">
        <v>3475</v>
      </c>
      <c r="M1562" s="8"/>
    </row>
    <row r="1563" spans="1:13">
      <c r="A1563" s="15" t="s">
        <v>5622</v>
      </c>
      <c r="B1563" s="67">
        <v>86071015529</v>
      </c>
      <c r="C1563" s="72"/>
      <c r="D1563" s="69"/>
      <c r="E1563" s="9">
        <v>262</v>
      </c>
      <c r="F1563" s="25">
        <v>43160</v>
      </c>
      <c r="G1563" s="70" t="s">
        <v>3356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71" t="s">
        <v>5623</v>
      </c>
      <c r="B1564" s="67">
        <v>37077237800</v>
      </c>
      <c r="C1564" s="72"/>
      <c r="D1564" s="69"/>
      <c r="E1564" s="9">
        <v>292</v>
      </c>
      <c r="F1564" s="25">
        <v>43168</v>
      </c>
      <c r="G1564" s="9" t="s">
        <v>3356</v>
      </c>
      <c r="H1564" s="9"/>
      <c r="I1564" s="8"/>
      <c r="J1564" s="8"/>
      <c r="K1564" s="8"/>
      <c r="L1564" s="9">
        <v>318</v>
      </c>
      <c r="M1564" s="8"/>
    </row>
    <row r="1565" spans="1:13">
      <c r="A1565" s="71" t="s">
        <v>5624</v>
      </c>
      <c r="B1565" s="67">
        <v>33390811826</v>
      </c>
      <c r="C1565" s="72" t="s">
        <v>5625</v>
      </c>
      <c r="D1565" s="69">
        <v>39478349856</v>
      </c>
      <c r="E1565" s="9"/>
      <c r="F1565" s="25"/>
      <c r="G1565" s="70"/>
      <c r="H1565" s="9"/>
      <c r="I1565" s="8"/>
      <c r="J1565" s="8"/>
      <c r="K1565" s="8"/>
      <c r="L1565" s="8"/>
      <c r="M1565" s="8"/>
    </row>
    <row r="1566" spans="1:13">
      <c r="A1566" s="13" t="s">
        <v>5626</v>
      </c>
      <c r="B1566" s="67">
        <v>27696865854</v>
      </c>
      <c r="C1566" s="72"/>
      <c r="D1566" s="69"/>
      <c r="E1566" s="9">
        <v>1417</v>
      </c>
      <c r="F1566" s="25">
        <v>43017</v>
      </c>
      <c r="G1566" s="70" t="s">
        <v>3356</v>
      </c>
      <c r="H1566" s="9"/>
      <c r="I1566" s="8"/>
      <c r="J1566" s="8"/>
      <c r="K1566" s="8"/>
      <c r="L1566" s="9" t="s">
        <v>3590</v>
      </c>
      <c r="M1566" s="8"/>
    </row>
    <row r="1567" spans="1:13">
      <c r="A1567" s="29" t="s">
        <v>5627</v>
      </c>
      <c r="B1567" s="67">
        <v>22173656813</v>
      </c>
      <c r="C1567" s="18" t="s">
        <v>3466</v>
      </c>
      <c r="D1567" s="69"/>
      <c r="E1567" s="9"/>
      <c r="F1567" s="25"/>
      <c r="G1567" s="70"/>
      <c r="H1567" s="9"/>
      <c r="I1567" s="8"/>
      <c r="J1567" s="8"/>
      <c r="K1567" s="8"/>
      <c r="L1567" s="8"/>
      <c r="M1567" s="8"/>
    </row>
    <row r="1568" spans="1:13">
      <c r="A1568" s="72" t="s">
        <v>5628</v>
      </c>
      <c r="B1568" s="67">
        <v>30690514808</v>
      </c>
      <c r="C1568" s="72" t="s">
        <v>5629</v>
      </c>
      <c r="D1568" s="69">
        <v>22622085818</v>
      </c>
      <c r="E1568" s="9">
        <v>423</v>
      </c>
      <c r="F1568" s="25">
        <v>43182</v>
      </c>
      <c r="G1568" s="9" t="s">
        <v>3356</v>
      </c>
      <c r="H1568" s="9"/>
      <c r="I1568" s="8"/>
      <c r="J1568" s="8"/>
      <c r="K1568" s="8"/>
      <c r="L1568" s="8"/>
      <c r="M1568" s="8"/>
    </row>
    <row r="1569" spans="1:13">
      <c r="A1569" s="71" t="s">
        <v>5630</v>
      </c>
      <c r="B1569" s="67">
        <v>43901748865</v>
      </c>
      <c r="C1569" s="72" t="s">
        <v>5631</v>
      </c>
      <c r="D1569" s="69">
        <v>34818027812</v>
      </c>
      <c r="E1569" s="9">
        <v>1824</v>
      </c>
      <c r="F1569" s="25">
        <v>43091</v>
      </c>
      <c r="G1569" s="70" t="s">
        <v>3356</v>
      </c>
      <c r="H1569" s="9"/>
      <c r="I1569" s="8"/>
      <c r="J1569" s="8"/>
      <c r="K1569" s="8"/>
      <c r="L1569" s="9">
        <v>1828</v>
      </c>
      <c r="M1569" s="8"/>
    </row>
    <row r="1570" spans="1:13">
      <c r="A1570" s="29" t="s">
        <v>5632</v>
      </c>
      <c r="B1570" s="67"/>
      <c r="C1570" s="18" t="s">
        <v>3466</v>
      </c>
      <c r="D1570" s="69"/>
      <c r="E1570" s="9"/>
      <c r="F1570" s="25"/>
      <c r="G1570" s="70"/>
      <c r="H1570" s="9"/>
      <c r="I1570" s="8"/>
      <c r="J1570" s="8"/>
      <c r="K1570" s="8"/>
      <c r="L1570" s="8"/>
      <c r="M1570" s="8"/>
    </row>
    <row r="1571" spans="1:13">
      <c r="A1571" s="72" t="s">
        <v>5633</v>
      </c>
      <c r="B1571" s="67">
        <v>5212444390</v>
      </c>
      <c r="C1571" s="15" t="s">
        <v>5634</v>
      </c>
      <c r="D1571" s="69">
        <v>2231738350</v>
      </c>
      <c r="E1571" s="9">
        <v>292</v>
      </c>
      <c r="F1571" s="25">
        <v>43168</v>
      </c>
      <c r="G1571" s="70" t="s">
        <v>3356</v>
      </c>
      <c r="H1571" s="9"/>
      <c r="I1571" s="8"/>
      <c r="J1571" s="8"/>
      <c r="K1571" s="8"/>
      <c r="L1571" s="9">
        <v>318</v>
      </c>
      <c r="M1571" s="8"/>
    </row>
    <row r="1572" spans="1:13">
      <c r="A1572" s="71" t="s">
        <v>5635</v>
      </c>
      <c r="B1572" s="67">
        <v>33113101875</v>
      </c>
      <c r="C1572" s="77"/>
      <c r="D1572" s="69"/>
      <c r="E1572" s="9"/>
      <c r="F1572" s="25"/>
      <c r="G1572" s="70"/>
      <c r="H1572" s="9"/>
      <c r="I1572" s="8"/>
      <c r="J1572" s="8"/>
      <c r="K1572" s="8"/>
      <c r="L1572" s="8"/>
      <c r="M1572" s="8"/>
    </row>
    <row r="1573" spans="1:13">
      <c r="A1573" s="71" t="s">
        <v>5636</v>
      </c>
      <c r="B1573" s="67">
        <v>15750840824</v>
      </c>
      <c r="C1573" s="72"/>
      <c r="D1573" s="69"/>
      <c r="E1573" s="9">
        <v>262</v>
      </c>
      <c r="F1573" s="25">
        <v>43160</v>
      </c>
      <c r="G1573" s="9" t="s">
        <v>3356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5637</v>
      </c>
      <c r="B1574" s="67">
        <v>40681630817</v>
      </c>
      <c r="C1574" s="72"/>
      <c r="D1574" s="69"/>
      <c r="E1574" s="9"/>
      <c r="F1574" s="25"/>
      <c r="G1574" s="70"/>
      <c r="H1574" s="9"/>
      <c r="I1574" s="8"/>
      <c r="J1574" s="8"/>
      <c r="K1574" s="8"/>
      <c r="L1574" s="8"/>
      <c r="M1574" s="8"/>
    </row>
    <row r="1575" spans="1:13">
      <c r="A1575" s="71" t="s">
        <v>5638</v>
      </c>
      <c r="B1575" s="67">
        <v>38665460845</v>
      </c>
      <c r="C1575" s="72"/>
      <c r="D1575" s="69"/>
      <c r="E1575" s="9">
        <v>810</v>
      </c>
      <c r="F1575" s="25">
        <v>42915</v>
      </c>
      <c r="G1575" s="70" t="s">
        <v>3356</v>
      </c>
      <c r="H1575" s="9"/>
      <c r="I1575" s="8"/>
      <c r="J1575" s="8"/>
      <c r="K1575" s="8"/>
      <c r="L1575" s="9" t="s">
        <v>3475</v>
      </c>
      <c r="M1575" s="8"/>
    </row>
    <row r="1576" spans="1:13">
      <c r="A1576" s="71" t="s">
        <v>5639</v>
      </c>
      <c r="B1576" s="67">
        <v>8612530601</v>
      </c>
      <c r="C1576" s="72"/>
      <c r="D1576" s="69"/>
      <c r="E1576" s="9">
        <v>1214</v>
      </c>
      <c r="F1576" s="25">
        <v>42989</v>
      </c>
      <c r="G1576" s="70" t="s">
        <v>3356</v>
      </c>
      <c r="H1576" s="9"/>
      <c r="I1576" s="8"/>
      <c r="J1576" s="8"/>
      <c r="K1576" s="8"/>
      <c r="L1576" s="8"/>
      <c r="M1576" s="8"/>
    </row>
    <row r="1577" spans="1:13">
      <c r="A1577" s="71" t="s">
        <v>5640</v>
      </c>
      <c r="B1577" s="67">
        <v>80643582487</v>
      </c>
      <c r="C1577" s="72"/>
      <c r="D1577" s="69"/>
      <c r="E1577" s="9"/>
      <c r="F1577" s="25"/>
      <c r="G1577" s="70"/>
      <c r="H1577" s="9"/>
      <c r="I1577" s="8"/>
      <c r="J1577" s="8"/>
      <c r="K1577" s="8"/>
      <c r="L1577" s="8"/>
      <c r="M1577" s="8"/>
    </row>
    <row r="1578" spans="1:13">
      <c r="A1578" s="71" t="s">
        <v>5641</v>
      </c>
      <c r="B1578" s="67">
        <v>29749309804</v>
      </c>
      <c r="C1578" s="72"/>
      <c r="D1578" s="69"/>
      <c r="E1578" s="9"/>
      <c r="F1578" s="25"/>
      <c r="G1578" s="70"/>
      <c r="H1578" s="9"/>
      <c r="I1578" s="8"/>
      <c r="J1578" s="8"/>
      <c r="K1578" s="8"/>
      <c r="L1578" s="8"/>
      <c r="M1578" s="8"/>
    </row>
    <row r="1579" spans="1:13">
      <c r="A1579" s="71" t="s">
        <v>5642</v>
      </c>
      <c r="B1579" s="67">
        <v>36196624873</v>
      </c>
      <c r="C1579" s="77"/>
      <c r="D1579" s="69"/>
      <c r="E1579" s="9"/>
      <c r="F1579" s="25"/>
      <c r="G1579" s="70"/>
      <c r="H1579" s="9"/>
      <c r="I1579" s="8"/>
      <c r="J1579" s="8"/>
      <c r="K1579" s="8"/>
      <c r="L1579" s="8"/>
      <c r="M1579" s="8"/>
    </row>
    <row r="1580" spans="1:13">
      <c r="A1580" s="29" t="s">
        <v>5643</v>
      </c>
      <c r="B1580" s="67">
        <v>88436144520</v>
      </c>
      <c r="C1580" s="29" t="s">
        <v>3466</v>
      </c>
      <c r="D1580" s="69"/>
      <c r="E1580" s="9"/>
      <c r="F1580" s="25"/>
      <c r="G1580" s="70"/>
      <c r="H1580" s="9"/>
      <c r="I1580" s="8"/>
      <c r="J1580" s="8"/>
      <c r="K1580" s="8"/>
      <c r="L1580" s="8"/>
      <c r="M1580" s="8"/>
    </row>
    <row r="1581" spans="1:13">
      <c r="A1581" s="72" t="s">
        <v>5644</v>
      </c>
      <c r="B1581" s="67">
        <v>40099259818</v>
      </c>
      <c r="C1581" s="72"/>
      <c r="D1581" s="69"/>
      <c r="E1581" s="9"/>
      <c r="F1581" s="25"/>
      <c r="G1581" s="70"/>
      <c r="H1581" s="9"/>
      <c r="I1581" s="8"/>
      <c r="J1581" s="8"/>
      <c r="K1581" s="8"/>
      <c r="L1581" s="8"/>
      <c r="M1581" s="8"/>
    </row>
    <row r="1582" spans="1:13">
      <c r="A1582" s="71" t="s">
        <v>5645</v>
      </c>
      <c r="B1582" s="67">
        <v>61154911500</v>
      </c>
      <c r="C1582" s="68"/>
      <c r="D1582" s="69"/>
      <c r="E1582" s="9">
        <v>1214</v>
      </c>
      <c r="F1582" s="25">
        <v>42989</v>
      </c>
      <c r="G1582" s="70" t="s">
        <v>3356</v>
      </c>
      <c r="H1582" s="9"/>
      <c r="I1582" s="8"/>
      <c r="J1582" s="8"/>
      <c r="K1582" s="8"/>
      <c r="L1582" s="8"/>
      <c r="M1582" s="8"/>
    </row>
    <row r="1583" spans="1:13">
      <c r="A1583" s="72" t="s">
        <v>5646</v>
      </c>
      <c r="B1583" s="67">
        <v>4967493580</v>
      </c>
      <c r="C1583" s="15" t="s">
        <v>5647</v>
      </c>
      <c r="D1583" s="69">
        <v>28305274888</v>
      </c>
      <c r="E1583" s="9">
        <v>443</v>
      </c>
      <c r="F1583" s="25">
        <v>43188</v>
      </c>
      <c r="G1583" s="70"/>
      <c r="H1583" s="9"/>
      <c r="I1583" s="8"/>
      <c r="J1583" s="8"/>
      <c r="K1583" s="8"/>
      <c r="L1583" s="8"/>
      <c r="M1583" s="8"/>
    </row>
    <row r="1584" spans="1:13">
      <c r="A1584" s="15" t="s">
        <v>5648</v>
      </c>
      <c r="B1584" s="67">
        <v>28043649847</v>
      </c>
      <c r="C1584" s="72" t="s">
        <v>5649</v>
      </c>
      <c r="D1584" s="69">
        <v>37064432870</v>
      </c>
      <c r="E1584" s="9">
        <v>117</v>
      </c>
      <c r="F1584" s="25">
        <v>43117</v>
      </c>
      <c r="G1584" s="70" t="s">
        <v>3356</v>
      </c>
      <c r="H1584" s="9"/>
      <c r="I1584" s="8"/>
      <c r="J1584" s="8"/>
      <c r="K1584" s="8"/>
      <c r="L1584" s="9" t="s">
        <v>3507</v>
      </c>
      <c r="M1584" s="8"/>
    </row>
    <row r="1585" spans="1:13">
      <c r="A1585" s="71" t="s">
        <v>5650</v>
      </c>
      <c r="B1585" s="67">
        <v>360190898</v>
      </c>
      <c r="C1585" s="72"/>
      <c r="D1585" s="69"/>
      <c r="E1585" s="9">
        <v>810</v>
      </c>
      <c r="F1585" s="25">
        <v>42915</v>
      </c>
      <c r="G1585" s="70" t="s">
        <v>3356</v>
      </c>
      <c r="H1585" s="9"/>
      <c r="I1585" s="8"/>
      <c r="J1585" s="8"/>
      <c r="K1585" s="8"/>
      <c r="L1585" s="9" t="s">
        <v>3475</v>
      </c>
      <c r="M1585" s="8"/>
    </row>
    <row r="1586" spans="1:13">
      <c r="A1586" s="73" t="s">
        <v>5651</v>
      </c>
      <c r="B1586" s="67">
        <v>9988196890</v>
      </c>
      <c r="C1586" s="72"/>
      <c r="D1586" s="69"/>
      <c r="E1586" s="9">
        <v>1350</v>
      </c>
      <c r="F1586" s="25">
        <v>43006</v>
      </c>
      <c r="G1586" s="70" t="s">
        <v>3356</v>
      </c>
      <c r="H1586" s="9"/>
      <c r="I1586" s="8"/>
      <c r="J1586" s="8"/>
      <c r="K1586" s="8"/>
      <c r="L1586" s="8"/>
      <c r="M1586" s="8"/>
    </row>
    <row r="1587" spans="1:13">
      <c r="A1587" s="15" t="s">
        <v>5652</v>
      </c>
      <c r="B1587" s="67">
        <v>45671290325</v>
      </c>
      <c r="C1587" s="72" t="s">
        <v>5653</v>
      </c>
      <c r="D1587" s="69">
        <v>13019071895</v>
      </c>
      <c r="E1587" s="9">
        <v>117</v>
      </c>
      <c r="F1587" s="25">
        <v>43117</v>
      </c>
      <c r="G1587" s="70" t="s">
        <v>3370</v>
      </c>
      <c r="H1587" s="9"/>
      <c r="I1587" s="8"/>
      <c r="J1587" s="8"/>
      <c r="K1587" s="8"/>
      <c r="L1587" s="9" t="s">
        <v>3507</v>
      </c>
      <c r="M1587" s="8"/>
    </row>
    <row r="1588" spans="1:13">
      <c r="A1588" s="13" t="s">
        <v>5654</v>
      </c>
      <c r="B1588" s="67">
        <v>7677424864</v>
      </c>
      <c r="C1588" s="72" t="s">
        <v>5655</v>
      </c>
      <c r="D1588" s="69">
        <v>6128186831</v>
      </c>
      <c r="E1588" s="9">
        <v>1570</v>
      </c>
      <c r="F1588" s="25">
        <v>43077</v>
      </c>
      <c r="G1588" s="70" t="s">
        <v>3356</v>
      </c>
      <c r="H1588" s="9"/>
      <c r="I1588" s="8"/>
      <c r="J1588" s="8"/>
      <c r="K1588" s="8"/>
      <c r="L1588" s="8"/>
      <c r="M1588" s="8"/>
    </row>
    <row r="1589" spans="1:13">
      <c r="A1589" s="13" t="s">
        <v>5656</v>
      </c>
      <c r="B1589" s="67">
        <v>978138341</v>
      </c>
      <c r="C1589" s="68"/>
      <c r="D1589" s="69"/>
      <c r="E1589" s="9"/>
      <c r="F1589" s="25"/>
      <c r="G1589" s="70"/>
      <c r="H1589" s="9"/>
      <c r="I1589" s="8"/>
      <c r="J1589" s="8"/>
      <c r="K1589" s="8"/>
      <c r="L1589" s="8"/>
      <c r="M1589" s="8"/>
    </row>
    <row r="1590" spans="1:13">
      <c r="A1590" s="15" t="s">
        <v>5657</v>
      </c>
      <c r="B1590" s="67">
        <v>40630815836</v>
      </c>
      <c r="C1590" s="72"/>
      <c r="D1590" s="69"/>
      <c r="E1590" s="9">
        <v>262</v>
      </c>
      <c r="F1590" s="25">
        <v>43160</v>
      </c>
      <c r="G1590" s="70" t="s">
        <v>3356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71" t="s">
        <v>5658</v>
      </c>
      <c r="B1591" s="67">
        <v>38262101820</v>
      </c>
      <c r="C1591" s="72"/>
      <c r="D1591" s="69"/>
      <c r="E1591" s="9">
        <v>1824</v>
      </c>
      <c r="F1591" s="25">
        <v>43091</v>
      </c>
      <c r="G1591" s="70" t="s">
        <v>3356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5659</v>
      </c>
      <c r="B1592" s="67">
        <v>37482450840</v>
      </c>
      <c r="C1592" s="72"/>
      <c r="D1592" s="69"/>
      <c r="E1592" s="9">
        <v>443</v>
      </c>
      <c r="F1592" s="25">
        <v>43188</v>
      </c>
      <c r="G1592" s="70"/>
      <c r="H1592" s="9"/>
      <c r="I1592" s="8"/>
      <c r="J1592" s="8"/>
      <c r="K1592" s="8"/>
      <c r="L1592" s="8"/>
      <c r="M1592" s="8"/>
    </row>
    <row r="1593" spans="1:13">
      <c r="A1593" s="71" t="s">
        <v>5660</v>
      </c>
      <c r="B1593" s="67">
        <v>38728350847</v>
      </c>
      <c r="C1593" s="72"/>
      <c r="D1593" s="69"/>
      <c r="E1593" s="9">
        <v>1824</v>
      </c>
      <c r="F1593" s="25">
        <v>43091</v>
      </c>
      <c r="G1593" s="70" t="s">
        <v>3356</v>
      </c>
      <c r="H1593" s="9"/>
      <c r="I1593" s="8"/>
      <c r="J1593" s="8"/>
      <c r="K1593" s="8"/>
      <c r="L1593" s="9">
        <v>1828</v>
      </c>
      <c r="M1593" s="8"/>
    </row>
    <row r="1594" spans="1:13">
      <c r="A1594" s="29" t="s">
        <v>5661</v>
      </c>
      <c r="B1594" s="67"/>
      <c r="C1594" s="29" t="s">
        <v>3466</v>
      </c>
      <c r="D1594" s="69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5662</v>
      </c>
      <c r="B1595" s="67">
        <v>43693335800</v>
      </c>
      <c r="C1595" s="72"/>
      <c r="D1595" s="69"/>
      <c r="E1595" s="9">
        <v>292</v>
      </c>
      <c r="F1595" s="25">
        <v>43168</v>
      </c>
      <c r="G1595" s="70" t="s">
        <v>3356</v>
      </c>
      <c r="H1595" s="9"/>
      <c r="I1595" s="8"/>
      <c r="J1595" s="8"/>
      <c r="K1595" s="8"/>
      <c r="L1595" s="9">
        <v>318</v>
      </c>
      <c r="M1595" s="8"/>
    </row>
    <row r="1596" spans="1:13">
      <c r="A1596" s="29" t="s">
        <v>5663</v>
      </c>
      <c r="B1596" s="67">
        <v>47555303850</v>
      </c>
      <c r="C1596" s="18" t="s">
        <v>3466</v>
      </c>
      <c r="D1596" s="69"/>
      <c r="E1596" s="9"/>
      <c r="F1596" s="25"/>
      <c r="G1596" s="70"/>
      <c r="H1596" s="9"/>
      <c r="I1596" s="8"/>
      <c r="J1596" s="8"/>
      <c r="K1596" s="8"/>
      <c r="L1596" s="8"/>
      <c r="M1596" s="8"/>
    </row>
    <row r="1597" spans="1:13">
      <c r="A1597" s="71" t="s">
        <v>5664</v>
      </c>
      <c r="B1597" s="67">
        <v>38152940534</v>
      </c>
      <c r="C1597" s="72"/>
      <c r="D1597" s="69"/>
      <c r="E1597" s="9">
        <v>292</v>
      </c>
      <c r="F1597" s="25">
        <v>43168</v>
      </c>
      <c r="G1597" s="9" t="s">
        <v>3356</v>
      </c>
      <c r="H1597" s="9"/>
      <c r="I1597" s="8"/>
      <c r="J1597" s="8"/>
      <c r="K1597" s="8"/>
      <c r="L1597" s="9">
        <v>318</v>
      </c>
      <c r="M1597" s="8"/>
    </row>
    <row r="1598" spans="1:13">
      <c r="A1598" s="71" t="s">
        <v>5665</v>
      </c>
      <c r="B1598" s="67">
        <v>25966733805</v>
      </c>
      <c r="C1598" s="72" t="s">
        <v>5666</v>
      </c>
      <c r="D1598" s="69">
        <v>19681706854</v>
      </c>
      <c r="E1598" s="9">
        <v>1752</v>
      </c>
      <c r="F1598" s="25">
        <v>43051</v>
      </c>
      <c r="G1598" s="70" t="s">
        <v>3362</v>
      </c>
      <c r="H1598" s="9"/>
      <c r="I1598" s="8"/>
      <c r="J1598" s="8"/>
      <c r="K1598" s="8"/>
      <c r="L1598" s="9">
        <v>1759</v>
      </c>
      <c r="M1598" s="8"/>
    </row>
    <row r="1599" spans="1:13">
      <c r="A1599" s="71" t="s">
        <v>5667</v>
      </c>
      <c r="B1599" s="67">
        <v>40091566860</v>
      </c>
      <c r="C1599" s="72"/>
      <c r="D1599" s="69"/>
      <c r="E1599" s="9">
        <v>85</v>
      </c>
      <c r="F1599" s="25">
        <v>43109</v>
      </c>
      <c r="G1599" s="70" t="s">
        <v>3356</v>
      </c>
      <c r="H1599" s="25">
        <v>43151</v>
      </c>
      <c r="I1599" s="8"/>
      <c r="J1599" s="8"/>
      <c r="K1599" s="8"/>
      <c r="L1599" s="8"/>
      <c r="M1599" s="8"/>
    </row>
    <row r="1600" spans="1:13">
      <c r="A1600" s="72" t="s">
        <v>5668</v>
      </c>
      <c r="B1600" s="67">
        <v>38287160839</v>
      </c>
      <c r="C1600" s="72"/>
      <c r="D1600" s="69"/>
      <c r="E1600" s="9">
        <v>292</v>
      </c>
      <c r="F1600" s="25">
        <v>43168</v>
      </c>
      <c r="G1600" s="9" t="s">
        <v>3356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5669</v>
      </c>
      <c r="B1601" s="67">
        <v>2258603501</v>
      </c>
      <c r="C1601" s="68"/>
      <c r="D1601" s="69"/>
      <c r="E1601" s="9"/>
      <c r="F1601" s="25"/>
      <c r="G1601" s="70"/>
      <c r="H1601" s="9"/>
      <c r="I1601" s="8"/>
      <c r="J1601" s="8"/>
      <c r="K1601" s="8"/>
      <c r="L1601" s="8"/>
      <c r="M1601" s="8"/>
    </row>
    <row r="1602" spans="1:13">
      <c r="A1602" s="14" t="s">
        <v>5670</v>
      </c>
      <c r="B1602" s="67">
        <v>39621762847</v>
      </c>
      <c r="C1602" s="72"/>
      <c r="D1602" s="69"/>
      <c r="E1602" s="9">
        <v>262</v>
      </c>
      <c r="F1602" s="25">
        <v>43160</v>
      </c>
      <c r="G1602" s="70" t="s">
        <v>3356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5671</v>
      </c>
      <c r="B1603" s="67">
        <v>32448230846</v>
      </c>
      <c r="C1603" s="18" t="s">
        <v>5672</v>
      </c>
      <c r="D1603" s="69">
        <v>17618620814</v>
      </c>
      <c r="E1603" s="9"/>
      <c r="F1603" s="25"/>
      <c r="G1603" s="70"/>
      <c r="H1603" s="9"/>
      <c r="I1603" s="8"/>
      <c r="J1603" s="8"/>
      <c r="K1603" s="8"/>
      <c r="L1603" s="8"/>
      <c r="M1603" s="8"/>
    </row>
    <row r="1604" spans="1:13">
      <c r="A1604" s="18" t="s">
        <v>5673</v>
      </c>
      <c r="B1604" s="67">
        <v>56151250559</v>
      </c>
      <c r="C1604" s="18" t="s">
        <v>5674</v>
      </c>
      <c r="D1604" s="69">
        <v>29767449809</v>
      </c>
      <c r="E1604" s="9"/>
      <c r="F1604" s="25"/>
      <c r="G1604" s="70"/>
      <c r="H1604" s="9"/>
      <c r="I1604" s="8"/>
      <c r="J1604" s="8"/>
      <c r="K1604" s="8"/>
      <c r="L1604" s="8"/>
      <c r="M1604" s="8"/>
    </row>
    <row r="1605" spans="1:13">
      <c r="A1605" s="72" t="s">
        <v>5675</v>
      </c>
      <c r="B1605" s="67">
        <v>26373792862</v>
      </c>
      <c r="C1605" s="72"/>
      <c r="D1605" s="69"/>
      <c r="E1605" s="9">
        <v>292</v>
      </c>
      <c r="F1605" s="25">
        <v>43168</v>
      </c>
      <c r="G1605" s="9" t="s">
        <v>3356</v>
      </c>
      <c r="H1605" s="9"/>
      <c r="I1605" s="8"/>
      <c r="J1605" s="8"/>
      <c r="K1605" s="8"/>
      <c r="L1605" s="9">
        <v>318</v>
      </c>
      <c r="M1605" s="8"/>
    </row>
    <row r="1606" spans="1:13">
      <c r="A1606" s="71" t="s">
        <v>5676</v>
      </c>
      <c r="B1606" s="67">
        <v>39308932828</v>
      </c>
      <c r="C1606" s="77"/>
      <c r="D1606" s="69"/>
      <c r="E1606" s="9"/>
      <c r="F1606" s="25"/>
      <c r="G1606" s="70"/>
      <c r="H1606" s="9"/>
      <c r="I1606" s="8"/>
      <c r="J1606" s="8"/>
      <c r="K1606" s="8"/>
      <c r="L1606" s="8"/>
      <c r="M1606" s="8"/>
    </row>
    <row r="1607" spans="1:13">
      <c r="A1607" s="15" t="s">
        <v>5677</v>
      </c>
      <c r="B1607" s="67">
        <v>89047710304</v>
      </c>
      <c r="C1607" s="72"/>
      <c r="D1607" s="69"/>
      <c r="E1607" s="9">
        <v>85</v>
      </c>
      <c r="F1607" s="25">
        <v>43109</v>
      </c>
      <c r="G1607" s="70" t="s">
        <v>3356</v>
      </c>
      <c r="H1607" s="25">
        <v>43151</v>
      </c>
      <c r="I1607" s="8"/>
      <c r="J1607" s="8"/>
      <c r="K1607" s="8"/>
      <c r="L1607" s="8"/>
      <c r="M1607" s="8"/>
    </row>
    <row r="1608" spans="1:13">
      <c r="A1608" s="71" t="s">
        <v>5678</v>
      </c>
      <c r="B1608" s="67">
        <v>36713930840</v>
      </c>
      <c r="C1608" s="68" t="s">
        <v>5679</v>
      </c>
      <c r="D1608" s="69">
        <v>30171047885</v>
      </c>
      <c r="E1608" s="9">
        <v>1128</v>
      </c>
      <c r="F1608" s="25">
        <v>42972</v>
      </c>
      <c r="G1608" s="70" t="s">
        <v>3356</v>
      </c>
      <c r="H1608" s="9"/>
      <c r="I1608" s="8"/>
      <c r="J1608" s="8"/>
      <c r="K1608" s="8"/>
      <c r="L1608" s="8"/>
      <c r="M1608" s="8"/>
    </row>
    <row r="1609" spans="1:13">
      <c r="A1609" s="29" t="s">
        <v>5680</v>
      </c>
      <c r="B1609" s="67">
        <v>37138221827</v>
      </c>
      <c r="C1609" s="29" t="s">
        <v>5681</v>
      </c>
      <c r="D1609" s="69">
        <v>40497197898</v>
      </c>
      <c r="E1609" s="9"/>
      <c r="F1609" s="25"/>
      <c r="G1609" s="70"/>
      <c r="H1609" s="9"/>
      <c r="I1609" s="8"/>
      <c r="J1609" s="8"/>
      <c r="K1609" s="8"/>
      <c r="L1609" s="8"/>
      <c r="M1609" s="8"/>
    </row>
    <row r="1610" spans="1:13">
      <c r="A1610" s="71" t="s">
        <v>5682</v>
      </c>
      <c r="B1610" s="67">
        <v>35503868854</v>
      </c>
      <c r="C1610" s="72"/>
      <c r="D1610" s="69"/>
      <c r="E1610" s="9">
        <v>608</v>
      </c>
      <c r="F1610" s="25">
        <v>43012</v>
      </c>
      <c r="G1610" s="70" t="s">
        <v>3356</v>
      </c>
      <c r="H1610" s="9"/>
      <c r="I1610" s="8"/>
      <c r="J1610" s="8"/>
      <c r="K1610" s="8"/>
      <c r="L1610" s="8"/>
      <c r="M1610" s="8"/>
    </row>
    <row r="1611" spans="1:13">
      <c r="A1611" s="71" t="s">
        <v>5683</v>
      </c>
      <c r="B1611" s="67">
        <v>38011879855</v>
      </c>
      <c r="C1611" s="72"/>
      <c r="D1611" s="69"/>
      <c r="E1611" s="9">
        <v>1106</v>
      </c>
      <c r="F1611" s="25">
        <v>42965</v>
      </c>
      <c r="G1611" s="70" t="s">
        <v>3356</v>
      </c>
      <c r="H1611" s="9"/>
      <c r="I1611" s="8"/>
      <c r="J1611" s="8"/>
      <c r="K1611" s="8"/>
      <c r="L1611" s="8"/>
      <c r="M1611" s="8"/>
    </row>
    <row r="1612" spans="1:13">
      <c r="A1612" s="71" t="s">
        <v>5684</v>
      </c>
      <c r="B1612" s="67">
        <v>40082602859</v>
      </c>
      <c r="C1612" s="72"/>
      <c r="D1612" s="69"/>
      <c r="E1612" s="9">
        <v>1752</v>
      </c>
      <c r="F1612" s="25">
        <v>43051</v>
      </c>
      <c r="G1612" s="70" t="s">
        <v>3356</v>
      </c>
      <c r="H1612" s="9"/>
      <c r="I1612" s="8"/>
      <c r="J1612" s="8"/>
      <c r="K1612" s="8"/>
      <c r="L1612" s="9">
        <v>1759</v>
      </c>
      <c r="M1612" s="8"/>
    </row>
    <row r="1613" spans="1:13">
      <c r="A1613" s="71" t="s">
        <v>5685</v>
      </c>
      <c r="B1613" s="67">
        <v>35720985808</v>
      </c>
      <c r="C1613" s="72"/>
      <c r="D1613" s="69"/>
      <c r="E1613" s="9">
        <v>527</v>
      </c>
      <c r="F1613" s="25">
        <v>43210</v>
      </c>
      <c r="G1613" s="70"/>
      <c r="H1613" s="9"/>
      <c r="I1613" s="8"/>
      <c r="J1613" s="8"/>
      <c r="K1613" s="8"/>
      <c r="L1613" s="9">
        <v>528</v>
      </c>
      <c r="M1613" s="8"/>
    </row>
    <row r="1614" spans="1:13">
      <c r="A1614" s="71" t="s">
        <v>5686</v>
      </c>
      <c r="B1614" s="67">
        <v>36709469859</v>
      </c>
      <c r="C1614" s="72"/>
      <c r="D1614" s="69"/>
      <c r="E1614" s="9">
        <v>1570</v>
      </c>
      <c r="F1614" s="25">
        <v>43055</v>
      </c>
      <c r="G1614" s="70" t="s">
        <v>3356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71" t="s">
        <v>5687</v>
      </c>
      <c r="B1615" s="67">
        <v>51413583806</v>
      </c>
      <c r="C1615" s="72"/>
      <c r="D1615" s="69"/>
      <c r="E1615" s="9">
        <v>1752</v>
      </c>
      <c r="F1615" s="25">
        <v>43051</v>
      </c>
      <c r="G1615" s="70" t="s">
        <v>3356</v>
      </c>
      <c r="H1615" s="9"/>
      <c r="I1615" s="8"/>
      <c r="J1615" s="8"/>
      <c r="K1615" s="8"/>
      <c r="L1615" s="9">
        <v>1759</v>
      </c>
      <c r="M1615" s="8"/>
    </row>
    <row r="1616" spans="1:13">
      <c r="A1616" s="71" t="s">
        <v>5688</v>
      </c>
      <c r="B1616" s="67">
        <v>42268137821</v>
      </c>
      <c r="C1616" s="72"/>
      <c r="D1616" s="69"/>
      <c r="E1616" s="9">
        <v>1824</v>
      </c>
      <c r="F1616" s="25">
        <v>43091</v>
      </c>
      <c r="G1616" s="70" t="s">
        <v>3356</v>
      </c>
      <c r="H1616" s="9"/>
      <c r="I1616" s="8"/>
      <c r="J1616" s="8"/>
      <c r="K1616" s="8"/>
      <c r="L1616" s="9">
        <v>1828</v>
      </c>
      <c r="M1616" s="8"/>
    </row>
    <row r="1617" spans="1:13">
      <c r="A1617" s="71" t="s">
        <v>5689</v>
      </c>
      <c r="B1617" s="67">
        <v>35411761808</v>
      </c>
      <c r="C1617" s="72"/>
      <c r="D1617" s="69"/>
      <c r="E1617" s="9"/>
      <c r="F1617" s="25"/>
      <c r="G1617" s="70"/>
      <c r="H1617" s="9"/>
      <c r="I1617" s="8"/>
      <c r="J1617" s="8"/>
      <c r="K1617" s="8"/>
      <c r="L1617" s="8"/>
      <c r="M1617" s="8"/>
    </row>
    <row r="1618" spans="1:13">
      <c r="A1618" s="71" t="s">
        <v>5690</v>
      </c>
      <c r="B1618" s="67">
        <v>3141394350</v>
      </c>
      <c r="C1618" s="72"/>
      <c r="D1618" s="69"/>
      <c r="E1618" s="9">
        <v>810</v>
      </c>
      <c r="F1618" s="25">
        <v>42915</v>
      </c>
      <c r="G1618" s="70" t="s">
        <v>3356</v>
      </c>
      <c r="H1618" s="9"/>
      <c r="I1618" s="8"/>
      <c r="J1618" s="8"/>
      <c r="K1618" s="8"/>
      <c r="L1618" s="9" t="s">
        <v>3475</v>
      </c>
      <c r="M1618" s="8"/>
    </row>
    <row r="1619" spans="1:13">
      <c r="A1619" s="71" t="s">
        <v>5691</v>
      </c>
      <c r="B1619" s="67">
        <v>2054203548</v>
      </c>
      <c r="C1619" s="72"/>
      <c r="D1619" s="69"/>
      <c r="E1619" s="9">
        <v>85</v>
      </c>
      <c r="F1619" s="25">
        <v>43109</v>
      </c>
      <c r="G1619" s="70" t="s">
        <v>3356</v>
      </c>
      <c r="H1619" s="25">
        <v>43151</v>
      </c>
      <c r="I1619" s="8"/>
      <c r="J1619" s="8"/>
      <c r="K1619" s="8"/>
      <c r="L1619" s="8"/>
      <c r="M1619" s="8"/>
    </row>
    <row r="1620" spans="1:13">
      <c r="A1620" s="72" t="s">
        <v>5692</v>
      </c>
      <c r="B1620" s="67">
        <v>16932893851</v>
      </c>
      <c r="C1620" s="72"/>
      <c r="D1620" s="69"/>
      <c r="E1620" s="9">
        <v>292</v>
      </c>
      <c r="F1620" s="25">
        <v>43168</v>
      </c>
      <c r="G1620" s="9" t="s">
        <v>3356</v>
      </c>
      <c r="H1620" s="9"/>
      <c r="I1620" s="8"/>
      <c r="J1620" s="8"/>
      <c r="K1620" s="8"/>
      <c r="L1620" s="9">
        <v>318</v>
      </c>
      <c r="M1620" s="8"/>
    </row>
    <row r="1621" spans="1:13">
      <c r="A1621" s="71" t="s">
        <v>5693</v>
      </c>
      <c r="B1621" s="67">
        <v>27136520819</v>
      </c>
      <c r="C1621" s="68"/>
      <c r="D1621" s="69"/>
      <c r="E1621" s="9">
        <v>1214</v>
      </c>
      <c r="F1621" s="25">
        <v>42989</v>
      </c>
      <c r="G1621" s="70"/>
      <c r="H1621" s="9"/>
      <c r="I1621" s="8"/>
      <c r="J1621" s="8"/>
      <c r="K1621" s="8"/>
      <c r="L1621" s="8"/>
      <c r="M1621" s="8"/>
    </row>
    <row r="1622" spans="1:13">
      <c r="A1622" s="71" t="s">
        <v>5694</v>
      </c>
      <c r="B1622" s="67">
        <v>36273665818</v>
      </c>
      <c r="C1622" s="72"/>
      <c r="D1622" s="69"/>
      <c r="E1622" s="9"/>
      <c r="F1622" s="25"/>
      <c r="G1622" s="70"/>
      <c r="H1622" s="9"/>
      <c r="I1622" s="8"/>
      <c r="J1622" s="8"/>
      <c r="K1622" s="8"/>
      <c r="L1622" s="8"/>
      <c r="M1622" s="8"/>
    </row>
    <row r="1623" spans="1:13">
      <c r="A1623" s="71" t="s">
        <v>5695</v>
      </c>
      <c r="B1623" s="67">
        <v>14701130826</v>
      </c>
      <c r="C1623" s="72"/>
      <c r="D1623" s="69"/>
      <c r="E1623" s="9">
        <v>262</v>
      </c>
      <c r="F1623" s="25">
        <v>43160</v>
      </c>
      <c r="G1623" s="70" t="s">
        <v>3356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71" t="s">
        <v>5696</v>
      </c>
      <c r="B1624" s="67">
        <v>22084992800</v>
      </c>
      <c r="C1624" s="72"/>
      <c r="D1624" s="69"/>
      <c r="E1624" s="9"/>
      <c r="F1624" s="25"/>
      <c r="G1624" s="70"/>
      <c r="H1624" s="9"/>
      <c r="I1624" s="8"/>
      <c r="J1624" s="8"/>
      <c r="K1624" s="8"/>
      <c r="L1624" s="8"/>
      <c r="M1624" s="8"/>
    </row>
    <row r="1625" spans="1:13">
      <c r="A1625" s="71" t="s">
        <v>5697</v>
      </c>
      <c r="B1625" s="67">
        <v>37338189897</v>
      </c>
      <c r="C1625" s="72" t="s">
        <v>5698</v>
      </c>
      <c r="D1625" s="69">
        <v>27359655897</v>
      </c>
      <c r="E1625" s="9">
        <v>1824</v>
      </c>
      <c r="F1625" s="25">
        <v>43091</v>
      </c>
      <c r="G1625" s="70" t="s">
        <v>3356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5699</v>
      </c>
      <c r="B1626" s="67">
        <v>45632601854</v>
      </c>
      <c r="C1626" s="32" t="s">
        <v>5700</v>
      </c>
      <c r="D1626" s="90">
        <v>37984145806</v>
      </c>
      <c r="E1626" s="9">
        <v>563</v>
      </c>
      <c r="F1626" s="25">
        <v>43217</v>
      </c>
      <c r="G1626" s="70"/>
      <c r="H1626" s="9"/>
      <c r="I1626" s="8"/>
      <c r="J1626" s="8"/>
      <c r="K1626" s="8"/>
      <c r="L1626" s="9" t="s">
        <v>3636</v>
      </c>
      <c r="M1626" s="8"/>
    </row>
    <row r="1627" spans="1:13">
      <c r="A1627" s="29" t="s">
        <v>5701</v>
      </c>
      <c r="B1627" s="67"/>
      <c r="C1627" s="29" t="s">
        <v>5702</v>
      </c>
      <c r="D1627" s="69"/>
      <c r="E1627" s="9"/>
      <c r="F1627" s="25"/>
      <c r="G1627" s="70"/>
      <c r="H1627" s="9"/>
      <c r="I1627" s="8"/>
      <c r="J1627" s="8"/>
      <c r="K1627" s="8"/>
      <c r="L1627" s="8"/>
      <c r="M1627" s="8"/>
    </row>
    <row r="1628" spans="1:13">
      <c r="A1628" s="71" t="s">
        <v>5703</v>
      </c>
      <c r="B1628" s="67">
        <v>38656179802</v>
      </c>
      <c r="C1628" s="72"/>
      <c r="D1628" s="69"/>
      <c r="E1628" s="9"/>
      <c r="F1628" s="25"/>
      <c r="G1628" s="70"/>
      <c r="H1628" s="9"/>
      <c r="I1628" s="8"/>
      <c r="J1628" s="8"/>
      <c r="K1628" s="8"/>
      <c r="L1628" s="8"/>
      <c r="M1628" s="8"/>
    </row>
    <row r="1629" spans="1:13">
      <c r="A1629" s="71" t="s">
        <v>5704</v>
      </c>
      <c r="B1629" s="67">
        <v>38150547886</v>
      </c>
      <c r="C1629" s="72" t="s">
        <v>5705</v>
      </c>
      <c r="D1629" s="69">
        <v>36270820871</v>
      </c>
      <c r="E1629" s="9">
        <v>262</v>
      </c>
      <c r="F1629" s="25">
        <v>43160</v>
      </c>
      <c r="G1629" s="9" t="s">
        <v>3356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5706</v>
      </c>
      <c r="B1630" s="67">
        <v>59306696</v>
      </c>
      <c r="C1630" s="18"/>
      <c r="D1630" s="69"/>
      <c r="E1630" s="9"/>
      <c r="F1630" s="25"/>
      <c r="G1630" s="70"/>
      <c r="H1630" s="9"/>
      <c r="I1630" s="8"/>
      <c r="J1630" s="8"/>
      <c r="K1630" s="8"/>
      <c r="L1630" s="8"/>
      <c r="M1630" s="8"/>
    </row>
    <row r="1631" spans="1:13">
      <c r="A1631" s="18" t="s">
        <v>5707</v>
      </c>
      <c r="B1631" s="67"/>
      <c r="C1631" s="18"/>
      <c r="D1631" s="69"/>
      <c r="E1631" s="9"/>
      <c r="F1631" s="25"/>
      <c r="G1631" s="70"/>
      <c r="H1631" s="9"/>
      <c r="I1631" s="8"/>
      <c r="J1631" s="8"/>
      <c r="K1631" s="8"/>
      <c r="L1631" s="8"/>
      <c r="M1631" s="8"/>
    </row>
    <row r="1632" spans="1:13">
      <c r="A1632" s="19" t="s">
        <v>5708</v>
      </c>
      <c r="B1632" s="67">
        <v>9276403841</v>
      </c>
      <c r="C1632" s="77"/>
      <c r="D1632" s="67"/>
      <c r="E1632" s="9"/>
      <c r="F1632" s="25"/>
      <c r="G1632" s="70"/>
      <c r="H1632" s="9"/>
      <c r="I1632" s="8"/>
      <c r="J1632" s="8"/>
      <c r="K1632" s="8"/>
      <c r="L1632" s="8"/>
      <c r="M1632" s="8"/>
    </row>
    <row r="1633" spans="1:13">
      <c r="A1633" s="71" t="s">
        <v>5709</v>
      </c>
      <c r="B1633" s="67">
        <v>26608066830</v>
      </c>
      <c r="C1633" s="68"/>
      <c r="D1633" s="69"/>
      <c r="E1633" s="9"/>
      <c r="F1633" s="25"/>
      <c r="G1633" s="70"/>
      <c r="H1633" s="9"/>
      <c r="I1633" s="8"/>
      <c r="J1633" s="8"/>
      <c r="K1633" s="8"/>
      <c r="L1633" s="8"/>
      <c r="M1633" s="8"/>
    </row>
    <row r="1634" spans="1:13">
      <c r="A1634" s="71" t="s">
        <v>5710</v>
      </c>
      <c r="B1634" s="67">
        <v>46467969880</v>
      </c>
      <c r="C1634" s="72"/>
      <c r="D1634" s="69"/>
      <c r="E1634" s="9">
        <v>608</v>
      </c>
      <c r="F1634" s="25">
        <v>43012</v>
      </c>
      <c r="G1634" s="70" t="s">
        <v>3356</v>
      </c>
      <c r="H1634" s="9"/>
      <c r="I1634" s="8"/>
      <c r="J1634" s="8"/>
      <c r="K1634" s="8"/>
      <c r="L1634" s="8"/>
      <c r="M1634" s="8"/>
    </row>
    <row r="1635" spans="1:13">
      <c r="A1635" s="71" t="s">
        <v>5711</v>
      </c>
      <c r="B1635" s="67">
        <v>4958133542</v>
      </c>
      <c r="C1635" s="72"/>
      <c r="D1635" s="69"/>
      <c r="E1635" s="9">
        <v>229</v>
      </c>
      <c r="F1635" s="25">
        <v>43151</v>
      </c>
      <c r="G1635" s="70" t="s">
        <v>3356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5712</v>
      </c>
      <c r="B1636" s="67">
        <v>44852605858</v>
      </c>
      <c r="C1636" s="15" t="s">
        <v>5713</v>
      </c>
      <c r="D1636" s="69">
        <v>44600006879</v>
      </c>
      <c r="E1636" s="9">
        <v>527</v>
      </c>
      <c r="F1636" s="25">
        <v>43210</v>
      </c>
      <c r="G1636" s="70"/>
      <c r="H1636" s="9"/>
      <c r="I1636" s="8"/>
      <c r="J1636" s="8"/>
      <c r="K1636" s="8"/>
      <c r="L1636" s="9">
        <v>528</v>
      </c>
      <c r="M1636" s="8"/>
    </row>
    <row r="1637" spans="1:13">
      <c r="A1637" s="29" t="s">
        <v>5714</v>
      </c>
      <c r="B1637" s="67">
        <v>42130610862</v>
      </c>
      <c r="C1637" s="29" t="s">
        <v>5715</v>
      </c>
      <c r="D1637" s="69">
        <v>34982732809</v>
      </c>
      <c r="E1637" s="9"/>
      <c r="F1637" s="25"/>
      <c r="G1637" s="70"/>
      <c r="H1637" s="9"/>
      <c r="I1637" s="8"/>
      <c r="J1637" s="8"/>
      <c r="K1637" s="8"/>
      <c r="L1637" s="8"/>
      <c r="M1637" s="8"/>
    </row>
    <row r="1638" spans="1:13">
      <c r="A1638" s="71" t="s">
        <v>5716</v>
      </c>
      <c r="B1638" s="67">
        <v>42910431800</v>
      </c>
      <c r="C1638" s="72"/>
      <c r="D1638" s="69"/>
      <c r="E1638" s="9">
        <v>117</v>
      </c>
      <c r="F1638" s="25">
        <v>43117</v>
      </c>
      <c r="G1638" s="70" t="s">
        <v>3356</v>
      </c>
      <c r="H1638" s="9"/>
      <c r="I1638" s="8"/>
      <c r="J1638" s="8"/>
      <c r="K1638" s="8"/>
      <c r="L1638" s="9" t="s">
        <v>3507</v>
      </c>
      <c r="M1638" s="8"/>
    </row>
    <row r="1639" spans="1:13">
      <c r="A1639" s="15" t="s">
        <v>5717</v>
      </c>
      <c r="B1639" s="67">
        <v>22661252819</v>
      </c>
      <c r="C1639" s="72"/>
      <c r="D1639" s="69"/>
      <c r="E1639" s="9"/>
      <c r="F1639" s="25"/>
      <c r="G1639" s="70"/>
      <c r="H1639" s="9"/>
      <c r="I1639" s="8"/>
      <c r="J1639" s="8"/>
      <c r="K1639" s="8"/>
      <c r="L1639" s="8"/>
      <c r="M1639" s="8"/>
    </row>
    <row r="1640" spans="1:13">
      <c r="A1640" s="15" t="s">
        <v>5718</v>
      </c>
      <c r="B1640" s="67">
        <v>46435904839</v>
      </c>
      <c r="C1640" s="72"/>
      <c r="D1640" s="69"/>
      <c r="E1640" s="9">
        <v>117</v>
      </c>
      <c r="F1640" s="25">
        <v>43117</v>
      </c>
      <c r="G1640" s="70" t="s">
        <v>3356</v>
      </c>
      <c r="H1640" s="9"/>
      <c r="I1640" s="8"/>
      <c r="J1640" s="8"/>
      <c r="K1640" s="8"/>
      <c r="L1640" s="9" t="s">
        <v>3507</v>
      </c>
      <c r="M1640" s="8"/>
    </row>
    <row r="1641" spans="1:13">
      <c r="A1641" s="71" t="s">
        <v>5719</v>
      </c>
      <c r="B1641" s="67">
        <v>39453524875</v>
      </c>
      <c r="C1641" s="72"/>
      <c r="D1641" s="69"/>
      <c r="E1641" s="9">
        <v>262</v>
      </c>
      <c r="F1641" s="25">
        <v>43160</v>
      </c>
      <c r="G1641" s="9" t="s">
        <v>3356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72" t="s">
        <v>5720</v>
      </c>
      <c r="B1642" s="67">
        <v>41160706883</v>
      </c>
      <c r="C1642" s="72"/>
      <c r="D1642" s="69"/>
      <c r="E1642" s="9">
        <v>485</v>
      </c>
      <c r="F1642" s="25">
        <v>43196</v>
      </c>
      <c r="G1642" s="70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5721</v>
      </c>
      <c r="B1643" s="67">
        <v>25399089858</v>
      </c>
      <c r="C1643" s="18" t="s">
        <v>5722</v>
      </c>
      <c r="D1643" s="69">
        <v>11514624893</v>
      </c>
      <c r="E1643" s="9"/>
      <c r="F1643" s="25"/>
      <c r="G1643" s="70"/>
      <c r="H1643" s="9"/>
      <c r="I1643" s="8"/>
      <c r="J1643" s="8"/>
      <c r="K1643" s="8"/>
      <c r="L1643" s="8"/>
      <c r="M1643" s="8"/>
    </row>
    <row r="1644" spans="1:13">
      <c r="A1644" s="15" t="s">
        <v>5723</v>
      </c>
      <c r="B1644" s="67">
        <v>36758489817</v>
      </c>
      <c r="C1644" s="72" t="s">
        <v>5724</v>
      </c>
      <c r="D1644" s="69">
        <v>15602238808</v>
      </c>
      <c r="E1644" s="9">
        <v>117</v>
      </c>
      <c r="F1644" s="25">
        <v>43117</v>
      </c>
      <c r="G1644" s="70" t="s">
        <v>3356</v>
      </c>
      <c r="H1644" s="9"/>
      <c r="I1644" s="8"/>
      <c r="J1644" s="8"/>
      <c r="K1644" s="8"/>
      <c r="L1644" s="9" t="s">
        <v>3507</v>
      </c>
      <c r="M1644" s="8"/>
    </row>
    <row r="1645" spans="1:13">
      <c r="A1645" s="71" t="s">
        <v>5725</v>
      </c>
      <c r="B1645" s="67">
        <v>24721711883</v>
      </c>
      <c r="C1645" s="68"/>
      <c r="D1645" s="69"/>
      <c r="E1645" s="9">
        <v>1128</v>
      </c>
      <c r="F1645" s="25">
        <v>42972</v>
      </c>
      <c r="G1645" s="70" t="s">
        <v>3356</v>
      </c>
      <c r="H1645" s="9"/>
      <c r="I1645" s="8"/>
      <c r="J1645" s="8"/>
      <c r="K1645" s="8"/>
      <c r="L1645" s="8"/>
      <c r="M1645" s="8"/>
    </row>
    <row r="1646" spans="1:13">
      <c r="A1646" s="71" t="s">
        <v>5726</v>
      </c>
      <c r="B1646" s="67">
        <v>35890093819</v>
      </c>
      <c r="C1646" s="72"/>
      <c r="D1646" s="69"/>
      <c r="E1646" s="9"/>
      <c r="F1646" s="25"/>
      <c r="G1646" s="70"/>
      <c r="H1646" s="9"/>
      <c r="I1646" s="8"/>
      <c r="J1646" s="8"/>
      <c r="K1646" s="8"/>
      <c r="L1646" s="8"/>
      <c r="M1646" s="8"/>
    </row>
    <row r="1647" spans="1:13">
      <c r="A1647" s="71" t="s">
        <v>5727</v>
      </c>
      <c r="B1647" s="67">
        <v>3051791440</v>
      </c>
      <c r="C1647" s="72" t="s">
        <v>5728</v>
      </c>
      <c r="D1647" s="69">
        <v>16781433830</v>
      </c>
      <c r="E1647" s="9"/>
      <c r="F1647" s="25"/>
      <c r="G1647" s="70"/>
      <c r="H1647" s="9"/>
      <c r="I1647" s="8"/>
      <c r="J1647" s="8"/>
      <c r="K1647" s="8"/>
      <c r="L1647" s="8"/>
      <c r="M1647" s="8"/>
    </row>
    <row r="1648" spans="1:13">
      <c r="A1648" s="15" t="s">
        <v>5729</v>
      </c>
      <c r="B1648" s="67">
        <v>93557604420</v>
      </c>
      <c r="C1648" s="72"/>
      <c r="D1648" s="69"/>
      <c r="E1648" s="9">
        <v>262</v>
      </c>
      <c r="F1648" s="25">
        <v>43160</v>
      </c>
      <c r="G1648" s="70" t="s">
        <v>3356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9" t="s">
        <v>5730</v>
      </c>
      <c r="B1649" s="67">
        <v>19585637812</v>
      </c>
      <c r="C1649" s="18"/>
      <c r="D1649" s="69"/>
      <c r="E1649" s="9"/>
      <c r="F1649" s="25"/>
      <c r="G1649" s="70"/>
      <c r="H1649" s="9"/>
      <c r="I1649" s="8"/>
      <c r="J1649" s="8"/>
      <c r="K1649" s="8"/>
      <c r="L1649" s="8"/>
      <c r="M1649" s="8"/>
    </row>
    <row r="1650" spans="1:13">
      <c r="A1650" s="29" t="s">
        <v>5731</v>
      </c>
      <c r="B1650" s="67">
        <v>8774817841</v>
      </c>
      <c r="C1650" s="18" t="s">
        <v>3466</v>
      </c>
      <c r="D1650" s="69"/>
      <c r="E1650" s="9"/>
      <c r="F1650" s="25"/>
      <c r="G1650" s="70"/>
      <c r="H1650" s="9"/>
      <c r="I1650" s="8"/>
      <c r="J1650" s="8"/>
      <c r="K1650" s="8"/>
      <c r="L1650" s="8"/>
      <c r="M1650" s="8"/>
    </row>
    <row r="1651" spans="1:13">
      <c r="A1651" s="71" t="s">
        <v>5732</v>
      </c>
      <c r="B1651" s="67">
        <v>15730438850</v>
      </c>
      <c r="C1651" s="72" t="s">
        <v>5733</v>
      </c>
      <c r="D1651" s="69">
        <v>11253544883</v>
      </c>
      <c r="E1651" s="9">
        <v>1628</v>
      </c>
      <c r="F1651" s="25">
        <v>43077</v>
      </c>
      <c r="G1651" s="70" t="s">
        <v>3356</v>
      </c>
      <c r="H1651" s="9"/>
      <c r="I1651" s="8"/>
      <c r="J1651" s="8"/>
      <c r="K1651" s="8"/>
      <c r="L1651" s="8"/>
      <c r="M1651" s="8"/>
    </row>
    <row r="1652" spans="1:13">
      <c r="A1652" s="72" t="s">
        <v>5734</v>
      </c>
      <c r="B1652" s="67">
        <v>30740494805</v>
      </c>
      <c r="C1652" s="72"/>
      <c r="D1652" s="69"/>
      <c r="E1652" s="9"/>
      <c r="F1652" s="25"/>
      <c r="G1652" s="70"/>
      <c r="H1652" s="9"/>
      <c r="I1652" s="8"/>
      <c r="J1652" s="8"/>
      <c r="K1652" s="8"/>
      <c r="L1652" s="8"/>
      <c r="M1652" s="8"/>
    </row>
    <row r="1653" spans="1:13">
      <c r="A1653" s="72" t="s">
        <v>5735</v>
      </c>
      <c r="B1653" s="67">
        <v>16416601800</v>
      </c>
      <c r="C1653" s="72" t="s">
        <v>5736</v>
      </c>
      <c r="D1653" s="69">
        <v>6573656881</v>
      </c>
      <c r="E1653" s="9"/>
      <c r="F1653" s="25"/>
      <c r="G1653" s="70"/>
      <c r="H1653" s="9"/>
      <c r="I1653" s="8"/>
      <c r="J1653" s="8"/>
      <c r="K1653" s="8"/>
      <c r="L1653" s="8"/>
      <c r="M1653" s="8"/>
    </row>
    <row r="1654" spans="1:13">
      <c r="A1654" s="15" t="s">
        <v>5737</v>
      </c>
      <c r="B1654" s="67">
        <v>36407820898</v>
      </c>
      <c r="C1654" s="72"/>
      <c r="D1654" s="69"/>
      <c r="E1654" s="9"/>
      <c r="F1654" s="25"/>
      <c r="G1654" s="70"/>
      <c r="H1654" s="9"/>
      <c r="I1654" s="8"/>
      <c r="J1654" s="8"/>
      <c r="K1654" s="8"/>
      <c r="L1654" s="8"/>
      <c r="M1654" s="8"/>
    </row>
    <row r="1655" spans="1:13">
      <c r="A1655" s="71" t="s">
        <v>5738</v>
      </c>
      <c r="B1655" s="67">
        <v>33443830862</v>
      </c>
      <c r="C1655" s="72"/>
      <c r="D1655" s="69"/>
      <c r="E1655" s="9">
        <v>1752</v>
      </c>
      <c r="F1655" s="25">
        <v>43051</v>
      </c>
      <c r="G1655" s="70" t="s">
        <v>3356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5739</v>
      </c>
      <c r="B1656" s="67">
        <v>6595999617</v>
      </c>
      <c r="C1656" s="68" t="s">
        <v>5740</v>
      </c>
      <c r="D1656" s="69">
        <v>9929242430</v>
      </c>
      <c r="E1656" s="9">
        <v>1128</v>
      </c>
      <c r="F1656" s="25">
        <v>42972</v>
      </c>
      <c r="G1656" s="70" t="s">
        <v>3356</v>
      </c>
      <c r="H1656" s="9"/>
      <c r="I1656" s="8"/>
      <c r="J1656" s="8"/>
      <c r="K1656" s="8"/>
      <c r="L1656" s="8"/>
      <c r="M1656" s="8"/>
    </row>
    <row r="1657" spans="1:13">
      <c r="A1657" s="71" t="s">
        <v>5741</v>
      </c>
      <c r="B1657" s="67">
        <v>29886029803</v>
      </c>
      <c r="C1657" s="72"/>
      <c r="D1657" s="69"/>
      <c r="E1657" s="9">
        <v>292</v>
      </c>
      <c r="F1657" s="25">
        <v>43168</v>
      </c>
      <c r="G1657" s="70" t="s">
        <v>3356</v>
      </c>
      <c r="H1657" s="9"/>
      <c r="I1657" s="8"/>
      <c r="J1657" s="8"/>
      <c r="K1657" s="8"/>
      <c r="L1657" s="9">
        <v>318</v>
      </c>
      <c r="M1657" s="8"/>
    </row>
    <row r="1658" spans="1:13">
      <c r="A1658" s="71" t="s">
        <v>5742</v>
      </c>
      <c r="B1658" s="67">
        <v>23766323822</v>
      </c>
      <c r="C1658" s="68"/>
      <c r="D1658" s="69"/>
      <c r="E1658" s="9"/>
      <c r="F1658" s="25"/>
      <c r="G1658" s="70"/>
      <c r="H1658" s="9"/>
      <c r="I1658" s="8"/>
      <c r="J1658" s="8"/>
      <c r="K1658" s="8"/>
      <c r="L1658" s="8"/>
      <c r="M1658" s="8"/>
    </row>
    <row r="1659" spans="1:13">
      <c r="A1659" s="71" t="s">
        <v>5743</v>
      </c>
      <c r="B1659" s="67">
        <v>28785359874</v>
      </c>
      <c r="C1659" s="72" t="s">
        <v>5744</v>
      </c>
      <c r="D1659" s="69">
        <v>17804545894</v>
      </c>
      <c r="E1659" s="9">
        <v>443</v>
      </c>
      <c r="F1659" s="25">
        <v>43188</v>
      </c>
      <c r="G1659" s="70"/>
      <c r="H1659" s="9"/>
      <c r="I1659" s="8"/>
      <c r="J1659" s="8"/>
      <c r="K1659" s="8"/>
      <c r="L1659" s="8"/>
      <c r="M1659" s="8"/>
    </row>
    <row r="1660" spans="1:13">
      <c r="A1660" s="71" t="s">
        <v>5745</v>
      </c>
      <c r="B1660" s="67">
        <v>36460261890</v>
      </c>
      <c r="C1660" s="72" t="s">
        <v>5746</v>
      </c>
      <c r="D1660" s="69">
        <v>7468402841</v>
      </c>
      <c r="E1660" s="9">
        <v>608</v>
      </c>
      <c r="F1660" s="25">
        <v>43012</v>
      </c>
      <c r="G1660" s="70" t="s">
        <v>3356</v>
      </c>
      <c r="H1660" s="9"/>
      <c r="I1660" s="8"/>
      <c r="J1660" s="8"/>
      <c r="K1660" s="8"/>
      <c r="L1660" s="8"/>
      <c r="M1660" s="8"/>
    </row>
    <row r="1661" spans="1:13">
      <c r="A1661" s="15" t="s">
        <v>5747</v>
      </c>
      <c r="B1661" s="67">
        <v>10859877442</v>
      </c>
      <c r="C1661" s="72"/>
      <c r="D1661" s="69"/>
      <c r="E1661" s="9">
        <v>262</v>
      </c>
      <c r="F1661" s="25">
        <v>43160</v>
      </c>
      <c r="G1661" s="70" t="s">
        <v>3356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71" t="s">
        <v>5748</v>
      </c>
      <c r="B1662" s="67">
        <v>26206257851</v>
      </c>
      <c r="C1662" s="72"/>
      <c r="D1662" s="69"/>
      <c r="E1662" s="9">
        <v>85</v>
      </c>
      <c r="F1662" s="25">
        <v>43109</v>
      </c>
      <c r="G1662" s="70" t="s">
        <v>3356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5749</v>
      </c>
      <c r="B1663" s="67">
        <v>34385358826</v>
      </c>
      <c r="C1663" s="72" t="s">
        <v>5750</v>
      </c>
      <c r="D1663" s="69">
        <v>90930843487</v>
      </c>
      <c r="E1663" s="9"/>
      <c r="F1663" s="25"/>
      <c r="G1663" s="70"/>
      <c r="H1663" s="9"/>
      <c r="I1663" s="8"/>
      <c r="J1663" s="8"/>
      <c r="K1663" s="8"/>
      <c r="L1663" s="8"/>
      <c r="M1663" s="8"/>
    </row>
    <row r="1664" spans="1:13">
      <c r="A1664" s="71" t="s">
        <v>5751</v>
      </c>
      <c r="B1664" s="67">
        <v>24820428870</v>
      </c>
      <c r="C1664" s="72" t="s">
        <v>5752</v>
      </c>
      <c r="D1664" s="69">
        <v>22012255833</v>
      </c>
      <c r="E1664" s="9">
        <v>1417</v>
      </c>
      <c r="F1664" s="25">
        <v>43017</v>
      </c>
      <c r="G1664" s="70" t="s">
        <v>3356</v>
      </c>
      <c r="H1664" s="9"/>
      <c r="I1664" s="8"/>
      <c r="J1664" s="8"/>
      <c r="K1664" s="8"/>
      <c r="L1664" s="9" t="s">
        <v>3590</v>
      </c>
      <c r="M1664" s="8"/>
    </row>
    <row r="1665" spans="1:13">
      <c r="A1665" s="29" t="s">
        <v>5753</v>
      </c>
      <c r="B1665" s="67">
        <v>31148609822</v>
      </c>
      <c r="C1665" s="29" t="s">
        <v>5754</v>
      </c>
      <c r="D1665" s="69">
        <v>38179704807</v>
      </c>
      <c r="E1665" s="9"/>
      <c r="F1665" s="25"/>
      <c r="G1665" s="70"/>
      <c r="H1665" s="9"/>
      <c r="I1665" s="8"/>
      <c r="J1665" s="8"/>
      <c r="K1665" s="8"/>
      <c r="L1665" s="8"/>
      <c r="M1665" s="8"/>
    </row>
    <row r="1666" spans="1:13">
      <c r="A1666" s="71" t="s">
        <v>5755</v>
      </c>
      <c r="B1666" s="67">
        <v>33996438885</v>
      </c>
      <c r="C1666" s="72"/>
      <c r="D1666" s="69"/>
      <c r="E1666" s="9">
        <v>117</v>
      </c>
      <c r="F1666" s="25">
        <v>43117</v>
      </c>
      <c r="G1666" s="70" t="s">
        <v>3370</v>
      </c>
      <c r="H1666" s="9"/>
      <c r="I1666" s="8"/>
      <c r="J1666" s="8"/>
      <c r="K1666" s="8"/>
      <c r="L1666" s="9" t="s">
        <v>3507</v>
      </c>
      <c r="M1666" s="8"/>
    </row>
    <row r="1667" spans="1:13">
      <c r="A1667" s="14" t="s">
        <v>5756</v>
      </c>
      <c r="B1667" s="67">
        <v>38661599865</v>
      </c>
      <c r="C1667" s="72"/>
      <c r="D1667" s="69"/>
      <c r="E1667" s="9"/>
      <c r="F1667" s="25"/>
      <c r="G1667" s="70"/>
      <c r="H1667" s="9"/>
      <c r="I1667" s="8"/>
      <c r="J1667" s="8"/>
      <c r="K1667" s="8"/>
      <c r="L1667" s="8"/>
      <c r="M1667" s="8"/>
    </row>
    <row r="1668" spans="1:13">
      <c r="A1668" s="71" t="s">
        <v>5756</v>
      </c>
      <c r="B1668" s="67">
        <v>22903913870</v>
      </c>
      <c r="C1668" s="72"/>
      <c r="D1668" s="69"/>
      <c r="E1668" s="9">
        <v>262</v>
      </c>
      <c r="F1668" s="25">
        <v>43160</v>
      </c>
      <c r="G1668" s="70" t="s">
        <v>3356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5757</v>
      </c>
      <c r="B1669" s="67">
        <v>44772896856</v>
      </c>
      <c r="C1669" s="72" t="s">
        <v>5758</v>
      </c>
      <c r="D1669" s="69">
        <v>39313729873</v>
      </c>
      <c r="E1669" s="9">
        <v>117</v>
      </c>
      <c r="F1669" s="25">
        <v>43117</v>
      </c>
      <c r="G1669" s="70" t="s">
        <v>3356</v>
      </c>
      <c r="H1669" s="9"/>
      <c r="I1669" s="8"/>
      <c r="J1669" s="8"/>
      <c r="K1669" s="8"/>
      <c r="L1669" s="9" t="s">
        <v>3507</v>
      </c>
      <c r="M1669" s="8"/>
    </row>
    <row r="1670" spans="1:13">
      <c r="A1670" s="29" t="s">
        <v>5759</v>
      </c>
      <c r="B1670" s="67">
        <v>28501359840</v>
      </c>
      <c r="C1670" s="29" t="s">
        <v>5760</v>
      </c>
      <c r="D1670" s="69">
        <v>30604533810</v>
      </c>
      <c r="E1670" s="9"/>
      <c r="F1670" s="25"/>
      <c r="G1670" s="70"/>
      <c r="H1670" s="9"/>
      <c r="I1670" s="8"/>
      <c r="J1670" s="8"/>
      <c r="K1670" s="8"/>
      <c r="L1670" s="8"/>
      <c r="M1670" s="8"/>
    </row>
    <row r="1671" spans="1:13">
      <c r="A1671" s="71" t="s">
        <v>5761</v>
      </c>
      <c r="B1671" s="67">
        <v>26374706315</v>
      </c>
      <c r="C1671" s="72"/>
      <c r="D1671" s="69"/>
      <c r="E1671" s="9"/>
      <c r="F1671" s="25"/>
      <c r="G1671" s="70"/>
      <c r="H1671" s="9"/>
      <c r="I1671" s="8"/>
      <c r="J1671" s="8"/>
      <c r="K1671" s="8"/>
      <c r="L1671" s="8"/>
      <c r="M1671" s="8"/>
    </row>
    <row r="1672" spans="1:13">
      <c r="A1672" s="71" t="s">
        <v>5762</v>
      </c>
      <c r="B1672" s="67">
        <v>30131142828</v>
      </c>
      <c r="C1672" s="77" t="s">
        <v>5763</v>
      </c>
      <c r="D1672" s="69">
        <v>58958843420</v>
      </c>
      <c r="E1672" s="9"/>
      <c r="F1672" s="25"/>
      <c r="G1672" s="70"/>
      <c r="H1672" s="9"/>
      <c r="I1672" s="8"/>
      <c r="J1672" s="8"/>
      <c r="K1672" s="8"/>
      <c r="L1672" s="8"/>
      <c r="M1672" s="8"/>
    </row>
    <row r="1673" spans="1:13">
      <c r="A1673" s="29" t="s">
        <v>5764</v>
      </c>
      <c r="B1673" s="67"/>
      <c r="C1673" s="29" t="s">
        <v>3466</v>
      </c>
      <c r="D1673" s="69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71" t="s">
        <v>5765</v>
      </c>
      <c r="B1674" s="67">
        <v>22397188899</v>
      </c>
      <c r="C1674" s="72"/>
      <c r="D1674" s="69"/>
      <c r="E1674" s="9">
        <v>1350</v>
      </c>
      <c r="F1674" s="25">
        <v>43006</v>
      </c>
      <c r="G1674" s="70" t="s">
        <v>3356</v>
      </c>
      <c r="H1674" s="9"/>
      <c r="I1674" s="8"/>
      <c r="J1674" s="8"/>
      <c r="K1674" s="8"/>
      <c r="L1674" s="8"/>
      <c r="M1674" s="8"/>
    </row>
    <row r="1675" spans="1:13">
      <c r="A1675" s="15" t="s">
        <v>5766</v>
      </c>
      <c r="B1675" s="67">
        <v>2090045507</v>
      </c>
      <c r="C1675" s="72"/>
      <c r="D1675" s="69"/>
      <c r="E1675" s="9">
        <v>229</v>
      </c>
      <c r="F1675" s="25">
        <v>43151</v>
      </c>
      <c r="G1675" s="70" t="s">
        <v>3356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5767</v>
      </c>
      <c r="B1676" s="67">
        <v>31420205862</v>
      </c>
      <c r="C1676" s="72"/>
      <c r="D1676" s="69"/>
      <c r="E1676" s="9">
        <v>262</v>
      </c>
      <c r="F1676" s="25">
        <v>43160</v>
      </c>
      <c r="G1676" s="70" t="s">
        <v>3356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71" t="s">
        <v>5768</v>
      </c>
      <c r="B1677" s="67">
        <v>78689619372</v>
      </c>
      <c r="C1677" s="72"/>
      <c r="D1677" s="69"/>
      <c r="E1677" s="9">
        <v>262</v>
      </c>
      <c r="F1677" s="25">
        <v>43160</v>
      </c>
      <c r="G1677" s="9" t="s">
        <v>3356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9" t="s">
        <v>5769</v>
      </c>
      <c r="B1678" s="67">
        <v>30319988805</v>
      </c>
      <c r="C1678" s="29" t="s">
        <v>3466</v>
      </c>
      <c r="D1678" s="69"/>
      <c r="E1678" s="9"/>
      <c r="F1678" s="25"/>
      <c r="G1678" s="70"/>
      <c r="H1678" s="9"/>
      <c r="I1678" s="8"/>
      <c r="J1678" s="8"/>
      <c r="K1678" s="8"/>
      <c r="L1678" s="8"/>
      <c r="M1678" s="8"/>
    </row>
    <row r="1679" spans="1:13">
      <c r="A1679" s="71" t="s">
        <v>5770</v>
      </c>
      <c r="B1679" s="67">
        <v>30287548864</v>
      </c>
      <c r="C1679" s="72"/>
      <c r="D1679" s="69"/>
      <c r="E1679" s="9"/>
      <c r="F1679" s="25"/>
      <c r="G1679" s="70"/>
      <c r="H1679" s="9"/>
      <c r="I1679" s="8"/>
      <c r="J1679" s="8"/>
      <c r="K1679" s="8"/>
      <c r="L1679" s="8"/>
      <c r="M1679" s="8"/>
    </row>
    <row r="1680" spans="1:13">
      <c r="A1680" s="71" t="s">
        <v>5771</v>
      </c>
      <c r="B1680" s="67">
        <v>4430967830</v>
      </c>
      <c r="C1680" s="72"/>
      <c r="D1680" s="69"/>
      <c r="E1680" s="9">
        <v>262</v>
      </c>
      <c r="F1680" s="25">
        <v>43160</v>
      </c>
      <c r="G1680" s="70" t="s">
        <v>3356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71" t="s">
        <v>5772</v>
      </c>
      <c r="B1681" s="67">
        <v>1565236122</v>
      </c>
      <c r="C1681" s="72" t="s">
        <v>5773</v>
      </c>
      <c r="D1681" s="69">
        <v>218506589</v>
      </c>
      <c r="E1681" s="9">
        <v>1241</v>
      </c>
      <c r="F1681" s="25">
        <v>42992</v>
      </c>
      <c r="G1681" s="70" t="s">
        <v>3356</v>
      </c>
      <c r="H1681" s="9"/>
      <c r="I1681" s="8"/>
      <c r="J1681" s="8"/>
      <c r="K1681" s="8"/>
      <c r="L1681" s="8"/>
      <c r="M1681" s="8"/>
    </row>
    <row r="1682" spans="1:13">
      <c r="A1682" s="71" t="s">
        <v>5774</v>
      </c>
      <c r="B1682" s="67">
        <v>37938795852</v>
      </c>
      <c r="C1682" s="72"/>
      <c r="D1682" s="69"/>
      <c r="E1682" s="9"/>
      <c r="F1682" s="25"/>
      <c r="G1682" s="70"/>
      <c r="H1682" s="9"/>
      <c r="I1682" s="8"/>
      <c r="J1682" s="8"/>
      <c r="K1682" s="8"/>
      <c r="L1682" s="8"/>
      <c r="M1682" s="8"/>
    </row>
    <row r="1683" spans="1:13">
      <c r="A1683" s="71" t="s">
        <v>5775</v>
      </c>
      <c r="B1683" s="67">
        <v>31103425889</v>
      </c>
      <c r="C1683" s="72"/>
      <c r="D1683" s="69"/>
      <c r="E1683" s="9">
        <v>292</v>
      </c>
      <c r="F1683" s="25">
        <v>43168</v>
      </c>
      <c r="G1683" s="70" t="s">
        <v>3356</v>
      </c>
      <c r="H1683" s="9"/>
      <c r="I1683" s="8"/>
      <c r="J1683" s="8"/>
      <c r="K1683" s="8"/>
      <c r="L1683" s="9">
        <v>318</v>
      </c>
      <c r="M1683" s="8"/>
    </row>
    <row r="1684" spans="1:13">
      <c r="A1684" s="71" t="s">
        <v>5776</v>
      </c>
      <c r="B1684" s="67">
        <v>90944410391</v>
      </c>
      <c r="C1684" s="72"/>
      <c r="D1684" s="69"/>
      <c r="E1684" s="9">
        <v>443</v>
      </c>
      <c r="F1684" s="25">
        <v>43188</v>
      </c>
      <c r="G1684" s="70"/>
      <c r="H1684" s="9"/>
      <c r="I1684" s="8"/>
      <c r="J1684" s="8"/>
      <c r="K1684" s="8"/>
      <c r="L1684" s="8"/>
      <c r="M1684" s="8"/>
    </row>
    <row r="1685" spans="1:13">
      <c r="A1685" s="71" t="s">
        <v>5777</v>
      </c>
      <c r="B1685" s="67">
        <v>25789702899</v>
      </c>
      <c r="C1685" s="77"/>
      <c r="D1685" s="69"/>
      <c r="E1685" s="9"/>
      <c r="F1685" s="25"/>
      <c r="G1685" s="70"/>
      <c r="H1685" s="9"/>
      <c r="I1685" s="8"/>
      <c r="J1685" s="8"/>
      <c r="K1685" s="8"/>
      <c r="L1685" s="8"/>
      <c r="M1685" s="8"/>
    </row>
    <row r="1686" spans="1:13">
      <c r="A1686" s="14" t="s">
        <v>5778</v>
      </c>
      <c r="B1686" s="67">
        <v>28842233803</v>
      </c>
      <c r="C1686" s="72" t="s">
        <v>5779</v>
      </c>
      <c r="D1686" s="69">
        <v>39207708892</v>
      </c>
      <c r="E1686" s="9">
        <v>262</v>
      </c>
      <c r="F1686" s="25">
        <v>43160</v>
      </c>
      <c r="G1686" s="70" t="s">
        <v>3362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71" t="s">
        <v>5780</v>
      </c>
      <c r="B1687" s="67">
        <v>37035420800</v>
      </c>
      <c r="C1687" s="72"/>
      <c r="D1687" s="69"/>
      <c r="E1687" s="9">
        <v>810</v>
      </c>
      <c r="F1687" s="25">
        <v>42915</v>
      </c>
      <c r="G1687" s="70" t="s">
        <v>3356</v>
      </c>
      <c r="H1687" s="9"/>
      <c r="I1687" s="8"/>
      <c r="J1687" s="8"/>
      <c r="K1687" s="8"/>
      <c r="L1687" s="9" t="s">
        <v>3475</v>
      </c>
      <c r="M1687" s="8"/>
    </row>
    <row r="1688" spans="1:13">
      <c r="A1688" s="71" t="s">
        <v>5781</v>
      </c>
      <c r="B1688" s="67">
        <v>39111957883</v>
      </c>
      <c r="C1688" s="72" t="s">
        <v>5782</v>
      </c>
      <c r="D1688" s="69">
        <v>36018657856</v>
      </c>
      <c r="E1688" s="9">
        <v>573</v>
      </c>
      <c r="F1688" s="25">
        <v>43224</v>
      </c>
      <c r="G1688" s="70"/>
      <c r="H1688" s="9"/>
      <c r="I1688" s="8"/>
      <c r="J1688" s="8"/>
      <c r="K1688" s="8"/>
      <c r="L1688" s="8"/>
      <c r="M1688" s="8"/>
    </row>
    <row r="1689" spans="1:13">
      <c r="A1689" s="73" t="s">
        <v>5783</v>
      </c>
      <c r="B1689" s="67">
        <v>26763450877</v>
      </c>
      <c r="C1689" s="72" t="s">
        <v>5784</v>
      </c>
      <c r="D1689" s="69">
        <v>23405053803</v>
      </c>
      <c r="E1689" s="9">
        <v>292</v>
      </c>
      <c r="F1689" s="25">
        <v>43168</v>
      </c>
      <c r="G1689" s="70" t="s">
        <v>3356</v>
      </c>
      <c r="H1689" s="9"/>
      <c r="I1689" s="8"/>
      <c r="J1689" s="8"/>
      <c r="K1689" s="8"/>
      <c r="L1689" s="9">
        <v>318</v>
      </c>
      <c r="M1689" s="8"/>
    </row>
    <row r="1690" spans="1:13">
      <c r="A1690" s="71" t="s">
        <v>5785</v>
      </c>
      <c r="B1690" s="67">
        <v>12721944851</v>
      </c>
      <c r="C1690" s="72"/>
      <c r="D1690" s="69"/>
      <c r="E1690" s="9">
        <v>117</v>
      </c>
      <c r="F1690" s="25">
        <v>43117</v>
      </c>
      <c r="G1690" s="70" t="s">
        <v>3356</v>
      </c>
      <c r="H1690" s="9"/>
      <c r="I1690" s="8"/>
      <c r="J1690" s="8"/>
      <c r="K1690" s="8"/>
      <c r="L1690" s="9" t="s">
        <v>3507</v>
      </c>
      <c r="M1690" s="8"/>
    </row>
    <row r="1691" spans="1:13">
      <c r="A1691" s="29" t="s">
        <v>5786</v>
      </c>
      <c r="B1691" s="67">
        <v>41696411831</v>
      </c>
      <c r="C1691" s="29" t="s">
        <v>5787</v>
      </c>
      <c r="D1691" s="69">
        <v>8056204512</v>
      </c>
      <c r="E1691" s="9"/>
      <c r="F1691" s="25"/>
      <c r="G1691" s="70"/>
      <c r="H1691" s="9"/>
      <c r="I1691" s="8"/>
      <c r="J1691" s="8"/>
      <c r="K1691" s="8"/>
      <c r="L1691" s="8"/>
      <c r="M1691" s="8"/>
    </row>
    <row r="1692" spans="1:13">
      <c r="A1692" s="13" t="s">
        <v>5788</v>
      </c>
      <c r="B1692" s="67">
        <v>45396784857</v>
      </c>
      <c r="C1692" s="72"/>
      <c r="D1692" s="69"/>
      <c r="E1692" s="9">
        <v>527</v>
      </c>
      <c r="F1692" s="25">
        <v>43210</v>
      </c>
      <c r="G1692" s="70"/>
      <c r="H1692" s="9"/>
      <c r="I1692" s="8"/>
      <c r="J1692" s="8"/>
      <c r="K1692" s="8"/>
      <c r="L1692" s="9">
        <v>528</v>
      </c>
      <c r="M1692" s="8"/>
    </row>
    <row r="1693" spans="1:13">
      <c r="A1693" s="29" t="s">
        <v>5789</v>
      </c>
      <c r="B1693" s="67"/>
      <c r="C1693" s="18" t="s">
        <v>3466</v>
      </c>
      <c r="D1693" s="69"/>
      <c r="E1693" s="9"/>
      <c r="F1693" s="25"/>
      <c r="G1693" s="70"/>
      <c r="H1693" s="9"/>
      <c r="I1693" s="8"/>
      <c r="J1693" s="8"/>
      <c r="K1693" s="8"/>
      <c r="L1693" s="8"/>
      <c r="M1693" s="8"/>
    </row>
    <row r="1694" spans="1:13">
      <c r="A1694" s="72" t="s">
        <v>5790</v>
      </c>
      <c r="B1694" s="67">
        <v>8946062479</v>
      </c>
      <c r="C1694" s="15" t="s">
        <v>5791</v>
      </c>
      <c r="D1694" s="69">
        <v>9671165460</v>
      </c>
      <c r="E1694" s="9">
        <v>292</v>
      </c>
      <c r="F1694" s="25">
        <v>43168</v>
      </c>
      <c r="G1694" s="70" t="s">
        <v>3362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5792</v>
      </c>
      <c r="B1695" s="67">
        <v>20055855806</v>
      </c>
      <c r="C1695" s="72"/>
      <c r="D1695" s="69"/>
      <c r="E1695" s="9">
        <v>262</v>
      </c>
      <c r="F1695" s="25">
        <v>43160</v>
      </c>
      <c r="G1695" s="70" t="s">
        <v>3356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5793</v>
      </c>
      <c r="B1696" s="67">
        <v>39620038860</v>
      </c>
      <c r="C1696" s="72"/>
      <c r="D1696" s="69"/>
      <c r="E1696" s="9">
        <v>1570</v>
      </c>
      <c r="F1696" s="25">
        <v>43077</v>
      </c>
      <c r="G1696" s="70" t="s">
        <v>3356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9" t="s">
        <v>5794</v>
      </c>
      <c r="B1697" s="67"/>
      <c r="C1697" s="18" t="s">
        <v>3466</v>
      </c>
      <c r="D1697" s="69"/>
      <c r="E1697" s="9"/>
      <c r="F1697" s="25"/>
      <c r="G1697" s="70"/>
      <c r="H1697" s="9"/>
      <c r="I1697" s="8"/>
      <c r="J1697" s="8"/>
      <c r="K1697" s="8"/>
      <c r="L1697" s="8"/>
      <c r="M1697" s="8"/>
    </row>
    <row r="1698" spans="1:13">
      <c r="A1698" s="72" t="s">
        <v>5795</v>
      </c>
      <c r="B1698" s="67">
        <v>39738738873</v>
      </c>
      <c r="C1698" s="72"/>
      <c r="D1698" s="69"/>
      <c r="E1698" s="9">
        <v>1824</v>
      </c>
      <c r="F1698" s="25">
        <v>43091</v>
      </c>
      <c r="G1698" s="70" t="s">
        <v>3356</v>
      </c>
      <c r="H1698" s="9"/>
      <c r="I1698" s="8"/>
      <c r="J1698" s="8"/>
      <c r="K1698" s="8"/>
      <c r="L1698" s="9">
        <v>1828</v>
      </c>
      <c r="M1698" s="8"/>
    </row>
    <row r="1699" spans="1:13">
      <c r="A1699" s="71" t="s">
        <v>5796</v>
      </c>
      <c r="B1699" s="67">
        <v>32771773864</v>
      </c>
      <c r="C1699" s="77"/>
      <c r="D1699" s="69"/>
      <c r="E1699" s="9"/>
      <c r="F1699" s="25"/>
      <c r="G1699" s="70"/>
      <c r="H1699" s="9"/>
      <c r="I1699" s="8"/>
      <c r="J1699" s="8"/>
      <c r="K1699" s="8"/>
      <c r="L1699" s="8"/>
      <c r="M1699" s="8"/>
    </row>
    <row r="1700" spans="1:13">
      <c r="A1700" s="14" t="s">
        <v>5797</v>
      </c>
      <c r="B1700" s="67">
        <v>42101232855</v>
      </c>
      <c r="C1700" s="72"/>
      <c r="D1700" s="69"/>
      <c r="E1700" s="9"/>
      <c r="F1700" s="25"/>
      <c r="G1700" s="70"/>
      <c r="H1700" s="9"/>
      <c r="I1700" s="8"/>
      <c r="J1700" s="8"/>
      <c r="K1700" s="8"/>
      <c r="L1700" s="8"/>
      <c r="M1700" s="8"/>
    </row>
    <row r="1701" spans="1:13">
      <c r="A1701" s="71" t="s">
        <v>5798</v>
      </c>
      <c r="B1701" s="67">
        <v>89218655515</v>
      </c>
      <c r="C1701" s="77"/>
      <c r="D1701" s="69"/>
      <c r="E1701" s="9"/>
      <c r="F1701" s="25"/>
      <c r="G1701" s="70"/>
      <c r="H1701" s="9"/>
      <c r="I1701" s="8"/>
      <c r="J1701" s="8"/>
      <c r="K1701" s="8"/>
      <c r="L1701" s="8"/>
      <c r="M1701" s="8"/>
    </row>
    <row r="1702" spans="1:13">
      <c r="A1702" s="15" t="s">
        <v>5799</v>
      </c>
      <c r="B1702" s="67">
        <v>15395632867</v>
      </c>
      <c r="C1702" s="73"/>
      <c r="D1702" s="69"/>
      <c r="E1702" s="9"/>
      <c r="F1702" s="25"/>
      <c r="G1702" s="70"/>
      <c r="H1702" s="9"/>
      <c r="I1702" s="8"/>
      <c r="J1702" s="8"/>
      <c r="K1702" s="8"/>
      <c r="L1702" s="8"/>
      <c r="M1702" s="8"/>
    </row>
    <row r="1703" spans="1:13">
      <c r="A1703" s="71" t="s">
        <v>5800</v>
      </c>
      <c r="B1703" s="67">
        <v>17093063861</v>
      </c>
      <c r="C1703" s="72"/>
      <c r="D1703" s="69"/>
      <c r="E1703" s="9"/>
      <c r="F1703" s="25"/>
      <c r="G1703" s="70"/>
      <c r="H1703" s="9"/>
      <c r="I1703" s="8"/>
      <c r="J1703" s="8"/>
      <c r="K1703" s="8"/>
      <c r="L1703" s="8"/>
      <c r="M1703" s="8"/>
    </row>
    <row r="1704" spans="1:13">
      <c r="A1704" s="71" t="s">
        <v>5801</v>
      </c>
      <c r="B1704" s="78">
        <v>12978145846</v>
      </c>
      <c r="C1704" s="77"/>
      <c r="D1704" s="69"/>
      <c r="E1704" s="9"/>
      <c r="F1704" s="25"/>
      <c r="G1704" s="70"/>
      <c r="H1704" s="9"/>
      <c r="I1704" s="8"/>
      <c r="J1704" s="8"/>
      <c r="K1704" s="8"/>
      <c r="L1704" s="8"/>
      <c r="M1704" s="8"/>
    </row>
    <row r="1705" spans="1:13">
      <c r="A1705" s="16" t="s">
        <v>5802</v>
      </c>
      <c r="B1705" s="67">
        <v>65827619515</v>
      </c>
      <c r="C1705" s="73"/>
      <c r="D1705" s="69"/>
      <c r="E1705" s="9"/>
      <c r="F1705" s="25"/>
      <c r="G1705" s="70"/>
      <c r="H1705" s="9"/>
      <c r="I1705" s="8"/>
      <c r="J1705" s="8"/>
      <c r="K1705" s="8"/>
      <c r="L1705" s="8"/>
      <c r="M1705" s="8"/>
    </row>
    <row r="1706" spans="1:13">
      <c r="A1706" s="71" t="s">
        <v>5803</v>
      </c>
      <c r="B1706" s="67">
        <v>23431346855</v>
      </c>
      <c r="C1706" s="72"/>
      <c r="D1706" s="69"/>
      <c r="E1706" s="9">
        <v>292</v>
      </c>
      <c r="F1706" s="25">
        <v>43168</v>
      </c>
      <c r="G1706" s="70" t="s">
        <v>3356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5804</v>
      </c>
      <c r="B1707" s="67">
        <v>39163113287</v>
      </c>
      <c r="C1707" s="72"/>
      <c r="D1707" s="69"/>
      <c r="E1707" s="9">
        <v>1417</v>
      </c>
      <c r="F1707" s="25">
        <v>43017</v>
      </c>
      <c r="G1707" s="70" t="s">
        <v>3356</v>
      </c>
      <c r="H1707" s="9"/>
      <c r="I1707" s="8"/>
      <c r="J1707" s="8"/>
      <c r="K1707" s="8"/>
      <c r="L1707" s="9" t="s">
        <v>3590</v>
      </c>
      <c r="M1707" s="8"/>
    </row>
    <row r="1708" spans="1:13">
      <c r="A1708" s="13" t="s">
        <v>5805</v>
      </c>
      <c r="B1708" s="67">
        <v>26224953821</v>
      </c>
      <c r="C1708" s="72"/>
      <c r="D1708" s="69"/>
      <c r="E1708" s="9">
        <v>1350</v>
      </c>
      <c r="F1708" s="25">
        <v>43006</v>
      </c>
      <c r="G1708" s="70" t="s">
        <v>3356</v>
      </c>
      <c r="H1708" s="9"/>
      <c r="I1708" s="8"/>
      <c r="J1708" s="8"/>
      <c r="K1708" s="8"/>
      <c r="L1708" s="8"/>
      <c r="M1708" s="8"/>
    </row>
    <row r="1709" spans="1:13">
      <c r="A1709" s="71" t="s">
        <v>5806</v>
      </c>
      <c r="B1709" s="67">
        <v>36119678824</v>
      </c>
      <c r="C1709" s="72"/>
      <c r="D1709" s="69"/>
      <c r="E1709" s="9"/>
      <c r="F1709" s="25"/>
      <c r="G1709" s="70"/>
      <c r="H1709" s="9"/>
      <c r="I1709" s="8"/>
      <c r="J1709" s="8"/>
      <c r="K1709" s="8"/>
      <c r="L1709" s="8"/>
      <c r="M1709" s="8"/>
    </row>
    <row r="1710" spans="1:13">
      <c r="A1710" s="71" t="s">
        <v>5807</v>
      </c>
      <c r="B1710" s="67">
        <v>5864742856</v>
      </c>
      <c r="C1710" s="72"/>
      <c r="D1710" s="69"/>
      <c r="E1710" s="9"/>
      <c r="F1710" s="25"/>
      <c r="G1710" s="70"/>
      <c r="H1710" s="9"/>
      <c r="I1710" s="8"/>
      <c r="J1710" s="8"/>
      <c r="K1710" s="8"/>
      <c r="L1710" s="8"/>
      <c r="M1710" s="8"/>
    </row>
    <row r="1711" spans="1:13">
      <c r="A1711" s="29" t="s">
        <v>5808</v>
      </c>
      <c r="B1711" s="67"/>
      <c r="C1711" s="18" t="s">
        <v>3466</v>
      </c>
      <c r="D1711" s="69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5809</v>
      </c>
      <c r="B1712" s="67">
        <v>40248753886</v>
      </c>
      <c r="C1712" s="72"/>
      <c r="D1712" s="69"/>
      <c r="E1712" s="9">
        <v>117</v>
      </c>
      <c r="F1712" s="25">
        <v>43117</v>
      </c>
      <c r="G1712" s="70" t="s">
        <v>3356</v>
      </c>
      <c r="H1712" s="9"/>
      <c r="I1712" s="8"/>
      <c r="J1712" s="8"/>
      <c r="K1712" s="8"/>
      <c r="L1712" s="9" t="s">
        <v>3507</v>
      </c>
      <c r="M1712" s="8"/>
    </row>
    <row r="1713" spans="1:13">
      <c r="A1713" s="71" t="s">
        <v>5810</v>
      </c>
      <c r="B1713" s="67">
        <v>16365026870</v>
      </c>
      <c r="C1713" s="72"/>
      <c r="D1713" s="69"/>
      <c r="E1713" s="9">
        <v>292</v>
      </c>
      <c r="F1713" s="25">
        <v>43168</v>
      </c>
      <c r="G1713" s="70" t="s">
        <v>3356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5811</v>
      </c>
      <c r="B1714" s="67">
        <v>49555682895</v>
      </c>
      <c r="C1714" s="72"/>
      <c r="D1714" s="69"/>
      <c r="E1714" s="9">
        <v>262</v>
      </c>
      <c r="F1714" s="25">
        <v>43160</v>
      </c>
      <c r="G1714" s="70" t="s">
        <v>3356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71" t="s">
        <v>5812</v>
      </c>
      <c r="B1715" s="67">
        <v>8503067870</v>
      </c>
      <c r="C1715" s="77"/>
      <c r="D1715" s="69"/>
      <c r="E1715" s="9"/>
      <c r="F1715" s="25"/>
      <c r="G1715" s="70"/>
      <c r="H1715" s="9"/>
      <c r="I1715" s="8"/>
      <c r="J1715" s="8"/>
      <c r="K1715" s="8"/>
      <c r="L1715" s="8"/>
      <c r="M1715" s="8"/>
    </row>
    <row r="1716" spans="1:13">
      <c r="A1716" s="71" t="s">
        <v>5813</v>
      </c>
      <c r="B1716" s="67">
        <v>61415472491</v>
      </c>
      <c r="C1716" s="72"/>
      <c r="D1716" s="69"/>
      <c r="E1716" s="9">
        <v>810</v>
      </c>
      <c r="F1716" s="25">
        <v>42915</v>
      </c>
      <c r="G1716" s="70" t="s">
        <v>3356</v>
      </c>
      <c r="H1716" s="9"/>
      <c r="I1716" s="8"/>
      <c r="J1716" s="8"/>
      <c r="K1716" s="8"/>
      <c r="L1716" s="9" t="s">
        <v>3475</v>
      </c>
      <c r="M1716" s="8"/>
    </row>
    <row r="1717" spans="1:13">
      <c r="A1717" s="71" t="s">
        <v>5814</v>
      </c>
      <c r="B1717" s="67">
        <v>24572836809</v>
      </c>
      <c r="C1717" s="72"/>
      <c r="D1717" s="69"/>
      <c r="E1717" s="9"/>
      <c r="F1717" s="25"/>
      <c r="G1717" s="70"/>
      <c r="H1717" s="9"/>
      <c r="I1717" s="8"/>
      <c r="J1717" s="8"/>
      <c r="K1717" s="8"/>
      <c r="L1717" s="8"/>
      <c r="M1717" s="8"/>
    </row>
    <row r="1718" spans="1:13">
      <c r="A1718" s="71" t="s">
        <v>5815</v>
      </c>
      <c r="B1718" s="67">
        <v>26903961810</v>
      </c>
      <c r="C1718" s="72" t="s">
        <v>5816</v>
      </c>
      <c r="D1718" s="69">
        <v>40904229904</v>
      </c>
      <c r="E1718" s="9">
        <v>1555</v>
      </c>
      <c r="F1718" s="25">
        <v>43049</v>
      </c>
      <c r="G1718" s="70" t="s">
        <v>3356</v>
      </c>
      <c r="H1718" s="9"/>
      <c r="I1718" s="8"/>
      <c r="J1718" s="8"/>
      <c r="K1718" s="8"/>
      <c r="L1718" s="9" t="s">
        <v>3735</v>
      </c>
      <c r="M1718" s="8"/>
    </row>
    <row r="1719" spans="1:13">
      <c r="A1719" s="18" t="s">
        <v>5817</v>
      </c>
      <c r="B1719" s="67">
        <v>31611651875</v>
      </c>
      <c r="C1719" s="18" t="s">
        <v>5818</v>
      </c>
      <c r="D1719" s="69">
        <v>11316246884</v>
      </c>
      <c r="E1719" s="9"/>
      <c r="F1719" s="25"/>
      <c r="G1719" s="70"/>
      <c r="H1719" s="9"/>
      <c r="I1719" s="8"/>
      <c r="J1719" s="8"/>
      <c r="K1719" s="8"/>
      <c r="L1719" s="8"/>
      <c r="M1719" s="8"/>
    </row>
    <row r="1720" spans="1:13">
      <c r="A1720" s="72" t="s">
        <v>5819</v>
      </c>
      <c r="B1720" s="67">
        <v>4094535870</v>
      </c>
      <c r="C1720" s="72"/>
      <c r="D1720" s="69"/>
      <c r="E1720" s="9">
        <v>292</v>
      </c>
      <c r="F1720" s="25">
        <v>43168</v>
      </c>
      <c r="G1720" s="9" t="s">
        <v>3356</v>
      </c>
      <c r="H1720" s="9"/>
      <c r="I1720" s="8"/>
      <c r="J1720" s="8"/>
      <c r="K1720" s="8"/>
      <c r="L1720" s="9">
        <v>318</v>
      </c>
      <c r="M1720" s="8"/>
    </row>
    <row r="1721" spans="1:13">
      <c r="A1721" s="71" t="s">
        <v>5820</v>
      </c>
      <c r="B1721" s="67">
        <v>34613726840</v>
      </c>
      <c r="C1721" s="72"/>
      <c r="D1721" s="69"/>
      <c r="E1721" s="9">
        <v>485</v>
      </c>
      <c r="F1721" s="25">
        <v>43196</v>
      </c>
      <c r="G1721" s="70"/>
      <c r="H1721" s="9"/>
      <c r="I1721" s="8"/>
      <c r="J1721" s="8"/>
      <c r="K1721" s="8"/>
      <c r="L1721" s="9">
        <v>483</v>
      </c>
      <c r="M1721" s="8"/>
    </row>
    <row r="1722" spans="1:13">
      <c r="A1722" s="71" t="s">
        <v>5821</v>
      </c>
      <c r="B1722" s="67">
        <v>28003153859</v>
      </c>
      <c r="C1722" s="72"/>
      <c r="D1722" s="69"/>
      <c r="E1722" s="9">
        <v>262</v>
      </c>
      <c r="F1722" s="25">
        <v>43160</v>
      </c>
      <c r="G1722" s="70" t="s">
        <v>3356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71" t="s">
        <v>5822</v>
      </c>
      <c r="B1723" s="67">
        <v>29431116863</v>
      </c>
      <c r="C1723" s="72"/>
      <c r="D1723" s="69"/>
      <c r="E1723" s="9"/>
      <c r="F1723" s="25"/>
      <c r="G1723" s="70"/>
      <c r="H1723" s="9"/>
      <c r="I1723" s="8"/>
      <c r="J1723" s="8"/>
      <c r="K1723" s="8"/>
      <c r="L1723" s="8"/>
      <c r="M1723" s="8"/>
    </row>
    <row r="1724" spans="1:13">
      <c r="A1724" s="68" t="s">
        <v>5823</v>
      </c>
      <c r="B1724" s="69">
        <v>22580790802</v>
      </c>
      <c r="C1724" s="71" t="s">
        <v>5824</v>
      </c>
      <c r="D1724" s="67">
        <v>53588339515</v>
      </c>
      <c r="E1724" s="9">
        <v>443</v>
      </c>
      <c r="F1724" s="25">
        <v>43188</v>
      </c>
      <c r="G1724" s="70"/>
      <c r="H1724" s="9"/>
      <c r="I1724" s="8"/>
      <c r="J1724" s="8"/>
      <c r="K1724" s="8"/>
      <c r="L1724" s="8"/>
      <c r="M1724" s="8"/>
    </row>
    <row r="1725" spans="1:13">
      <c r="A1725" s="71" t="s">
        <v>5825</v>
      </c>
      <c r="B1725" s="67">
        <v>34693233803</v>
      </c>
      <c r="C1725" s="72"/>
      <c r="D1725" s="69"/>
      <c r="E1725" s="9">
        <v>443</v>
      </c>
      <c r="F1725" s="25">
        <v>43188</v>
      </c>
      <c r="G1725" s="70"/>
      <c r="H1725" s="9"/>
      <c r="I1725" s="8"/>
      <c r="J1725" s="8"/>
      <c r="K1725" s="8"/>
      <c r="L1725" s="8"/>
      <c r="M1725" s="8"/>
    </row>
    <row r="1726" spans="1:13">
      <c r="A1726" s="71" t="s">
        <v>5826</v>
      </c>
      <c r="B1726" s="67">
        <v>25572985813</v>
      </c>
      <c r="C1726" s="72"/>
      <c r="D1726" s="69"/>
      <c r="E1726" s="9"/>
      <c r="F1726" s="25"/>
      <c r="G1726" s="70"/>
      <c r="H1726" s="9"/>
      <c r="I1726" s="8"/>
      <c r="J1726" s="8"/>
      <c r="K1726" s="8"/>
      <c r="L1726" s="8"/>
      <c r="M1726" s="8"/>
    </row>
    <row r="1727" spans="1:13">
      <c r="A1727" s="72" t="s">
        <v>5827</v>
      </c>
      <c r="B1727" s="69">
        <v>88565386520</v>
      </c>
      <c r="C1727" s="15" t="s">
        <v>5828</v>
      </c>
      <c r="D1727" s="67">
        <v>15536946862</v>
      </c>
      <c r="E1727" s="9"/>
      <c r="F1727" s="25"/>
      <c r="G1727" s="70"/>
      <c r="H1727" s="9"/>
      <c r="I1727" s="8"/>
      <c r="J1727" s="8"/>
      <c r="K1727" s="8"/>
      <c r="L1727" s="8"/>
      <c r="M1727" s="8"/>
    </row>
    <row r="1728" spans="1:13">
      <c r="A1728" s="71" t="s">
        <v>5829</v>
      </c>
      <c r="B1728" s="67">
        <v>1147816565</v>
      </c>
      <c r="C1728" s="72" t="s">
        <v>5830</v>
      </c>
      <c r="D1728" s="69">
        <v>24692193883</v>
      </c>
      <c r="E1728" s="9">
        <v>262</v>
      </c>
      <c r="F1728" s="25">
        <v>43160</v>
      </c>
      <c r="G1728" s="70" t="s">
        <v>3356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71" t="s">
        <v>5831</v>
      </c>
      <c r="B1729" s="67">
        <v>39492391899</v>
      </c>
      <c r="C1729" s="72"/>
      <c r="D1729" s="69"/>
      <c r="E1729" s="9">
        <v>810</v>
      </c>
      <c r="F1729" s="25">
        <v>42915</v>
      </c>
      <c r="G1729" s="70" t="s">
        <v>3356</v>
      </c>
      <c r="H1729" s="9"/>
      <c r="I1729" s="8"/>
      <c r="J1729" s="8"/>
      <c r="K1729" s="8"/>
      <c r="L1729" s="9" t="s">
        <v>3475</v>
      </c>
      <c r="M1729" s="8"/>
    </row>
    <row r="1730" spans="1:13">
      <c r="A1730" s="14" t="s">
        <v>5832</v>
      </c>
      <c r="B1730" s="67">
        <v>7039189402</v>
      </c>
      <c r="C1730" s="72" t="s">
        <v>5833</v>
      </c>
      <c r="D1730" s="69">
        <v>5531291558</v>
      </c>
      <c r="E1730" s="9">
        <v>262</v>
      </c>
      <c r="F1730" s="25">
        <v>43160</v>
      </c>
      <c r="G1730" s="70" t="s">
        <v>3356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71" t="s">
        <v>5834</v>
      </c>
      <c r="B1731" s="67">
        <v>34602647804</v>
      </c>
      <c r="C1731" s="72" t="s">
        <v>5835</v>
      </c>
      <c r="D1731" s="69">
        <v>27640163870</v>
      </c>
      <c r="E1731" s="9">
        <v>229</v>
      </c>
      <c r="F1731" s="25">
        <v>43151</v>
      </c>
      <c r="G1731" s="70" t="s">
        <v>3356</v>
      </c>
      <c r="H1731" s="9"/>
      <c r="I1731" s="8"/>
      <c r="J1731" s="8"/>
      <c r="K1731" s="8"/>
      <c r="L1731" s="9">
        <v>232</v>
      </c>
      <c r="M1731" s="8"/>
    </row>
    <row r="1732" spans="1:13">
      <c r="A1732" s="71" t="s">
        <v>5836</v>
      </c>
      <c r="B1732" s="67">
        <v>33009445890</v>
      </c>
      <c r="C1732" s="72"/>
      <c r="D1732" s="69"/>
      <c r="E1732" s="9">
        <v>1214</v>
      </c>
      <c r="F1732" s="25">
        <v>42989</v>
      </c>
      <c r="G1732" s="70" t="s">
        <v>3356</v>
      </c>
      <c r="H1732" s="9"/>
      <c r="I1732" s="8"/>
      <c r="J1732" s="8"/>
      <c r="K1732" s="8"/>
      <c r="L1732" s="8"/>
      <c r="M1732" s="8"/>
    </row>
    <row r="1733" spans="1:13">
      <c r="A1733" s="71" t="s">
        <v>5837</v>
      </c>
      <c r="B1733" s="67">
        <v>34017736823</v>
      </c>
      <c r="C1733" s="72"/>
      <c r="D1733" s="69"/>
      <c r="E1733" s="9">
        <v>1439</v>
      </c>
      <c r="F1733" s="25">
        <v>43025</v>
      </c>
      <c r="G1733" s="70" t="s">
        <v>3356</v>
      </c>
      <c r="H1733" s="9"/>
      <c r="I1733" s="8"/>
      <c r="J1733" s="8"/>
      <c r="K1733" s="8"/>
      <c r="L1733" s="9" t="s">
        <v>3838</v>
      </c>
      <c r="M1733" s="8"/>
    </row>
    <row r="1734" spans="1:13">
      <c r="A1734" s="71" t="s">
        <v>5838</v>
      </c>
      <c r="B1734" s="67">
        <v>4656282570</v>
      </c>
      <c r="C1734" s="72" t="s">
        <v>5839</v>
      </c>
      <c r="D1734" s="69">
        <v>85025780578</v>
      </c>
      <c r="E1734" s="9">
        <v>85</v>
      </c>
      <c r="F1734" s="25">
        <v>43109</v>
      </c>
      <c r="G1734" s="70" t="s">
        <v>3356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5840</v>
      </c>
      <c r="B1735" s="67">
        <v>31182576877</v>
      </c>
      <c r="C1735" s="72"/>
      <c r="D1735" s="69"/>
      <c r="E1735" s="9"/>
      <c r="F1735" s="25"/>
      <c r="G1735" s="70"/>
      <c r="H1735" s="9"/>
      <c r="I1735" s="8"/>
      <c r="J1735" s="8"/>
      <c r="K1735" s="8"/>
      <c r="L1735" s="8"/>
      <c r="M1735" s="8"/>
    </row>
    <row r="1736" spans="1:13">
      <c r="A1736" s="15" t="s">
        <v>5841</v>
      </c>
      <c r="B1736" s="67">
        <v>44808773805</v>
      </c>
      <c r="C1736" s="72" t="s">
        <v>5842</v>
      </c>
      <c r="D1736" s="69">
        <v>38019169873</v>
      </c>
      <c r="E1736" s="9"/>
      <c r="F1736" s="25"/>
      <c r="G1736" s="70"/>
      <c r="H1736" s="9"/>
      <c r="I1736" s="8"/>
      <c r="J1736" s="8"/>
      <c r="K1736" s="8"/>
      <c r="L1736" s="8"/>
      <c r="M1736" s="8"/>
    </row>
    <row r="1737" spans="1:13">
      <c r="A1737" s="15" t="s">
        <v>5843</v>
      </c>
      <c r="B1737" s="67">
        <v>37051128809</v>
      </c>
      <c r="C1737" s="72"/>
      <c r="D1737" s="69"/>
      <c r="E1737" s="9">
        <v>85</v>
      </c>
      <c r="F1737" s="25">
        <v>43109</v>
      </c>
      <c r="G1737" s="70" t="s">
        <v>3356</v>
      </c>
      <c r="H1737" s="25">
        <v>43151</v>
      </c>
      <c r="I1737" s="8"/>
      <c r="J1737" s="8"/>
      <c r="K1737" s="8"/>
      <c r="L1737" s="8"/>
      <c r="M1737" s="8"/>
    </row>
    <row r="1738" spans="1:13">
      <c r="A1738" s="71" t="s">
        <v>5844</v>
      </c>
      <c r="B1738" s="67">
        <v>6957684504</v>
      </c>
      <c r="C1738" s="72"/>
      <c r="D1738" s="69"/>
      <c r="E1738" s="9"/>
      <c r="F1738" s="25"/>
      <c r="G1738" s="70"/>
      <c r="H1738" s="9"/>
      <c r="I1738" s="8"/>
      <c r="J1738" s="8"/>
      <c r="K1738" s="8"/>
      <c r="L1738" s="8"/>
      <c r="M1738" s="8"/>
    </row>
    <row r="1739" spans="1:13">
      <c r="A1739" s="71" t="s">
        <v>5845</v>
      </c>
      <c r="B1739" s="67">
        <v>29541097855</v>
      </c>
      <c r="C1739" s="72"/>
      <c r="D1739" s="69"/>
      <c r="E1739" s="9">
        <v>810</v>
      </c>
      <c r="F1739" s="25">
        <v>42915</v>
      </c>
      <c r="G1739" s="70" t="s">
        <v>3356</v>
      </c>
      <c r="H1739" s="9"/>
      <c r="I1739" s="8"/>
      <c r="J1739" s="8"/>
      <c r="K1739" s="8"/>
      <c r="L1739" s="9" t="s">
        <v>3475</v>
      </c>
      <c r="M1739" s="8"/>
    </row>
    <row r="1740" spans="1:13">
      <c r="A1740" s="71" t="s">
        <v>5846</v>
      </c>
      <c r="B1740" s="67">
        <v>27582519817</v>
      </c>
      <c r="C1740" s="72"/>
      <c r="D1740" s="69"/>
      <c r="E1740" s="9">
        <v>1417</v>
      </c>
      <c r="F1740" s="25">
        <v>43017</v>
      </c>
      <c r="G1740" s="70" t="s">
        <v>3370</v>
      </c>
      <c r="H1740" s="9"/>
      <c r="I1740" s="8"/>
      <c r="J1740" s="8"/>
      <c r="K1740" s="8"/>
      <c r="L1740" s="9" t="s">
        <v>3590</v>
      </c>
      <c r="M1740" s="8"/>
    </row>
    <row r="1741" spans="1:13">
      <c r="A1741" s="15" t="s">
        <v>5847</v>
      </c>
      <c r="B1741" s="67">
        <v>2780331569</v>
      </c>
      <c r="C1741" s="72"/>
      <c r="D1741" s="69"/>
      <c r="E1741" s="9">
        <v>292</v>
      </c>
      <c r="F1741" s="25">
        <v>43168</v>
      </c>
      <c r="G1741" s="70" t="s">
        <v>3356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5848</v>
      </c>
      <c r="B1742" s="67"/>
      <c r="C1742" s="18"/>
      <c r="D1742" s="69"/>
      <c r="E1742" s="9"/>
      <c r="F1742" s="25"/>
      <c r="G1742" s="70"/>
      <c r="H1742" s="9"/>
      <c r="I1742" s="8"/>
      <c r="J1742" s="8"/>
      <c r="K1742" s="8"/>
      <c r="L1742" s="8"/>
      <c r="M1742" s="8"/>
    </row>
    <row r="1743" spans="1:13">
      <c r="A1743" s="15" t="s">
        <v>5849</v>
      </c>
      <c r="B1743" s="67"/>
      <c r="C1743" s="72"/>
      <c r="D1743" s="69"/>
      <c r="E1743" s="9"/>
      <c r="F1743" s="25"/>
      <c r="G1743" s="70"/>
      <c r="H1743" s="9"/>
      <c r="I1743" s="8"/>
      <c r="J1743" s="8"/>
      <c r="K1743" s="8"/>
      <c r="L1743" s="8"/>
      <c r="M1743" s="8"/>
    </row>
    <row r="1744" spans="1:13">
      <c r="A1744" s="15" t="s">
        <v>5850</v>
      </c>
      <c r="B1744" s="67">
        <v>19129440491</v>
      </c>
      <c r="C1744" s="72" t="s">
        <v>5851</v>
      </c>
      <c r="D1744" s="69">
        <v>15303235840</v>
      </c>
      <c r="E1744" s="9"/>
      <c r="F1744" s="25"/>
      <c r="G1744" s="70"/>
      <c r="H1744" s="9"/>
      <c r="I1744" s="8"/>
      <c r="J1744" s="8"/>
      <c r="K1744" s="8"/>
      <c r="L1744" s="8"/>
      <c r="M1744" s="8"/>
    </row>
    <row r="1745" spans="1:13">
      <c r="A1745" s="13" t="s">
        <v>5852</v>
      </c>
      <c r="B1745" s="67">
        <v>25400494862</v>
      </c>
      <c r="C1745" s="68"/>
      <c r="D1745" s="69"/>
      <c r="E1745" s="9">
        <v>1241</v>
      </c>
      <c r="F1745" s="25">
        <v>42992</v>
      </c>
      <c r="G1745" s="70" t="s">
        <v>3356</v>
      </c>
      <c r="H1745" s="9"/>
      <c r="I1745" s="8"/>
      <c r="J1745" s="8"/>
      <c r="K1745" s="8"/>
      <c r="L1745" s="8"/>
      <c r="M1745" s="8"/>
    </row>
    <row r="1746" spans="1:13">
      <c r="A1746" s="71" t="s">
        <v>5853</v>
      </c>
      <c r="B1746" s="67">
        <v>817284842</v>
      </c>
      <c r="C1746" s="72"/>
      <c r="D1746" s="69"/>
      <c r="E1746" s="9">
        <v>1214</v>
      </c>
      <c r="F1746" s="25">
        <v>42989</v>
      </c>
      <c r="G1746" s="70" t="s">
        <v>3356</v>
      </c>
      <c r="H1746" s="9"/>
      <c r="I1746" s="8"/>
      <c r="J1746" s="8"/>
      <c r="K1746" s="8"/>
      <c r="L1746" s="8"/>
      <c r="M1746" s="8"/>
    </row>
    <row r="1747" spans="1:13">
      <c r="A1747" s="15" t="s">
        <v>5854</v>
      </c>
      <c r="B1747" s="67">
        <v>27848226808</v>
      </c>
      <c r="C1747" s="72"/>
      <c r="D1747" s="69"/>
      <c r="E1747" s="9">
        <v>85</v>
      </c>
      <c r="F1747" s="25">
        <v>43109</v>
      </c>
      <c r="G1747" s="70" t="s">
        <v>3356</v>
      </c>
      <c r="H1747" s="25">
        <v>43151</v>
      </c>
      <c r="I1747" s="8"/>
      <c r="J1747" s="8"/>
      <c r="K1747" s="8"/>
      <c r="L1747" s="8"/>
      <c r="M1747" s="8"/>
    </row>
    <row r="1748" spans="1:13">
      <c r="A1748" s="71" t="s">
        <v>5855</v>
      </c>
      <c r="B1748" s="67">
        <v>468447598</v>
      </c>
      <c r="C1748" s="72"/>
      <c r="D1748" s="69"/>
      <c r="E1748" s="9">
        <v>1555</v>
      </c>
      <c r="F1748" s="25">
        <v>43049</v>
      </c>
      <c r="G1748" s="70" t="s">
        <v>3356</v>
      </c>
      <c r="H1748" s="9"/>
      <c r="I1748" s="8"/>
      <c r="J1748" s="8"/>
      <c r="K1748" s="8"/>
      <c r="L1748" s="9" t="s">
        <v>3735</v>
      </c>
      <c r="M1748" s="8"/>
    </row>
    <row r="1749" spans="1:13">
      <c r="A1749" s="13" t="s">
        <v>5856</v>
      </c>
      <c r="B1749" s="67">
        <v>34064745515</v>
      </c>
      <c r="C1749" s="72"/>
      <c r="D1749" s="69"/>
      <c r="E1749" s="9">
        <v>1350</v>
      </c>
      <c r="F1749" s="25">
        <v>43006</v>
      </c>
      <c r="G1749" s="70" t="s">
        <v>3356</v>
      </c>
      <c r="H1749" s="9"/>
      <c r="I1749" s="8"/>
      <c r="J1749" s="8"/>
      <c r="K1749" s="8"/>
      <c r="L1749" s="8"/>
      <c r="M1749" s="8"/>
    </row>
    <row r="1750" spans="1:13">
      <c r="A1750" s="71" t="s">
        <v>5857</v>
      </c>
      <c r="B1750" s="67">
        <v>84007427372</v>
      </c>
      <c r="C1750" s="68"/>
      <c r="D1750" s="69"/>
      <c r="E1750" s="9"/>
      <c r="F1750" s="25"/>
      <c r="G1750" s="70"/>
      <c r="H1750" s="9"/>
      <c r="I1750" s="8"/>
      <c r="J1750" s="8"/>
      <c r="K1750" s="8"/>
      <c r="L1750" s="8"/>
      <c r="M1750" s="8"/>
    </row>
    <row r="1751" spans="1:13">
      <c r="A1751" s="71" t="s">
        <v>5858</v>
      </c>
      <c r="B1751" s="67">
        <v>37846343890</v>
      </c>
      <c r="C1751" s="72"/>
      <c r="D1751" s="69"/>
      <c r="E1751" s="9">
        <v>85</v>
      </c>
      <c r="F1751" s="25">
        <v>43109</v>
      </c>
      <c r="G1751" s="70" t="s">
        <v>3356</v>
      </c>
      <c r="H1751" s="25">
        <v>43151</v>
      </c>
      <c r="I1751" s="8"/>
      <c r="J1751" s="8"/>
      <c r="K1751" s="8"/>
      <c r="L1751" s="8"/>
      <c r="M1751" s="8"/>
    </row>
    <row r="1752" spans="1:13">
      <c r="A1752" s="71" t="s">
        <v>5859</v>
      </c>
      <c r="B1752" s="67">
        <v>15634351871</v>
      </c>
      <c r="C1752" s="72" t="s">
        <v>5860</v>
      </c>
      <c r="D1752" s="69">
        <v>31313403806</v>
      </c>
      <c r="E1752" s="9"/>
      <c r="F1752" s="25"/>
      <c r="G1752" s="70"/>
      <c r="H1752" s="9"/>
      <c r="I1752" s="8"/>
      <c r="J1752" s="8"/>
      <c r="K1752" s="8"/>
      <c r="L1752" s="8"/>
      <c r="M1752" s="8"/>
    </row>
    <row r="1753" spans="1:13">
      <c r="A1753" s="71" t="s">
        <v>5861</v>
      </c>
      <c r="B1753" s="67">
        <v>35994306835</v>
      </c>
      <c r="C1753" s="72" t="s">
        <v>5862</v>
      </c>
      <c r="D1753" s="69">
        <v>25021610880</v>
      </c>
      <c r="E1753" s="9">
        <v>262</v>
      </c>
      <c r="F1753" s="25">
        <v>43160</v>
      </c>
      <c r="G1753" s="70" t="s">
        <v>3356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71" t="s">
        <v>5863</v>
      </c>
      <c r="B1754" s="67">
        <v>31128170876</v>
      </c>
      <c r="C1754" s="72"/>
      <c r="D1754" s="69"/>
      <c r="E1754" s="9">
        <v>262</v>
      </c>
      <c r="F1754" s="25">
        <v>43160</v>
      </c>
      <c r="G1754" s="70" t="s">
        <v>3356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71" t="s">
        <v>5864</v>
      </c>
      <c r="B1755" s="67">
        <v>39748080862</v>
      </c>
      <c r="C1755" s="72"/>
      <c r="D1755" s="69"/>
      <c r="E1755" s="9"/>
      <c r="F1755" s="25"/>
      <c r="G1755" s="70"/>
      <c r="H1755" s="9"/>
      <c r="I1755" s="8"/>
      <c r="J1755" s="8"/>
      <c r="K1755" s="8"/>
      <c r="L1755" s="8"/>
      <c r="M1755" s="8"/>
    </row>
    <row r="1756" spans="1:13">
      <c r="A1756" s="29" t="s">
        <v>5865</v>
      </c>
      <c r="B1756" s="67">
        <v>32525046854</v>
      </c>
      <c r="C1756" s="29" t="s">
        <v>3466</v>
      </c>
      <c r="D1756" s="69"/>
      <c r="E1756" s="9"/>
      <c r="F1756" s="25"/>
      <c r="G1756" s="70"/>
      <c r="H1756" s="9"/>
      <c r="I1756" s="8"/>
      <c r="J1756" s="8"/>
      <c r="K1756" s="8"/>
      <c r="L1756" s="8"/>
      <c r="M1756" s="8"/>
    </row>
    <row r="1757" spans="1:13">
      <c r="A1757" s="71" t="s">
        <v>5866</v>
      </c>
      <c r="B1757" s="67">
        <v>23704553816</v>
      </c>
      <c r="C1757" s="77" t="s">
        <v>5867</v>
      </c>
      <c r="D1757" s="69">
        <v>35264792836</v>
      </c>
      <c r="E1757" s="9">
        <v>563</v>
      </c>
      <c r="F1757" s="25">
        <v>43217</v>
      </c>
      <c r="G1757" s="70"/>
      <c r="H1757" s="9"/>
      <c r="I1757" s="8"/>
      <c r="J1757" s="8"/>
      <c r="K1757" s="8"/>
      <c r="L1757" s="9" t="s">
        <v>3636</v>
      </c>
      <c r="M1757" s="8"/>
    </row>
    <row r="1758" spans="1:13">
      <c r="A1758" s="71" t="s">
        <v>5868</v>
      </c>
      <c r="B1758" s="67">
        <v>30931601894</v>
      </c>
      <c r="C1758" s="72"/>
      <c r="D1758" s="69"/>
      <c r="E1758" s="9">
        <v>292</v>
      </c>
      <c r="F1758" s="25">
        <v>43168</v>
      </c>
      <c r="G1758" s="9" t="s">
        <v>3356</v>
      </c>
      <c r="H1758" s="9"/>
      <c r="I1758" s="8"/>
      <c r="J1758" s="8"/>
      <c r="K1758" s="8"/>
      <c r="L1758" s="9">
        <v>318</v>
      </c>
      <c r="M1758" s="8"/>
    </row>
    <row r="1759" spans="1:13">
      <c r="A1759" s="71" t="s">
        <v>5869</v>
      </c>
      <c r="B1759" s="67">
        <v>3180351543</v>
      </c>
      <c r="C1759" s="72" t="s">
        <v>5870</v>
      </c>
      <c r="D1759" s="69">
        <v>38259838893</v>
      </c>
      <c r="E1759" s="9">
        <v>1752</v>
      </c>
      <c r="F1759" s="25">
        <v>43051</v>
      </c>
      <c r="G1759" s="70" t="s">
        <v>3356</v>
      </c>
      <c r="H1759" s="9"/>
      <c r="I1759" s="8"/>
      <c r="J1759" s="8"/>
      <c r="K1759" s="8"/>
      <c r="L1759" s="9">
        <v>1759</v>
      </c>
      <c r="M1759" s="8"/>
    </row>
    <row r="1760" spans="1:13">
      <c r="A1760" s="71" t="s">
        <v>5871</v>
      </c>
      <c r="B1760" s="67">
        <v>40849283809</v>
      </c>
      <c r="C1760" s="72"/>
      <c r="D1760" s="69"/>
      <c r="E1760" s="9">
        <v>810</v>
      </c>
      <c r="F1760" s="25">
        <v>42915</v>
      </c>
      <c r="G1760" s="70" t="s">
        <v>3356</v>
      </c>
      <c r="H1760" s="9"/>
      <c r="I1760" s="8"/>
      <c r="J1760" s="8"/>
      <c r="K1760" s="8"/>
      <c r="L1760" s="9" t="s">
        <v>3475</v>
      </c>
      <c r="M1760" s="8"/>
    </row>
    <row r="1761" spans="1:13">
      <c r="A1761" s="71" t="s">
        <v>5872</v>
      </c>
      <c r="B1761" s="67">
        <v>33096171572</v>
      </c>
      <c r="C1761" s="72"/>
      <c r="D1761" s="69"/>
      <c r="E1761" s="9">
        <v>1350</v>
      </c>
      <c r="F1761" s="25">
        <v>43006</v>
      </c>
      <c r="G1761" s="70" t="s">
        <v>3356</v>
      </c>
      <c r="H1761" s="9"/>
      <c r="I1761" s="8"/>
      <c r="J1761" s="8"/>
      <c r="K1761" s="8"/>
      <c r="L1761" s="8"/>
      <c r="M1761" s="8"/>
    </row>
    <row r="1762" spans="1:13">
      <c r="A1762" s="14" t="s">
        <v>5873</v>
      </c>
      <c r="B1762" s="67">
        <v>19184312807</v>
      </c>
      <c r="C1762" s="72"/>
      <c r="D1762" s="69"/>
      <c r="E1762" s="9">
        <v>443</v>
      </c>
      <c r="F1762" s="25">
        <v>43188</v>
      </c>
      <c r="G1762" s="70"/>
      <c r="H1762" s="9"/>
      <c r="I1762" s="8"/>
      <c r="J1762" s="8"/>
      <c r="K1762" s="8"/>
      <c r="L1762" s="8"/>
      <c r="M1762" s="8"/>
    </row>
    <row r="1763" spans="1:13">
      <c r="A1763" s="71" t="s">
        <v>5874</v>
      </c>
      <c r="B1763" s="67">
        <v>19187186870</v>
      </c>
      <c r="C1763" s="72"/>
      <c r="D1763" s="69"/>
      <c r="E1763" s="9">
        <v>262</v>
      </c>
      <c r="F1763" s="25">
        <v>43160</v>
      </c>
      <c r="G1763" s="70" t="s">
        <v>3356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71" t="s">
        <v>5875</v>
      </c>
      <c r="B1764" s="67">
        <v>34394080860</v>
      </c>
      <c r="C1764" s="72"/>
      <c r="D1764" s="69"/>
      <c r="E1764" s="9">
        <v>229</v>
      </c>
      <c r="F1764" s="25">
        <v>43151</v>
      </c>
      <c r="G1764" s="70" t="s">
        <v>3356</v>
      </c>
      <c r="H1764" s="9"/>
      <c r="I1764" s="8"/>
      <c r="J1764" s="8"/>
      <c r="K1764" s="8"/>
      <c r="L1764" s="9">
        <v>232</v>
      </c>
      <c r="M1764" s="8"/>
    </row>
    <row r="1765" spans="1:13">
      <c r="A1765" s="50" t="s">
        <v>5876</v>
      </c>
      <c r="B1765" s="80">
        <v>27034088896</v>
      </c>
      <c r="C1765" s="81" t="s">
        <v>5877</v>
      </c>
      <c r="D1765" s="82">
        <v>31801530831</v>
      </c>
      <c r="E1765" s="47">
        <v>1267</v>
      </c>
      <c r="F1765" s="48">
        <v>42998</v>
      </c>
      <c r="G1765" s="83" t="s">
        <v>3362</v>
      </c>
      <c r="H1765" s="47"/>
      <c r="I1765" s="49"/>
      <c r="J1765" s="49"/>
      <c r="K1765" s="49"/>
      <c r="L1765" s="49"/>
      <c r="M1765" s="49"/>
    </row>
    <row r="1766" spans="1:13">
      <c r="A1766" s="15" t="s">
        <v>5878</v>
      </c>
      <c r="B1766" s="67">
        <v>18033728850</v>
      </c>
      <c r="C1766" s="73"/>
      <c r="D1766" s="69"/>
      <c r="E1766" s="9"/>
      <c r="F1766" s="25"/>
      <c r="G1766" s="70"/>
      <c r="H1766" s="9"/>
      <c r="I1766" s="8"/>
      <c r="J1766" s="8"/>
      <c r="K1766" s="8"/>
      <c r="L1766" s="8"/>
      <c r="M1766" s="8"/>
    </row>
    <row r="1767" spans="1:13">
      <c r="A1767" s="18" t="s">
        <v>5879</v>
      </c>
      <c r="B1767" s="67">
        <v>47659857806</v>
      </c>
      <c r="C1767" s="18"/>
      <c r="D1767" s="69"/>
      <c r="E1767" s="9"/>
      <c r="F1767" s="25"/>
      <c r="G1767" s="70"/>
      <c r="H1767" s="9"/>
      <c r="I1767" s="8"/>
      <c r="J1767" s="8"/>
      <c r="K1767" s="8"/>
      <c r="L1767" s="8"/>
      <c r="M1767" s="8"/>
    </row>
    <row r="1768" spans="1:13">
      <c r="A1768" s="13" t="s">
        <v>5880</v>
      </c>
      <c r="B1768" s="67">
        <v>45916381387</v>
      </c>
      <c r="C1768" s="72"/>
      <c r="D1768" s="69"/>
      <c r="E1768" s="9">
        <v>1350</v>
      </c>
      <c r="F1768" s="25">
        <v>43006</v>
      </c>
      <c r="G1768" s="70" t="s">
        <v>3356</v>
      </c>
      <c r="H1768" s="9"/>
      <c r="I1768" s="8"/>
      <c r="J1768" s="8"/>
      <c r="K1768" s="8"/>
      <c r="L1768" s="8"/>
      <c r="M1768" s="8"/>
    </row>
    <row r="1769" spans="1:13">
      <c r="A1769" s="71" t="s">
        <v>5881</v>
      </c>
      <c r="B1769" s="67">
        <v>1926267877</v>
      </c>
      <c r="C1769" s="72"/>
      <c r="D1769" s="69"/>
      <c r="E1769" s="9">
        <v>292</v>
      </c>
      <c r="F1769" s="25">
        <v>43168</v>
      </c>
      <c r="G1769" s="70" t="s">
        <v>3356</v>
      </c>
      <c r="H1769" s="9"/>
      <c r="I1769" s="8"/>
      <c r="J1769" s="8"/>
      <c r="K1769" s="8"/>
      <c r="L1769" s="9">
        <v>318</v>
      </c>
      <c r="M1769" s="8"/>
    </row>
    <row r="1770" spans="1:13">
      <c r="A1770" s="71" t="s">
        <v>5882</v>
      </c>
      <c r="B1770" s="67">
        <v>13035980861</v>
      </c>
      <c r="C1770" s="72" t="s">
        <v>5883</v>
      </c>
      <c r="D1770" s="69">
        <v>60623608553</v>
      </c>
      <c r="E1770" s="9">
        <v>1752</v>
      </c>
      <c r="F1770" s="25">
        <v>43051</v>
      </c>
      <c r="G1770" s="70" t="s">
        <v>3356</v>
      </c>
      <c r="H1770" s="9"/>
      <c r="I1770" s="8"/>
      <c r="J1770" s="8"/>
      <c r="K1770" s="8"/>
      <c r="L1770" s="9">
        <v>1759</v>
      </c>
      <c r="M1770" s="8"/>
    </row>
    <row r="1771" spans="1:13">
      <c r="A1771" s="71" t="s">
        <v>5884</v>
      </c>
      <c r="B1771" s="67">
        <v>10748600809</v>
      </c>
      <c r="C1771" s="68"/>
      <c r="D1771" s="69"/>
      <c r="E1771" s="9"/>
      <c r="F1771" s="25"/>
      <c r="G1771" s="70"/>
      <c r="H1771" s="9"/>
      <c r="I1771" s="8"/>
      <c r="J1771" s="8"/>
      <c r="K1771" s="8"/>
      <c r="L1771" s="8"/>
      <c r="M1771" s="8"/>
    </row>
    <row r="1772" spans="1:13">
      <c r="A1772" s="71" t="s">
        <v>5885</v>
      </c>
      <c r="B1772" s="67">
        <v>32701346819</v>
      </c>
      <c r="C1772" s="72"/>
      <c r="D1772" s="69"/>
      <c r="E1772" s="9">
        <v>810</v>
      </c>
      <c r="F1772" s="25">
        <v>42915</v>
      </c>
      <c r="G1772" s="70" t="s">
        <v>3356</v>
      </c>
      <c r="H1772" s="9"/>
      <c r="I1772" s="8"/>
      <c r="J1772" s="8"/>
      <c r="K1772" s="8"/>
      <c r="L1772" s="9" t="s">
        <v>3475</v>
      </c>
      <c r="M1772" s="8"/>
    </row>
    <row r="1773" spans="1:13">
      <c r="A1773" s="29" t="s">
        <v>5886</v>
      </c>
      <c r="B1773" s="67">
        <v>7965453401</v>
      </c>
      <c r="C1773" s="29" t="s">
        <v>5887</v>
      </c>
      <c r="D1773" s="69">
        <v>9175781476</v>
      </c>
      <c r="E1773" s="9"/>
      <c r="F1773" s="25"/>
      <c r="G1773" s="70"/>
      <c r="H1773" s="9"/>
      <c r="I1773" s="8"/>
      <c r="J1773" s="8"/>
      <c r="K1773" s="8"/>
      <c r="L1773" s="8"/>
      <c r="M1773" s="8"/>
    </row>
    <row r="1774" spans="1:13">
      <c r="A1774" s="71" t="s">
        <v>5888</v>
      </c>
      <c r="B1774" s="67">
        <v>41601442840</v>
      </c>
      <c r="C1774" s="72"/>
      <c r="D1774" s="69"/>
      <c r="E1774" s="9">
        <v>1106</v>
      </c>
      <c r="F1774" s="25">
        <v>42965</v>
      </c>
      <c r="G1774" s="70" t="s">
        <v>3356</v>
      </c>
      <c r="H1774" s="9"/>
      <c r="I1774" s="8"/>
      <c r="J1774" s="8"/>
      <c r="K1774" s="8"/>
      <c r="L1774" s="8"/>
      <c r="M1774" s="8"/>
    </row>
    <row r="1775" spans="1:13">
      <c r="A1775" s="71" t="s">
        <v>5889</v>
      </c>
      <c r="B1775" s="67">
        <v>29335127850</v>
      </c>
      <c r="C1775" s="68" t="s">
        <v>5890</v>
      </c>
      <c r="D1775" s="69">
        <v>18384225877</v>
      </c>
      <c r="E1775" s="9">
        <v>1214</v>
      </c>
      <c r="F1775" s="25">
        <v>42989</v>
      </c>
      <c r="G1775" s="70" t="s">
        <v>3356</v>
      </c>
      <c r="H1775" s="9"/>
      <c r="I1775" s="8"/>
      <c r="J1775" s="8"/>
      <c r="K1775" s="8"/>
      <c r="L1775" s="8"/>
      <c r="M1775" s="8"/>
    </row>
    <row r="1776" spans="1:13">
      <c r="A1776" s="71" t="s">
        <v>5891</v>
      </c>
      <c r="B1776" s="67">
        <v>40914868861</v>
      </c>
      <c r="C1776" s="72"/>
      <c r="D1776" s="69"/>
      <c r="E1776" s="9">
        <v>1752</v>
      </c>
      <c r="F1776" s="25">
        <v>43051</v>
      </c>
      <c r="G1776" s="70" t="s">
        <v>3356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5892</v>
      </c>
      <c r="B1777" s="67">
        <v>22530539880</v>
      </c>
      <c r="C1777" s="72" t="s">
        <v>5893</v>
      </c>
      <c r="D1777" s="69">
        <v>29713638808</v>
      </c>
      <c r="E1777" s="9"/>
      <c r="F1777" s="25"/>
      <c r="G1777" s="70"/>
      <c r="H1777" s="9"/>
      <c r="I1777" s="8"/>
      <c r="J1777" s="8"/>
      <c r="K1777" s="8"/>
      <c r="L1777" s="8"/>
      <c r="M1777" s="8"/>
    </row>
    <row r="1778" spans="1:13">
      <c r="A1778" s="71" t="s">
        <v>5894</v>
      </c>
      <c r="B1778" s="67">
        <v>22135571873</v>
      </c>
      <c r="C1778" s="72" t="s">
        <v>5895</v>
      </c>
      <c r="D1778" s="69">
        <v>95325123572</v>
      </c>
      <c r="E1778" s="9">
        <v>292</v>
      </c>
      <c r="F1778" s="25">
        <v>43168</v>
      </c>
      <c r="G1778" s="70"/>
      <c r="H1778" s="9"/>
      <c r="I1778" s="8"/>
      <c r="J1778" s="8"/>
      <c r="K1778" s="8"/>
      <c r="L1778" s="9">
        <v>318</v>
      </c>
      <c r="M1778" s="8"/>
    </row>
    <row r="1779" spans="1:13">
      <c r="A1779" s="71" t="s">
        <v>5896</v>
      </c>
      <c r="B1779" s="67">
        <v>29928831823</v>
      </c>
      <c r="C1779" s="72" t="s">
        <v>5897</v>
      </c>
      <c r="D1779" s="69">
        <v>9500916428</v>
      </c>
      <c r="E1779" s="9">
        <v>810</v>
      </c>
      <c r="F1779" s="25">
        <v>42915</v>
      </c>
      <c r="G1779" s="70" t="s">
        <v>3356</v>
      </c>
      <c r="H1779" s="9"/>
      <c r="I1779" s="8"/>
      <c r="J1779" s="8"/>
      <c r="K1779" s="8"/>
      <c r="L1779" s="9" t="s">
        <v>3475</v>
      </c>
      <c r="M1779" s="8"/>
    </row>
    <row r="1780" spans="1:13">
      <c r="A1780" s="72" t="s">
        <v>5898</v>
      </c>
      <c r="B1780" s="67">
        <v>14696523829</v>
      </c>
      <c r="C1780" s="72"/>
      <c r="D1780" s="69"/>
      <c r="E1780" s="9"/>
      <c r="F1780" s="25"/>
      <c r="G1780" s="70"/>
      <c r="H1780" s="9"/>
      <c r="I1780" s="8"/>
      <c r="J1780" s="8"/>
      <c r="K1780" s="8"/>
      <c r="L1780" s="8"/>
      <c r="M1780" s="8"/>
    </row>
    <row r="1781" spans="1:13">
      <c r="A1781" s="15" t="s">
        <v>5899</v>
      </c>
      <c r="B1781" s="67">
        <v>33929478811</v>
      </c>
      <c r="C1781" s="72"/>
      <c r="D1781" s="69"/>
      <c r="E1781" s="9">
        <v>85</v>
      </c>
      <c r="F1781" s="25">
        <v>43109</v>
      </c>
      <c r="G1781" s="70" t="s">
        <v>3356</v>
      </c>
      <c r="H1781" s="25">
        <v>43151</v>
      </c>
      <c r="I1781" s="8"/>
      <c r="J1781" s="8"/>
      <c r="K1781" s="8"/>
      <c r="L1781" s="8"/>
      <c r="M1781" s="8"/>
    </row>
    <row r="1782" spans="1:13">
      <c r="A1782" s="71" t="s">
        <v>5900</v>
      </c>
      <c r="B1782" s="67">
        <v>1198091339</v>
      </c>
      <c r="C1782" s="72"/>
      <c r="D1782" s="69"/>
      <c r="E1782" s="9"/>
      <c r="F1782" s="25"/>
      <c r="G1782" s="70"/>
      <c r="H1782" s="9"/>
      <c r="I1782" s="8"/>
      <c r="J1782" s="8"/>
      <c r="K1782" s="8"/>
      <c r="L1782" s="8"/>
      <c r="M1782" s="8"/>
    </row>
    <row r="1783" spans="1:13">
      <c r="A1783" s="29" t="s">
        <v>5901</v>
      </c>
      <c r="B1783" s="67"/>
      <c r="C1783" s="29" t="s">
        <v>3466</v>
      </c>
      <c r="D1783" s="69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71" t="s">
        <v>5902</v>
      </c>
      <c r="B1784" s="67">
        <v>42003889876</v>
      </c>
      <c r="C1784" s="72"/>
      <c r="D1784" s="69"/>
      <c r="E1784" s="9">
        <v>1824</v>
      </c>
      <c r="F1784" s="25">
        <v>43091</v>
      </c>
      <c r="G1784" s="70" t="s">
        <v>3356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5903</v>
      </c>
      <c r="B1785" s="67">
        <v>22117077854</v>
      </c>
      <c r="C1785" s="68"/>
      <c r="D1785" s="69"/>
      <c r="E1785" s="9">
        <v>1128</v>
      </c>
      <c r="F1785" s="25">
        <v>42972</v>
      </c>
      <c r="G1785" s="70" t="s">
        <v>3356</v>
      </c>
      <c r="H1785" s="9"/>
      <c r="I1785" s="8"/>
      <c r="J1785" s="8"/>
      <c r="K1785" s="8"/>
      <c r="L1785" s="8"/>
      <c r="M1785" s="8"/>
    </row>
    <row r="1786" spans="1:13">
      <c r="A1786" s="71" t="s">
        <v>5904</v>
      </c>
      <c r="B1786" s="67">
        <v>29808270883</v>
      </c>
      <c r="C1786" s="72"/>
      <c r="D1786" s="69"/>
      <c r="E1786" s="9">
        <v>1241</v>
      </c>
      <c r="F1786" s="25">
        <v>42992</v>
      </c>
      <c r="G1786" s="70" t="s">
        <v>3356</v>
      </c>
      <c r="H1786" s="9"/>
      <c r="I1786" s="8"/>
      <c r="J1786" s="8"/>
      <c r="K1786" s="8"/>
      <c r="L1786" s="8"/>
      <c r="M1786" s="8"/>
    </row>
    <row r="1787" spans="1:13">
      <c r="A1787" s="71" t="s">
        <v>5905</v>
      </c>
      <c r="B1787" s="67">
        <v>31371424829</v>
      </c>
      <c r="C1787" s="72"/>
      <c r="D1787" s="69"/>
      <c r="E1787" s="9">
        <v>1422</v>
      </c>
      <c r="F1787" s="25">
        <v>43018</v>
      </c>
      <c r="G1787" s="70" t="s">
        <v>3356</v>
      </c>
      <c r="H1787" s="9"/>
      <c r="I1787" s="8"/>
      <c r="J1787" s="8"/>
      <c r="K1787" s="8"/>
      <c r="L1787" s="8"/>
      <c r="M1787" s="8"/>
    </row>
    <row r="1788" spans="1:13">
      <c r="A1788" s="71" t="s">
        <v>5906</v>
      </c>
      <c r="B1788" s="67">
        <v>6942707848</v>
      </c>
      <c r="C1788" s="72"/>
      <c r="D1788" s="69"/>
      <c r="E1788" s="9">
        <v>810</v>
      </c>
      <c r="F1788" s="25">
        <v>42915</v>
      </c>
      <c r="G1788" s="70" t="s">
        <v>3356</v>
      </c>
      <c r="H1788" s="9"/>
      <c r="I1788" s="8"/>
      <c r="J1788" s="8"/>
      <c r="K1788" s="8"/>
      <c r="L1788" s="9" t="s">
        <v>3475</v>
      </c>
      <c r="M1788" s="8"/>
    </row>
    <row r="1789" spans="1:13">
      <c r="A1789" s="71" t="s">
        <v>5907</v>
      </c>
      <c r="B1789" s="67">
        <v>25969168866</v>
      </c>
      <c r="C1789" s="72"/>
      <c r="D1789" s="69"/>
      <c r="E1789" s="9">
        <v>1451</v>
      </c>
      <c r="F1789" s="25">
        <v>43027</v>
      </c>
      <c r="G1789" s="70" t="s">
        <v>3356</v>
      </c>
      <c r="H1789" s="9"/>
      <c r="I1789" s="8"/>
      <c r="J1789" s="8"/>
      <c r="K1789" s="8"/>
      <c r="L1789" s="8"/>
      <c r="M1789" s="8"/>
    </row>
    <row r="1790" spans="1:13">
      <c r="A1790" s="71" t="s">
        <v>5908</v>
      </c>
      <c r="B1790" s="67">
        <v>22451067845</v>
      </c>
      <c r="C1790" s="68"/>
      <c r="D1790" s="69"/>
      <c r="E1790" s="9">
        <v>1128</v>
      </c>
      <c r="F1790" s="25">
        <v>42972</v>
      </c>
      <c r="G1790" s="70" t="s">
        <v>3356</v>
      </c>
      <c r="H1790" s="9"/>
      <c r="I1790" s="8"/>
      <c r="J1790" s="8"/>
      <c r="K1790" s="8"/>
      <c r="L1790" s="8"/>
      <c r="M1790" s="8"/>
    </row>
    <row r="1791" spans="1:13">
      <c r="A1791" s="15" t="s">
        <v>5909</v>
      </c>
      <c r="B1791" s="67">
        <v>44096131890</v>
      </c>
      <c r="C1791" s="72"/>
      <c r="D1791" s="69"/>
      <c r="E1791" s="9">
        <v>262</v>
      </c>
      <c r="F1791" s="25">
        <v>43160</v>
      </c>
      <c r="G1791" s="70" t="s">
        <v>3356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71" t="s">
        <v>5910</v>
      </c>
      <c r="B1792" s="67">
        <v>29652104825</v>
      </c>
      <c r="C1792" s="68" t="s">
        <v>5911</v>
      </c>
      <c r="D1792" s="69">
        <v>3396140567</v>
      </c>
      <c r="E1792" s="9"/>
      <c r="F1792" s="25"/>
      <c r="G1792" s="70"/>
      <c r="H1792" s="9"/>
      <c r="I1792" s="8"/>
      <c r="J1792" s="8"/>
      <c r="K1792" s="8"/>
      <c r="L1792" s="8"/>
      <c r="M1792" s="8"/>
    </row>
    <row r="1793" spans="1:13">
      <c r="A1793" s="71" t="s">
        <v>5912</v>
      </c>
      <c r="B1793" s="67">
        <v>36390605803</v>
      </c>
      <c r="C1793" s="68"/>
      <c r="D1793" s="69"/>
      <c r="E1793" s="9">
        <v>1128</v>
      </c>
      <c r="F1793" s="25">
        <v>42972</v>
      </c>
      <c r="G1793" s="70" t="s">
        <v>3356</v>
      </c>
      <c r="H1793" s="9"/>
      <c r="I1793" s="8"/>
      <c r="J1793" s="8"/>
      <c r="K1793" s="8"/>
      <c r="L1793" s="8"/>
      <c r="M1793" s="8"/>
    </row>
    <row r="1794" spans="1:13">
      <c r="A1794" s="14" t="s">
        <v>5913</v>
      </c>
      <c r="B1794" s="67">
        <v>23486883879</v>
      </c>
      <c r="C1794" s="72"/>
      <c r="D1794" s="69"/>
      <c r="E1794" s="9">
        <v>527</v>
      </c>
      <c r="F1794" s="25">
        <v>43210</v>
      </c>
      <c r="G1794" s="70"/>
      <c r="H1794" s="9"/>
      <c r="I1794" s="8"/>
      <c r="J1794" s="8"/>
      <c r="K1794" s="8"/>
      <c r="L1794" s="9">
        <v>528</v>
      </c>
      <c r="M1794" s="8"/>
    </row>
    <row r="1795" spans="1:13">
      <c r="A1795" s="71" t="s">
        <v>5914</v>
      </c>
      <c r="B1795" s="67">
        <v>21917251807</v>
      </c>
      <c r="C1795" s="72"/>
      <c r="D1795" s="69"/>
      <c r="E1795" s="9">
        <v>573</v>
      </c>
      <c r="F1795" s="25">
        <v>43224</v>
      </c>
      <c r="G1795" s="70"/>
      <c r="H1795" s="9"/>
      <c r="I1795" s="8"/>
      <c r="J1795" s="8"/>
      <c r="K1795" s="8"/>
      <c r="L1795" s="8"/>
      <c r="M1795" s="8"/>
    </row>
    <row r="1796" spans="1:13">
      <c r="A1796" s="71" t="s">
        <v>5915</v>
      </c>
      <c r="B1796" s="67">
        <v>18290145870</v>
      </c>
      <c r="C1796" s="72"/>
      <c r="D1796" s="69"/>
      <c r="E1796" s="9">
        <v>1439</v>
      </c>
      <c r="F1796" s="25">
        <v>43025</v>
      </c>
      <c r="G1796" s="70" t="s">
        <v>3356</v>
      </c>
      <c r="H1796" s="9"/>
      <c r="I1796" s="8"/>
      <c r="J1796" s="8"/>
      <c r="K1796" s="8"/>
      <c r="L1796" s="9" t="s">
        <v>3838</v>
      </c>
      <c r="M1796" s="8"/>
    </row>
    <row r="1797" spans="1:13">
      <c r="A1797" s="71" t="s">
        <v>5916</v>
      </c>
      <c r="B1797" s="67">
        <v>16313842871</v>
      </c>
      <c r="C1797" s="72"/>
      <c r="D1797" s="69"/>
      <c r="E1797" s="9">
        <v>1262</v>
      </c>
      <c r="F1797" s="25">
        <v>42997</v>
      </c>
      <c r="G1797" s="70" t="s">
        <v>3356</v>
      </c>
      <c r="H1797" s="9"/>
      <c r="I1797" s="8"/>
      <c r="J1797" s="8"/>
      <c r="K1797" s="8"/>
      <c r="L1797" s="8"/>
      <c r="M1797" s="8"/>
    </row>
    <row r="1798" spans="1:13">
      <c r="A1798" s="29" t="s">
        <v>5917</v>
      </c>
      <c r="B1798" s="67">
        <v>6896659890</v>
      </c>
      <c r="C1798" s="29" t="s">
        <v>5918</v>
      </c>
      <c r="D1798" s="69">
        <v>39700020959</v>
      </c>
      <c r="E1798" s="9"/>
      <c r="F1798" s="25"/>
      <c r="G1798" s="70"/>
      <c r="H1798" s="9"/>
      <c r="I1798" s="8"/>
      <c r="J1798" s="8"/>
      <c r="K1798" s="8"/>
      <c r="L1798" s="8"/>
      <c r="M1798" s="8"/>
    </row>
    <row r="1799" spans="1:13">
      <c r="A1799" s="71" t="s">
        <v>5919</v>
      </c>
      <c r="B1799" s="67">
        <v>17258435875</v>
      </c>
      <c r="C1799" s="72"/>
      <c r="D1799" s="69"/>
      <c r="E1799" s="9">
        <v>85</v>
      </c>
      <c r="F1799" s="25">
        <v>43109</v>
      </c>
      <c r="G1799" s="70" t="s">
        <v>3356</v>
      </c>
      <c r="H1799" s="25">
        <v>43151</v>
      </c>
      <c r="I1799" s="8"/>
      <c r="J1799" s="8"/>
      <c r="K1799" s="8"/>
      <c r="L1799" s="8"/>
      <c r="M1799" s="8"/>
    </row>
    <row r="1800" spans="1:13">
      <c r="A1800" s="71" t="s">
        <v>5920</v>
      </c>
      <c r="B1800" s="67">
        <v>60230380506</v>
      </c>
      <c r="C1800" s="72" t="s">
        <v>5921</v>
      </c>
      <c r="D1800" s="69">
        <v>30853536821</v>
      </c>
      <c r="E1800" s="9">
        <v>1570</v>
      </c>
      <c r="F1800" s="25">
        <v>43051</v>
      </c>
      <c r="G1800" s="70" t="s">
        <v>3362</v>
      </c>
      <c r="H1800" s="9"/>
      <c r="I1800" s="8"/>
      <c r="J1800" s="8"/>
      <c r="K1800" s="8"/>
      <c r="L1800" s="8"/>
      <c r="M1800" s="8"/>
    </row>
    <row r="1801" spans="1:13">
      <c r="A1801" s="14" t="s">
        <v>5922</v>
      </c>
      <c r="B1801" s="67">
        <v>44556393817</v>
      </c>
      <c r="C1801" s="72" t="s">
        <v>5923</v>
      </c>
      <c r="D1801" s="69">
        <v>35553946816</v>
      </c>
      <c r="E1801" s="9"/>
      <c r="F1801" s="25"/>
      <c r="G1801" s="70"/>
      <c r="H1801" s="9"/>
      <c r="I1801" s="8"/>
      <c r="J1801" s="8"/>
      <c r="K1801" s="8"/>
      <c r="L1801" s="8"/>
      <c r="M1801" s="8"/>
    </row>
    <row r="1802" spans="1:13">
      <c r="A1802" s="29" t="s">
        <v>5924</v>
      </c>
      <c r="B1802" s="67">
        <v>35780076847</v>
      </c>
      <c r="C1802" s="29" t="s">
        <v>5925</v>
      </c>
      <c r="D1802" s="69">
        <v>89212975534</v>
      </c>
      <c r="E1802" s="9"/>
      <c r="F1802" s="25"/>
      <c r="G1802" s="70"/>
      <c r="H1802" s="9"/>
      <c r="I1802" s="8"/>
      <c r="J1802" s="8"/>
      <c r="K1802" s="8"/>
      <c r="L1802" s="8"/>
      <c r="M1802" s="8"/>
    </row>
    <row r="1803" spans="1:13">
      <c r="A1803" s="71" t="s">
        <v>5926</v>
      </c>
      <c r="B1803" s="67">
        <v>29541849814</v>
      </c>
      <c r="C1803" s="72"/>
      <c r="D1803" s="69"/>
      <c r="E1803" s="9">
        <v>262</v>
      </c>
      <c r="F1803" s="25">
        <v>43160</v>
      </c>
      <c r="G1803" s="70" t="s">
        <v>3356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71" t="s">
        <v>5927</v>
      </c>
      <c r="B1804" s="67">
        <v>42544122234</v>
      </c>
      <c r="C1804" s="68"/>
      <c r="D1804" s="69"/>
      <c r="E1804" s="9">
        <v>1128</v>
      </c>
      <c r="F1804" s="25">
        <v>42972</v>
      </c>
      <c r="G1804" s="70" t="s">
        <v>3356</v>
      </c>
      <c r="H1804" s="9"/>
      <c r="I1804" s="8"/>
      <c r="J1804" s="8"/>
      <c r="K1804" s="8"/>
      <c r="L1804" s="8"/>
      <c r="M1804" s="8"/>
    </row>
    <row r="1805" spans="1:13">
      <c r="A1805" s="71" t="s">
        <v>5928</v>
      </c>
      <c r="B1805" s="67">
        <v>13289203808</v>
      </c>
      <c r="C1805" s="72"/>
      <c r="D1805" s="69"/>
      <c r="E1805" s="9">
        <v>485</v>
      </c>
      <c r="F1805" s="25">
        <v>43196</v>
      </c>
      <c r="G1805" s="70"/>
      <c r="H1805" s="9"/>
      <c r="I1805" s="8"/>
      <c r="J1805" s="8"/>
      <c r="K1805" s="8"/>
      <c r="L1805" s="9">
        <v>483</v>
      </c>
      <c r="M1805" s="8"/>
    </row>
    <row r="1806" spans="1:13">
      <c r="A1806" s="71" t="s">
        <v>5929</v>
      </c>
      <c r="B1806" s="67">
        <v>22839352885</v>
      </c>
      <c r="C1806" s="72"/>
      <c r="D1806" s="69"/>
      <c r="E1806" s="9">
        <v>443</v>
      </c>
      <c r="F1806" s="25">
        <v>43188</v>
      </c>
      <c r="G1806" s="70"/>
      <c r="H1806" s="9"/>
      <c r="I1806" s="8"/>
      <c r="J1806" s="8"/>
      <c r="K1806" s="8"/>
      <c r="L1806" s="8"/>
      <c r="M1806" s="8"/>
    </row>
    <row r="1807" spans="1:13">
      <c r="A1807" s="29" t="s">
        <v>5930</v>
      </c>
      <c r="B1807" s="67">
        <v>8265497806</v>
      </c>
      <c r="C1807" s="18" t="s">
        <v>3466</v>
      </c>
      <c r="D1807" s="69"/>
      <c r="E1807" s="9"/>
      <c r="F1807" s="25"/>
      <c r="G1807" s="70"/>
      <c r="H1807" s="9"/>
      <c r="I1807" s="8"/>
      <c r="J1807" s="8"/>
      <c r="K1807" s="8"/>
      <c r="L1807" s="8"/>
      <c r="M1807" s="8"/>
    </row>
    <row r="1808" spans="1:13">
      <c r="A1808" s="29" t="s">
        <v>5931</v>
      </c>
      <c r="B1808" s="67">
        <v>27435732877</v>
      </c>
      <c r="C1808" s="29" t="s">
        <v>3466</v>
      </c>
      <c r="D1808" s="69"/>
      <c r="E1808" s="9"/>
      <c r="F1808" s="25"/>
      <c r="G1808" s="70"/>
      <c r="H1808" s="9"/>
      <c r="I1808" s="8"/>
      <c r="J1808" s="8"/>
      <c r="K1808" s="8"/>
      <c r="L1808" s="8"/>
      <c r="M1808" s="8"/>
    </row>
    <row r="1809" spans="1:13">
      <c r="A1809" s="15" t="s">
        <v>5932</v>
      </c>
      <c r="B1809" s="67">
        <v>17620421858</v>
      </c>
      <c r="C1809" s="72" t="s">
        <v>5933</v>
      </c>
      <c r="D1809" s="69">
        <v>10328897809</v>
      </c>
      <c r="E1809" s="9">
        <v>527</v>
      </c>
      <c r="F1809" s="25">
        <v>43210</v>
      </c>
      <c r="G1809" s="70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5934</v>
      </c>
      <c r="B1810" s="67">
        <v>33051956813</v>
      </c>
      <c r="C1810" s="72"/>
      <c r="D1810" s="69"/>
      <c r="E1810" s="9">
        <v>1350</v>
      </c>
      <c r="F1810" s="25">
        <v>43006</v>
      </c>
      <c r="G1810" s="70" t="s">
        <v>3356</v>
      </c>
      <c r="H1810" s="9"/>
      <c r="I1810" s="8"/>
      <c r="J1810" s="8"/>
      <c r="K1810" s="8"/>
      <c r="L1810" s="8"/>
      <c r="M1810" s="8"/>
    </row>
    <row r="1811" spans="1:13">
      <c r="A1811" s="71" t="s">
        <v>5935</v>
      </c>
      <c r="B1811" s="78" t="s">
        <v>5936</v>
      </c>
      <c r="C1811" s="77"/>
      <c r="D1811" s="69"/>
      <c r="E1811" s="9"/>
      <c r="F1811" s="25"/>
      <c r="G1811" s="70"/>
      <c r="H1811" s="9"/>
      <c r="I1811" s="8"/>
      <c r="J1811" s="8"/>
      <c r="K1811" s="8"/>
      <c r="L1811" s="8"/>
      <c r="M1811" s="8"/>
    </row>
    <row r="1812" spans="1:13">
      <c r="A1812" s="13" t="s">
        <v>5937</v>
      </c>
      <c r="B1812" s="67">
        <v>33725177848</v>
      </c>
      <c r="C1812" s="68"/>
      <c r="D1812" s="69"/>
      <c r="E1812" s="9">
        <v>1128</v>
      </c>
      <c r="F1812" s="25">
        <v>42972</v>
      </c>
      <c r="G1812" s="70" t="s">
        <v>3356</v>
      </c>
      <c r="H1812" s="9"/>
      <c r="I1812" s="8"/>
      <c r="J1812" s="8"/>
      <c r="K1812" s="8"/>
      <c r="L1812" s="8"/>
      <c r="M1812" s="8"/>
    </row>
    <row r="1813" spans="1:13">
      <c r="A1813" s="71" t="s">
        <v>5938</v>
      </c>
      <c r="B1813" s="67">
        <v>4199619500</v>
      </c>
      <c r="C1813" s="72"/>
      <c r="D1813" s="69"/>
      <c r="E1813" s="9">
        <v>1752</v>
      </c>
      <c r="F1813" s="25">
        <v>43051</v>
      </c>
      <c r="G1813" s="70"/>
      <c r="H1813" s="9"/>
      <c r="I1813" s="8"/>
      <c r="J1813" s="8"/>
      <c r="K1813" s="8"/>
      <c r="L1813" s="9">
        <v>1759</v>
      </c>
      <c r="M1813" s="8"/>
    </row>
    <row r="1814" spans="1:13">
      <c r="A1814" s="71" t="s">
        <v>5939</v>
      </c>
      <c r="B1814" s="67">
        <v>37395644824</v>
      </c>
      <c r="C1814" s="72"/>
      <c r="D1814" s="69"/>
      <c r="E1814" s="9"/>
      <c r="F1814" s="25"/>
      <c r="G1814" s="70"/>
      <c r="H1814" s="9"/>
      <c r="I1814" s="8"/>
      <c r="J1814" s="8"/>
      <c r="K1814" s="8"/>
      <c r="L1814" s="8"/>
      <c r="M1814" s="8"/>
    </row>
    <row r="1815" spans="1:13">
      <c r="A1815" s="71" t="s">
        <v>5940</v>
      </c>
      <c r="B1815" s="67">
        <v>10746391897</v>
      </c>
      <c r="C1815" s="72"/>
      <c r="D1815" s="69"/>
      <c r="E1815" s="9">
        <v>292</v>
      </c>
      <c r="F1815" s="25">
        <v>43168</v>
      </c>
      <c r="G1815" s="70" t="s">
        <v>3356</v>
      </c>
      <c r="H1815" s="9"/>
      <c r="I1815" s="8"/>
      <c r="J1815" s="8"/>
      <c r="K1815" s="8"/>
      <c r="L1815" s="9">
        <v>318</v>
      </c>
      <c r="M1815" s="8"/>
    </row>
    <row r="1816" spans="1:13">
      <c r="A1816" s="72" t="s">
        <v>5941</v>
      </c>
      <c r="B1816" s="69">
        <v>12811127801</v>
      </c>
      <c r="C1816" s="8"/>
      <c r="D1816" s="21"/>
      <c r="E1816" s="9">
        <v>563</v>
      </c>
      <c r="F1816" s="25">
        <v>43217</v>
      </c>
      <c r="G1816" s="70"/>
      <c r="H1816" s="9"/>
      <c r="I1816" s="8"/>
      <c r="J1816" s="8"/>
      <c r="K1816" s="8"/>
      <c r="L1816" s="9" t="s">
        <v>3636</v>
      </c>
      <c r="M1816" s="8"/>
    </row>
    <row r="1817" spans="1:13">
      <c r="A1817" s="14" t="s">
        <v>5942</v>
      </c>
      <c r="B1817" s="67">
        <v>24655581883</v>
      </c>
      <c r="C1817" s="72" t="s">
        <v>5943</v>
      </c>
      <c r="D1817" s="69">
        <v>10449690830</v>
      </c>
      <c r="E1817" s="9"/>
      <c r="F1817" s="25"/>
      <c r="G1817" s="70"/>
      <c r="H1817" s="9"/>
      <c r="I1817" s="8"/>
      <c r="J1817" s="8"/>
      <c r="K1817" s="8"/>
      <c r="L1817" s="8"/>
      <c r="M1817" s="8"/>
    </row>
    <row r="1818" spans="1:13">
      <c r="A1818" s="72" t="s">
        <v>5944</v>
      </c>
      <c r="B1818" s="67">
        <v>6455171861</v>
      </c>
      <c r="C1818" s="72" t="s">
        <v>5945</v>
      </c>
      <c r="D1818" s="69">
        <v>34375910534</v>
      </c>
      <c r="E1818" s="9">
        <v>1417</v>
      </c>
      <c r="F1818" s="25">
        <v>43017</v>
      </c>
      <c r="G1818" s="70" t="s">
        <v>3356</v>
      </c>
      <c r="H1818" s="9"/>
      <c r="I1818" s="8"/>
      <c r="J1818" s="8"/>
      <c r="K1818" s="8"/>
      <c r="L1818" s="9" t="s">
        <v>3590</v>
      </c>
      <c r="M1818" s="8"/>
    </row>
    <row r="1819" spans="1:13">
      <c r="A1819" s="71" t="s">
        <v>5946</v>
      </c>
      <c r="B1819" s="67">
        <v>30901219304</v>
      </c>
      <c r="C1819" s="72"/>
      <c r="D1819" s="69"/>
      <c r="E1819" s="9">
        <v>1106</v>
      </c>
      <c r="F1819" s="25">
        <v>42965</v>
      </c>
      <c r="G1819" s="70" t="s">
        <v>3356</v>
      </c>
      <c r="H1819" s="9"/>
      <c r="I1819" s="8"/>
      <c r="J1819" s="8"/>
      <c r="K1819" s="8"/>
      <c r="L1819" s="8"/>
      <c r="M1819" s="8"/>
    </row>
    <row r="1820" spans="1:13">
      <c r="A1820" s="71" t="s">
        <v>5947</v>
      </c>
      <c r="B1820" s="67">
        <v>22435946848</v>
      </c>
      <c r="C1820" s="72"/>
      <c r="D1820" s="69"/>
      <c r="E1820" s="9">
        <v>292</v>
      </c>
      <c r="F1820" s="25">
        <v>43168</v>
      </c>
      <c r="G1820" s="9" t="s">
        <v>3356</v>
      </c>
      <c r="H1820" s="9"/>
      <c r="I1820" s="8"/>
      <c r="J1820" s="8"/>
      <c r="K1820" s="8"/>
      <c r="L1820" s="9">
        <v>318</v>
      </c>
      <c r="M1820" s="8"/>
    </row>
    <row r="1821" spans="1:13">
      <c r="A1821" s="71" t="s">
        <v>5948</v>
      </c>
      <c r="B1821" s="67">
        <v>16417318850</v>
      </c>
      <c r="C1821" s="72" t="s">
        <v>5949</v>
      </c>
      <c r="D1821" s="69">
        <v>18195940846</v>
      </c>
      <c r="E1821" s="9">
        <v>810</v>
      </c>
      <c r="F1821" s="25">
        <v>42915</v>
      </c>
      <c r="G1821" s="70" t="s">
        <v>3362</v>
      </c>
      <c r="H1821" s="9"/>
      <c r="I1821" s="8"/>
      <c r="J1821" s="8"/>
      <c r="K1821" s="8"/>
      <c r="L1821" s="9" t="s">
        <v>3475</v>
      </c>
      <c r="M1821" s="8"/>
    </row>
    <row r="1822" spans="1:13">
      <c r="A1822" s="14" t="s">
        <v>5950</v>
      </c>
      <c r="B1822" s="67">
        <v>12570160830</v>
      </c>
      <c r="C1822" s="72"/>
      <c r="D1822" s="69"/>
      <c r="E1822" s="9">
        <v>1752</v>
      </c>
      <c r="F1822" s="25">
        <v>43051</v>
      </c>
      <c r="G1822" s="70" t="s">
        <v>3356</v>
      </c>
      <c r="H1822" s="9"/>
      <c r="I1822" s="8"/>
      <c r="J1822" s="8"/>
      <c r="K1822" s="8"/>
      <c r="L1822" s="9">
        <v>1759</v>
      </c>
      <c r="M1822" s="8"/>
    </row>
    <row r="1823" spans="1:13">
      <c r="A1823" s="71" t="s">
        <v>5951</v>
      </c>
      <c r="B1823" s="67">
        <v>14369207878</v>
      </c>
      <c r="C1823" s="72" t="s">
        <v>5952</v>
      </c>
      <c r="D1823" s="69">
        <v>7358923421</v>
      </c>
      <c r="E1823" s="9">
        <v>292</v>
      </c>
      <c r="F1823" s="25">
        <v>43168</v>
      </c>
      <c r="G1823" s="9" t="s">
        <v>3356</v>
      </c>
      <c r="H1823" s="9"/>
      <c r="I1823" s="8"/>
      <c r="J1823" s="8"/>
      <c r="K1823" s="8"/>
      <c r="L1823" s="9">
        <v>318</v>
      </c>
      <c r="M1823" s="8"/>
    </row>
    <row r="1824" spans="1:13">
      <c r="A1824" s="71" t="s">
        <v>5953</v>
      </c>
      <c r="B1824" s="67">
        <v>22496598858</v>
      </c>
      <c r="C1824" s="72"/>
      <c r="D1824" s="69"/>
      <c r="E1824" s="9"/>
      <c r="F1824" s="25"/>
      <c r="G1824" s="70"/>
      <c r="H1824" s="9"/>
      <c r="I1824" s="8"/>
      <c r="J1824" s="8"/>
      <c r="K1824" s="8"/>
      <c r="L1824" s="8"/>
      <c r="M1824" s="8"/>
    </row>
    <row r="1825" spans="1:13">
      <c r="A1825" s="71" t="s">
        <v>5953</v>
      </c>
      <c r="B1825" s="67">
        <v>15799919807</v>
      </c>
      <c r="C1825" s="72"/>
      <c r="D1825" s="69"/>
      <c r="E1825" s="9">
        <v>527</v>
      </c>
      <c r="F1825" s="25">
        <v>43210</v>
      </c>
      <c r="G1825" s="70"/>
      <c r="H1825" s="9"/>
      <c r="I1825" s="8"/>
      <c r="J1825" s="8"/>
      <c r="K1825" s="8"/>
      <c r="L1825" s="9">
        <v>528</v>
      </c>
      <c r="M1825" s="8"/>
    </row>
    <row r="1826" spans="1:13">
      <c r="A1826" s="71" t="s">
        <v>5954</v>
      </c>
      <c r="B1826" s="67">
        <v>7803534805</v>
      </c>
      <c r="C1826" s="72"/>
      <c r="D1826" s="69"/>
      <c r="E1826" s="9">
        <v>85</v>
      </c>
      <c r="F1826" s="25">
        <v>43109</v>
      </c>
      <c r="G1826" s="70" t="s">
        <v>3356</v>
      </c>
      <c r="H1826" s="25">
        <v>43151</v>
      </c>
      <c r="I1826" s="8"/>
      <c r="J1826" s="8"/>
      <c r="K1826" s="8"/>
      <c r="L1826" s="8"/>
      <c r="M1826" s="8"/>
    </row>
    <row r="1827" spans="1:13">
      <c r="A1827" s="40" t="s">
        <v>5955</v>
      </c>
      <c r="B1827" s="67">
        <v>27137412890</v>
      </c>
      <c r="C1827" s="72"/>
      <c r="D1827" s="69"/>
      <c r="E1827" s="9"/>
      <c r="F1827" s="25"/>
      <c r="G1827" s="70"/>
      <c r="H1827" s="9"/>
      <c r="I1827" s="8"/>
      <c r="J1827" s="8"/>
      <c r="K1827" s="8"/>
      <c r="L1827" s="8"/>
      <c r="M1827" s="8"/>
    </row>
    <row r="1828" spans="1:13">
      <c r="A1828" s="71" t="s">
        <v>5956</v>
      </c>
      <c r="B1828" s="67">
        <v>26989783842</v>
      </c>
      <c r="C1828" s="72"/>
      <c r="D1828" s="69"/>
      <c r="E1828" s="9">
        <v>573</v>
      </c>
      <c r="F1828" s="25">
        <v>43224</v>
      </c>
      <c r="G1828" s="70"/>
      <c r="H1828" s="9"/>
      <c r="I1828" s="8"/>
      <c r="J1828" s="8"/>
      <c r="K1828" s="8"/>
      <c r="L1828" s="8"/>
      <c r="M1828" s="8"/>
    </row>
    <row r="1829" spans="1:13">
      <c r="A1829" s="71" t="s">
        <v>3154</v>
      </c>
      <c r="B1829" s="67" t="s">
        <v>5957</v>
      </c>
      <c r="C1829" s="72" t="s">
        <v>5958</v>
      </c>
      <c r="D1829" s="69">
        <v>43860821822</v>
      </c>
      <c r="E1829" s="9">
        <v>1752</v>
      </c>
      <c r="F1829" s="25">
        <v>43051</v>
      </c>
      <c r="G1829" s="70" t="s">
        <v>3356</v>
      </c>
      <c r="H1829" s="9"/>
      <c r="I1829" s="8"/>
      <c r="J1829" s="8"/>
      <c r="K1829" s="8"/>
      <c r="L1829" s="9">
        <v>1759</v>
      </c>
      <c r="M1829" s="8"/>
    </row>
    <row r="1830" spans="1:13">
      <c r="A1830" s="29" t="s">
        <v>3154</v>
      </c>
      <c r="B1830" s="67"/>
      <c r="C1830" s="18" t="s">
        <v>3466</v>
      </c>
      <c r="D1830" s="69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72" t="s">
        <v>5959</v>
      </c>
      <c r="B1831" s="67">
        <v>32969576856</v>
      </c>
      <c r="C1831" s="72" t="s">
        <v>5960</v>
      </c>
      <c r="D1831" s="69">
        <v>61347418504</v>
      </c>
      <c r="E1831" s="9"/>
      <c r="F1831" s="25"/>
      <c r="G1831" s="70"/>
      <c r="H1831" s="9"/>
      <c r="I1831" s="8"/>
      <c r="J1831" s="8"/>
      <c r="K1831" s="8"/>
      <c r="L1831" s="8"/>
      <c r="M1831" s="8"/>
    </row>
    <row r="1832" spans="1:13">
      <c r="A1832" s="18" t="s">
        <v>5961</v>
      </c>
      <c r="B1832" s="67">
        <v>23651706842</v>
      </c>
      <c r="C1832" s="18" t="s">
        <v>5962</v>
      </c>
      <c r="D1832" s="69">
        <v>61122173415</v>
      </c>
      <c r="E1832" s="9"/>
      <c r="F1832" s="25"/>
      <c r="G1832" s="70"/>
      <c r="H1832" s="9"/>
      <c r="I1832" s="8"/>
      <c r="J1832" s="8"/>
      <c r="K1832" s="8"/>
      <c r="L1832" s="8"/>
      <c r="M1832" s="8"/>
    </row>
    <row r="1833" spans="1:13">
      <c r="A1833" s="29" t="s">
        <v>5963</v>
      </c>
      <c r="B1833" s="67"/>
      <c r="C1833" s="29" t="s">
        <v>5964</v>
      </c>
      <c r="D1833" s="69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71" t="s">
        <v>5965</v>
      </c>
      <c r="B1834" s="67">
        <v>24891699809</v>
      </c>
      <c r="C1834" s="72" t="s">
        <v>5966</v>
      </c>
      <c r="D1834" s="69">
        <v>17610300861</v>
      </c>
      <c r="E1834" s="9">
        <v>262</v>
      </c>
      <c r="F1834" s="25">
        <v>43160</v>
      </c>
      <c r="G1834" s="70" t="s">
        <v>3362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5967</v>
      </c>
      <c r="B1835" s="67">
        <v>18581996892</v>
      </c>
      <c r="C1835" s="68"/>
      <c r="D1835" s="69"/>
      <c r="E1835" s="9">
        <v>1128</v>
      </c>
      <c r="F1835" s="25">
        <v>42972</v>
      </c>
      <c r="G1835" s="70" t="s">
        <v>3356</v>
      </c>
      <c r="H1835" s="9"/>
      <c r="I1835" s="8"/>
      <c r="J1835" s="8"/>
      <c r="K1835" s="8"/>
      <c r="L1835" s="8"/>
      <c r="M1835" s="8"/>
    </row>
    <row r="1836" spans="1:13">
      <c r="A1836" s="71" t="s">
        <v>5968</v>
      </c>
      <c r="B1836" s="67">
        <v>79465617687</v>
      </c>
      <c r="C1836" s="77" t="s">
        <v>5969</v>
      </c>
      <c r="D1836" s="69">
        <v>36345907855</v>
      </c>
      <c r="E1836" s="9">
        <v>563</v>
      </c>
      <c r="F1836" s="25">
        <v>43217</v>
      </c>
      <c r="G1836" s="70"/>
      <c r="H1836" s="9"/>
      <c r="I1836" s="8"/>
      <c r="J1836" s="8"/>
      <c r="K1836" s="8"/>
      <c r="L1836" s="9" t="s">
        <v>3636</v>
      </c>
      <c r="M1836" s="8"/>
    </row>
    <row r="1837" spans="1:13">
      <c r="A1837" s="29" t="s">
        <v>5970</v>
      </c>
      <c r="B1837" s="67"/>
      <c r="C1837" s="29" t="s">
        <v>3466</v>
      </c>
      <c r="D1837" s="69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71" t="s">
        <v>5971</v>
      </c>
      <c r="B1838" s="67" t="s">
        <v>5972</v>
      </c>
      <c r="C1838" s="68"/>
      <c r="D1838" s="69"/>
      <c r="E1838" s="9"/>
      <c r="F1838" s="25"/>
      <c r="G1838" s="70"/>
      <c r="H1838" s="9"/>
      <c r="I1838" s="8"/>
      <c r="J1838" s="8"/>
      <c r="K1838" s="8"/>
      <c r="L1838" s="8"/>
      <c r="M1838" s="8"/>
    </row>
    <row r="1839" spans="1:13">
      <c r="A1839" s="18" t="s">
        <v>5973</v>
      </c>
      <c r="B1839" s="67">
        <v>8545670893</v>
      </c>
      <c r="C1839" s="18" t="s">
        <v>5974</v>
      </c>
      <c r="D1839" s="69">
        <v>11705567878</v>
      </c>
      <c r="E1839" s="9"/>
      <c r="F1839" s="25"/>
      <c r="G1839" s="70"/>
      <c r="H1839" s="9"/>
      <c r="I1839" s="8"/>
      <c r="J1839" s="8"/>
      <c r="K1839" s="8"/>
      <c r="L1839" s="8"/>
      <c r="M1839" s="8"/>
    </row>
    <row r="1840" spans="1:13">
      <c r="A1840" s="71" t="s">
        <v>5973</v>
      </c>
      <c r="B1840" s="67">
        <v>24858022897</v>
      </c>
      <c r="C1840" s="72"/>
      <c r="D1840" s="69"/>
      <c r="E1840" s="9">
        <v>810</v>
      </c>
      <c r="F1840" s="25">
        <v>42915</v>
      </c>
      <c r="G1840" s="70" t="s">
        <v>3356</v>
      </c>
      <c r="H1840" s="9"/>
      <c r="I1840" s="8"/>
      <c r="J1840" s="8"/>
      <c r="K1840" s="8"/>
      <c r="L1840" s="9" t="s">
        <v>3475</v>
      </c>
      <c r="M1840" s="8"/>
    </row>
    <row r="1841" spans="1:13">
      <c r="A1841" s="72" t="s">
        <v>5975</v>
      </c>
      <c r="B1841" s="67">
        <v>16519436801</v>
      </c>
      <c r="C1841" s="72"/>
      <c r="D1841" s="69"/>
      <c r="E1841" s="9"/>
      <c r="F1841" s="25"/>
      <c r="G1841" s="70"/>
      <c r="H1841" s="9"/>
      <c r="I1841" s="8"/>
      <c r="J1841" s="8"/>
      <c r="K1841" s="8"/>
      <c r="L1841" s="8"/>
      <c r="M1841" s="8"/>
    </row>
    <row r="1842" spans="1:13">
      <c r="A1842" s="29" t="s">
        <v>5976</v>
      </c>
      <c r="B1842" s="67"/>
      <c r="C1842" s="29" t="s">
        <v>3466</v>
      </c>
      <c r="D1842" s="69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5977</v>
      </c>
      <c r="B1843" s="67">
        <v>41771284811</v>
      </c>
      <c r="C1843" s="72"/>
      <c r="D1843" s="69"/>
      <c r="E1843" s="9">
        <v>1350</v>
      </c>
      <c r="F1843" s="25">
        <v>43006</v>
      </c>
      <c r="G1843" s="70" t="s">
        <v>3356</v>
      </c>
      <c r="H1843" s="9"/>
      <c r="I1843" s="8"/>
      <c r="J1843" s="8"/>
      <c r="K1843" s="8"/>
      <c r="L1843" s="8"/>
      <c r="M1843" s="8"/>
    </row>
    <row r="1844" spans="1:13">
      <c r="A1844" s="72" t="s">
        <v>5978</v>
      </c>
      <c r="B1844" s="69">
        <v>84920157487</v>
      </c>
      <c r="C1844" s="71" t="s">
        <v>5979</v>
      </c>
      <c r="D1844" s="67">
        <v>33479359850</v>
      </c>
      <c r="E1844" s="9"/>
      <c r="F1844" s="25"/>
      <c r="G1844" s="70"/>
      <c r="H1844" s="9"/>
      <c r="I1844" s="8"/>
      <c r="J1844" s="8"/>
      <c r="K1844" s="8"/>
      <c r="L1844" s="8"/>
      <c r="M1844" s="8"/>
    </row>
    <row r="1845" spans="1:13">
      <c r="A1845" s="29" t="s">
        <v>5980</v>
      </c>
      <c r="B1845" s="67">
        <v>18463154840</v>
      </c>
      <c r="C1845" s="8"/>
      <c r="D1845" s="69"/>
      <c r="E1845" s="9"/>
      <c r="F1845" s="25"/>
      <c r="G1845" s="70"/>
      <c r="H1845" s="9"/>
      <c r="I1845" s="8"/>
      <c r="J1845" s="8"/>
      <c r="K1845" s="8"/>
      <c r="L1845" s="8"/>
      <c r="M1845" s="8"/>
    </row>
    <row r="1846" spans="1:13">
      <c r="A1846" s="71" t="s">
        <v>5981</v>
      </c>
      <c r="B1846" s="67">
        <v>35331745814</v>
      </c>
      <c r="C1846" s="75" t="s">
        <v>5982</v>
      </c>
      <c r="D1846" s="69">
        <v>33184459837</v>
      </c>
      <c r="E1846" s="9">
        <v>1106</v>
      </c>
      <c r="F1846" s="25">
        <v>42965</v>
      </c>
      <c r="G1846" s="70" t="s">
        <v>3356</v>
      </c>
      <c r="H1846" s="9"/>
      <c r="I1846" s="8"/>
      <c r="J1846" s="8"/>
      <c r="K1846" s="8"/>
      <c r="L1846" s="8"/>
      <c r="M1846" s="8"/>
    </row>
    <row r="1847" spans="1:13">
      <c r="A1847" s="15" t="s">
        <v>5983</v>
      </c>
      <c r="B1847" s="67">
        <v>8224273466</v>
      </c>
      <c r="C1847" s="72"/>
      <c r="D1847" s="69"/>
      <c r="E1847" s="9">
        <v>229</v>
      </c>
      <c r="F1847" s="25">
        <v>43151</v>
      </c>
      <c r="G1847" s="70" t="s">
        <v>3356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5984</v>
      </c>
      <c r="B1848" s="67">
        <v>3173915852</v>
      </c>
      <c r="C1848" s="72"/>
      <c r="D1848" s="69"/>
      <c r="E1848" s="9"/>
      <c r="F1848" s="25"/>
      <c r="G1848" s="70"/>
      <c r="H1848" s="9"/>
      <c r="I1848" s="8"/>
      <c r="J1848" s="8"/>
      <c r="K1848" s="8"/>
      <c r="L1848" s="8"/>
      <c r="M1848" s="8"/>
    </row>
    <row r="1849" spans="1:13">
      <c r="A1849" s="71" t="s">
        <v>5985</v>
      </c>
      <c r="B1849" s="67">
        <v>11861512856</v>
      </c>
      <c r="C1849" s="72"/>
      <c r="D1849" s="69"/>
      <c r="E1849" s="9">
        <v>1824</v>
      </c>
      <c r="F1849" s="25">
        <v>43091</v>
      </c>
      <c r="G1849" s="70" t="s">
        <v>3356</v>
      </c>
      <c r="H1849" s="9"/>
      <c r="I1849" s="8"/>
      <c r="J1849" s="8"/>
      <c r="K1849" s="8"/>
      <c r="L1849" s="9">
        <v>1828</v>
      </c>
      <c r="M1849" s="8"/>
    </row>
    <row r="1850" spans="1:13">
      <c r="A1850" s="29" t="s">
        <v>5986</v>
      </c>
      <c r="B1850" s="67">
        <v>14686278805</v>
      </c>
      <c r="C1850" s="18" t="s">
        <v>3466</v>
      </c>
      <c r="D1850" s="69"/>
      <c r="E1850" s="9"/>
      <c r="F1850" s="25"/>
      <c r="G1850" s="70"/>
      <c r="H1850" s="9"/>
      <c r="I1850" s="8"/>
      <c r="J1850" s="8"/>
      <c r="K1850" s="8"/>
      <c r="L1850" s="8"/>
      <c r="M1850" s="8"/>
    </row>
    <row r="1851" spans="1:13">
      <c r="A1851" s="73" t="s">
        <v>5987</v>
      </c>
      <c r="B1851" s="67">
        <v>14857592851</v>
      </c>
      <c r="C1851" s="72" t="s">
        <v>5988</v>
      </c>
      <c r="D1851" s="69">
        <v>35142215885</v>
      </c>
      <c r="E1851" s="9">
        <v>1106</v>
      </c>
      <c r="F1851" s="25">
        <v>42965</v>
      </c>
      <c r="G1851" s="70" t="s">
        <v>3356</v>
      </c>
      <c r="H1851" s="9"/>
      <c r="I1851" s="8"/>
      <c r="J1851" s="8"/>
      <c r="K1851" s="8"/>
      <c r="L1851" s="8"/>
      <c r="M1851" s="8"/>
    </row>
    <row r="1852" spans="1:13">
      <c r="A1852" s="71" t="s">
        <v>5989</v>
      </c>
      <c r="B1852" s="67">
        <v>26028940879</v>
      </c>
      <c r="C1852" s="72"/>
      <c r="D1852" s="69"/>
      <c r="E1852" s="9">
        <v>1824</v>
      </c>
      <c r="F1852" s="25">
        <v>43091</v>
      </c>
      <c r="G1852" s="70" t="s">
        <v>3356</v>
      </c>
      <c r="H1852" s="9"/>
      <c r="I1852" s="8"/>
      <c r="J1852" s="8"/>
      <c r="K1852" s="8"/>
      <c r="L1852" s="9">
        <v>1828</v>
      </c>
      <c r="M1852" s="8"/>
    </row>
    <row r="1853" spans="1:13">
      <c r="A1853" s="73" t="s">
        <v>5990</v>
      </c>
      <c r="B1853" s="67">
        <v>35714112857</v>
      </c>
      <c r="C1853" s="72" t="s">
        <v>5991</v>
      </c>
      <c r="D1853" s="69">
        <v>32342783850</v>
      </c>
      <c r="E1853" s="9">
        <v>810</v>
      </c>
      <c r="F1853" s="25">
        <v>42915</v>
      </c>
      <c r="G1853" s="70" t="s">
        <v>3356</v>
      </c>
      <c r="H1853" s="9"/>
      <c r="I1853" s="8"/>
      <c r="J1853" s="8"/>
      <c r="K1853" s="8"/>
      <c r="L1853" s="9" t="s">
        <v>3475</v>
      </c>
      <c r="M1853" s="8"/>
    </row>
    <row r="1854" spans="1:13">
      <c r="A1854" s="15" t="s">
        <v>5992</v>
      </c>
      <c r="B1854" s="67"/>
      <c r="C1854" s="72"/>
      <c r="D1854" s="69"/>
      <c r="E1854" s="9"/>
      <c r="F1854" s="25"/>
      <c r="G1854" s="70"/>
      <c r="H1854" s="9"/>
      <c r="I1854" s="8"/>
      <c r="J1854" s="8"/>
      <c r="K1854" s="8"/>
      <c r="L1854" s="8"/>
      <c r="M1854" s="8"/>
    </row>
    <row r="1855" spans="1:13">
      <c r="A1855" s="71" t="s">
        <v>5993</v>
      </c>
      <c r="B1855" s="67">
        <v>41256193879</v>
      </c>
      <c r="C1855" s="73"/>
      <c r="D1855" s="69"/>
      <c r="E1855" s="9">
        <v>292</v>
      </c>
      <c r="F1855" s="25">
        <v>43168</v>
      </c>
      <c r="G1855" s="70" t="s">
        <v>3356</v>
      </c>
      <c r="H1855" s="9"/>
      <c r="I1855" s="8"/>
      <c r="J1855" s="8"/>
      <c r="K1855" s="8"/>
      <c r="L1855" s="9">
        <v>318</v>
      </c>
      <c r="M1855" s="8"/>
    </row>
    <row r="1856" spans="1:13">
      <c r="A1856" s="71" t="s">
        <v>5994</v>
      </c>
      <c r="B1856" s="67">
        <v>22009621859</v>
      </c>
      <c r="C1856" s="72" t="s">
        <v>5995</v>
      </c>
      <c r="D1856" s="69">
        <v>1801336830</v>
      </c>
      <c r="E1856" s="9"/>
      <c r="F1856" s="25"/>
      <c r="G1856" s="70"/>
      <c r="H1856" s="9"/>
      <c r="I1856" s="8"/>
      <c r="J1856" s="8"/>
      <c r="K1856" s="8"/>
      <c r="L1856" s="8"/>
      <c r="M1856" s="8"/>
    </row>
    <row r="1857" spans="1:13">
      <c r="A1857" s="71" t="s">
        <v>5996</v>
      </c>
      <c r="B1857" s="67">
        <v>23709530806</v>
      </c>
      <c r="C1857" s="72"/>
      <c r="D1857" s="69"/>
      <c r="E1857" s="9">
        <v>810</v>
      </c>
      <c r="F1857" s="25">
        <v>42915</v>
      </c>
      <c r="G1857" s="70" t="s">
        <v>3356</v>
      </c>
      <c r="H1857" s="9"/>
      <c r="I1857" s="8"/>
      <c r="J1857" s="8"/>
      <c r="K1857" s="8"/>
      <c r="L1857" s="9" t="s">
        <v>3475</v>
      </c>
      <c r="M1857" s="8"/>
    </row>
    <row r="1858" spans="1:13">
      <c r="A1858" s="71" t="s">
        <v>5997</v>
      </c>
      <c r="B1858" s="67">
        <v>15217360810</v>
      </c>
      <c r="C1858" s="72"/>
      <c r="D1858" s="69"/>
      <c r="E1858" s="9">
        <v>85</v>
      </c>
      <c r="F1858" s="25">
        <v>43109</v>
      </c>
      <c r="G1858" s="70" t="s">
        <v>3356</v>
      </c>
      <c r="H1858" s="25">
        <v>43151</v>
      </c>
      <c r="I1858" s="8"/>
      <c r="J1858" s="8"/>
      <c r="K1858" s="8"/>
      <c r="L1858" s="8"/>
      <c r="M1858" s="8"/>
    </row>
    <row r="1859" spans="1:13">
      <c r="A1859" s="71" t="s">
        <v>5998</v>
      </c>
      <c r="B1859" s="67">
        <v>32752183879</v>
      </c>
      <c r="C1859" s="72" t="s">
        <v>5999</v>
      </c>
      <c r="D1859" s="69">
        <v>15202346867</v>
      </c>
      <c r="E1859" s="9">
        <v>85</v>
      </c>
      <c r="F1859" s="25">
        <v>43109</v>
      </c>
      <c r="G1859" s="70" t="s">
        <v>3356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6000</v>
      </c>
      <c r="B1860" s="67">
        <v>18472650812</v>
      </c>
      <c r="C1860" s="18"/>
      <c r="D1860" s="69"/>
      <c r="E1860" s="9"/>
      <c r="F1860" s="25"/>
      <c r="G1860" s="70"/>
      <c r="H1860" s="9"/>
      <c r="I1860" s="8"/>
      <c r="J1860" s="8"/>
      <c r="K1860" s="8"/>
      <c r="L1860" s="8"/>
      <c r="M1860" s="8"/>
    </row>
    <row r="1861" spans="1:13">
      <c r="A1861" s="13" t="s">
        <v>6001</v>
      </c>
      <c r="B1861" s="67">
        <v>13622732873</v>
      </c>
      <c r="C1861" s="68"/>
      <c r="D1861" s="69"/>
      <c r="E1861" s="9"/>
      <c r="F1861" s="25"/>
      <c r="G1861" s="70" t="s">
        <v>3356</v>
      </c>
      <c r="H1861" s="9"/>
      <c r="I1861" s="8"/>
      <c r="J1861" s="8"/>
      <c r="K1861" s="8"/>
      <c r="L1861" s="8"/>
      <c r="M1861" s="8"/>
    </row>
    <row r="1862" spans="1:13">
      <c r="A1862" s="71" t="s">
        <v>6002</v>
      </c>
      <c r="B1862" s="67">
        <v>15767152802</v>
      </c>
      <c r="C1862" s="72"/>
      <c r="D1862" s="69"/>
      <c r="E1862" s="9"/>
      <c r="F1862" s="25"/>
      <c r="G1862" s="70"/>
      <c r="H1862" s="9"/>
      <c r="I1862" s="8"/>
      <c r="J1862" s="8"/>
      <c r="K1862" s="8"/>
      <c r="L1862" s="8"/>
      <c r="M1862" s="8"/>
    </row>
    <row r="1863" spans="1:13">
      <c r="A1863" s="71" t="s">
        <v>6003</v>
      </c>
      <c r="B1863" s="67">
        <v>17094778813</v>
      </c>
      <c r="C1863" s="72" t="s">
        <v>6004</v>
      </c>
      <c r="D1863" s="69">
        <v>52431843734</v>
      </c>
      <c r="E1863" s="9">
        <v>573</v>
      </c>
      <c r="F1863" s="25">
        <v>43224</v>
      </c>
      <c r="G1863" s="70"/>
      <c r="H1863" s="9"/>
      <c r="I1863" s="8"/>
      <c r="J1863" s="8"/>
      <c r="K1863" s="8"/>
      <c r="L1863" s="8"/>
      <c r="M1863" s="8"/>
    </row>
    <row r="1864" spans="1:13">
      <c r="A1864" s="71" t="s">
        <v>6005</v>
      </c>
      <c r="B1864" s="67"/>
      <c r="C1864" s="72" t="s">
        <v>6006</v>
      </c>
      <c r="D1864" s="69"/>
      <c r="E1864" s="9"/>
      <c r="F1864" s="25"/>
      <c r="G1864" s="70"/>
      <c r="H1864" s="9"/>
      <c r="I1864" s="8"/>
      <c r="J1864" s="8"/>
      <c r="K1864" s="8"/>
      <c r="L1864" s="8"/>
      <c r="M1864" s="8"/>
    </row>
    <row r="1865" spans="1:13">
      <c r="A1865" s="73" t="s">
        <v>6007</v>
      </c>
      <c r="B1865" s="67">
        <v>43289674878</v>
      </c>
      <c r="C1865" s="72" t="s">
        <v>6008</v>
      </c>
      <c r="D1865" s="69">
        <v>39726735823</v>
      </c>
      <c r="E1865" s="9">
        <v>810</v>
      </c>
      <c r="F1865" s="25">
        <v>42915</v>
      </c>
      <c r="G1865" s="70" t="s">
        <v>3356</v>
      </c>
      <c r="H1865" s="9"/>
      <c r="I1865" s="8"/>
      <c r="J1865" s="8"/>
      <c r="K1865" s="8"/>
      <c r="L1865" s="9" t="s">
        <v>3475</v>
      </c>
      <c r="M1865" s="8"/>
    </row>
    <row r="1866" spans="1:13">
      <c r="A1866" s="29" t="s">
        <v>6009</v>
      </c>
      <c r="B1866" s="67">
        <v>3778856812</v>
      </c>
      <c r="C1866" s="18" t="s">
        <v>3466</v>
      </c>
      <c r="D1866" s="69"/>
      <c r="E1866" s="9"/>
      <c r="F1866" s="25"/>
      <c r="G1866" s="70"/>
      <c r="H1866" s="9"/>
      <c r="I1866" s="8"/>
      <c r="J1866" s="8"/>
      <c r="K1866" s="8"/>
      <c r="L1866" s="8"/>
      <c r="M1866" s="8"/>
    </row>
    <row r="1867" spans="1:13">
      <c r="A1867" s="29" t="s">
        <v>6010</v>
      </c>
      <c r="B1867" s="67">
        <v>36074731888</v>
      </c>
      <c r="C1867" s="29" t="s">
        <v>3466</v>
      </c>
      <c r="D1867" s="69"/>
      <c r="E1867" s="9"/>
      <c r="F1867" s="25"/>
      <c r="G1867" s="70"/>
      <c r="H1867" s="9"/>
      <c r="I1867" s="8"/>
      <c r="J1867" s="8"/>
      <c r="K1867" s="8"/>
      <c r="L1867" s="8"/>
      <c r="M1867" s="8"/>
    </row>
    <row r="1868" spans="1:13">
      <c r="A1868" s="71" t="s">
        <v>6011</v>
      </c>
      <c r="B1868" s="67">
        <v>24627830831</v>
      </c>
      <c r="C1868" s="72"/>
      <c r="D1868" s="69"/>
      <c r="E1868" s="9"/>
      <c r="F1868" s="25"/>
      <c r="G1868" s="70"/>
      <c r="H1868" s="9"/>
      <c r="I1868" s="8"/>
      <c r="J1868" s="8"/>
      <c r="K1868" s="8"/>
      <c r="L1868" s="8"/>
      <c r="M1868" s="8"/>
    </row>
    <row r="1869" spans="1:13">
      <c r="A1869" s="71" t="s">
        <v>6012</v>
      </c>
      <c r="B1869" s="67">
        <v>4781728855</v>
      </c>
      <c r="C1869" s="72"/>
      <c r="D1869" s="69"/>
      <c r="E1869" s="9">
        <v>1752</v>
      </c>
      <c r="F1869" s="25">
        <v>43051</v>
      </c>
      <c r="G1869" s="70" t="s">
        <v>3356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6013</v>
      </c>
      <c r="B1870" s="67">
        <v>24604031860</v>
      </c>
      <c r="C1870" s="72"/>
      <c r="D1870" s="69"/>
      <c r="E1870" s="9">
        <v>563</v>
      </c>
      <c r="F1870" s="25">
        <v>43217</v>
      </c>
      <c r="G1870" s="70"/>
      <c r="H1870" s="9"/>
      <c r="I1870" s="8"/>
      <c r="J1870" s="8"/>
      <c r="K1870" s="8"/>
      <c r="L1870" s="9" t="s">
        <v>3636</v>
      </c>
      <c r="M1870" s="8"/>
    </row>
    <row r="1871" spans="1:13">
      <c r="A1871" s="71" t="s">
        <v>6014</v>
      </c>
      <c r="B1871" s="67">
        <v>4947795514</v>
      </c>
      <c r="C1871" s="72"/>
      <c r="D1871" s="69"/>
      <c r="E1871" s="9"/>
      <c r="F1871" s="25"/>
      <c r="G1871" s="70"/>
      <c r="H1871" s="9"/>
      <c r="I1871" s="8"/>
      <c r="J1871" s="8"/>
      <c r="K1871" s="8"/>
      <c r="L1871" s="8"/>
      <c r="M1871" s="8"/>
    </row>
    <row r="1872" spans="1:13">
      <c r="A1872" s="71" t="s">
        <v>6015</v>
      </c>
      <c r="B1872" s="67">
        <v>30969153856</v>
      </c>
      <c r="C1872" s="72"/>
      <c r="D1872" s="69"/>
      <c r="E1872" s="9">
        <v>1824</v>
      </c>
      <c r="F1872" s="25">
        <v>43091</v>
      </c>
      <c r="G1872" s="70" t="s">
        <v>3356</v>
      </c>
      <c r="H1872" s="9"/>
      <c r="I1872" s="8"/>
      <c r="J1872" s="8"/>
      <c r="K1872" s="8"/>
      <c r="L1872" s="9">
        <v>1828</v>
      </c>
      <c r="M1872" s="8"/>
    </row>
    <row r="1873" spans="1:13">
      <c r="A1873" s="71" t="s">
        <v>6016</v>
      </c>
      <c r="B1873" s="67">
        <v>35885861803</v>
      </c>
      <c r="C1873" s="72" t="s">
        <v>6017</v>
      </c>
      <c r="D1873" s="69">
        <v>41692376845</v>
      </c>
      <c r="E1873" s="9"/>
      <c r="F1873" s="25"/>
      <c r="G1873" s="70"/>
      <c r="H1873" s="9"/>
      <c r="I1873" s="8"/>
      <c r="J1873" s="8"/>
      <c r="K1873" s="8"/>
      <c r="L1873" s="8"/>
      <c r="M1873" s="8"/>
    </row>
    <row r="1874" spans="1:13">
      <c r="A1874" s="71" t="s">
        <v>6018</v>
      </c>
      <c r="B1874" s="67">
        <v>12446748856</v>
      </c>
      <c r="C1874" s="72"/>
      <c r="D1874" s="69"/>
      <c r="E1874" s="9">
        <v>485</v>
      </c>
      <c r="F1874" s="25">
        <v>43196</v>
      </c>
      <c r="G1874" s="70"/>
      <c r="H1874" s="9"/>
      <c r="I1874" s="8"/>
      <c r="J1874" s="8"/>
      <c r="K1874" s="8"/>
      <c r="L1874" s="9">
        <v>483</v>
      </c>
      <c r="M1874" s="8"/>
    </row>
    <row r="1875" spans="1:13">
      <c r="A1875" s="71" t="s">
        <v>6019</v>
      </c>
      <c r="B1875" s="67">
        <v>11324145803</v>
      </c>
      <c r="C1875" s="72"/>
      <c r="D1875" s="69"/>
      <c r="E1875" s="9">
        <v>810</v>
      </c>
      <c r="F1875" s="25">
        <v>42915</v>
      </c>
      <c r="G1875" s="70" t="s">
        <v>3356</v>
      </c>
      <c r="H1875" s="9"/>
      <c r="I1875" s="8"/>
      <c r="J1875" s="8"/>
      <c r="K1875" s="8"/>
      <c r="L1875" s="9" t="s">
        <v>3475</v>
      </c>
      <c r="M1875" s="8"/>
    </row>
    <row r="1876" spans="1:13">
      <c r="A1876" s="13" t="s">
        <v>6020</v>
      </c>
      <c r="B1876" s="67">
        <v>14888258821</v>
      </c>
      <c r="C1876" s="72" t="s">
        <v>6021</v>
      </c>
      <c r="D1876" s="69">
        <v>9173891827</v>
      </c>
      <c r="E1876" s="9">
        <v>229</v>
      </c>
      <c r="F1876" s="25">
        <v>43151</v>
      </c>
      <c r="G1876" s="70" t="s">
        <v>3356</v>
      </c>
      <c r="H1876" s="9"/>
      <c r="I1876" s="8"/>
      <c r="J1876" s="8"/>
      <c r="K1876" s="8"/>
      <c r="L1876" s="9">
        <v>232</v>
      </c>
      <c r="M1876" s="8"/>
    </row>
    <row r="1877" spans="1:13">
      <c r="A1877" s="71" t="s">
        <v>6022</v>
      </c>
      <c r="B1877" s="67">
        <v>9692183729</v>
      </c>
      <c r="C1877" s="72"/>
      <c r="D1877" s="69"/>
      <c r="E1877" s="9">
        <v>1439</v>
      </c>
      <c r="F1877" s="25">
        <v>43025</v>
      </c>
      <c r="G1877" s="70" t="s">
        <v>3356</v>
      </c>
      <c r="H1877" s="9"/>
      <c r="I1877" s="8"/>
      <c r="J1877" s="8"/>
      <c r="K1877" s="8"/>
      <c r="L1877" s="9" t="s">
        <v>3838</v>
      </c>
      <c r="M1877" s="8"/>
    </row>
    <row r="1878" spans="1:13">
      <c r="A1878" s="73" t="s">
        <v>6023</v>
      </c>
      <c r="B1878" s="67">
        <v>36238125870</v>
      </c>
      <c r="C1878" s="72" t="s">
        <v>6024</v>
      </c>
      <c r="D1878" s="69">
        <v>44321368391</v>
      </c>
      <c r="E1878" s="9">
        <v>1106</v>
      </c>
      <c r="F1878" s="25">
        <v>42965</v>
      </c>
      <c r="G1878" s="70" t="s">
        <v>3356</v>
      </c>
      <c r="H1878" s="9"/>
      <c r="I1878" s="8"/>
      <c r="J1878" s="8"/>
      <c r="K1878" s="8"/>
      <c r="L1878" s="8"/>
      <c r="M1878" s="8"/>
    </row>
    <row r="1879" spans="1:13">
      <c r="A1879" s="71" t="s">
        <v>6025</v>
      </c>
      <c r="B1879" s="67">
        <v>39131693857</v>
      </c>
      <c r="C1879" s="72"/>
      <c r="D1879" s="69"/>
      <c r="E1879" s="9">
        <v>292</v>
      </c>
      <c r="F1879" s="25">
        <v>43168</v>
      </c>
      <c r="G1879" s="70" t="s">
        <v>3356</v>
      </c>
      <c r="H1879" s="9"/>
      <c r="I1879" s="8"/>
      <c r="J1879" s="8"/>
      <c r="K1879" s="8"/>
      <c r="L1879" s="9">
        <v>318</v>
      </c>
      <c r="M1879" s="8"/>
    </row>
    <row r="1880" spans="1:13">
      <c r="A1880" s="71" t="s">
        <v>6026</v>
      </c>
      <c r="B1880" s="67">
        <v>11317085809</v>
      </c>
      <c r="C1880" s="72"/>
      <c r="D1880" s="69"/>
      <c r="E1880" s="9"/>
      <c r="F1880" s="25"/>
      <c r="G1880" s="70"/>
      <c r="H1880" s="9"/>
      <c r="I1880" s="8"/>
      <c r="J1880" s="8"/>
      <c r="K1880" s="8"/>
      <c r="L1880" s="8"/>
      <c r="M1880" s="8"/>
    </row>
    <row r="1881" spans="1:13">
      <c r="A1881" s="29" t="s">
        <v>6027</v>
      </c>
      <c r="B1881" s="67">
        <v>25970465836</v>
      </c>
      <c r="C1881" s="29" t="s">
        <v>6028</v>
      </c>
      <c r="D1881" s="69">
        <v>22294921879</v>
      </c>
      <c r="E1881" s="9"/>
      <c r="F1881" s="25"/>
      <c r="G1881" s="70"/>
      <c r="H1881" s="9"/>
      <c r="I1881" s="8"/>
      <c r="J1881" s="8"/>
      <c r="K1881" s="8"/>
      <c r="L1881" s="8"/>
      <c r="M1881" s="8"/>
    </row>
    <row r="1882" spans="1:13">
      <c r="A1882" s="72" t="s">
        <v>6029</v>
      </c>
      <c r="B1882" s="67">
        <v>26569869825</v>
      </c>
      <c r="C1882" s="15" t="s">
        <v>6030</v>
      </c>
      <c r="D1882" s="69">
        <v>60505249553</v>
      </c>
      <c r="E1882" s="9"/>
      <c r="F1882" s="25"/>
      <c r="G1882" s="70"/>
      <c r="H1882" s="9"/>
      <c r="I1882" s="8"/>
      <c r="J1882" s="8"/>
      <c r="K1882" s="8"/>
      <c r="L1882" s="8"/>
      <c r="M1882" s="8"/>
    </row>
    <row r="1883" spans="1:13">
      <c r="A1883" s="73" t="s">
        <v>6031</v>
      </c>
      <c r="B1883" s="67">
        <v>87835053349</v>
      </c>
      <c r="C1883" s="72" t="s">
        <v>6032</v>
      </c>
      <c r="D1883" s="69">
        <v>18172850840</v>
      </c>
      <c r="E1883" s="9">
        <v>1106</v>
      </c>
      <c r="F1883" s="25">
        <v>42965</v>
      </c>
      <c r="G1883" s="70" t="s">
        <v>3356</v>
      </c>
      <c r="H1883" s="9"/>
      <c r="I1883" s="8"/>
      <c r="J1883" s="8"/>
      <c r="K1883" s="8"/>
      <c r="L1883" s="8"/>
      <c r="M1883" s="8"/>
    </row>
    <row r="1884" spans="1:13">
      <c r="A1884" s="71" t="s">
        <v>6033</v>
      </c>
      <c r="B1884" s="67">
        <v>6109739839</v>
      </c>
      <c r="C1884" s="77"/>
      <c r="D1884" s="69"/>
      <c r="E1884" s="9">
        <v>563</v>
      </c>
      <c r="F1884" s="25">
        <v>43217</v>
      </c>
      <c r="G1884" s="70"/>
      <c r="H1884" s="9"/>
      <c r="I1884" s="8"/>
      <c r="J1884" s="8"/>
      <c r="K1884" s="8"/>
      <c r="L1884" s="9" t="s">
        <v>3636</v>
      </c>
      <c r="M1884" s="8"/>
    </row>
    <row r="1885" spans="1:13">
      <c r="A1885" s="72" t="s">
        <v>6034</v>
      </c>
      <c r="B1885" s="67">
        <v>32747471810</v>
      </c>
      <c r="C1885" s="72" t="s">
        <v>6035</v>
      </c>
      <c r="D1885" s="69">
        <v>89906810491</v>
      </c>
      <c r="E1885" s="9"/>
      <c r="F1885" s="25"/>
      <c r="G1885" s="70"/>
      <c r="H1885" s="9"/>
      <c r="I1885" s="8"/>
      <c r="J1885" s="8"/>
      <c r="K1885" s="8"/>
      <c r="L1885" s="8"/>
      <c r="M1885" s="8"/>
    </row>
    <row r="1886" spans="1:13">
      <c r="A1886" s="84" t="s">
        <v>6036</v>
      </c>
      <c r="B1886" s="67">
        <v>8885841805</v>
      </c>
      <c r="C1886" s="72"/>
      <c r="D1886" s="69"/>
      <c r="E1886" s="9"/>
      <c r="F1886" s="25"/>
      <c r="G1886" s="70"/>
      <c r="H1886" s="9"/>
      <c r="I1886" s="8"/>
      <c r="J1886" s="8"/>
      <c r="K1886" s="8"/>
      <c r="L1886" s="8"/>
      <c r="M1886" s="8"/>
    </row>
    <row r="1887" spans="1:13">
      <c r="A1887" s="71" t="s">
        <v>6037</v>
      </c>
      <c r="B1887" s="67">
        <v>2190954347</v>
      </c>
      <c r="C1887" s="72"/>
      <c r="D1887" s="69"/>
      <c r="E1887" s="9">
        <v>292</v>
      </c>
      <c r="F1887" s="25">
        <v>43168</v>
      </c>
      <c r="G1887" s="70" t="s">
        <v>3356</v>
      </c>
      <c r="H1887" s="9"/>
      <c r="I1887" s="8"/>
      <c r="J1887" s="8"/>
      <c r="K1887" s="8"/>
      <c r="L1887" s="9">
        <v>318</v>
      </c>
      <c r="M1887" s="8"/>
    </row>
    <row r="1888" spans="1:13">
      <c r="A1888" s="73" t="s">
        <v>6038</v>
      </c>
      <c r="B1888" s="67">
        <v>31413965822</v>
      </c>
      <c r="C1888" s="72" t="s">
        <v>6039</v>
      </c>
      <c r="D1888" s="69">
        <v>17486425882</v>
      </c>
      <c r="E1888" s="9">
        <v>1106</v>
      </c>
      <c r="F1888" s="25">
        <v>42965</v>
      </c>
      <c r="G1888" s="70" t="s">
        <v>3356</v>
      </c>
      <c r="H1888" s="9"/>
      <c r="I1888" s="8"/>
      <c r="J1888" s="8"/>
      <c r="K1888" s="8"/>
      <c r="L1888" s="8"/>
      <c r="M1888" s="8"/>
    </row>
    <row r="1889" spans="1:13">
      <c r="A1889" s="33" t="s">
        <v>6040</v>
      </c>
      <c r="B1889" s="67">
        <v>35736302861</v>
      </c>
      <c r="C1889" s="72" t="s">
        <v>6041</v>
      </c>
      <c r="D1889" s="69">
        <v>39355200854</v>
      </c>
      <c r="E1889" s="9">
        <v>229</v>
      </c>
      <c r="F1889" s="25">
        <v>43151</v>
      </c>
      <c r="G1889" s="70" t="s">
        <v>3356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6042</v>
      </c>
      <c r="B1890" s="67">
        <v>53868331549</v>
      </c>
      <c r="C1890" s="68"/>
      <c r="D1890" s="69"/>
      <c r="E1890" s="9">
        <v>1128</v>
      </c>
      <c r="F1890" s="25">
        <v>42972</v>
      </c>
      <c r="G1890" s="70" t="s">
        <v>3356</v>
      </c>
      <c r="H1890" s="9"/>
      <c r="I1890" s="8"/>
      <c r="J1890" s="8"/>
      <c r="K1890" s="8"/>
      <c r="L1890" s="8"/>
      <c r="M1890" s="8"/>
    </row>
    <row r="1891" spans="1:13">
      <c r="A1891" s="15" t="s">
        <v>6043</v>
      </c>
      <c r="B1891" s="67">
        <v>16364261825</v>
      </c>
      <c r="C1891" s="72" t="s">
        <v>6044</v>
      </c>
      <c r="D1891" s="69">
        <v>3293003427</v>
      </c>
      <c r="E1891" s="9">
        <v>117</v>
      </c>
      <c r="F1891" s="25">
        <v>43117</v>
      </c>
      <c r="G1891" s="70" t="s">
        <v>3356</v>
      </c>
      <c r="H1891" s="9"/>
      <c r="I1891" s="8"/>
      <c r="J1891" s="8"/>
      <c r="K1891" s="8"/>
      <c r="L1891" s="9" t="s">
        <v>3507</v>
      </c>
      <c r="M1891" s="8"/>
    </row>
    <row r="1892" spans="1:13">
      <c r="A1892" s="84" t="s">
        <v>6045</v>
      </c>
      <c r="B1892" s="67">
        <v>11280854880</v>
      </c>
      <c r="C1892" s="72"/>
      <c r="D1892" s="69"/>
      <c r="E1892" s="9"/>
      <c r="F1892" s="25"/>
      <c r="G1892" s="70"/>
      <c r="H1892" s="9"/>
      <c r="I1892" s="8"/>
      <c r="J1892" s="8"/>
      <c r="K1892" s="8"/>
      <c r="L1892" s="8"/>
      <c r="M1892" s="8"/>
    </row>
    <row r="1893" spans="1:13">
      <c r="A1893" s="71" t="s">
        <v>6046</v>
      </c>
      <c r="B1893" s="67">
        <v>33729129856</v>
      </c>
      <c r="C1893" s="72" t="s">
        <v>6047</v>
      </c>
      <c r="D1893" s="69">
        <v>14661672895</v>
      </c>
      <c r="E1893" s="9"/>
      <c r="F1893" s="25"/>
      <c r="G1893" s="70"/>
      <c r="H1893" s="9"/>
      <c r="I1893" s="8"/>
      <c r="J1893" s="8"/>
      <c r="K1893" s="8"/>
      <c r="L1893" s="8"/>
      <c r="M1893" s="8"/>
    </row>
    <row r="1894" spans="1:13">
      <c r="A1894" s="15" t="s">
        <v>6048</v>
      </c>
      <c r="B1894" s="67">
        <v>27907959837</v>
      </c>
      <c r="C1894" s="72"/>
      <c r="D1894" s="69"/>
      <c r="E1894" s="9">
        <v>292</v>
      </c>
      <c r="F1894" s="25">
        <v>43168</v>
      </c>
      <c r="G1894" s="70" t="s">
        <v>3356</v>
      </c>
      <c r="H1894" s="9"/>
      <c r="I1894" s="8"/>
      <c r="J1894" s="8"/>
      <c r="K1894" s="8"/>
      <c r="L1894" s="9">
        <v>318</v>
      </c>
      <c r="M1894" s="8"/>
    </row>
    <row r="1895" spans="1:13">
      <c r="A1895" s="73" t="s">
        <v>6049</v>
      </c>
      <c r="B1895" s="67">
        <v>6579182458</v>
      </c>
      <c r="C1895" s="72" t="s">
        <v>6050</v>
      </c>
      <c r="D1895" s="69">
        <v>7424068490</v>
      </c>
      <c r="E1895" s="9">
        <v>810</v>
      </c>
      <c r="F1895" s="25">
        <v>42915</v>
      </c>
      <c r="G1895" s="70" t="s">
        <v>3356</v>
      </c>
      <c r="H1895" s="9"/>
      <c r="I1895" s="8"/>
      <c r="J1895" s="8"/>
      <c r="K1895" s="8"/>
      <c r="L1895" s="9" t="s">
        <v>3475</v>
      </c>
      <c r="M1895" s="8"/>
    </row>
    <row r="1896" spans="1:13">
      <c r="A1896" s="71" t="s">
        <v>6051</v>
      </c>
      <c r="B1896" s="67">
        <v>13595937805</v>
      </c>
      <c r="C1896" s="72"/>
      <c r="D1896" s="69"/>
      <c r="E1896" s="9">
        <v>443</v>
      </c>
      <c r="F1896" s="25">
        <v>43188</v>
      </c>
      <c r="G1896" s="70"/>
      <c r="H1896" s="9"/>
      <c r="I1896" s="8"/>
      <c r="J1896" s="8"/>
      <c r="K1896" s="8"/>
      <c r="L1896" s="8"/>
      <c r="M1896" s="8"/>
    </row>
    <row r="1897" spans="1:13">
      <c r="A1897" s="29" t="s">
        <v>6052</v>
      </c>
      <c r="B1897" s="67">
        <v>65195140553</v>
      </c>
      <c r="C1897" s="29" t="s">
        <v>3466</v>
      </c>
      <c r="D1897" s="69"/>
      <c r="E1897" s="9"/>
      <c r="F1897" s="25"/>
      <c r="G1897" s="70"/>
      <c r="H1897" s="9"/>
      <c r="I1897" s="8"/>
      <c r="J1897" s="8"/>
      <c r="K1897" s="8"/>
      <c r="L1897" s="8"/>
      <c r="M1897" s="8"/>
    </row>
    <row r="1898" spans="1:13">
      <c r="A1898" s="71" t="s">
        <v>6053</v>
      </c>
      <c r="B1898" s="67">
        <v>37067391865</v>
      </c>
      <c r="C1898" s="73"/>
      <c r="D1898" s="69"/>
      <c r="E1898" s="9"/>
      <c r="F1898" s="25"/>
      <c r="G1898" s="70"/>
      <c r="H1898" s="9"/>
      <c r="I1898" s="8"/>
      <c r="J1898" s="8"/>
      <c r="K1898" s="8"/>
      <c r="L1898" s="8"/>
      <c r="M1898" s="8"/>
    </row>
    <row r="1899" spans="1:13">
      <c r="A1899" s="71" t="s">
        <v>6053</v>
      </c>
      <c r="B1899" s="67">
        <v>13654285830</v>
      </c>
      <c r="C1899" s="72"/>
      <c r="D1899" s="69"/>
      <c r="E1899" s="9">
        <v>1241</v>
      </c>
      <c r="F1899" s="25">
        <v>42992</v>
      </c>
      <c r="G1899" s="70" t="s">
        <v>3356</v>
      </c>
      <c r="H1899" s="9"/>
      <c r="I1899" s="8"/>
      <c r="J1899" s="8"/>
      <c r="K1899" s="8"/>
      <c r="L1899" s="8"/>
      <c r="M1899" s="8"/>
    </row>
    <row r="1900" spans="1:13">
      <c r="A1900" s="71" t="s">
        <v>6054</v>
      </c>
      <c r="B1900" s="67">
        <v>17146759806</v>
      </c>
      <c r="C1900" s="72" t="s">
        <v>6055</v>
      </c>
      <c r="D1900" s="69">
        <v>39095494896</v>
      </c>
      <c r="E1900" s="9">
        <v>1262</v>
      </c>
      <c r="F1900" s="25">
        <v>42997</v>
      </c>
      <c r="G1900" s="70" t="s">
        <v>3362</v>
      </c>
      <c r="H1900" s="9"/>
      <c r="I1900" s="8"/>
      <c r="J1900" s="8"/>
      <c r="K1900" s="8"/>
      <c r="L1900" s="8"/>
      <c r="M1900" s="8"/>
    </row>
    <row r="1901" spans="1:13">
      <c r="A1901" s="13" t="s">
        <v>6056</v>
      </c>
      <c r="B1901" s="67">
        <v>3893020403</v>
      </c>
      <c r="C1901" s="68" t="s">
        <v>6057</v>
      </c>
      <c r="D1901" s="69">
        <v>31615704809</v>
      </c>
      <c r="E1901" s="9">
        <v>1128</v>
      </c>
      <c r="F1901" s="25">
        <v>42972</v>
      </c>
      <c r="G1901" s="70" t="s">
        <v>3356</v>
      </c>
      <c r="H1901" s="9"/>
      <c r="I1901" s="8"/>
      <c r="J1901" s="8"/>
      <c r="K1901" s="8"/>
      <c r="L1901" s="8"/>
      <c r="M1901" s="8"/>
    </row>
    <row r="1902" spans="1:13">
      <c r="A1902" s="73" t="s">
        <v>6058</v>
      </c>
      <c r="B1902" s="67">
        <v>70116695404</v>
      </c>
      <c r="C1902" s="72" t="s">
        <v>6059</v>
      </c>
      <c r="D1902" s="69">
        <v>66319943491</v>
      </c>
      <c r="E1902" s="9">
        <v>1106</v>
      </c>
      <c r="F1902" s="25">
        <v>42965</v>
      </c>
      <c r="G1902" s="70" t="s">
        <v>3356</v>
      </c>
      <c r="H1902" s="9"/>
      <c r="I1902" s="8"/>
      <c r="J1902" s="8"/>
      <c r="K1902" s="8"/>
      <c r="L1902" s="8"/>
      <c r="M1902" s="8"/>
    </row>
    <row r="1903" spans="1:13">
      <c r="A1903" s="29" t="s">
        <v>6060</v>
      </c>
      <c r="B1903" s="67"/>
      <c r="C1903" s="29" t="s">
        <v>6061</v>
      </c>
      <c r="D1903" s="69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9" t="s">
        <v>6062</v>
      </c>
      <c r="B1904" s="67"/>
      <c r="C1904" s="29" t="s">
        <v>3466</v>
      </c>
      <c r="D1904" s="69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9" t="s">
        <v>6063</v>
      </c>
      <c r="B1905" s="67"/>
      <c r="C1905" s="29" t="s">
        <v>6064</v>
      </c>
      <c r="D1905" s="69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71" t="s">
        <v>6065</v>
      </c>
      <c r="B1906" s="67">
        <v>45803757420</v>
      </c>
      <c r="C1906" s="72"/>
      <c r="D1906" s="69"/>
      <c r="E1906" s="9">
        <v>262</v>
      </c>
      <c r="F1906" s="25">
        <v>43160</v>
      </c>
      <c r="G1906" s="70" t="s">
        <v>3356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71" t="s">
        <v>6066</v>
      </c>
      <c r="B1907" s="67">
        <v>6936214436</v>
      </c>
      <c r="C1907" s="72" t="s">
        <v>6067</v>
      </c>
      <c r="D1907" s="69">
        <v>8583452423</v>
      </c>
      <c r="E1907" s="9">
        <v>85</v>
      </c>
      <c r="F1907" s="25">
        <v>43109</v>
      </c>
      <c r="G1907" s="70" t="s">
        <v>3356</v>
      </c>
      <c r="H1907" s="25">
        <v>43151</v>
      </c>
      <c r="I1907" s="8"/>
      <c r="J1907" s="8"/>
      <c r="K1907" s="8"/>
      <c r="L1907" s="8"/>
      <c r="M1907" s="8"/>
    </row>
    <row r="1908" spans="1:13">
      <c r="A1908" s="71" t="s">
        <v>6068</v>
      </c>
      <c r="B1908" s="67">
        <v>11568834829</v>
      </c>
      <c r="C1908" s="72"/>
      <c r="D1908" s="69"/>
      <c r="E1908" s="9">
        <v>810</v>
      </c>
      <c r="F1908" s="25">
        <v>42915</v>
      </c>
      <c r="G1908" s="70" t="s">
        <v>3356</v>
      </c>
      <c r="H1908" s="9"/>
      <c r="I1908" s="8"/>
      <c r="J1908" s="8"/>
      <c r="K1908" s="8"/>
      <c r="L1908" s="9" t="s">
        <v>3475</v>
      </c>
      <c r="M1908" s="8"/>
    </row>
    <row r="1909" spans="1:13">
      <c r="A1909" s="15" t="s">
        <v>6069</v>
      </c>
      <c r="B1909" s="67">
        <v>14477718349</v>
      </c>
      <c r="C1909" s="72"/>
      <c r="D1909" s="69"/>
      <c r="E1909" s="9">
        <v>85</v>
      </c>
      <c r="F1909" s="25">
        <v>43109</v>
      </c>
      <c r="G1909" s="70" t="s">
        <v>3356</v>
      </c>
      <c r="H1909" s="25">
        <v>43151</v>
      </c>
      <c r="I1909" s="8"/>
      <c r="J1909" s="8"/>
      <c r="K1909" s="8"/>
      <c r="L1909" s="8"/>
      <c r="M1909" s="8"/>
    </row>
    <row r="1910" spans="1:13">
      <c r="A1910" s="29" t="s">
        <v>6070</v>
      </c>
      <c r="B1910" s="67">
        <v>35264817847</v>
      </c>
      <c r="C1910" s="29" t="s">
        <v>3466</v>
      </c>
      <c r="D1910" s="69"/>
      <c r="E1910" s="9"/>
      <c r="F1910" s="25"/>
      <c r="G1910" s="70"/>
      <c r="H1910" s="9"/>
      <c r="I1910" s="8"/>
      <c r="J1910" s="8"/>
      <c r="K1910" s="8"/>
      <c r="L1910" s="8"/>
      <c r="M1910" s="8"/>
    </row>
    <row r="1911" spans="1:13">
      <c r="A1911" s="91" t="s">
        <v>6071</v>
      </c>
      <c r="B1911" s="67">
        <v>64368726472</v>
      </c>
      <c r="C1911" s="72"/>
      <c r="D1911" s="69"/>
      <c r="E1911" s="9"/>
      <c r="F1911" s="25"/>
      <c r="G1911" s="70"/>
      <c r="H1911" s="9"/>
      <c r="I1911" s="8"/>
      <c r="J1911" s="8"/>
      <c r="K1911" s="8"/>
      <c r="L1911" s="8"/>
      <c r="M1911" s="8"/>
    </row>
    <row r="1912" spans="1:13">
      <c r="A1912" s="13" t="s">
        <v>6072</v>
      </c>
      <c r="B1912" s="67">
        <v>55673848404</v>
      </c>
      <c r="C1912" s="68"/>
      <c r="D1912" s="69"/>
      <c r="E1912" s="9">
        <v>1359</v>
      </c>
      <c r="F1912" s="25">
        <v>43006</v>
      </c>
      <c r="G1912" s="70" t="s">
        <v>3356</v>
      </c>
      <c r="H1912" s="9"/>
      <c r="I1912" s="8"/>
      <c r="J1912" s="8"/>
      <c r="K1912" s="8"/>
      <c r="L1912" s="8"/>
      <c r="M1912" s="8"/>
    </row>
    <row r="1913" spans="1:13">
      <c r="A1913" s="71" t="s">
        <v>6073</v>
      </c>
      <c r="B1913" s="67">
        <v>90046226591</v>
      </c>
      <c r="C1913" s="72" t="s">
        <v>6074</v>
      </c>
      <c r="D1913" s="69">
        <v>74829505591</v>
      </c>
      <c r="E1913" s="9">
        <v>262</v>
      </c>
      <c r="F1913" s="25">
        <v>43160</v>
      </c>
      <c r="G1913" s="9" t="s">
        <v>3356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6075</v>
      </c>
      <c r="B1914" s="67">
        <v>29871369867</v>
      </c>
      <c r="C1914" s="72" t="s">
        <v>6076</v>
      </c>
      <c r="D1914" s="69">
        <v>38772217855</v>
      </c>
      <c r="E1914" s="9">
        <v>262</v>
      </c>
      <c r="F1914" s="25">
        <v>43160</v>
      </c>
      <c r="G1914" s="70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71" t="s">
        <v>6077</v>
      </c>
      <c r="B1915" s="67">
        <v>26681571883</v>
      </c>
      <c r="C1915" s="71" t="s">
        <v>6078</v>
      </c>
      <c r="D1915" s="69">
        <v>18465693897</v>
      </c>
      <c r="E1915" s="9">
        <v>292</v>
      </c>
      <c r="F1915" s="25">
        <v>43168</v>
      </c>
      <c r="G1915" s="70" t="s">
        <v>3356</v>
      </c>
      <c r="H1915" s="9"/>
      <c r="I1915" s="8"/>
      <c r="J1915" s="8"/>
      <c r="K1915" s="8"/>
      <c r="L1915" s="9">
        <v>318</v>
      </c>
      <c r="M1915" s="8"/>
    </row>
    <row r="1916" spans="1:13">
      <c r="A1916" s="72" t="s">
        <v>6079</v>
      </c>
      <c r="B1916" s="67">
        <v>37101889115</v>
      </c>
      <c r="C1916" s="72"/>
      <c r="D1916" s="69"/>
      <c r="E1916" s="9"/>
      <c r="F1916" s="25"/>
      <c r="G1916" s="70"/>
      <c r="H1916" s="9"/>
      <c r="I1916" s="8"/>
      <c r="J1916" s="8"/>
      <c r="K1916" s="8"/>
      <c r="L1916" s="8"/>
      <c r="M1916" s="8"/>
    </row>
    <row r="1917" spans="1:13">
      <c r="A1917" s="13" t="s">
        <v>6080</v>
      </c>
      <c r="B1917" s="67">
        <v>26526680801</v>
      </c>
      <c r="C1917" s="68" t="s">
        <v>6081</v>
      </c>
      <c r="D1917" s="69">
        <v>7117205631</v>
      </c>
      <c r="E1917" s="9">
        <v>1128</v>
      </c>
      <c r="F1917" s="25">
        <v>42972</v>
      </c>
      <c r="G1917" s="70" t="s">
        <v>3356</v>
      </c>
      <c r="H1917" s="9"/>
      <c r="I1917" s="8"/>
      <c r="J1917" s="8"/>
      <c r="K1917" s="8"/>
      <c r="L1917" s="8"/>
      <c r="M1917" s="8"/>
    </row>
    <row r="1918" spans="1:13">
      <c r="A1918" s="71" t="s">
        <v>6082</v>
      </c>
      <c r="B1918" s="67">
        <v>67285902420</v>
      </c>
      <c r="C1918" s="72" t="s">
        <v>4852</v>
      </c>
      <c r="D1918" s="69">
        <v>56631421420</v>
      </c>
      <c r="E1918" s="9">
        <v>563</v>
      </c>
      <c r="F1918" s="25">
        <v>43217</v>
      </c>
      <c r="G1918" s="70"/>
      <c r="H1918" s="9"/>
      <c r="I1918" s="8"/>
      <c r="J1918" s="8"/>
      <c r="K1918" s="8"/>
      <c r="L1918" s="9" t="s">
        <v>3636</v>
      </c>
      <c r="M1918" s="8"/>
    </row>
    <row r="1919" spans="1:13">
      <c r="A1919" s="29" t="s">
        <v>6083</v>
      </c>
      <c r="B1919" s="67"/>
      <c r="C1919" s="18" t="s">
        <v>3466</v>
      </c>
      <c r="D1919" s="69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71" t="s">
        <v>6084</v>
      </c>
      <c r="B1920" s="67">
        <v>1097111490</v>
      </c>
      <c r="C1920" s="77" t="s">
        <v>6085</v>
      </c>
      <c r="D1920" s="69">
        <v>1103667432</v>
      </c>
      <c r="E1920" s="9">
        <v>563</v>
      </c>
      <c r="F1920" s="25">
        <v>43217</v>
      </c>
      <c r="G1920" s="70"/>
      <c r="H1920" s="9"/>
      <c r="I1920" s="8"/>
      <c r="J1920" s="8"/>
      <c r="K1920" s="8"/>
      <c r="L1920" s="9" t="s">
        <v>3636</v>
      </c>
      <c r="M1920" s="8"/>
    </row>
    <row r="1921" spans="1:13">
      <c r="A1921" s="71" t="s">
        <v>6086</v>
      </c>
      <c r="B1921" s="67">
        <v>55194443404</v>
      </c>
      <c r="C1921" s="72"/>
      <c r="D1921" s="69"/>
      <c r="E1921" s="9">
        <v>292</v>
      </c>
      <c r="F1921" s="25">
        <v>43168</v>
      </c>
      <c r="G1921" s="70" t="s">
        <v>3356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6087</v>
      </c>
      <c r="B1922" s="67">
        <v>25255733822</v>
      </c>
      <c r="C1922" s="68"/>
      <c r="D1922" s="69"/>
      <c r="E1922" s="9">
        <v>1267</v>
      </c>
      <c r="F1922" s="25">
        <v>42998</v>
      </c>
      <c r="G1922" s="70" t="s">
        <v>3356</v>
      </c>
      <c r="H1922" s="9"/>
      <c r="I1922" s="8"/>
      <c r="J1922" s="8"/>
      <c r="K1922" s="8"/>
      <c r="L1922" s="8"/>
      <c r="M1922" s="8"/>
    </row>
    <row r="1923" spans="1:13">
      <c r="A1923" s="71" t="s">
        <v>6088</v>
      </c>
      <c r="B1923" s="67">
        <v>16756911856</v>
      </c>
      <c r="C1923" s="72" t="s">
        <v>6089</v>
      </c>
      <c r="D1923" s="69">
        <v>10411415808</v>
      </c>
      <c r="E1923" s="9">
        <v>1752</v>
      </c>
      <c r="F1923" s="25">
        <v>43051</v>
      </c>
      <c r="G1923" s="70" t="s">
        <v>3356</v>
      </c>
      <c r="H1923" s="9"/>
      <c r="I1923" s="8"/>
      <c r="J1923" s="8"/>
      <c r="K1923" s="8"/>
      <c r="L1923" s="9">
        <v>1759</v>
      </c>
      <c r="M1923" s="8"/>
    </row>
    <row r="1924" spans="1:13">
      <c r="A1924" s="71" t="s">
        <v>6090</v>
      </c>
      <c r="B1924" s="67">
        <v>35404459867</v>
      </c>
      <c r="C1924" s="72"/>
      <c r="D1924" s="69"/>
      <c r="E1924" s="9">
        <v>443</v>
      </c>
      <c r="F1924" s="25">
        <v>43188</v>
      </c>
      <c r="G1924" s="70"/>
      <c r="H1924" s="9"/>
      <c r="I1924" s="8"/>
      <c r="J1924" s="8"/>
      <c r="K1924" s="8"/>
      <c r="L1924" s="8"/>
      <c r="M1924" s="8"/>
    </row>
    <row r="1925" spans="1:13">
      <c r="A1925" s="71" t="s">
        <v>6091</v>
      </c>
      <c r="B1925" s="67"/>
      <c r="C1925" s="72" t="s">
        <v>6092</v>
      </c>
      <c r="D1925" s="69"/>
      <c r="E1925" s="9"/>
      <c r="F1925" s="25"/>
      <c r="G1925" s="70"/>
      <c r="H1925" s="9"/>
      <c r="I1925" s="8"/>
      <c r="J1925" s="8"/>
      <c r="K1925" s="8"/>
      <c r="L1925" s="8"/>
      <c r="M1925" s="8"/>
    </row>
    <row r="1926" spans="1:13">
      <c r="A1926" s="13" t="s">
        <v>6093</v>
      </c>
      <c r="B1926" s="67">
        <v>32387950828</v>
      </c>
      <c r="C1926" s="72"/>
      <c r="D1926" s="69"/>
      <c r="E1926" s="9">
        <v>1350</v>
      </c>
      <c r="F1926" s="25">
        <v>43006</v>
      </c>
      <c r="G1926" s="70" t="s">
        <v>3362</v>
      </c>
      <c r="H1926" s="9"/>
      <c r="I1926" s="8"/>
      <c r="J1926" s="8"/>
      <c r="K1926" s="8"/>
      <c r="L1926" s="8"/>
      <c r="M1926" s="8"/>
    </row>
    <row r="1927" spans="1:13">
      <c r="A1927" s="72" t="s">
        <v>6094</v>
      </c>
      <c r="B1927" s="67">
        <v>12592280880</v>
      </c>
      <c r="C1927" s="72"/>
      <c r="D1927" s="69"/>
      <c r="E1927" s="9"/>
      <c r="F1927" s="25"/>
      <c r="G1927" s="70"/>
      <c r="H1927" s="9"/>
      <c r="I1927" s="8"/>
      <c r="J1927" s="8"/>
      <c r="K1927" s="8"/>
      <c r="L1927" s="8"/>
      <c r="M1927" s="8"/>
    </row>
    <row r="1928" spans="1:13">
      <c r="A1928" s="13" t="s">
        <v>6095</v>
      </c>
      <c r="B1928" s="67">
        <v>29754197830</v>
      </c>
      <c r="C1928" s="72"/>
      <c r="D1928" s="69"/>
      <c r="E1928" s="9">
        <v>1439</v>
      </c>
      <c r="F1928" s="25">
        <v>43025</v>
      </c>
      <c r="G1928" s="70" t="s">
        <v>3356</v>
      </c>
      <c r="H1928" s="9"/>
      <c r="I1928" s="8"/>
      <c r="J1928" s="8"/>
      <c r="K1928" s="8"/>
      <c r="L1928" s="9" t="s">
        <v>3838</v>
      </c>
      <c r="M1928" s="8"/>
    </row>
    <row r="1929" spans="1:13">
      <c r="A1929" s="29" t="s">
        <v>6096</v>
      </c>
      <c r="B1929" s="67"/>
      <c r="C1929" s="29" t="s">
        <v>3466</v>
      </c>
      <c r="D1929" s="69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9" t="s">
        <v>6097</v>
      </c>
      <c r="B1930" s="67"/>
      <c r="C1930" s="29" t="s">
        <v>6098</v>
      </c>
      <c r="D1930" s="69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71" t="s">
        <v>6099</v>
      </c>
      <c r="B1931" s="67">
        <v>18966143881</v>
      </c>
      <c r="C1931" s="72"/>
      <c r="D1931" s="69"/>
      <c r="E1931" s="9">
        <v>292</v>
      </c>
      <c r="F1931" s="25">
        <v>43168</v>
      </c>
      <c r="G1931" s="9" t="s">
        <v>3356</v>
      </c>
      <c r="H1931" s="9"/>
      <c r="I1931" s="8"/>
      <c r="J1931" s="8"/>
      <c r="K1931" s="8"/>
      <c r="L1931" s="9">
        <v>318</v>
      </c>
      <c r="M1931" s="8"/>
    </row>
    <row r="1932" spans="1:13">
      <c r="A1932" s="71" t="s">
        <v>6100</v>
      </c>
      <c r="B1932" s="67">
        <v>30900118830</v>
      </c>
      <c r="C1932" s="72" t="s">
        <v>6101</v>
      </c>
      <c r="D1932" s="69">
        <v>22393785817</v>
      </c>
      <c r="E1932" s="9">
        <v>443</v>
      </c>
      <c r="F1932" s="25">
        <v>43188</v>
      </c>
      <c r="G1932" s="70"/>
      <c r="H1932" s="9"/>
      <c r="I1932" s="8"/>
      <c r="J1932" s="8"/>
      <c r="K1932" s="8"/>
      <c r="L1932" s="8"/>
      <c r="M1932" s="8"/>
    </row>
    <row r="1933" spans="1:13">
      <c r="A1933" s="18" t="s">
        <v>6102</v>
      </c>
      <c r="B1933" s="67">
        <v>64217299400</v>
      </c>
      <c r="C1933" s="18" t="s">
        <v>6103</v>
      </c>
      <c r="D1933" s="69">
        <v>88018997420</v>
      </c>
      <c r="E1933" s="9"/>
      <c r="F1933" s="25"/>
      <c r="G1933" s="70"/>
      <c r="H1933" s="9"/>
      <c r="I1933" s="8"/>
      <c r="J1933" s="8"/>
      <c r="K1933" s="8"/>
      <c r="L1933" s="8"/>
      <c r="M1933" s="8"/>
    </row>
    <row r="1934" spans="1:13">
      <c r="A1934" s="71" t="s">
        <v>6104</v>
      </c>
      <c r="B1934" s="67">
        <v>29739089810</v>
      </c>
      <c r="C1934" s="72"/>
      <c r="D1934" s="69"/>
      <c r="E1934" s="9"/>
      <c r="F1934" s="25"/>
      <c r="G1934" s="70"/>
      <c r="H1934" s="9"/>
      <c r="I1934" s="8"/>
      <c r="J1934" s="8"/>
      <c r="K1934" s="8"/>
      <c r="L1934" s="8"/>
      <c r="M1934" s="8"/>
    </row>
    <row r="1935" spans="1:13">
      <c r="A1935" s="72" t="s">
        <v>6105</v>
      </c>
      <c r="B1935" s="67">
        <v>95875409487</v>
      </c>
      <c r="C1935" s="72" t="s">
        <v>6106</v>
      </c>
      <c r="D1935" s="69">
        <v>64880354449</v>
      </c>
      <c r="E1935" s="9"/>
      <c r="F1935" s="25"/>
      <c r="G1935" s="70"/>
      <c r="H1935" s="9"/>
      <c r="I1935" s="8"/>
      <c r="J1935" s="8"/>
      <c r="K1935" s="8"/>
      <c r="L1935" s="8"/>
      <c r="M1935" s="8"/>
    </row>
    <row r="1936" spans="1:13">
      <c r="A1936" s="18" t="s">
        <v>6107</v>
      </c>
      <c r="B1936" s="67">
        <v>9133441847</v>
      </c>
      <c r="C1936" s="18"/>
      <c r="D1936" s="69"/>
      <c r="E1936" s="9"/>
      <c r="F1936" s="25"/>
      <c r="G1936" s="70"/>
      <c r="H1936" s="9"/>
      <c r="I1936" s="8"/>
      <c r="J1936" s="8"/>
      <c r="K1936" s="8"/>
      <c r="L1936" s="8"/>
      <c r="M1936" s="8"/>
    </row>
    <row r="1937" spans="1:13">
      <c r="A1937" s="71" t="s">
        <v>6108</v>
      </c>
      <c r="B1937" s="67">
        <v>30244279888</v>
      </c>
      <c r="C1937" s="72"/>
      <c r="D1937" s="69"/>
      <c r="E1937" s="9">
        <v>262</v>
      </c>
      <c r="F1937" s="25">
        <v>43160</v>
      </c>
      <c r="G1937" s="9" t="s">
        <v>3356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6109</v>
      </c>
      <c r="B1938" s="67">
        <v>26655730325</v>
      </c>
      <c r="C1938" s="72" t="s">
        <v>6110</v>
      </c>
      <c r="D1938" s="69">
        <v>59222891520</v>
      </c>
      <c r="E1938" s="9">
        <v>262</v>
      </c>
      <c r="F1938" s="25">
        <v>43160</v>
      </c>
      <c r="G1938" s="70" t="s">
        <v>3356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73" t="s">
        <v>6111</v>
      </c>
      <c r="B1939" s="67">
        <v>15696788807</v>
      </c>
      <c r="C1939" s="72" t="s">
        <v>6112</v>
      </c>
      <c r="D1939" s="69">
        <v>4231184801</v>
      </c>
      <c r="E1939" s="9">
        <v>1555</v>
      </c>
      <c r="F1939" s="25">
        <v>43049</v>
      </c>
      <c r="G1939" s="70" t="s">
        <v>3356</v>
      </c>
      <c r="H1939" s="9"/>
      <c r="I1939" s="8"/>
      <c r="J1939" s="8"/>
      <c r="K1939" s="8"/>
      <c r="L1939" s="9" t="s">
        <v>3735</v>
      </c>
      <c r="M1939" s="8"/>
    </row>
    <row r="1940" spans="1:13">
      <c r="A1940" s="71" t="s">
        <v>6113</v>
      </c>
      <c r="B1940" s="67">
        <v>8294730840</v>
      </c>
      <c r="C1940" s="72"/>
      <c r="D1940" s="69"/>
      <c r="E1940" s="9">
        <v>1350</v>
      </c>
      <c r="F1940" s="25">
        <v>43006</v>
      </c>
      <c r="G1940" s="70" t="s">
        <v>3362</v>
      </c>
      <c r="H1940" s="9"/>
      <c r="I1940" s="8"/>
      <c r="J1940" s="8"/>
      <c r="K1940" s="8"/>
      <c r="L1940" s="8"/>
      <c r="M1940" s="8"/>
    </row>
    <row r="1941" spans="1:13">
      <c r="A1941" s="71" t="s">
        <v>6114</v>
      </c>
      <c r="B1941" s="67">
        <v>34620405884</v>
      </c>
      <c r="C1941" s="72"/>
      <c r="D1941" s="69"/>
      <c r="E1941" s="9">
        <v>117</v>
      </c>
      <c r="F1941" s="25">
        <v>43117</v>
      </c>
      <c r="G1941" s="70" t="s">
        <v>3356</v>
      </c>
      <c r="H1941" s="9"/>
      <c r="I1941" s="8"/>
      <c r="J1941" s="8"/>
      <c r="K1941" s="8"/>
      <c r="L1941" s="9" t="s">
        <v>3507</v>
      </c>
      <c r="M1941" s="8"/>
    </row>
    <row r="1942" spans="1:13">
      <c r="A1942" s="71" t="s">
        <v>6115</v>
      </c>
      <c r="B1942" s="67">
        <v>26159082353</v>
      </c>
      <c r="C1942" s="72"/>
      <c r="D1942" s="69"/>
      <c r="E1942" s="9">
        <v>1128</v>
      </c>
      <c r="F1942" s="25">
        <v>42972</v>
      </c>
      <c r="G1942" s="70" t="s">
        <v>3356</v>
      </c>
      <c r="H1942" s="9"/>
      <c r="I1942" s="8"/>
      <c r="J1942" s="8"/>
      <c r="K1942" s="8"/>
      <c r="L1942" s="8"/>
      <c r="M1942" s="8"/>
    </row>
    <row r="1943" spans="1:13">
      <c r="A1943" s="71" t="s">
        <v>6116</v>
      </c>
      <c r="B1943" s="67">
        <v>1280254688</v>
      </c>
      <c r="C1943" s="72" t="s">
        <v>6117</v>
      </c>
      <c r="D1943" s="69">
        <v>16132160841</v>
      </c>
      <c r="E1943" s="9"/>
      <c r="F1943" s="25"/>
      <c r="G1943" s="70"/>
      <c r="H1943" s="9"/>
      <c r="I1943" s="8"/>
      <c r="J1943" s="8"/>
      <c r="K1943" s="8"/>
      <c r="L1943" s="8"/>
      <c r="M1943" s="8"/>
    </row>
    <row r="1944" spans="1:13">
      <c r="A1944" s="13" t="s">
        <v>6118</v>
      </c>
      <c r="B1944" s="67">
        <v>26250260811</v>
      </c>
      <c r="C1944" s="68"/>
      <c r="D1944" s="69"/>
      <c r="E1944" s="9">
        <v>1241</v>
      </c>
      <c r="F1944" s="25">
        <v>42992</v>
      </c>
      <c r="G1944" s="70" t="s">
        <v>3356</v>
      </c>
      <c r="H1944" s="9"/>
      <c r="I1944" s="8"/>
      <c r="J1944" s="8"/>
      <c r="K1944" s="8"/>
      <c r="L1944" s="8"/>
      <c r="M1944" s="8"/>
    </row>
    <row r="1945" spans="1:13">
      <c r="A1945" s="15" t="s">
        <v>6119</v>
      </c>
      <c r="B1945" s="67">
        <v>16141411851</v>
      </c>
      <c r="C1945" s="73"/>
      <c r="D1945" s="69"/>
      <c r="E1945" s="9">
        <v>527</v>
      </c>
      <c r="F1945" s="25">
        <v>43210</v>
      </c>
      <c r="G1945" s="70"/>
      <c r="H1945" s="9"/>
      <c r="I1945" s="8"/>
      <c r="J1945" s="8"/>
      <c r="K1945" s="8"/>
      <c r="L1945" s="9">
        <v>528</v>
      </c>
      <c r="M1945" s="8"/>
    </row>
    <row r="1946" spans="1:13">
      <c r="A1946" s="71" t="s">
        <v>6120</v>
      </c>
      <c r="B1946" s="67">
        <v>34528616866</v>
      </c>
      <c r="C1946" s="72"/>
      <c r="D1946" s="69"/>
      <c r="E1946" s="9"/>
      <c r="F1946" s="25"/>
      <c r="G1946" s="70"/>
      <c r="H1946" s="9"/>
      <c r="I1946" s="8"/>
      <c r="J1946" s="8"/>
      <c r="K1946" s="8"/>
      <c r="L1946" s="8"/>
      <c r="M1946" s="8"/>
    </row>
    <row r="1947" spans="1:13">
      <c r="A1947" s="71" t="s">
        <v>6121</v>
      </c>
      <c r="B1947" s="67">
        <v>15534612827</v>
      </c>
      <c r="C1947" s="72"/>
      <c r="D1947" s="69"/>
      <c r="E1947" s="9">
        <v>1267</v>
      </c>
      <c r="F1947" s="25">
        <v>42998</v>
      </c>
      <c r="G1947" s="70" t="s">
        <v>3356</v>
      </c>
      <c r="H1947" s="9"/>
      <c r="I1947" s="8"/>
      <c r="J1947" s="8"/>
      <c r="K1947" s="8"/>
      <c r="L1947" s="8"/>
      <c r="M1947" s="8"/>
    </row>
    <row r="1948" spans="1:13">
      <c r="A1948" s="14" t="s">
        <v>6122</v>
      </c>
      <c r="B1948" s="67">
        <v>47240902862</v>
      </c>
      <c r="C1948" s="72"/>
      <c r="D1948" s="69"/>
      <c r="E1948" s="9">
        <v>1350</v>
      </c>
      <c r="F1948" s="25">
        <v>43006</v>
      </c>
      <c r="G1948" s="70"/>
      <c r="H1948" s="9"/>
      <c r="I1948" s="8"/>
      <c r="J1948" s="8"/>
      <c r="K1948" s="8"/>
      <c r="L1948" s="8"/>
      <c r="M1948" s="8"/>
    </row>
    <row r="1949" spans="1:13">
      <c r="A1949" s="71" t="s">
        <v>6122</v>
      </c>
      <c r="B1949" s="67">
        <v>33281807453</v>
      </c>
      <c r="C1949" s="72"/>
      <c r="D1949" s="69"/>
      <c r="E1949" s="9">
        <v>229</v>
      </c>
      <c r="F1949" s="25">
        <v>43151</v>
      </c>
      <c r="G1949" s="70" t="s">
        <v>3356</v>
      </c>
      <c r="H1949" s="9"/>
      <c r="I1949" s="8"/>
      <c r="J1949" s="8"/>
      <c r="K1949" s="8"/>
      <c r="L1949" s="9">
        <v>232</v>
      </c>
      <c r="M1949" s="8"/>
    </row>
    <row r="1950" spans="1:13">
      <c r="A1950" s="71" t="s">
        <v>6122</v>
      </c>
      <c r="B1950" s="67">
        <v>7470387838</v>
      </c>
      <c r="C1950" s="72"/>
      <c r="D1950" s="69"/>
      <c r="E1950" s="9">
        <v>292</v>
      </c>
      <c r="F1950" s="25">
        <v>43168</v>
      </c>
      <c r="G1950" s="70" t="s">
        <v>3356</v>
      </c>
      <c r="H1950" s="9"/>
      <c r="I1950" s="8"/>
      <c r="J1950" s="8"/>
      <c r="K1950" s="8"/>
      <c r="L1950" s="9">
        <v>318</v>
      </c>
      <c r="M1950" s="8"/>
    </row>
    <row r="1951" spans="1:13">
      <c r="A1951" s="71" t="s">
        <v>6123</v>
      </c>
      <c r="B1951" s="67">
        <v>13037683805</v>
      </c>
      <c r="C1951" s="72"/>
      <c r="D1951" s="69"/>
      <c r="E1951" s="9"/>
      <c r="F1951" s="25"/>
      <c r="G1951" s="70"/>
      <c r="H1951" s="9"/>
      <c r="I1951" s="8"/>
      <c r="J1951" s="8"/>
      <c r="K1951" s="8"/>
      <c r="L1951" s="8"/>
      <c r="M1951" s="8"/>
    </row>
    <row r="1952" spans="1:13">
      <c r="A1952" s="29" t="s">
        <v>6124</v>
      </c>
      <c r="B1952" s="67">
        <v>33635659843</v>
      </c>
      <c r="C1952" s="29" t="s">
        <v>6125</v>
      </c>
      <c r="D1952" s="69">
        <v>35013582881</v>
      </c>
      <c r="E1952" s="9"/>
      <c r="F1952" s="25"/>
      <c r="G1952" s="70"/>
      <c r="H1952" s="9"/>
      <c r="I1952" s="8"/>
      <c r="J1952" s="8"/>
      <c r="K1952" s="8"/>
      <c r="L1952" s="8"/>
      <c r="M1952" s="8"/>
    </row>
    <row r="1953" spans="1:13">
      <c r="A1953" s="15" t="s">
        <v>6126</v>
      </c>
      <c r="B1953" s="67">
        <v>14888855838</v>
      </c>
      <c r="C1953" s="72"/>
      <c r="D1953" s="69"/>
      <c r="E1953" s="9">
        <v>262</v>
      </c>
      <c r="F1953" s="25">
        <v>43160</v>
      </c>
      <c r="G1953" s="70" t="s">
        <v>3356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71" t="s">
        <v>6126</v>
      </c>
      <c r="B1954" s="67">
        <v>17264992861</v>
      </c>
      <c r="C1954" s="77"/>
      <c r="D1954" s="69"/>
      <c r="E1954" s="9">
        <v>563</v>
      </c>
      <c r="F1954" s="25">
        <v>43217</v>
      </c>
      <c r="G1954" s="70"/>
      <c r="H1954" s="9"/>
      <c r="I1954" s="8"/>
      <c r="J1954" s="8"/>
      <c r="K1954" s="8"/>
      <c r="L1954" s="9" t="s">
        <v>3636</v>
      </c>
      <c r="M1954" s="8"/>
    </row>
    <row r="1955" spans="1:13">
      <c r="A1955" s="71" t="s">
        <v>6127</v>
      </c>
      <c r="B1955" s="67">
        <v>36841231880</v>
      </c>
      <c r="C1955" s="77" t="s">
        <v>6128</v>
      </c>
      <c r="D1955" s="69">
        <v>9406320479</v>
      </c>
      <c r="E1955" s="9"/>
      <c r="F1955" s="25"/>
      <c r="G1955" s="70"/>
      <c r="H1955" s="9"/>
      <c r="I1955" s="8"/>
      <c r="J1955" s="8"/>
      <c r="K1955" s="8"/>
      <c r="L1955" s="8"/>
      <c r="M1955" s="8"/>
    </row>
    <row r="1956" spans="1:13">
      <c r="A1956" s="13" t="s">
        <v>6129</v>
      </c>
      <c r="B1956" s="67">
        <v>22718092823</v>
      </c>
      <c r="C1956" s="68"/>
      <c r="D1956" s="69"/>
      <c r="E1956" s="9">
        <v>1489</v>
      </c>
      <c r="F1956" s="25">
        <v>43038</v>
      </c>
      <c r="G1956" s="70" t="s">
        <v>3356</v>
      </c>
      <c r="H1956" s="9"/>
      <c r="I1956" s="8"/>
      <c r="J1956" s="8"/>
      <c r="K1956" s="8"/>
      <c r="L1956" s="9" t="s">
        <v>3497</v>
      </c>
      <c r="M1956" s="8"/>
    </row>
    <row r="1957" spans="1:13">
      <c r="A1957" s="29" t="s">
        <v>6130</v>
      </c>
      <c r="B1957" s="67"/>
      <c r="C1957" s="29" t="s">
        <v>3466</v>
      </c>
      <c r="D1957" s="69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71" t="s">
        <v>6131</v>
      </c>
      <c r="B1958" s="67">
        <v>25290972838</v>
      </c>
      <c r="C1958" s="72"/>
      <c r="D1958" s="69"/>
      <c r="E1958" s="9">
        <v>262</v>
      </c>
      <c r="F1958" s="25">
        <v>43160</v>
      </c>
      <c r="G1958" s="70" t="s">
        <v>3356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9" t="s">
        <v>6132</v>
      </c>
      <c r="B1959" s="67"/>
      <c r="C1959" s="29" t="s">
        <v>6133</v>
      </c>
      <c r="D1959" s="69"/>
      <c r="E1959" s="9"/>
      <c r="F1959" s="25"/>
      <c r="G1959" s="70"/>
      <c r="H1959" s="9"/>
      <c r="I1959" s="8"/>
      <c r="J1959" s="8"/>
      <c r="K1959" s="8"/>
      <c r="L1959" s="8"/>
      <c r="M1959" s="8"/>
    </row>
    <row r="1960" spans="1:13">
      <c r="A1960" s="71" t="s">
        <v>6134</v>
      </c>
      <c r="B1960" s="67">
        <v>18427090200</v>
      </c>
      <c r="C1960" s="72"/>
      <c r="D1960" s="69"/>
      <c r="E1960" s="9"/>
      <c r="F1960" s="25"/>
      <c r="G1960" s="70"/>
      <c r="H1960" s="9"/>
      <c r="I1960" s="8"/>
      <c r="J1960" s="8"/>
      <c r="K1960" s="8"/>
      <c r="L1960" s="8"/>
      <c r="M1960" s="8"/>
    </row>
    <row r="1961" spans="1:13">
      <c r="A1961" s="29" t="s">
        <v>6135</v>
      </c>
      <c r="B1961" s="67">
        <v>64404714734</v>
      </c>
      <c r="C1961" s="29" t="s">
        <v>6136</v>
      </c>
      <c r="D1961" s="69">
        <v>3670981802</v>
      </c>
      <c r="E1961" s="9"/>
      <c r="F1961" s="25"/>
      <c r="G1961" s="70"/>
      <c r="H1961" s="9"/>
      <c r="I1961" s="8"/>
      <c r="J1961" s="8"/>
      <c r="K1961" s="8"/>
      <c r="L1961" s="8"/>
      <c r="M1961" s="8"/>
    </row>
    <row r="1962" spans="1:13">
      <c r="A1962" s="29" t="s">
        <v>6137</v>
      </c>
      <c r="B1962" s="67">
        <v>29783527878</v>
      </c>
      <c r="C1962" s="29" t="s">
        <v>6138</v>
      </c>
      <c r="D1962" s="69">
        <v>58774955420</v>
      </c>
      <c r="E1962" s="9"/>
      <c r="F1962" s="25"/>
      <c r="G1962" s="70"/>
      <c r="H1962" s="9"/>
      <c r="I1962" s="8"/>
      <c r="J1962" s="8"/>
      <c r="K1962" s="8"/>
      <c r="L1962" s="8"/>
      <c r="M1962" s="8"/>
    </row>
    <row r="1963" spans="1:13">
      <c r="A1963" s="71" t="s">
        <v>6139</v>
      </c>
      <c r="B1963" s="67">
        <v>4214616677</v>
      </c>
      <c r="C1963" s="72"/>
      <c r="D1963" s="69"/>
      <c r="E1963" s="9">
        <v>1106</v>
      </c>
      <c r="F1963" s="25">
        <v>42965</v>
      </c>
      <c r="G1963" s="70" t="s">
        <v>3356</v>
      </c>
      <c r="H1963" s="9"/>
      <c r="I1963" s="8"/>
      <c r="J1963" s="8"/>
      <c r="K1963" s="8"/>
      <c r="L1963" s="8"/>
      <c r="M1963" s="8"/>
    </row>
    <row r="1964" spans="1:13">
      <c r="A1964" s="18" t="s">
        <v>6140</v>
      </c>
      <c r="B1964" s="67">
        <v>70155356372</v>
      </c>
      <c r="C1964" s="18" t="s">
        <v>6141</v>
      </c>
      <c r="D1964" s="69">
        <v>111564816</v>
      </c>
      <c r="E1964" s="9"/>
      <c r="F1964" s="25"/>
      <c r="G1964" s="70"/>
      <c r="H1964" s="9"/>
      <c r="I1964" s="8"/>
      <c r="J1964" s="8"/>
      <c r="K1964" s="8"/>
      <c r="L1964" s="8"/>
      <c r="M1964" s="8"/>
    </row>
    <row r="1965" spans="1:13">
      <c r="A1965" s="71" t="s">
        <v>6142</v>
      </c>
      <c r="B1965" s="67">
        <v>4350125337</v>
      </c>
      <c r="C1965" s="72" t="s">
        <v>6143</v>
      </c>
      <c r="D1965" s="69">
        <v>71019016315</v>
      </c>
      <c r="E1965" s="9">
        <v>443</v>
      </c>
      <c r="F1965" s="25">
        <v>43188</v>
      </c>
      <c r="G1965" s="70"/>
      <c r="H1965" s="9"/>
      <c r="I1965" s="8"/>
      <c r="J1965" s="8"/>
      <c r="K1965" s="8"/>
      <c r="L1965" s="8"/>
      <c r="M1965" s="8"/>
    </row>
    <row r="1966" spans="1:13">
      <c r="A1966" s="71" t="s">
        <v>6144</v>
      </c>
      <c r="B1966" s="67">
        <v>30179313827</v>
      </c>
      <c r="C1966" s="72"/>
      <c r="D1966" s="69"/>
      <c r="E1966" s="9">
        <v>1417</v>
      </c>
      <c r="F1966" s="25">
        <v>43017</v>
      </c>
      <c r="G1966" s="70" t="s">
        <v>3370</v>
      </c>
      <c r="H1966" s="9"/>
      <c r="I1966" s="8"/>
      <c r="J1966" s="8"/>
      <c r="K1966" s="8"/>
      <c r="L1966" s="9" t="s">
        <v>3590</v>
      </c>
      <c r="M1966" s="8"/>
    </row>
    <row r="1967" spans="1:13">
      <c r="A1967" s="72" t="s">
        <v>6145</v>
      </c>
      <c r="B1967" s="67">
        <v>3700721897</v>
      </c>
      <c r="C1967" s="72"/>
      <c r="D1967" s="69"/>
      <c r="E1967" s="9">
        <v>292</v>
      </c>
      <c r="F1967" s="25">
        <v>43168</v>
      </c>
      <c r="G1967" s="9" t="s">
        <v>3356</v>
      </c>
      <c r="H1967" s="9"/>
      <c r="I1967" s="8"/>
      <c r="J1967" s="8"/>
      <c r="K1967" s="8"/>
      <c r="L1967" s="9">
        <v>318</v>
      </c>
      <c r="M1967" s="8"/>
    </row>
    <row r="1968" spans="1:13">
      <c r="A1968" s="71" t="s">
        <v>6146</v>
      </c>
      <c r="B1968" s="67">
        <v>604600321</v>
      </c>
      <c r="C1968" s="72"/>
      <c r="D1968" s="69"/>
      <c r="E1968" s="9">
        <v>573</v>
      </c>
      <c r="F1968" s="25">
        <v>43224</v>
      </c>
      <c r="G1968" s="70"/>
      <c r="H1968" s="9"/>
      <c r="I1968" s="8"/>
      <c r="J1968" s="8"/>
      <c r="K1968" s="8"/>
      <c r="L1968" s="8"/>
      <c r="M1968" s="8"/>
    </row>
    <row r="1969" spans="1:13">
      <c r="A1969" s="29" t="s">
        <v>6147</v>
      </c>
      <c r="B1969" s="67"/>
      <c r="C1969" s="29" t="s">
        <v>3466</v>
      </c>
      <c r="D1969" s="69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72" t="s">
        <v>6148</v>
      </c>
      <c r="B1970" s="67">
        <v>49628474812</v>
      </c>
      <c r="C1970" s="72" t="s">
        <v>6149</v>
      </c>
      <c r="D1970" s="69">
        <v>15722198315</v>
      </c>
      <c r="E1970" s="9"/>
      <c r="F1970" s="25"/>
      <c r="G1970" s="70"/>
      <c r="H1970" s="9"/>
      <c r="I1970" s="8"/>
      <c r="J1970" s="8"/>
      <c r="K1970" s="8"/>
      <c r="L1970" s="8"/>
      <c r="M1970" s="8"/>
    </row>
    <row r="1971" spans="1:13">
      <c r="A1971" s="71" t="s">
        <v>6150</v>
      </c>
      <c r="B1971" s="67">
        <v>37473032852</v>
      </c>
      <c r="C1971" s="72" t="s">
        <v>6151</v>
      </c>
      <c r="D1971" s="69">
        <v>21894541820</v>
      </c>
      <c r="E1971" s="9">
        <v>1824</v>
      </c>
      <c r="F1971" s="25">
        <v>43091</v>
      </c>
      <c r="G1971" s="70" t="s">
        <v>3370</v>
      </c>
      <c r="H1971" s="9"/>
      <c r="I1971" s="8"/>
      <c r="J1971" s="8"/>
      <c r="K1971" s="8"/>
      <c r="L1971" s="9">
        <v>1828</v>
      </c>
      <c r="M1971" s="8"/>
    </row>
    <row r="1972" spans="1:13">
      <c r="A1972" s="71" t="s">
        <v>6152</v>
      </c>
      <c r="B1972" s="67">
        <v>36383878875</v>
      </c>
      <c r="C1972" s="72" t="s">
        <v>6153</v>
      </c>
      <c r="D1972" s="69">
        <v>39907872849</v>
      </c>
      <c r="E1972" s="9">
        <v>117</v>
      </c>
      <c r="F1972" s="25">
        <v>43117</v>
      </c>
      <c r="G1972" s="70" t="s">
        <v>3362</v>
      </c>
      <c r="H1972" s="9"/>
      <c r="I1972" s="8"/>
      <c r="J1972" s="8"/>
      <c r="K1972" s="8"/>
      <c r="L1972" s="9" t="s">
        <v>3507</v>
      </c>
      <c r="M1972" s="8"/>
    </row>
    <row r="1973" spans="1:13">
      <c r="A1973" s="71" t="s">
        <v>6154</v>
      </c>
      <c r="B1973" s="67">
        <v>6090418862</v>
      </c>
      <c r="C1973" s="72"/>
      <c r="D1973" s="69"/>
      <c r="E1973" s="9">
        <v>1752</v>
      </c>
      <c r="F1973" s="25">
        <v>43051</v>
      </c>
      <c r="G1973" s="70" t="s">
        <v>3356</v>
      </c>
      <c r="H1973" s="9"/>
      <c r="I1973" s="8"/>
      <c r="J1973" s="8"/>
      <c r="K1973" s="8"/>
      <c r="L1973" s="9">
        <v>1759</v>
      </c>
      <c r="M1973" s="8"/>
    </row>
    <row r="1974" spans="1:13">
      <c r="A1974" s="71" t="s">
        <v>6155</v>
      </c>
      <c r="B1974" s="67">
        <v>10450162842</v>
      </c>
      <c r="C1974" s="72"/>
      <c r="D1974" s="69"/>
      <c r="E1974" s="9">
        <v>1350</v>
      </c>
      <c r="F1974" s="25">
        <v>43006</v>
      </c>
      <c r="G1974" s="70" t="s">
        <v>3356</v>
      </c>
      <c r="H1974" s="9"/>
      <c r="I1974" s="8"/>
      <c r="J1974" s="8"/>
      <c r="K1974" s="8"/>
      <c r="L1974" s="8"/>
      <c r="M1974" s="8"/>
    </row>
    <row r="1975" spans="1:13">
      <c r="A1975" s="71" t="s">
        <v>6155</v>
      </c>
      <c r="B1975" s="67">
        <v>35225850898</v>
      </c>
      <c r="C1975" s="72"/>
      <c r="D1975" s="69"/>
      <c r="E1975" s="9">
        <v>1359</v>
      </c>
      <c r="F1975" s="25">
        <v>43006</v>
      </c>
      <c r="G1975" s="70" t="s">
        <v>3356</v>
      </c>
      <c r="H1975" s="9"/>
      <c r="I1975" s="8"/>
      <c r="J1975" s="8"/>
      <c r="K1975" s="8"/>
      <c r="L1975" s="8"/>
      <c r="M1975" s="8"/>
    </row>
    <row r="1976" spans="1:13">
      <c r="A1976" s="71" t="s">
        <v>6155</v>
      </c>
      <c r="B1976" s="67">
        <v>59991704434</v>
      </c>
      <c r="C1976" s="72"/>
      <c r="D1976" s="69"/>
      <c r="E1976" s="9">
        <v>292</v>
      </c>
      <c r="F1976" s="25">
        <v>43168</v>
      </c>
      <c r="G1976" s="70" t="s">
        <v>3356</v>
      </c>
      <c r="H1976" s="9"/>
      <c r="I1976" s="8"/>
      <c r="J1976" s="8"/>
      <c r="K1976" s="8"/>
      <c r="L1976" s="9">
        <v>318</v>
      </c>
      <c r="M1976" s="8"/>
    </row>
    <row r="1977" spans="1:13">
      <c r="A1977" s="92" t="s">
        <v>6156</v>
      </c>
      <c r="B1977" s="80">
        <v>87102331487</v>
      </c>
      <c r="C1977" s="81" t="s">
        <v>6157</v>
      </c>
      <c r="D1977" s="82">
        <v>44552246453</v>
      </c>
      <c r="E1977" s="47">
        <v>810</v>
      </c>
      <c r="F1977" s="48">
        <v>42915</v>
      </c>
      <c r="G1977" s="83"/>
      <c r="H1977" s="47"/>
      <c r="I1977" s="49"/>
      <c r="J1977" s="49"/>
      <c r="K1977" s="49"/>
      <c r="L1977" s="9" t="s">
        <v>3475</v>
      </c>
      <c r="M1977" s="49"/>
    </row>
    <row r="1978" spans="1:13">
      <c r="A1978" s="15" t="s">
        <v>6158</v>
      </c>
      <c r="B1978" s="67">
        <v>6509259800</v>
      </c>
      <c r="C1978" s="72"/>
      <c r="D1978" s="69"/>
      <c r="E1978" s="9">
        <v>262</v>
      </c>
      <c r="F1978" s="25">
        <v>43160</v>
      </c>
      <c r="G1978" s="70" t="s">
        <v>3356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71" t="s">
        <v>6159</v>
      </c>
      <c r="B1979" s="67">
        <v>58636730449</v>
      </c>
      <c r="C1979" s="72"/>
      <c r="D1979" s="69"/>
      <c r="E1979" s="9">
        <v>292</v>
      </c>
      <c r="F1979" s="25">
        <v>43168</v>
      </c>
      <c r="G1979" s="9" t="s">
        <v>3356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6160</v>
      </c>
      <c r="B1980" s="67">
        <v>7226982838</v>
      </c>
      <c r="C1980" s="72"/>
      <c r="D1980" s="69"/>
      <c r="E1980" s="9">
        <v>229</v>
      </c>
      <c r="F1980" s="25">
        <v>43151</v>
      </c>
      <c r="G1980" s="70" t="s">
        <v>3356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6161</v>
      </c>
      <c r="B1981" s="67">
        <v>6656468870</v>
      </c>
      <c r="C1981" s="72"/>
      <c r="D1981" s="69"/>
      <c r="E1981" s="9">
        <v>117</v>
      </c>
      <c r="F1981" s="25">
        <v>43117</v>
      </c>
      <c r="G1981" s="70" t="s">
        <v>3356</v>
      </c>
      <c r="H1981" s="9"/>
      <c r="I1981" s="8"/>
      <c r="J1981" s="8"/>
      <c r="K1981" s="8"/>
      <c r="L1981" s="9" t="s">
        <v>3507</v>
      </c>
      <c r="M1981" s="8"/>
    </row>
    <row r="1982" spans="1:13">
      <c r="A1982" s="71" t="s">
        <v>6162</v>
      </c>
      <c r="B1982" s="67">
        <v>18360384886</v>
      </c>
      <c r="C1982" s="72" t="s">
        <v>6163</v>
      </c>
      <c r="D1982" s="69">
        <v>28828648848</v>
      </c>
      <c r="E1982" s="9">
        <v>1214</v>
      </c>
      <c r="F1982" s="25">
        <v>42989</v>
      </c>
      <c r="G1982" s="70" t="s">
        <v>3356</v>
      </c>
      <c r="H1982" s="9"/>
      <c r="I1982" s="8"/>
      <c r="J1982" s="8"/>
      <c r="K1982" s="8"/>
      <c r="L1982" s="8"/>
      <c r="M1982" s="8"/>
    </row>
    <row r="1983" spans="1:13">
      <c r="A1983" s="71" t="s">
        <v>6164</v>
      </c>
      <c r="B1983" s="67">
        <v>8224204812</v>
      </c>
      <c r="C1983" s="72" t="s">
        <v>6165</v>
      </c>
      <c r="D1983" s="69">
        <v>5373139823</v>
      </c>
      <c r="E1983" s="9">
        <v>1752</v>
      </c>
      <c r="F1983" s="25">
        <v>43051</v>
      </c>
      <c r="G1983" s="70" t="s">
        <v>3356</v>
      </c>
      <c r="H1983" s="9"/>
      <c r="I1983" s="8"/>
      <c r="J1983" s="8"/>
      <c r="K1983" s="8"/>
      <c r="L1983" s="9">
        <v>1759</v>
      </c>
      <c r="M1983" s="8"/>
    </row>
    <row r="1984" spans="1:13">
      <c r="A1984" s="71" t="s">
        <v>6166</v>
      </c>
      <c r="B1984" s="67">
        <v>61232386200</v>
      </c>
      <c r="C1984" s="72" t="s">
        <v>6167</v>
      </c>
      <c r="D1984" s="69">
        <v>30971900310</v>
      </c>
      <c r="E1984" s="9">
        <v>1267</v>
      </c>
      <c r="F1984" s="25">
        <v>42998</v>
      </c>
      <c r="G1984" s="70" t="s">
        <v>3356</v>
      </c>
      <c r="H1984" s="9"/>
      <c r="I1984" s="8"/>
      <c r="J1984" s="8"/>
      <c r="K1984" s="8"/>
      <c r="L1984" s="8"/>
      <c r="M1984" s="8"/>
    </row>
    <row r="1985" spans="1:13">
      <c r="A1985" s="30" t="s">
        <v>6168</v>
      </c>
      <c r="B1985" s="67">
        <v>68688210420</v>
      </c>
      <c r="C1985" s="32" t="s">
        <v>6169</v>
      </c>
      <c r="D1985" s="69">
        <v>3241531805</v>
      </c>
      <c r="E1985" s="9">
        <v>1570</v>
      </c>
      <c r="F1985" s="25">
        <v>43077</v>
      </c>
      <c r="G1985" s="70" t="s">
        <v>3356</v>
      </c>
      <c r="H1985" s="9"/>
      <c r="I1985" s="8"/>
      <c r="J1985" s="8"/>
      <c r="K1985" s="8"/>
      <c r="L1985" s="8"/>
      <c r="M1985" s="8"/>
    </row>
    <row r="1986" spans="1:13">
      <c r="A1986" s="72" t="s">
        <v>6170</v>
      </c>
      <c r="B1986" s="67">
        <v>5605089480</v>
      </c>
      <c r="C1986" s="72"/>
      <c r="D1986" s="69"/>
      <c r="E1986" s="9">
        <v>292</v>
      </c>
      <c r="F1986" s="25">
        <v>43168</v>
      </c>
      <c r="G1986" s="9" t="s">
        <v>3356</v>
      </c>
      <c r="H1986" s="9"/>
      <c r="I1986" s="8"/>
      <c r="J1986" s="8"/>
      <c r="K1986" s="8"/>
      <c r="L1986" s="9">
        <v>318</v>
      </c>
      <c r="M1986" s="8"/>
    </row>
    <row r="1987" spans="1:13">
      <c r="A1987" s="71" t="s">
        <v>6171</v>
      </c>
      <c r="B1987" s="67">
        <v>33426333449</v>
      </c>
      <c r="C1987" s="68"/>
      <c r="D1987" s="69"/>
      <c r="E1987" s="9">
        <v>1128</v>
      </c>
      <c r="F1987" s="25">
        <v>42972</v>
      </c>
      <c r="G1987" s="70" t="s">
        <v>3356</v>
      </c>
      <c r="H1987" s="9"/>
      <c r="I1987" s="8"/>
      <c r="J1987" s="8"/>
      <c r="K1987" s="8"/>
      <c r="L1987" s="8"/>
      <c r="M1987" s="8"/>
    </row>
    <row r="1988" spans="1:13">
      <c r="A1988" s="71" t="s">
        <v>6172</v>
      </c>
      <c r="B1988" s="67">
        <v>94896623720</v>
      </c>
      <c r="C1988" s="72"/>
      <c r="D1988" s="69"/>
      <c r="E1988" s="9">
        <v>573</v>
      </c>
      <c r="F1988" s="25">
        <v>43224</v>
      </c>
      <c r="G1988" s="70"/>
      <c r="H1988" s="9"/>
      <c r="I1988" s="8"/>
      <c r="J1988" s="8"/>
      <c r="K1988" s="8"/>
      <c r="L1988" s="8"/>
      <c r="M1988" s="8"/>
    </row>
    <row r="1989" spans="1:13">
      <c r="A1989" s="71" t="s">
        <v>6173</v>
      </c>
      <c r="B1989" s="67">
        <v>3383434583</v>
      </c>
      <c r="C1989" s="72"/>
      <c r="D1989" s="69"/>
      <c r="E1989" s="9">
        <v>810</v>
      </c>
      <c r="F1989" s="25">
        <v>42915</v>
      </c>
      <c r="G1989" s="70" t="s">
        <v>3356</v>
      </c>
      <c r="H1989" s="9"/>
      <c r="I1989" s="8"/>
      <c r="J1989" s="8"/>
      <c r="K1989" s="8"/>
      <c r="L1989" s="9" t="s">
        <v>3475</v>
      </c>
      <c r="M1989" s="8"/>
    </row>
    <row r="1990" spans="1:13">
      <c r="A1990" s="71" t="s">
        <v>6174</v>
      </c>
      <c r="B1990" s="67">
        <v>25058405806</v>
      </c>
      <c r="C1990" s="72"/>
      <c r="D1990" s="69"/>
      <c r="E1990" s="9">
        <v>1824</v>
      </c>
      <c r="F1990" s="25">
        <v>43091</v>
      </c>
      <c r="G1990" s="70" t="s">
        <v>3356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6175</v>
      </c>
      <c r="B1991" s="67">
        <v>97260754672</v>
      </c>
      <c r="C1991" s="18"/>
      <c r="D1991" s="69"/>
      <c r="E1991" s="9"/>
      <c r="F1991" s="25"/>
      <c r="G1991" s="70"/>
      <c r="H1991" s="9"/>
      <c r="I1991" s="8"/>
      <c r="J1991" s="8"/>
      <c r="K1991" s="8"/>
      <c r="L1991" s="8"/>
      <c r="M1991" s="8"/>
    </row>
    <row r="1992" spans="1:13">
      <c r="A1992" s="71" t="s">
        <v>6176</v>
      </c>
      <c r="B1992" s="67">
        <v>11458903850</v>
      </c>
      <c r="C1992" s="72"/>
      <c r="D1992" s="69"/>
      <c r="E1992" s="9"/>
      <c r="F1992" s="25"/>
      <c r="G1992" s="70"/>
      <c r="H1992" s="9"/>
      <c r="I1992" s="8"/>
      <c r="J1992" s="8"/>
      <c r="K1992" s="8"/>
      <c r="L1992" s="8"/>
      <c r="M1992" s="8"/>
    </row>
    <row r="1993" spans="1:13">
      <c r="A1993" s="71" t="s">
        <v>6177</v>
      </c>
      <c r="B1993" s="67">
        <v>22566146896</v>
      </c>
      <c r="C1993" s="72" t="s">
        <v>6178</v>
      </c>
      <c r="D1993" s="69">
        <v>12734804816</v>
      </c>
      <c r="E1993" s="9"/>
      <c r="F1993" s="25"/>
      <c r="G1993" s="70"/>
      <c r="H1993" s="9"/>
      <c r="I1993" s="8"/>
      <c r="J1993" s="8"/>
      <c r="K1993" s="8"/>
      <c r="L1993" s="8"/>
      <c r="M1993" s="8"/>
    </row>
    <row r="1994" spans="1:13">
      <c r="A1994" s="71" t="s">
        <v>6179</v>
      </c>
      <c r="B1994" s="67">
        <v>27957199836</v>
      </c>
      <c r="C1994" s="72" t="s">
        <v>6180</v>
      </c>
      <c r="D1994" s="69">
        <v>14369564808</v>
      </c>
      <c r="E1994" s="9">
        <v>292</v>
      </c>
      <c r="F1994" s="25">
        <v>43168</v>
      </c>
      <c r="G1994" s="70" t="s">
        <v>3356</v>
      </c>
      <c r="H1994" s="9"/>
      <c r="I1994" s="8"/>
      <c r="J1994" s="8"/>
      <c r="K1994" s="8"/>
      <c r="L1994" s="9">
        <v>318</v>
      </c>
      <c r="M1994" s="8"/>
    </row>
    <row r="1995" spans="1:13">
      <c r="A1995" s="71" t="s">
        <v>6181</v>
      </c>
      <c r="B1995" s="67">
        <v>18711730862</v>
      </c>
      <c r="C1995" s="72"/>
      <c r="D1995" s="69"/>
      <c r="E1995" s="9">
        <v>1555</v>
      </c>
      <c r="F1995" s="25">
        <v>43049</v>
      </c>
      <c r="G1995" s="70" t="s">
        <v>3356</v>
      </c>
      <c r="H1995" s="9"/>
      <c r="I1995" s="8"/>
      <c r="J1995" s="8"/>
      <c r="K1995" s="8"/>
      <c r="L1995" s="9" t="s">
        <v>3735</v>
      </c>
      <c r="M1995" s="8"/>
    </row>
    <row r="1996" spans="1:13">
      <c r="A1996" s="18" t="s">
        <v>6182</v>
      </c>
      <c r="B1996" s="67"/>
      <c r="C1996" s="18" t="s">
        <v>6183</v>
      </c>
      <c r="D1996" s="69"/>
      <c r="E1996" s="9"/>
      <c r="F1996" s="25"/>
      <c r="G1996" s="70"/>
      <c r="H1996" s="9"/>
      <c r="I1996" s="8"/>
      <c r="J1996" s="8"/>
      <c r="K1996" s="8"/>
      <c r="L1996" s="8"/>
      <c r="M1996" s="8"/>
    </row>
    <row r="1997" spans="1:13">
      <c r="A1997" s="71" t="s">
        <v>6184</v>
      </c>
      <c r="B1997" s="67">
        <v>12723195805</v>
      </c>
      <c r="C1997" s="72" t="s">
        <v>6185</v>
      </c>
      <c r="D1997" s="69">
        <v>34850007520</v>
      </c>
      <c r="E1997" s="9">
        <v>262</v>
      </c>
      <c r="F1997" s="25">
        <v>43160</v>
      </c>
      <c r="G1997" s="70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71" t="s">
        <v>6186</v>
      </c>
      <c r="B1998" s="67">
        <v>15731373833</v>
      </c>
      <c r="C1998" s="75" t="s">
        <v>6187</v>
      </c>
      <c r="D1998" s="69">
        <v>12858074801</v>
      </c>
      <c r="E1998" s="9">
        <v>1106</v>
      </c>
      <c r="F1998" s="25">
        <v>42965</v>
      </c>
      <c r="G1998" s="70" t="s">
        <v>3362</v>
      </c>
      <c r="H1998" s="9"/>
      <c r="I1998" s="8"/>
      <c r="J1998" s="8"/>
      <c r="K1998" s="8"/>
      <c r="L1998" s="8"/>
      <c r="M1998" s="8"/>
    </row>
    <row r="1999" spans="1:13">
      <c r="A1999" s="71" t="s">
        <v>6188</v>
      </c>
      <c r="B1999" s="67">
        <v>31069447811</v>
      </c>
      <c r="C1999" s="72"/>
      <c r="D1999" s="69"/>
      <c r="E1999" s="9">
        <v>810</v>
      </c>
      <c r="F1999" s="25">
        <v>42915</v>
      </c>
      <c r="G1999" s="70" t="s">
        <v>3356</v>
      </c>
      <c r="H1999" s="9"/>
      <c r="I1999" s="8"/>
      <c r="J1999" s="8"/>
      <c r="K1999" s="8"/>
      <c r="L1999" s="9" t="s">
        <v>3475</v>
      </c>
      <c r="M1999" s="8"/>
    </row>
    <row r="2000" spans="1:13">
      <c r="A2000" s="71" t="s">
        <v>6189</v>
      </c>
      <c r="B2000" s="67">
        <v>31293019844</v>
      </c>
      <c r="C2000" s="72"/>
      <c r="D2000" s="69"/>
      <c r="E2000" s="9">
        <v>573</v>
      </c>
      <c r="F2000" s="25">
        <v>43224</v>
      </c>
      <c r="G2000" s="70"/>
      <c r="H2000" s="9"/>
      <c r="I2000" s="8"/>
      <c r="J2000" s="8"/>
      <c r="K2000" s="8"/>
      <c r="L2000" s="8"/>
      <c r="M2000" s="8"/>
    </row>
    <row r="2001" spans="1:13">
      <c r="A2001" s="71" t="s">
        <v>6190</v>
      </c>
      <c r="B2001" s="67">
        <v>38402878806</v>
      </c>
      <c r="C2001" s="72" t="s">
        <v>6191</v>
      </c>
      <c r="D2001" s="69">
        <v>23700547862</v>
      </c>
      <c r="E2001" s="9">
        <v>262</v>
      </c>
      <c r="F2001" s="25">
        <v>43160</v>
      </c>
      <c r="G2001" s="9" t="s">
        <v>3356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6192</v>
      </c>
      <c r="B2002" s="67">
        <v>25725590801</v>
      </c>
      <c r="C2002" s="72"/>
      <c r="D2002" s="69"/>
      <c r="E2002" s="9">
        <v>527</v>
      </c>
      <c r="F2002" s="25">
        <v>43210</v>
      </c>
      <c r="G2002" s="70"/>
      <c r="H2002" s="9"/>
      <c r="I2002" s="8"/>
      <c r="J2002" s="8"/>
      <c r="K2002" s="8"/>
      <c r="L2002" s="9">
        <v>528</v>
      </c>
      <c r="M2002" s="8"/>
    </row>
    <row r="2003" spans="1:13">
      <c r="A2003" s="71" t="s">
        <v>6193</v>
      </c>
      <c r="B2003" s="67">
        <v>26710966828</v>
      </c>
      <c r="C2003" s="72"/>
      <c r="D2003" s="69"/>
      <c r="E2003" s="9">
        <v>443</v>
      </c>
      <c r="F2003" s="25">
        <v>43188</v>
      </c>
      <c r="G2003" s="70"/>
      <c r="H2003" s="9"/>
      <c r="I2003" s="8"/>
      <c r="J2003" s="8"/>
      <c r="K2003" s="8"/>
      <c r="L2003" s="8"/>
      <c r="M2003" s="8"/>
    </row>
    <row r="2004" spans="1:13">
      <c r="A2004" s="71" t="s">
        <v>6194</v>
      </c>
      <c r="B2004" s="67">
        <v>16311478897</v>
      </c>
      <c r="C2004" s="77"/>
      <c r="D2004" s="69"/>
      <c r="E2004" s="9"/>
      <c r="F2004" s="25"/>
      <c r="G2004" s="70"/>
      <c r="H2004" s="9"/>
      <c r="I2004" s="8"/>
      <c r="J2004" s="8"/>
      <c r="K2004" s="8"/>
      <c r="L2004" s="8"/>
      <c r="M2004" s="8"/>
    </row>
    <row r="2005" spans="1:13">
      <c r="A2005" s="71" t="s">
        <v>6195</v>
      </c>
      <c r="B2005" s="67">
        <v>3573607616</v>
      </c>
      <c r="C2005" s="72"/>
      <c r="D2005" s="69"/>
      <c r="E2005" s="9"/>
      <c r="F2005" s="25"/>
      <c r="G2005" s="70"/>
      <c r="H2005" s="9"/>
      <c r="I2005" s="8"/>
      <c r="J2005" s="8"/>
      <c r="K2005" s="8"/>
      <c r="L2005" s="8"/>
      <c r="M2005" s="8"/>
    </row>
    <row r="2006" spans="1:13">
      <c r="A2006" s="29" t="s">
        <v>6196</v>
      </c>
      <c r="B2006" s="67">
        <v>27023833862</v>
      </c>
      <c r="C2006" s="29" t="s">
        <v>6197</v>
      </c>
      <c r="D2006" s="69">
        <v>9004345892</v>
      </c>
      <c r="E2006" s="9"/>
      <c r="F2006" s="25"/>
      <c r="G2006" s="70"/>
      <c r="H2006" s="9"/>
      <c r="I2006" s="8"/>
      <c r="J2006" s="8"/>
      <c r="K2006" s="8"/>
      <c r="L2006" s="8"/>
      <c r="M2006" s="8"/>
    </row>
    <row r="2007" spans="1:13">
      <c r="A2007" s="13" t="s">
        <v>6198</v>
      </c>
      <c r="B2007" s="67">
        <v>4028017840</v>
      </c>
      <c r="C2007" s="68"/>
      <c r="D2007" s="69"/>
      <c r="E2007" s="9"/>
      <c r="F2007" s="25"/>
      <c r="G2007" s="70"/>
      <c r="H2007" s="9"/>
      <c r="I2007" s="8"/>
      <c r="J2007" s="8"/>
      <c r="K2007" s="8"/>
      <c r="L2007" s="8"/>
      <c r="M2007" s="8"/>
    </row>
    <row r="2008" spans="1:13">
      <c r="A2008" s="15" t="s">
        <v>6199</v>
      </c>
      <c r="B2008" s="67">
        <v>5976463410</v>
      </c>
      <c r="C2008" s="72"/>
      <c r="D2008" s="69"/>
      <c r="E2008" s="9">
        <v>117</v>
      </c>
      <c r="F2008" s="25">
        <v>43117</v>
      </c>
      <c r="G2008" s="70" t="s">
        <v>3356</v>
      </c>
      <c r="H2008" s="9"/>
      <c r="I2008" s="8"/>
      <c r="J2008" s="8"/>
      <c r="K2008" s="8"/>
      <c r="L2008" s="9" t="s">
        <v>3507</v>
      </c>
      <c r="M2008" s="8"/>
    </row>
    <row r="2009" spans="1:13">
      <c r="A2009" s="71" t="s">
        <v>6200</v>
      </c>
      <c r="B2009" s="67">
        <v>38815800344</v>
      </c>
      <c r="C2009" s="72" t="s">
        <v>6201</v>
      </c>
      <c r="D2009" s="69">
        <v>39085252334</v>
      </c>
      <c r="E2009" s="9">
        <v>85</v>
      </c>
      <c r="F2009" s="25">
        <v>43109</v>
      </c>
      <c r="G2009" s="70" t="s">
        <v>3356</v>
      </c>
      <c r="H2009" s="25">
        <v>43151</v>
      </c>
      <c r="I2009" s="8"/>
      <c r="J2009" s="8"/>
      <c r="K2009" s="8"/>
      <c r="L2009" s="8"/>
      <c r="M2009" s="8"/>
    </row>
    <row r="2010" spans="1:13">
      <c r="A2010" s="71" t="s">
        <v>6202</v>
      </c>
      <c r="B2010" s="67">
        <v>36154299826</v>
      </c>
      <c r="C2010" s="72" t="s">
        <v>6203</v>
      </c>
      <c r="D2010" s="69">
        <v>34489273843</v>
      </c>
      <c r="E2010" s="9">
        <v>1267</v>
      </c>
      <c r="F2010" s="25">
        <v>42998</v>
      </c>
      <c r="G2010" s="70" t="s">
        <v>3362</v>
      </c>
      <c r="H2010" s="9"/>
      <c r="I2010" s="8"/>
      <c r="J2010" s="8"/>
      <c r="K2010" s="8"/>
      <c r="L2010" s="8"/>
      <c r="M2010" s="8"/>
    </row>
    <row r="2011" spans="1:13">
      <c r="A2011" s="15" t="s">
        <v>6204</v>
      </c>
      <c r="B2011" s="67">
        <v>26816969847</v>
      </c>
      <c r="C2011" s="72"/>
      <c r="D2011" s="69"/>
      <c r="E2011" s="9">
        <v>229</v>
      </c>
      <c r="F2011" s="25">
        <v>43151</v>
      </c>
      <c r="G2011" s="70" t="s">
        <v>3356</v>
      </c>
      <c r="H2011" s="9"/>
      <c r="I2011" s="8"/>
      <c r="J2011" s="8"/>
      <c r="K2011" s="8"/>
      <c r="L2011" s="9">
        <v>232</v>
      </c>
      <c r="M2011" s="8"/>
    </row>
    <row r="2012" spans="1:13">
      <c r="A2012" s="29" t="s">
        <v>6205</v>
      </c>
      <c r="B2012" s="67"/>
      <c r="C2012" s="18" t="s">
        <v>3466</v>
      </c>
      <c r="D2012" s="69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71" t="s">
        <v>6206</v>
      </c>
      <c r="B2013" s="67">
        <v>33410383883</v>
      </c>
      <c r="C2013" s="72"/>
      <c r="D2013" s="69"/>
      <c r="E2013" s="9">
        <v>573</v>
      </c>
      <c r="F2013" s="25">
        <v>43224</v>
      </c>
      <c r="G2013" s="70"/>
      <c r="H2013" s="9"/>
      <c r="I2013" s="8"/>
      <c r="J2013" s="8"/>
      <c r="K2013" s="8"/>
      <c r="L2013" s="8"/>
      <c r="M2013" s="8"/>
    </row>
    <row r="2014" spans="1:13">
      <c r="A2014" s="71" t="s">
        <v>6207</v>
      </c>
      <c r="B2014" s="67">
        <v>95376984400</v>
      </c>
      <c r="C2014" s="72"/>
      <c r="D2014" s="69"/>
      <c r="E2014" s="9">
        <v>292</v>
      </c>
      <c r="F2014" s="25">
        <v>43168</v>
      </c>
      <c r="G2014" s="9" t="s">
        <v>3356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6208</v>
      </c>
      <c r="B2015" s="67">
        <v>16410857896</v>
      </c>
      <c r="C2015" s="72"/>
      <c r="D2015" s="69"/>
      <c r="E2015" s="9">
        <v>292</v>
      </c>
      <c r="F2015" s="25">
        <v>43168</v>
      </c>
      <c r="G2015" s="70" t="s">
        <v>3356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6209</v>
      </c>
      <c r="B2016" s="67">
        <v>64174182434</v>
      </c>
      <c r="C2016" s="72" t="s">
        <v>6210</v>
      </c>
      <c r="D2016" s="69">
        <v>98105183587</v>
      </c>
      <c r="E2016" s="9">
        <v>262</v>
      </c>
      <c r="F2016" s="25">
        <v>43160</v>
      </c>
      <c r="G2016" s="70" t="s">
        <v>3356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9" t="s">
        <v>6211</v>
      </c>
      <c r="B2017" s="67">
        <v>4148505485</v>
      </c>
      <c r="C2017" s="29" t="s">
        <v>6212</v>
      </c>
      <c r="D2017" s="69">
        <v>2651801984</v>
      </c>
      <c r="E2017" s="9"/>
      <c r="F2017" s="25"/>
      <c r="G2017" s="70"/>
      <c r="H2017" s="9"/>
      <c r="I2017" s="8"/>
      <c r="J2017" s="8"/>
      <c r="K2017" s="8"/>
      <c r="L2017" s="8"/>
      <c r="M2017" s="8"/>
    </row>
    <row r="2018" spans="1:13">
      <c r="A2018" s="72" t="s">
        <v>6213</v>
      </c>
      <c r="B2018" s="67">
        <v>39364828372</v>
      </c>
      <c r="C2018" s="72" t="s">
        <v>6214</v>
      </c>
      <c r="D2018" s="69">
        <v>35596979805</v>
      </c>
      <c r="E2018" s="9"/>
      <c r="F2018" s="25"/>
      <c r="G2018" s="70"/>
      <c r="H2018" s="9"/>
      <c r="I2018" s="8"/>
      <c r="J2018" s="8"/>
      <c r="K2018" s="8"/>
      <c r="L2018" s="8"/>
      <c r="M2018" s="8"/>
    </row>
    <row r="2019" spans="1:13">
      <c r="A2019" s="71" t="s">
        <v>6215</v>
      </c>
      <c r="B2019" s="67">
        <v>82046042468</v>
      </c>
      <c r="C2019" s="72" t="s">
        <v>6216</v>
      </c>
      <c r="D2019" s="69">
        <v>88251098491</v>
      </c>
      <c r="E2019" s="9">
        <v>85</v>
      </c>
      <c r="F2019" s="25">
        <v>43109</v>
      </c>
      <c r="G2019" s="70" t="s">
        <v>3356</v>
      </c>
      <c r="H2019" s="25">
        <v>43151</v>
      </c>
      <c r="I2019" s="8"/>
      <c r="J2019" s="8"/>
      <c r="K2019" s="8"/>
      <c r="L2019" s="8"/>
      <c r="M2019" s="8"/>
    </row>
    <row r="2020" spans="1:13">
      <c r="A2020" s="71" t="s">
        <v>6217</v>
      </c>
      <c r="B2020" s="67">
        <v>36170102888</v>
      </c>
      <c r="C2020" s="72"/>
      <c r="D2020" s="69"/>
      <c r="E2020" s="9">
        <v>1106</v>
      </c>
      <c r="F2020" s="25">
        <v>42965</v>
      </c>
      <c r="G2020" s="70" t="s">
        <v>3356</v>
      </c>
      <c r="H2020" s="9"/>
      <c r="I2020" s="8"/>
      <c r="J2020" s="8"/>
      <c r="K2020" s="8"/>
      <c r="L2020" s="8"/>
      <c r="M2020" s="8"/>
    </row>
    <row r="2021" spans="1:13">
      <c r="A2021" s="14" t="s">
        <v>6218</v>
      </c>
      <c r="B2021" s="67">
        <v>38574420506</v>
      </c>
      <c r="C2021" s="72"/>
      <c r="D2021" s="69"/>
      <c r="E2021" s="9">
        <v>1824</v>
      </c>
      <c r="F2021" s="25">
        <v>43091</v>
      </c>
      <c r="G2021" s="70" t="s">
        <v>3356</v>
      </c>
      <c r="H2021" s="9"/>
      <c r="I2021" s="8"/>
      <c r="J2021" s="8"/>
      <c r="K2021" s="8"/>
      <c r="L2021" s="9">
        <v>1828</v>
      </c>
      <c r="M2021" s="8"/>
    </row>
    <row r="2022" spans="1:13">
      <c r="A2022" s="71" t="s">
        <v>6219</v>
      </c>
      <c r="B2022" s="67">
        <v>29652361801</v>
      </c>
      <c r="C2022" s="72"/>
      <c r="D2022" s="69"/>
      <c r="E2022" s="9">
        <v>1417</v>
      </c>
      <c r="F2022" s="25">
        <v>43017</v>
      </c>
      <c r="G2022" s="70" t="s">
        <v>3356</v>
      </c>
      <c r="H2022" s="9"/>
      <c r="I2022" s="8"/>
      <c r="J2022" s="8"/>
      <c r="K2022" s="8"/>
      <c r="L2022" s="9" t="s">
        <v>3590</v>
      </c>
      <c r="M2022" s="8"/>
    </row>
    <row r="2023" spans="1:13">
      <c r="A2023" s="72" t="s">
        <v>6220</v>
      </c>
      <c r="B2023" s="67">
        <v>37806851836</v>
      </c>
      <c r="C2023" s="72" t="s">
        <v>6221</v>
      </c>
      <c r="D2023" s="69">
        <v>29701722833</v>
      </c>
      <c r="E2023" s="9"/>
      <c r="F2023" s="25"/>
      <c r="G2023" s="70"/>
      <c r="H2023" s="9"/>
      <c r="I2023" s="8"/>
      <c r="J2023" s="8"/>
      <c r="K2023" s="8"/>
      <c r="L2023" s="8"/>
      <c r="M2023" s="8"/>
    </row>
    <row r="2024" spans="1:13">
      <c r="A2024" s="71" t="s">
        <v>6222</v>
      </c>
      <c r="B2024" s="67">
        <v>19720484810</v>
      </c>
      <c r="C2024" s="72"/>
      <c r="D2024" s="69"/>
      <c r="E2024" s="9"/>
      <c r="F2024" s="25"/>
      <c r="G2024" s="70"/>
      <c r="H2024" s="9"/>
      <c r="I2024" s="8"/>
      <c r="J2024" s="8"/>
      <c r="K2024" s="8"/>
      <c r="L2024" s="8"/>
      <c r="M2024" s="8"/>
    </row>
    <row r="2025" spans="1:13">
      <c r="A2025" s="40" t="s">
        <v>6223</v>
      </c>
      <c r="B2025" s="67">
        <v>11615732837</v>
      </c>
      <c r="C2025" s="72"/>
      <c r="D2025" s="69"/>
      <c r="E2025" s="9"/>
      <c r="F2025" s="25"/>
      <c r="G2025" s="70"/>
      <c r="H2025" s="9"/>
      <c r="I2025" s="8"/>
      <c r="J2025" s="8"/>
      <c r="K2025" s="8"/>
      <c r="L2025" s="8"/>
      <c r="M2025" s="8"/>
    </row>
    <row r="2026" spans="1:13">
      <c r="A2026" s="71" t="s">
        <v>6224</v>
      </c>
      <c r="B2026" s="67">
        <v>11299021883</v>
      </c>
      <c r="C2026" s="72"/>
      <c r="D2026" s="69"/>
      <c r="E2026" s="9"/>
      <c r="F2026" s="25"/>
      <c r="G2026" s="70"/>
      <c r="H2026" s="9"/>
      <c r="I2026" s="8"/>
      <c r="J2026" s="8"/>
      <c r="K2026" s="8"/>
      <c r="L2026" s="8"/>
      <c r="M2026" s="8"/>
    </row>
    <row r="2027" spans="1:13">
      <c r="A2027" s="71" t="s">
        <v>6225</v>
      </c>
      <c r="B2027" s="67">
        <v>27506021811</v>
      </c>
      <c r="C2027" s="72" t="s">
        <v>6226</v>
      </c>
      <c r="D2027" s="69">
        <v>13130281851</v>
      </c>
      <c r="E2027" s="9">
        <v>810</v>
      </c>
      <c r="F2027" s="25">
        <v>42915</v>
      </c>
      <c r="G2027" s="70" t="s">
        <v>3356</v>
      </c>
      <c r="H2027" s="9"/>
      <c r="I2027" s="8"/>
      <c r="J2027" s="8"/>
      <c r="K2027" s="8"/>
      <c r="L2027" s="9" t="s">
        <v>3475</v>
      </c>
      <c r="M2027" s="8"/>
    </row>
    <row r="2028" spans="1:13">
      <c r="A2028" s="15" t="s">
        <v>6227</v>
      </c>
      <c r="B2028" s="67">
        <v>30990738817</v>
      </c>
      <c r="C2028" s="72"/>
      <c r="D2028" s="69"/>
      <c r="E2028" s="9">
        <v>85</v>
      </c>
      <c r="F2028" s="25">
        <v>43109</v>
      </c>
      <c r="G2028" s="70" t="s">
        <v>3356</v>
      </c>
      <c r="H2028" s="25">
        <v>43151</v>
      </c>
      <c r="I2028" s="8"/>
      <c r="J2028" s="8"/>
      <c r="K2028" s="8"/>
      <c r="L2028" s="8"/>
      <c r="M2028" s="8"/>
    </row>
    <row r="2029" spans="1:13">
      <c r="A2029" s="71" t="s">
        <v>6228</v>
      </c>
      <c r="B2029" s="67">
        <v>17098727806</v>
      </c>
      <c r="C2029" s="72"/>
      <c r="D2029" s="69"/>
      <c r="E2029" s="9">
        <v>1417</v>
      </c>
      <c r="F2029" s="25">
        <v>43017</v>
      </c>
      <c r="G2029" s="70" t="s">
        <v>3356</v>
      </c>
      <c r="H2029" s="9"/>
      <c r="I2029" s="8"/>
      <c r="J2029" s="8"/>
      <c r="K2029" s="8"/>
      <c r="L2029" s="9" t="s">
        <v>3590</v>
      </c>
      <c r="M2029" s="8"/>
    </row>
    <row r="2030" spans="1:13">
      <c r="A2030" s="15" t="s">
        <v>6229</v>
      </c>
      <c r="B2030" s="67">
        <v>660919346</v>
      </c>
      <c r="C2030" s="72" t="s">
        <v>6230</v>
      </c>
      <c r="D2030" s="69">
        <v>296516384</v>
      </c>
      <c r="E2030" s="9">
        <v>262</v>
      </c>
      <c r="F2030" s="25">
        <v>43160</v>
      </c>
      <c r="G2030" s="70" t="s">
        <v>3362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71" t="s">
        <v>6231</v>
      </c>
      <c r="B2031" s="67">
        <v>15350321897</v>
      </c>
      <c r="C2031" s="72"/>
      <c r="D2031" s="69"/>
      <c r="E2031" s="9">
        <v>1824</v>
      </c>
      <c r="F2031" s="25">
        <v>43091</v>
      </c>
      <c r="G2031" s="70" t="s">
        <v>3356</v>
      </c>
      <c r="H2031" s="9"/>
      <c r="I2031" s="8"/>
      <c r="J2031" s="8"/>
      <c r="K2031" s="8"/>
      <c r="L2031" s="9">
        <v>1828</v>
      </c>
      <c r="M2031" s="8"/>
    </row>
    <row r="2032" spans="1:13">
      <c r="A2032" s="72" t="s">
        <v>6232</v>
      </c>
      <c r="B2032" s="67">
        <v>55075746500</v>
      </c>
      <c r="C2032" s="72" t="s">
        <v>6233</v>
      </c>
      <c r="D2032" s="69">
        <v>13128009848</v>
      </c>
      <c r="E2032" s="9"/>
      <c r="F2032" s="25"/>
      <c r="G2032" s="70"/>
      <c r="H2032" s="9"/>
      <c r="I2032" s="8"/>
      <c r="J2032" s="8"/>
      <c r="K2032" s="8"/>
      <c r="L2032" s="8"/>
      <c r="M2032" s="8"/>
    </row>
    <row r="2033" spans="1:13">
      <c r="A2033" s="71" t="s">
        <v>6234</v>
      </c>
      <c r="B2033" s="67">
        <v>34549590807</v>
      </c>
      <c r="C2033" s="72" t="s">
        <v>6235</v>
      </c>
      <c r="D2033" s="69">
        <v>13581578808</v>
      </c>
      <c r="E2033" s="9"/>
      <c r="F2033" s="25"/>
      <c r="G2033" s="70"/>
      <c r="H2033" s="9"/>
      <c r="I2033" s="8"/>
      <c r="J2033" s="8"/>
      <c r="K2033" s="8"/>
      <c r="L2033" s="8"/>
      <c r="M2033" s="8"/>
    </row>
    <row r="2034" spans="1:13">
      <c r="A2034" s="29" t="s">
        <v>6236</v>
      </c>
      <c r="B2034" s="67"/>
      <c r="C2034" s="18" t="s">
        <v>3466</v>
      </c>
      <c r="D2034" s="69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71" t="s">
        <v>6237</v>
      </c>
      <c r="B2035" s="67">
        <v>25439060880</v>
      </c>
      <c r="C2035" s="72"/>
      <c r="D2035" s="69"/>
      <c r="E2035" s="9"/>
      <c r="F2035" s="25"/>
      <c r="G2035" s="70"/>
      <c r="H2035" s="9"/>
      <c r="I2035" s="8"/>
      <c r="J2035" s="8"/>
      <c r="K2035" s="8"/>
      <c r="L2035" s="8"/>
      <c r="M2035" s="8"/>
    </row>
    <row r="2036" spans="1:13">
      <c r="A2036" s="15" t="s">
        <v>6238</v>
      </c>
      <c r="B2036" s="67">
        <v>41292199873</v>
      </c>
      <c r="C2036" s="72" t="s">
        <v>6239</v>
      </c>
      <c r="D2036" s="69">
        <v>788209361</v>
      </c>
      <c r="E2036" s="9">
        <v>485</v>
      </c>
      <c r="F2036" s="25">
        <v>43196</v>
      </c>
      <c r="G2036" s="70"/>
      <c r="H2036" s="9"/>
      <c r="I2036" s="8"/>
      <c r="J2036" s="8"/>
      <c r="K2036" s="8"/>
      <c r="L2036" s="9">
        <v>483</v>
      </c>
      <c r="M2036" s="8"/>
    </row>
    <row r="2037" spans="1:13">
      <c r="A2037" s="29" t="s">
        <v>6240</v>
      </c>
      <c r="B2037" s="67"/>
      <c r="C2037" s="29" t="s">
        <v>3466</v>
      </c>
      <c r="D2037" s="69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6241</v>
      </c>
      <c r="B2038" s="67">
        <v>14000985809</v>
      </c>
      <c r="C2038" s="72"/>
      <c r="D2038" s="69"/>
      <c r="E2038" s="9">
        <v>485</v>
      </c>
      <c r="F2038" s="25">
        <v>43196</v>
      </c>
      <c r="G2038" s="70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6242</v>
      </c>
      <c r="B2039" s="67">
        <v>42318039860</v>
      </c>
      <c r="C2039" s="72" t="s">
        <v>6243</v>
      </c>
      <c r="D2039" s="69">
        <v>23059375801</v>
      </c>
      <c r="E2039" s="9">
        <v>85</v>
      </c>
      <c r="F2039" s="25">
        <v>43109</v>
      </c>
      <c r="G2039" s="70" t="s">
        <v>3356</v>
      </c>
      <c r="H2039" s="25">
        <v>43151</v>
      </c>
      <c r="I2039" s="8"/>
      <c r="J2039" s="8"/>
      <c r="K2039" s="8"/>
      <c r="L2039" s="8"/>
      <c r="M2039" s="8"/>
    </row>
    <row r="2040" spans="1:13">
      <c r="A2040" s="71" t="s">
        <v>6244</v>
      </c>
      <c r="B2040" s="67">
        <v>63956250478</v>
      </c>
      <c r="C2040" s="72"/>
      <c r="D2040" s="69"/>
      <c r="E2040" s="9">
        <v>810</v>
      </c>
      <c r="F2040" s="25">
        <v>42915</v>
      </c>
      <c r="G2040" s="70" t="s">
        <v>3356</v>
      </c>
      <c r="H2040" s="9"/>
      <c r="I2040" s="8"/>
      <c r="J2040" s="8"/>
      <c r="K2040" s="8"/>
      <c r="L2040" s="9" t="s">
        <v>3475</v>
      </c>
      <c r="M2040" s="8"/>
    </row>
    <row r="2041" spans="1:13">
      <c r="A2041" s="71" t="s">
        <v>6245</v>
      </c>
      <c r="B2041" s="67">
        <v>2693234573</v>
      </c>
      <c r="C2041" s="71" t="s">
        <v>6246</v>
      </c>
      <c r="D2041" s="69">
        <v>36131987890</v>
      </c>
      <c r="E2041" s="9">
        <v>292</v>
      </c>
      <c r="F2041" s="25">
        <v>43168</v>
      </c>
      <c r="G2041" s="9" t="s">
        <v>3356</v>
      </c>
      <c r="H2041" s="9"/>
      <c r="I2041" s="8"/>
      <c r="J2041" s="8"/>
      <c r="K2041" s="8"/>
      <c r="L2041" s="9">
        <v>318</v>
      </c>
      <c r="M2041" s="8"/>
    </row>
    <row r="2042" spans="1:13">
      <c r="A2042" s="72" t="s">
        <v>6247</v>
      </c>
      <c r="B2042" s="67">
        <v>19677621807</v>
      </c>
      <c r="C2042" s="72" t="s">
        <v>6248</v>
      </c>
      <c r="D2042" s="69">
        <v>57147752520</v>
      </c>
      <c r="E2042" s="9"/>
      <c r="F2042" s="25"/>
      <c r="G2042" s="70"/>
      <c r="H2042" s="9"/>
      <c r="I2042" s="8"/>
      <c r="J2042" s="8"/>
      <c r="K2042" s="8"/>
      <c r="L2042" s="8"/>
      <c r="M2042" s="8"/>
    </row>
    <row r="2043" spans="1:13">
      <c r="A2043" s="71" t="s">
        <v>6249</v>
      </c>
      <c r="B2043" s="67">
        <v>29638307854</v>
      </c>
      <c r="C2043" s="72"/>
      <c r="D2043" s="69"/>
      <c r="E2043" s="9">
        <v>1752</v>
      </c>
      <c r="F2043" s="25">
        <v>43051</v>
      </c>
      <c r="G2043" s="70" t="s">
        <v>3356</v>
      </c>
      <c r="H2043" s="9"/>
      <c r="I2043" s="8"/>
      <c r="J2043" s="8"/>
      <c r="K2043" s="8"/>
      <c r="L2043" s="9">
        <v>1759</v>
      </c>
      <c r="M2043" s="8"/>
    </row>
    <row r="2044" spans="1:13">
      <c r="A2044" s="71" t="s">
        <v>6250</v>
      </c>
      <c r="B2044" s="67">
        <v>4439215807</v>
      </c>
      <c r="C2044" s="72"/>
      <c r="D2044" s="69"/>
      <c r="E2044" s="9"/>
      <c r="F2044" s="25"/>
      <c r="G2044" s="70"/>
      <c r="H2044" s="9"/>
      <c r="I2044" s="8"/>
      <c r="J2044" s="8"/>
      <c r="K2044" s="8"/>
      <c r="L2044" s="8"/>
      <c r="M2044" s="8"/>
    </row>
    <row r="2045" spans="1:13">
      <c r="A2045" s="71" t="s">
        <v>6251</v>
      </c>
      <c r="B2045" s="67">
        <v>11279019824</v>
      </c>
      <c r="C2045" s="72"/>
      <c r="D2045" s="69"/>
      <c r="E2045" s="9">
        <v>292</v>
      </c>
      <c r="F2045" s="25">
        <v>43168</v>
      </c>
      <c r="G2045" s="70" t="s">
        <v>3356</v>
      </c>
      <c r="H2045" s="9"/>
      <c r="I2045" s="8"/>
      <c r="J2045" s="8"/>
      <c r="K2045" s="8"/>
      <c r="L2045" s="9">
        <v>318</v>
      </c>
      <c r="M2045" s="8"/>
    </row>
    <row r="2046" spans="1:13">
      <c r="A2046" s="72" t="s">
        <v>6252</v>
      </c>
      <c r="B2046" s="67">
        <v>22583603825</v>
      </c>
      <c r="C2046" s="72" t="s">
        <v>6253</v>
      </c>
      <c r="D2046" s="69">
        <v>4666893571</v>
      </c>
      <c r="E2046" s="9"/>
      <c r="F2046" s="25"/>
      <c r="G2046" s="70"/>
      <c r="H2046" s="9"/>
      <c r="I2046" s="8"/>
      <c r="J2046" s="8"/>
      <c r="K2046" s="8"/>
      <c r="L2046" s="8"/>
      <c r="M2046" s="8"/>
    </row>
    <row r="2047" spans="1:13">
      <c r="A2047" s="15" t="s">
        <v>6254</v>
      </c>
      <c r="B2047" s="67">
        <v>14858077861</v>
      </c>
      <c r="C2047" s="15" t="s">
        <v>6255</v>
      </c>
      <c r="D2047" s="69">
        <v>55994709468</v>
      </c>
      <c r="E2047" s="9"/>
      <c r="F2047" s="25"/>
      <c r="G2047" s="70"/>
      <c r="H2047" s="9"/>
      <c r="I2047" s="8"/>
      <c r="J2047" s="8"/>
      <c r="K2047" s="8"/>
      <c r="L2047" s="8"/>
      <c r="M2047" s="8"/>
    </row>
    <row r="2048" spans="1:13">
      <c r="A2048" s="71" t="s">
        <v>6256</v>
      </c>
      <c r="B2048" s="67">
        <v>32291860879</v>
      </c>
      <c r="C2048" s="29" t="s">
        <v>6257</v>
      </c>
      <c r="D2048" s="69">
        <v>6096567812</v>
      </c>
      <c r="E2048" s="9"/>
      <c r="F2048" s="25"/>
      <c r="G2048" s="70"/>
      <c r="H2048" s="9"/>
      <c r="I2048" s="8"/>
      <c r="J2048" s="8"/>
      <c r="K2048" s="8"/>
      <c r="L2048" s="8"/>
      <c r="M2048" s="8"/>
    </row>
    <row r="2049" spans="1:13">
      <c r="A2049" s="71" t="s">
        <v>6258</v>
      </c>
      <c r="B2049" s="67">
        <v>76396126320</v>
      </c>
      <c r="C2049" s="72" t="s">
        <v>6259</v>
      </c>
      <c r="D2049" s="69">
        <v>62133390510</v>
      </c>
      <c r="E2049" s="9">
        <v>1262</v>
      </c>
      <c r="F2049" s="25">
        <v>42997</v>
      </c>
      <c r="G2049" s="70" t="s">
        <v>3356</v>
      </c>
      <c r="H2049" s="9"/>
      <c r="I2049" s="8"/>
      <c r="J2049" s="8"/>
      <c r="K2049" s="8"/>
      <c r="L2049" s="8"/>
      <c r="M2049" s="8"/>
    </row>
    <row r="2050" spans="1:13">
      <c r="A2050" s="14" t="s">
        <v>6260</v>
      </c>
      <c r="B2050" s="67">
        <v>34303186880</v>
      </c>
      <c r="C2050" s="72" t="s">
        <v>6261</v>
      </c>
      <c r="D2050" s="69">
        <v>39695431852</v>
      </c>
      <c r="E2050" s="9">
        <v>1570</v>
      </c>
      <c r="F2050" s="25">
        <v>43077</v>
      </c>
      <c r="G2050" s="70" t="s">
        <v>3356</v>
      </c>
      <c r="H2050" s="9"/>
      <c r="I2050" s="8"/>
      <c r="J2050" s="8"/>
      <c r="K2050" s="8"/>
      <c r="L2050" s="8"/>
      <c r="M2050" s="8"/>
    </row>
    <row r="2051" spans="1:13">
      <c r="A2051" s="18" t="s">
        <v>6262</v>
      </c>
      <c r="B2051" s="67">
        <v>14331980880</v>
      </c>
      <c r="C2051" s="8" t="s">
        <v>6263</v>
      </c>
      <c r="D2051" s="69">
        <v>11762054809</v>
      </c>
      <c r="E2051" s="9"/>
      <c r="F2051" s="25"/>
      <c r="G2051" s="70"/>
      <c r="H2051" s="9"/>
      <c r="I2051" s="8"/>
      <c r="J2051" s="8"/>
      <c r="K2051" s="8"/>
      <c r="L2051" s="8"/>
      <c r="M2051" s="8"/>
    </row>
    <row r="2052" spans="1:13">
      <c r="A2052" s="19" t="s">
        <v>6262</v>
      </c>
      <c r="B2052" s="67">
        <v>14331980880</v>
      </c>
      <c r="C2052" s="77" t="s">
        <v>6263</v>
      </c>
      <c r="D2052" s="67">
        <v>11762054809</v>
      </c>
      <c r="E2052" s="9"/>
      <c r="F2052" s="25"/>
      <c r="G2052" s="70"/>
      <c r="H2052" s="9"/>
      <c r="I2052" s="8"/>
      <c r="J2052" s="8"/>
      <c r="K2052" s="8"/>
      <c r="L2052" s="8"/>
      <c r="M2052" s="8"/>
    </row>
    <row r="2053" spans="1:13">
      <c r="A2053" s="18" t="s">
        <v>6264</v>
      </c>
      <c r="B2053" s="67">
        <v>82007454491</v>
      </c>
      <c r="C2053" s="18"/>
      <c r="D2053" s="69"/>
      <c r="E2053" s="9"/>
      <c r="F2053" s="25"/>
      <c r="G2053" s="70"/>
      <c r="H2053" s="9"/>
      <c r="I2053" s="8"/>
      <c r="J2053" s="8"/>
      <c r="K2053" s="8"/>
      <c r="L2053" s="8"/>
      <c r="M2053" s="8"/>
    </row>
    <row r="2054" spans="1:13">
      <c r="A2054" s="29" t="s">
        <v>6265</v>
      </c>
      <c r="B2054" s="67"/>
      <c r="C2054" s="29" t="s">
        <v>6266</v>
      </c>
      <c r="D2054" s="69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71" t="s">
        <v>6267</v>
      </c>
      <c r="B2055" s="67">
        <v>31662836848</v>
      </c>
      <c r="C2055" s="72" t="s">
        <v>6268</v>
      </c>
      <c r="D2055" s="69">
        <v>12871784809</v>
      </c>
      <c r="E2055" s="9">
        <v>1570</v>
      </c>
      <c r="F2055" s="25">
        <v>43077</v>
      </c>
      <c r="G2055" s="70" t="s">
        <v>3356</v>
      </c>
      <c r="H2055" s="9"/>
      <c r="I2055" s="8"/>
      <c r="J2055" s="8"/>
      <c r="K2055" s="8"/>
      <c r="L2055" s="8"/>
      <c r="M2055" s="8"/>
    </row>
    <row r="2056" spans="1:13">
      <c r="A2056" s="14" t="s">
        <v>6269</v>
      </c>
      <c r="B2056" s="67">
        <v>39000389372</v>
      </c>
      <c r="C2056" s="72" t="s">
        <v>6270</v>
      </c>
      <c r="D2056" s="69">
        <v>14683732858</v>
      </c>
      <c r="E2056" s="9">
        <v>1417</v>
      </c>
      <c r="F2056" s="25">
        <v>43017</v>
      </c>
      <c r="G2056" s="70" t="s">
        <v>3356</v>
      </c>
      <c r="H2056" s="9"/>
      <c r="I2056" s="8"/>
      <c r="J2056" s="8"/>
      <c r="K2056" s="8"/>
      <c r="L2056" s="9" t="s">
        <v>3590</v>
      </c>
      <c r="M2056" s="8"/>
    </row>
    <row r="2057" spans="1:13">
      <c r="A2057" s="18" t="s">
        <v>6271</v>
      </c>
      <c r="B2057" s="67">
        <v>10349044856</v>
      </c>
      <c r="C2057" s="18" t="s">
        <v>5543</v>
      </c>
      <c r="D2057" s="69">
        <v>31651998841</v>
      </c>
      <c r="E2057" s="9"/>
      <c r="F2057" s="25"/>
      <c r="G2057" s="70"/>
      <c r="H2057" s="9"/>
      <c r="I2057" s="8"/>
      <c r="J2057" s="8"/>
      <c r="K2057" s="8"/>
      <c r="L2057" s="8"/>
      <c r="M2057" s="8"/>
    </row>
    <row r="2058" spans="1:13">
      <c r="A2058" s="71" t="s">
        <v>6272</v>
      </c>
      <c r="B2058" s="67">
        <v>25058845873</v>
      </c>
      <c r="C2058" s="71" t="s">
        <v>6273</v>
      </c>
      <c r="D2058" s="69">
        <v>57070563868</v>
      </c>
      <c r="E2058" s="9"/>
      <c r="F2058" s="25"/>
      <c r="G2058" s="70"/>
      <c r="H2058" s="9"/>
      <c r="I2058" s="8"/>
      <c r="J2058" s="8"/>
      <c r="K2058" s="8"/>
      <c r="L2058" s="8"/>
      <c r="M2058" s="8"/>
    </row>
    <row r="2059" spans="1:13">
      <c r="A2059" s="29" t="s">
        <v>6274</v>
      </c>
      <c r="B2059" s="67"/>
      <c r="C2059" s="29" t="s">
        <v>6275</v>
      </c>
      <c r="D2059" s="69"/>
      <c r="E2059" s="9"/>
      <c r="F2059" s="25"/>
      <c r="G2059" s="70"/>
      <c r="H2059" s="9"/>
      <c r="I2059" s="8"/>
      <c r="J2059" s="8"/>
      <c r="K2059" s="8"/>
      <c r="L2059" s="8"/>
      <c r="M2059" s="8"/>
    </row>
    <row r="2060" spans="1:13">
      <c r="A2060" s="72" t="s">
        <v>6276</v>
      </c>
      <c r="B2060" s="67">
        <v>5088717431</v>
      </c>
      <c r="C2060" s="72" t="s">
        <v>6277</v>
      </c>
      <c r="D2060" s="69">
        <v>36792180874</v>
      </c>
      <c r="E2060" s="9">
        <v>563</v>
      </c>
      <c r="F2060" s="25">
        <v>43217</v>
      </c>
      <c r="G2060" s="70"/>
      <c r="H2060" s="9"/>
      <c r="I2060" s="8"/>
      <c r="J2060" s="8"/>
      <c r="K2060" s="8"/>
      <c r="L2060" s="9" t="s">
        <v>3636</v>
      </c>
      <c r="M2060" s="8"/>
    </row>
    <row r="2061" spans="1:13">
      <c r="A2061" s="13" t="s">
        <v>6278</v>
      </c>
      <c r="B2061" s="67">
        <v>38167815862</v>
      </c>
      <c r="C2061" s="68"/>
      <c r="D2061" s="69"/>
      <c r="E2061" s="9">
        <v>1128</v>
      </c>
      <c r="F2061" s="25">
        <v>42972</v>
      </c>
      <c r="G2061" s="70" t="s">
        <v>3356</v>
      </c>
      <c r="H2061" s="9"/>
      <c r="I2061" s="8"/>
      <c r="J2061" s="8"/>
      <c r="K2061" s="8"/>
      <c r="L2061" s="8"/>
      <c r="M2061" s="8"/>
    </row>
    <row r="2062" spans="1:13">
      <c r="A2062" s="71" t="s">
        <v>6279</v>
      </c>
      <c r="B2062" s="67">
        <v>11265529418</v>
      </c>
      <c r="C2062" s="72"/>
      <c r="D2062" s="69"/>
      <c r="E2062" s="9">
        <v>485</v>
      </c>
      <c r="F2062" s="25">
        <v>43196</v>
      </c>
      <c r="G2062" s="70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6280</v>
      </c>
      <c r="B2063" s="67">
        <v>33517044881</v>
      </c>
      <c r="C2063" s="72" t="s">
        <v>6281</v>
      </c>
      <c r="D2063" s="69">
        <v>28076571847</v>
      </c>
      <c r="E2063" s="9">
        <v>85</v>
      </c>
      <c r="F2063" s="25">
        <v>43109</v>
      </c>
      <c r="G2063" s="93" t="s">
        <v>3362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6282</v>
      </c>
      <c r="B2064" s="67">
        <v>28067036896</v>
      </c>
      <c r="C2064" s="72"/>
      <c r="D2064" s="69"/>
      <c r="E2064" s="9">
        <v>1350</v>
      </c>
      <c r="F2064" s="25">
        <v>43006</v>
      </c>
      <c r="G2064" s="70" t="s">
        <v>3356</v>
      </c>
      <c r="H2064" s="9"/>
      <c r="I2064" s="8"/>
      <c r="J2064" s="8"/>
      <c r="K2064" s="8"/>
      <c r="L2064" s="8"/>
      <c r="M2064" s="8"/>
    </row>
    <row r="2065" spans="1:13">
      <c r="A2065" s="71" t="s">
        <v>6283</v>
      </c>
      <c r="B2065" s="67">
        <v>3754865340</v>
      </c>
      <c r="C2065" s="72"/>
      <c r="D2065" s="69"/>
      <c r="E2065" s="9"/>
      <c r="F2065" s="25"/>
      <c r="G2065" s="70"/>
      <c r="H2065" s="9"/>
      <c r="I2065" s="8"/>
      <c r="J2065" s="8"/>
      <c r="K2065" s="8"/>
      <c r="L2065" s="8"/>
      <c r="M2065" s="8"/>
    </row>
    <row r="2066" spans="1:13">
      <c r="A2066" s="71" t="s">
        <v>6284</v>
      </c>
      <c r="B2066" s="67">
        <v>25165265803</v>
      </c>
      <c r="C2066" s="72"/>
      <c r="D2066" s="69"/>
      <c r="E2066" s="9">
        <v>1555</v>
      </c>
      <c r="F2066" s="25">
        <v>43049</v>
      </c>
      <c r="G2066" s="70" t="s">
        <v>3356</v>
      </c>
      <c r="H2066" s="9"/>
      <c r="I2066" s="8"/>
      <c r="J2066" s="8"/>
      <c r="K2066" s="8"/>
      <c r="L2066" s="9" t="s">
        <v>3735</v>
      </c>
      <c r="M2066" s="8"/>
    </row>
    <row r="2067" spans="1:13">
      <c r="A2067" s="71" t="s">
        <v>6285</v>
      </c>
      <c r="B2067" s="67">
        <v>16488724843</v>
      </c>
      <c r="C2067" s="73" t="s">
        <v>6286</v>
      </c>
      <c r="D2067" s="94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9" t="s">
        <v>6287</v>
      </c>
      <c r="B2068" s="67">
        <v>22230898876</v>
      </c>
      <c r="C2068" s="18" t="s">
        <v>3466</v>
      </c>
      <c r="D2068" s="69"/>
      <c r="E2068" s="9"/>
      <c r="F2068" s="25"/>
      <c r="G2068" s="70"/>
      <c r="H2068" s="9"/>
      <c r="I2068" s="8"/>
      <c r="J2068" s="8"/>
      <c r="K2068" s="8"/>
      <c r="L2068" s="8"/>
      <c r="M2068" s="8"/>
    </row>
    <row r="2069" spans="1:13">
      <c r="A2069" s="29" t="s">
        <v>6288</v>
      </c>
      <c r="B2069" s="67">
        <v>1218219866</v>
      </c>
      <c r="C2069" s="18" t="s">
        <v>3466</v>
      </c>
      <c r="D2069" s="69"/>
      <c r="E2069" s="9"/>
      <c r="F2069" s="25"/>
      <c r="G2069" s="70"/>
      <c r="H2069" s="9"/>
      <c r="I2069" s="8"/>
      <c r="J2069" s="8"/>
      <c r="K2069" s="8"/>
      <c r="L2069" s="8"/>
      <c r="M2069" s="8"/>
    </row>
    <row r="2070" spans="1:13">
      <c r="A2070" s="71" t="s">
        <v>6289</v>
      </c>
      <c r="B2070" s="67">
        <v>75696312772</v>
      </c>
      <c r="C2070" s="77" t="s">
        <v>6290</v>
      </c>
      <c r="D2070" s="69">
        <v>4139604808</v>
      </c>
      <c r="E2070" s="9"/>
      <c r="F2070" s="25"/>
      <c r="G2070" s="70"/>
      <c r="H2070" s="9"/>
      <c r="I2070" s="8"/>
      <c r="J2070" s="8"/>
      <c r="K2070" s="8"/>
      <c r="L2070" s="8"/>
      <c r="M2070" s="8"/>
    </row>
    <row r="2071" spans="1:13">
      <c r="A2071" s="29" t="s">
        <v>6291</v>
      </c>
      <c r="B2071" s="67">
        <v>12772099873</v>
      </c>
      <c r="C2071" s="29" t="s">
        <v>6292</v>
      </c>
      <c r="D2071" s="69">
        <v>2256900800</v>
      </c>
      <c r="E2071" s="9"/>
      <c r="F2071" s="25"/>
      <c r="G2071" s="70"/>
      <c r="H2071" s="9"/>
      <c r="I2071" s="8"/>
      <c r="J2071" s="8"/>
      <c r="K2071" s="8"/>
      <c r="L2071" s="8"/>
      <c r="M2071" s="8"/>
    </row>
    <row r="2072" spans="1:13">
      <c r="A2072" s="71" t="s">
        <v>6293</v>
      </c>
      <c r="B2072" s="67">
        <v>8241964811</v>
      </c>
      <c r="C2072" s="77"/>
      <c r="D2072" s="69"/>
      <c r="E2072" s="9">
        <v>563</v>
      </c>
      <c r="F2072" s="25">
        <v>43217</v>
      </c>
      <c r="G2072" s="70"/>
      <c r="H2072" s="9"/>
      <c r="I2072" s="8"/>
      <c r="J2072" s="8"/>
      <c r="K2072" s="8"/>
      <c r="L2072" s="9" t="s">
        <v>3636</v>
      </c>
      <c r="M2072" s="8"/>
    </row>
    <row r="2073" spans="1:13">
      <c r="A2073" s="18" t="s">
        <v>990</v>
      </c>
      <c r="B2073" s="67">
        <v>14633138860</v>
      </c>
      <c r="C2073" s="18"/>
      <c r="D2073" s="69"/>
      <c r="E2073" s="9"/>
      <c r="F2073" s="25"/>
      <c r="G2073" s="70"/>
      <c r="H2073" s="9"/>
      <c r="I2073" s="8"/>
      <c r="J2073" s="8"/>
      <c r="K2073" s="8"/>
      <c r="L2073" s="8"/>
      <c r="M2073" s="8"/>
    </row>
    <row r="2074" spans="1:13">
      <c r="A2074" s="71" t="s">
        <v>990</v>
      </c>
      <c r="B2074" s="67">
        <v>40312801491</v>
      </c>
      <c r="C2074" s="72" t="s">
        <v>6294</v>
      </c>
      <c r="D2074" s="69">
        <v>36270235823</v>
      </c>
      <c r="E2074" s="9">
        <v>810</v>
      </c>
      <c r="F2074" s="25">
        <v>42915</v>
      </c>
      <c r="G2074" s="70" t="s">
        <v>3356</v>
      </c>
      <c r="H2074" s="9"/>
      <c r="I2074" s="8"/>
      <c r="J2074" s="8"/>
      <c r="K2074" s="8"/>
      <c r="L2074" s="9" t="s">
        <v>3475</v>
      </c>
      <c r="M2074" s="8"/>
    </row>
    <row r="2075" spans="1:13">
      <c r="A2075" s="71" t="s">
        <v>990</v>
      </c>
      <c r="B2075" s="67">
        <v>13016641895</v>
      </c>
      <c r="C2075" s="72" t="s">
        <v>6295</v>
      </c>
      <c r="D2075" s="69">
        <v>2681565731</v>
      </c>
      <c r="E2075" s="9">
        <v>810</v>
      </c>
      <c r="F2075" s="25">
        <v>42915</v>
      </c>
      <c r="G2075" s="70" t="s">
        <v>3356</v>
      </c>
      <c r="H2075" s="9"/>
      <c r="I2075" s="8"/>
      <c r="J2075" s="8"/>
      <c r="K2075" s="8"/>
      <c r="L2075" s="9" t="s">
        <v>3475</v>
      </c>
      <c r="M2075" s="8"/>
    </row>
    <row r="2076" spans="1:13">
      <c r="A2076" s="71" t="s">
        <v>6296</v>
      </c>
      <c r="B2076" s="67">
        <v>14688713827</v>
      </c>
      <c r="C2076" s="72"/>
      <c r="D2076" s="69"/>
      <c r="E2076" s="9"/>
      <c r="F2076" s="25"/>
      <c r="G2076" s="70"/>
      <c r="H2076" s="9"/>
      <c r="I2076" s="8"/>
      <c r="J2076" s="8"/>
      <c r="K2076" s="8"/>
      <c r="L2076" s="8"/>
      <c r="M2076" s="8"/>
    </row>
    <row r="2077" spans="1:13">
      <c r="A2077" s="71" t="s">
        <v>6297</v>
      </c>
      <c r="B2077" s="67">
        <v>18472653838</v>
      </c>
      <c r="C2077" s="72" t="s">
        <v>6298</v>
      </c>
      <c r="D2077" s="69">
        <v>41070391883</v>
      </c>
      <c r="E2077" s="9"/>
      <c r="F2077" s="25"/>
      <c r="G2077" s="70"/>
      <c r="H2077" s="9"/>
      <c r="I2077" s="8"/>
      <c r="J2077" s="8"/>
      <c r="K2077" s="8"/>
      <c r="L2077" s="8"/>
      <c r="M2077" s="8"/>
    </row>
    <row r="2078" spans="1:13">
      <c r="A2078" s="29" t="s">
        <v>6299</v>
      </c>
      <c r="B2078" s="67"/>
      <c r="C2078" s="18" t="s">
        <v>3466</v>
      </c>
      <c r="D2078" s="69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71" t="s">
        <v>6300</v>
      </c>
      <c r="B2079" s="67">
        <v>21531362885</v>
      </c>
      <c r="C2079" s="72" t="s">
        <v>6301</v>
      </c>
      <c r="D2079" s="69">
        <v>27454333850</v>
      </c>
      <c r="E2079" s="9">
        <v>117</v>
      </c>
      <c r="F2079" s="25">
        <v>43117</v>
      </c>
      <c r="G2079" s="70" t="s">
        <v>3356</v>
      </c>
      <c r="H2079" s="9"/>
      <c r="I2079" s="8"/>
      <c r="J2079" s="8"/>
      <c r="K2079" s="8"/>
      <c r="L2079" s="9" t="s">
        <v>3507</v>
      </c>
      <c r="M2079" s="8"/>
    </row>
    <row r="2080" spans="1:13">
      <c r="A2080" s="13" t="s">
        <v>6300</v>
      </c>
      <c r="B2080" s="67">
        <v>35537854899</v>
      </c>
      <c r="C2080" s="72" t="s">
        <v>6302</v>
      </c>
      <c r="D2080" s="69">
        <v>35365081897</v>
      </c>
      <c r="E2080" s="9">
        <v>1128</v>
      </c>
      <c r="F2080" s="25">
        <v>42972</v>
      </c>
      <c r="G2080" s="70" t="s">
        <v>3356</v>
      </c>
      <c r="H2080" s="9"/>
      <c r="I2080" s="8"/>
      <c r="J2080" s="8"/>
      <c r="K2080" s="8"/>
      <c r="L2080" s="8"/>
      <c r="M2080" s="8"/>
    </row>
    <row r="2081" spans="1:13">
      <c r="A2081" s="29" t="s">
        <v>6303</v>
      </c>
      <c r="B2081" s="67"/>
      <c r="C2081" s="29" t="s">
        <v>6304</v>
      </c>
      <c r="D2081" s="69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6305</v>
      </c>
      <c r="B2082" s="67">
        <v>2234021413</v>
      </c>
      <c r="C2082" s="72"/>
      <c r="D2082" s="69"/>
      <c r="E2082" s="9">
        <v>85</v>
      </c>
      <c r="F2082" s="25">
        <v>43109</v>
      </c>
      <c r="G2082" s="70" t="s">
        <v>3356</v>
      </c>
      <c r="H2082" s="25">
        <v>43151</v>
      </c>
      <c r="I2082" s="8"/>
      <c r="J2082" s="8"/>
      <c r="K2082" s="8"/>
      <c r="L2082" s="8"/>
      <c r="M2082" s="8"/>
    </row>
    <row r="2083" spans="1:13">
      <c r="A2083" s="71" t="s">
        <v>6306</v>
      </c>
      <c r="B2083" s="67">
        <v>35483702840</v>
      </c>
      <c r="C2083" s="72" t="s">
        <v>6307</v>
      </c>
      <c r="D2083" s="69">
        <v>43100368487</v>
      </c>
      <c r="E2083" s="9"/>
      <c r="F2083" s="25"/>
      <c r="G2083" s="70"/>
      <c r="H2083" s="9"/>
      <c r="I2083" s="8"/>
      <c r="J2083" s="8"/>
      <c r="K2083" s="8"/>
      <c r="L2083" s="8"/>
      <c r="M2083" s="8"/>
    </row>
    <row r="2084" spans="1:13">
      <c r="A2084" s="73" t="s">
        <v>6308</v>
      </c>
      <c r="B2084" s="67">
        <v>13143080841</v>
      </c>
      <c r="C2084" s="72"/>
      <c r="D2084" s="69"/>
      <c r="E2084" s="9">
        <v>292</v>
      </c>
      <c r="F2084" s="25">
        <v>43168</v>
      </c>
      <c r="G2084" s="9" t="s">
        <v>3356</v>
      </c>
      <c r="H2084" s="9"/>
      <c r="I2084" s="8"/>
      <c r="J2084" s="8"/>
      <c r="K2084" s="8"/>
      <c r="L2084" s="9">
        <v>318</v>
      </c>
      <c r="M2084" s="8"/>
    </row>
    <row r="2085" spans="1:13">
      <c r="A2085" s="71" t="s">
        <v>6309</v>
      </c>
      <c r="B2085" s="67">
        <v>38434367890</v>
      </c>
      <c r="C2085" s="77"/>
      <c r="D2085" s="69"/>
      <c r="E2085" s="9">
        <v>563</v>
      </c>
      <c r="F2085" s="25">
        <v>43217</v>
      </c>
      <c r="G2085" s="70"/>
      <c r="H2085" s="9"/>
      <c r="I2085" s="8"/>
      <c r="J2085" s="8"/>
      <c r="K2085" s="8"/>
      <c r="L2085" s="9" t="s">
        <v>3636</v>
      </c>
      <c r="M2085" s="8"/>
    </row>
    <row r="2086" spans="1:13">
      <c r="A2086" s="72" t="s">
        <v>6310</v>
      </c>
      <c r="B2086" s="67">
        <v>93387016468</v>
      </c>
      <c r="C2086" s="72"/>
      <c r="D2086" s="69"/>
      <c r="E2086" s="9"/>
      <c r="F2086" s="25"/>
      <c r="G2086" s="70"/>
      <c r="H2086" s="9"/>
      <c r="I2086" s="8"/>
      <c r="J2086" s="8"/>
      <c r="K2086" s="8"/>
      <c r="L2086" s="8"/>
      <c r="M2086" s="8"/>
    </row>
    <row r="2087" spans="1:13">
      <c r="A2087" s="18" t="s">
        <v>6311</v>
      </c>
      <c r="B2087" s="67">
        <v>3322258440</v>
      </c>
      <c r="C2087" s="18" t="s">
        <v>6312</v>
      </c>
      <c r="D2087" s="69">
        <v>606629564</v>
      </c>
      <c r="E2087" s="9"/>
      <c r="F2087" s="25"/>
      <c r="G2087" s="70"/>
      <c r="H2087" s="9"/>
      <c r="I2087" s="8"/>
      <c r="J2087" s="8"/>
      <c r="K2087" s="8"/>
      <c r="L2087" s="8"/>
      <c r="M2087" s="8"/>
    </row>
    <row r="2088" spans="1:13">
      <c r="A2088" s="72" t="s">
        <v>6313</v>
      </c>
      <c r="B2088" s="67">
        <v>26418574800</v>
      </c>
      <c r="C2088" s="72"/>
      <c r="D2088" s="69"/>
      <c r="E2088" s="9"/>
      <c r="F2088" s="25"/>
      <c r="G2088" s="70"/>
      <c r="H2088" s="9"/>
      <c r="I2088" s="8"/>
      <c r="J2088" s="8"/>
      <c r="K2088" s="8"/>
      <c r="L2088" s="8"/>
      <c r="M2088" s="8"/>
    </row>
    <row r="2089" spans="1:13">
      <c r="A2089" s="29" t="s">
        <v>6314</v>
      </c>
      <c r="B2089" s="67"/>
      <c r="C2089" s="18" t="s">
        <v>3466</v>
      </c>
      <c r="D2089" s="69"/>
      <c r="E2089" s="9"/>
      <c r="F2089" s="25"/>
      <c r="G2089" s="70"/>
      <c r="H2089" s="9"/>
      <c r="I2089" s="8"/>
      <c r="J2089" s="8"/>
      <c r="K2089" s="8"/>
      <c r="L2089" s="8"/>
      <c r="M2089" s="8"/>
    </row>
    <row r="2090" spans="1:13">
      <c r="A2090" s="71" t="s">
        <v>6315</v>
      </c>
      <c r="B2090" s="67">
        <v>25564758897</v>
      </c>
      <c r="C2090" s="72" t="s">
        <v>6316</v>
      </c>
      <c r="D2090" s="69">
        <v>72365617468</v>
      </c>
      <c r="E2090" s="9">
        <v>262</v>
      </c>
      <c r="F2090" s="25">
        <v>43160</v>
      </c>
      <c r="G2090" s="70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71" t="s">
        <v>6317</v>
      </c>
      <c r="B2091" s="67">
        <v>9722276875</v>
      </c>
      <c r="C2091" s="72" t="s">
        <v>6318</v>
      </c>
      <c r="D2091" s="69">
        <v>7777516825</v>
      </c>
      <c r="E2091" s="9">
        <v>810</v>
      </c>
      <c r="F2091" s="25">
        <v>42915</v>
      </c>
      <c r="G2091" s="70" t="s">
        <v>3356</v>
      </c>
      <c r="H2091" s="9"/>
      <c r="I2091" s="8"/>
      <c r="J2091" s="8"/>
      <c r="K2091" s="8"/>
      <c r="L2091" s="9" t="s">
        <v>3475</v>
      </c>
      <c r="M2091" s="8"/>
    </row>
    <row r="2092" spans="1:13">
      <c r="A2092" s="71" t="s">
        <v>6319</v>
      </c>
      <c r="B2092" s="67">
        <v>34579849809</v>
      </c>
      <c r="C2092" s="72"/>
      <c r="D2092" s="69"/>
      <c r="E2092" s="9"/>
      <c r="F2092" s="25"/>
      <c r="G2092" s="70"/>
      <c r="H2092" s="9"/>
      <c r="I2092" s="8"/>
      <c r="J2092" s="8"/>
      <c r="K2092" s="8"/>
      <c r="L2092" s="8"/>
      <c r="M2092" s="8"/>
    </row>
    <row r="2093" spans="1:13">
      <c r="A2093" s="13" t="s">
        <v>6320</v>
      </c>
      <c r="B2093" s="67">
        <v>27192176893</v>
      </c>
      <c r="C2093" s="68" t="s">
        <v>6321</v>
      </c>
      <c r="D2093" s="69">
        <v>8367664825</v>
      </c>
      <c r="E2093" s="9">
        <v>608</v>
      </c>
      <c r="F2093" s="25">
        <v>43012</v>
      </c>
      <c r="G2093" s="70" t="s">
        <v>3356</v>
      </c>
      <c r="H2093" s="9"/>
      <c r="I2093" s="8"/>
      <c r="J2093" s="8"/>
      <c r="K2093" s="8"/>
      <c r="L2093" s="8"/>
      <c r="M2093" s="8"/>
    </row>
    <row r="2094" spans="1:13">
      <c r="A2094" s="18" t="s">
        <v>6322</v>
      </c>
      <c r="B2094" s="67">
        <v>16514255825</v>
      </c>
      <c r="C2094" s="18" t="s">
        <v>6323</v>
      </c>
      <c r="D2094" s="69">
        <v>6568302805</v>
      </c>
      <c r="E2094" s="9"/>
      <c r="F2094" s="25"/>
      <c r="G2094" s="70"/>
      <c r="H2094" s="9"/>
      <c r="I2094" s="8"/>
      <c r="J2094" s="8"/>
      <c r="K2094" s="8"/>
      <c r="L2094" s="8"/>
      <c r="M2094" s="8"/>
    </row>
    <row r="2095" spans="1:13">
      <c r="A2095" s="73" t="s">
        <v>6324</v>
      </c>
      <c r="B2095" s="67">
        <v>4809644324</v>
      </c>
      <c r="C2095" s="72" t="s">
        <v>6325</v>
      </c>
      <c r="D2095" s="69">
        <v>31827963808</v>
      </c>
      <c r="E2095" s="9">
        <v>1214</v>
      </c>
      <c r="F2095" s="25">
        <v>42989</v>
      </c>
      <c r="G2095" s="70" t="s">
        <v>3356</v>
      </c>
      <c r="H2095" s="9"/>
      <c r="I2095" s="8"/>
      <c r="J2095" s="8"/>
      <c r="K2095" s="8"/>
      <c r="L2095" s="8"/>
      <c r="M2095" s="8"/>
    </row>
    <row r="2096" spans="1:13">
      <c r="A2096" s="71" t="s">
        <v>6326</v>
      </c>
      <c r="B2096" s="67">
        <v>90638883504</v>
      </c>
      <c r="C2096" s="72"/>
      <c r="D2096" s="69"/>
      <c r="E2096" s="9">
        <v>262</v>
      </c>
      <c r="F2096" s="25">
        <v>43160</v>
      </c>
      <c r="G2096" s="70" t="s">
        <v>3356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73" t="s">
        <v>6327</v>
      </c>
      <c r="B2097" s="67">
        <v>11894918428</v>
      </c>
      <c r="C2097" s="72" t="s">
        <v>6328</v>
      </c>
      <c r="D2097" s="69">
        <v>37623185810</v>
      </c>
      <c r="E2097" s="9">
        <v>810</v>
      </c>
      <c r="F2097" s="25">
        <v>42915</v>
      </c>
      <c r="G2097" s="70" t="s">
        <v>3356</v>
      </c>
      <c r="H2097" s="9"/>
      <c r="I2097" s="8"/>
      <c r="J2097" s="8"/>
      <c r="K2097" s="8"/>
      <c r="L2097" s="9" t="s">
        <v>3475</v>
      </c>
      <c r="M2097" s="8"/>
    </row>
    <row r="2098" spans="1:13">
      <c r="A2098" s="15" t="s">
        <v>6329</v>
      </c>
      <c r="B2098" s="67">
        <v>70146081420</v>
      </c>
      <c r="C2098" s="72"/>
      <c r="D2098" s="69"/>
      <c r="E2098" s="9">
        <v>423</v>
      </c>
      <c r="F2098" s="25">
        <v>43182</v>
      </c>
      <c r="G2098" s="70" t="s">
        <v>3356</v>
      </c>
      <c r="H2098" s="9"/>
      <c r="I2098" s="8"/>
      <c r="J2098" s="8"/>
      <c r="K2098" s="8"/>
      <c r="L2098" s="8"/>
      <c r="M2098" s="8"/>
    </row>
    <row r="2099" spans="1:13">
      <c r="A2099" s="72" t="s">
        <v>6330</v>
      </c>
      <c r="B2099" s="67">
        <v>14774907871</v>
      </c>
      <c r="C2099" s="72"/>
      <c r="D2099" s="69"/>
      <c r="E2099" s="9"/>
      <c r="F2099" s="25"/>
      <c r="G2099" s="70"/>
      <c r="H2099" s="9"/>
      <c r="I2099" s="8"/>
      <c r="J2099" s="8"/>
      <c r="K2099" s="8"/>
      <c r="L2099" s="8"/>
      <c r="M2099" s="8"/>
    </row>
    <row r="2100" spans="1:13">
      <c r="A2100" s="71" t="s">
        <v>6331</v>
      </c>
      <c r="B2100" s="67">
        <v>11161101802</v>
      </c>
      <c r="C2100" s="77"/>
      <c r="D2100" s="69"/>
      <c r="E2100" s="9">
        <v>563</v>
      </c>
      <c r="F2100" s="25">
        <v>43217</v>
      </c>
      <c r="G2100" s="70"/>
      <c r="H2100" s="9"/>
      <c r="I2100" s="8"/>
      <c r="J2100" s="8"/>
      <c r="K2100" s="8"/>
      <c r="L2100" s="9" t="s">
        <v>3636</v>
      </c>
      <c r="M2100" s="8"/>
    </row>
    <row r="2101" spans="1:13">
      <c r="A2101" s="15" t="s">
        <v>6332</v>
      </c>
      <c r="B2101" s="67">
        <v>15311115807</v>
      </c>
      <c r="C2101" s="72"/>
      <c r="D2101" s="69"/>
      <c r="E2101" s="9"/>
      <c r="F2101" s="25"/>
      <c r="G2101" s="70"/>
      <c r="H2101" s="9"/>
      <c r="I2101" s="8"/>
      <c r="J2101" s="8"/>
      <c r="K2101" s="8"/>
      <c r="L2101" s="8"/>
      <c r="M2101" s="8"/>
    </row>
    <row r="2102" spans="1:13">
      <c r="A2102" s="72" t="s">
        <v>6333</v>
      </c>
      <c r="B2102" s="67">
        <v>29167389830</v>
      </c>
      <c r="C2102" s="72"/>
      <c r="D2102" s="69"/>
      <c r="E2102" s="9">
        <v>292</v>
      </c>
      <c r="F2102" s="25">
        <v>43168</v>
      </c>
      <c r="G2102" s="9" t="s">
        <v>3356</v>
      </c>
      <c r="H2102" s="9"/>
      <c r="I2102" s="8"/>
      <c r="J2102" s="8"/>
      <c r="K2102" s="8"/>
      <c r="L2102" s="9">
        <v>318</v>
      </c>
      <c r="M2102" s="8"/>
    </row>
    <row r="2103" spans="1:13">
      <c r="A2103" s="29" t="s">
        <v>6334</v>
      </c>
      <c r="B2103" s="67"/>
      <c r="C2103" s="29" t="s">
        <v>3466</v>
      </c>
      <c r="D2103" s="69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6335</v>
      </c>
      <c r="B2104" s="67">
        <v>4241745377</v>
      </c>
      <c r="C2104" s="72" t="s">
        <v>6336</v>
      </c>
      <c r="D2104" s="69">
        <v>4417028303</v>
      </c>
      <c r="E2104" s="9">
        <v>85</v>
      </c>
      <c r="F2104" s="25">
        <v>43109</v>
      </c>
      <c r="G2104" s="70" t="s">
        <v>3356</v>
      </c>
      <c r="H2104" s="25">
        <v>43151</v>
      </c>
      <c r="I2104" s="8"/>
      <c r="J2104" s="8"/>
      <c r="K2104" s="8"/>
      <c r="L2104" s="8"/>
      <c r="M2104" s="8"/>
    </row>
    <row r="2105" spans="1:13">
      <c r="A2105" s="29" t="s">
        <v>6337</v>
      </c>
      <c r="B2105" s="67"/>
      <c r="C2105" s="29" t="s">
        <v>6338</v>
      </c>
      <c r="D2105" s="69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6339</v>
      </c>
      <c r="B2106" s="67">
        <v>14906913830</v>
      </c>
      <c r="C2106" s="68"/>
      <c r="D2106" s="69"/>
      <c r="E2106" s="9">
        <v>1128</v>
      </c>
      <c r="F2106" s="25">
        <v>42972</v>
      </c>
      <c r="G2106" s="70" t="s">
        <v>3356</v>
      </c>
      <c r="H2106" s="9"/>
      <c r="I2106" s="8"/>
      <c r="J2106" s="8"/>
      <c r="K2106" s="8"/>
      <c r="L2106" s="8"/>
      <c r="M2106" s="8"/>
    </row>
    <row r="2107" spans="1:13">
      <c r="A2107" s="71" t="s">
        <v>6340</v>
      </c>
      <c r="B2107" s="67">
        <v>2182682708</v>
      </c>
      <c r="C2107" s="72" t="s">
        <v>6341</v>
      </c>
      <c r="D2107" s="69">
        <v>1409950727</v>
      </c>
      <c r="E2107" s="9">
        <v>810</v>
      </c>
      <c r="F2107" s="25">
        <v>42915</v>
      </c>
      <c r="G2107" s="70" t="s">
        <v>3370</v>
      </c>
      <c r="H2107" s="9"/>
      <c r="I2107" s="8"/>
      <c r="J2107" s="8"/>
      <c r="K2107" s="8"/>
      <c r="L2107" s="9" t="s">
        <v>3475</v>
      </c>
      <c r="M2107" s="8"/>
    </row>
    <row r="2108" spans="1:13">
      <c r="A2108" s="71" t="s">
        <v>6342</v>
      </c>
      <c r="B2108" s="67">
        <v>4827754403</v>
      </c>
      <c r="C2108" s="72"/>
      <c r="D2108" s="69"/>
      <c r="E2108" s="9">
        <v>509</v>
      </c>
      <c r="F2108" s="25">
        <v>43203</v>
      </c>
      <c r="G2108" s="76"/>
      <c r="H2108" s="76">
        <v>43213</v>
      </c>
      <c r="I2108" s="8"/>
      <c r="J2108" s="8"/>
      <c r="K2108" s="8"/>
      <c r="L2108" s="8"/>
      <c r="M2108" s="8"/>
    </row>
    <row r="2109" spans="1:13">
      <c r="A2109" s="72" t="s">
        <v>6343</v>
      </c>
      <c r="B2109" s="67">
        <v>11694151808</v>
      </c>
      <c r="C2109" s="72" t="s">
        <v>6344</v>
      </c>
      <c r="D2109" s="69">
        <v>29721167800</v>
      </c>
      <c r="E2109" s="9">
        <v>485</v>
      </c>
      <c r="F2109" s="25">
        <v>43196</v>
      </c>
      <c r="G2109" s="70" t="s">
        <v>3362</v>
      </c>
      <c r="H2109" s="76">
        <v>43213</v>
      </c>
      <c r="I2109" s="8"/>
      <c r="J2109" s="8"/>
      <c r="K2109" s="8"/>
      <c r="L2109" s="9">
        <v>483</v>
      </c>
      <c r="M2109" s="8"/>
    </row>
    <row r="2110" spans="1:13">
      <c r="A2110" s="71" t="s">
        <v>6345</v>
      </c>
      <c r="B2110" s="67">
        <v>15801331859</v>
      </c>
      <c r="C2110" s="72"/>
      <c r="D2110" s="69"/>
      <c r="E2110" s="9">
        <v>292</v>
      </c>
      <c r="F2110" s="25">
        <v>43168</v>
      </c>
      <c r="G2110" s="70" t="s">
        <v>3356</v>
      </c>
      <c r="H2110" s="76">
        <v>43213</v>
      </c>
      <c r="I2110" s="8"/>
      <c r="J2110" s="8"/>
      <c r="K2110" s="8"/>
      <c r="L2110" s="9">
        <v>318</v>
      </c>
      <c r="M2110" s="8"/>
    </row>
    <row r="2111" spans="1:13">
      <c r="A2111" s="71" t="s">
        <v>6346</v>
      </c>
      <c r="B2111" s="67">
        <v>37623190814</v>
      </c>
      <c r="C2111" s="72"/>
      <c r="D2111" s="69"/>
      <c r="E2111" s="9"/>
      <c r="F2111" s="25"/>
      <c r="G2111" s="70"/>
      <c r="H2111" s="76">
        <v>43213</v>
      </c>
      <c r="I2111" s="8"/>
      <c r="J2111" s="8"/>
      <c r="K2111" s="8"/>
      <c r="L2111" s="8"/>
      <c r="M2111" s="8"/>
    </row>
    <row r="2112" spans="1:13">
      <c r="A2112" s="71" t="s">
        <v>6347</v>
      </c>
      <c r="B2112" s="67">
        <v>14360185871</v>
      </c>
      <c r="C2112" s="68"/>
      <c r="D2112" s="69"/>
      <c r="E2112" s="9">
        <v>1752</v>
      </c>
      <c r="F2112" s="25">
        <v>43051</v>
      </c>
      <c r="G2112" s="70" t="s">
        <v>3356</v>
      </c>
      <c r="H2112" s="76">
        <v>43213</v>
      </c>
      <c r="I2112" s="8"/>
      <c r="J2112" s="8"/>
      <c r="K2112" s="8"/>
      <c r="L2112" s="9">
        <v>1759</v>
      </c>
      <c r="M2112" s="8"/>
    </row>
    <row r="2113" spans="1:13">
      <c r="A2113" s="71" t="s">
        <v>6348</v>
      </c>
      <c r="B2113" s="67">
        <v>24613427843</v>
      </c>
      <c r="C2113" s="72" t="s">
        <v>6349</v>
      </c>
      <c r="D2113" s="69">
        <v>6003706821</v>
      </c>
      <c r="E2113" s="9">
        <v>810</v>
      </c>
      <c r="F2113" s="25">
        <v>42915</v>
      </c>
      <c r="G2113" s="70" t="s">
        <v>3356</v>
      </c>
      <c r="H2113" s="76">
        <v>43213</v>
      </c>
      <c r="I2113" s="8"/>
      <c r="J2113" s="8"/>
      <c r="K2113" s="8"/>
      <c r="L2113" s="9" t="s">
        <v>3475</v>
      </c>
      <c r="M2113" s="8"/>
    </row>
    <row r="2114" spans="1:13">
      <c r="A2114" s="72" t="s">
        <v>6350</v>
      </c>
      <c r="B2114" s="67">
        <v>61234508400</v>
      </c>
      <c r="C2114" s="72" t="s">
        <v>6351</v>
      </c>
      <c r="D2114" s="69">
        <v>61614068453</v>
      </c>
      <c r="E2114" s="9"/>
      <c r="F2114" s="25"/>
      <c r="G2114" s="70"/>
      <c r="H2114" s="76">
        <v>43213</v>
      </c>
      <c r="I2114" s="8"/>
      <c r="J2114" s="8"/>
      <c r="K2114" s="8"/>
      <c r="L2114" s="8"/>
      <c r="M2114" s="8"/>
    </row>
    <row r="2115" spans="1:13">
      <c r="A2115" s="29" t="s">
        <v>6352</v>
      </c>
      <c r="B2115" s="67"/>
      <c r="C2115" s="18" t="s">
        <v>3466</v>
      </c>
      <c r="D2115" s="69"/>
      <c r="E2115" s="9"/>
      <c r="F2115" s="25"/>
      <c r="G2115" s="2"/>
      <c r="H2115" s="76">
        <v>43213</v>
      </c>
      <c r="I2115" s="8"/>
      <c r="J2115" s="8"/>
      <c r="K2115" s="8"/>
      <c r="L2115" s="8"/>
      <c r="M2115" s="8"/>
    </row>
    <row r="2116" spans="1:13">
      <c r="A2116" s="71" t="s">
        <v>6353</v>
      </c>
      <c r="B2116" s="67">
        <v>13129909885</v>
      </c>
      <c r="C2116" s="72"/>
      <c r="D2116" s="69"/>
      <c r="E2116" s="9">
        <v>810</v>
      </c>
      <c r="F2116" s="25">
        <v>42915</v>
      </c>
      <c r="G2116" s="70" t="s">
        <v>3356</v>
      </c>
      <c r="H2116" s="76">
        <v>43213</v>
      </c>
      <c r="I2116" s="8"/>
      <c r="J2116" s="8"/>
      <c r="K2116" s="8"/>
      <c r="L2116" s="9" t="s">
        <v>3475</v>
      </c>
      <c r="M2116" s="8"/>
    </row>
    <row r="2117" spans="1:13">
      <c r="A2117" s="71" t="s">
        <v>6354</v>
      </c>
      <c r="B2117" s="67">
        <v>13517391824</v>
      </c>
      <c r="C2117" s="72"/>
      <c r="D2117" s="69"/>
      <c r="E2117" s="9">
        <v>1555</v>
      </c>
      <c r="F2117" s="25">
        <v>43049</v>
      </c>
      <c r="G2117" s="70" t="s">
        <v>3370</v>
      </c>
      <c r="H2117" s="76">
        <v>43213</v>
      </c>
      <c r="I2117" s="8"/>
      <c r="J2117" s="8"/>
      <c r="K2117" s="8"/>
      <c r="L2117" s="9" t="s">
        <v>3735</v>
      </c>
      <c r="M2117" s="8"/>
    </row>
    <row r="2118" spans="1:13">
      <c r="A2118" s="71" t="s">
        <v>6355</v>
      </c>
      <c r="B2118" s="67">
        <v>16684268898</v>
      </c>
      <c r="C2118" s="68"/>
      <c r="D2118" s="69"/>
      <c r="E2118" s="9"/>
      <c r="F2118" s="25"/>
      <c r="G2118" s="70"/>
      <c r="H2118" s="9"/>
      <c r="I2118" s="8"/>
      <c r="J2118" s="8"/>
      <c r="K2118" s="8"/>
      <c r="L2118" s="8"/>
      <c r="M2118" s="8"/>
    </row>
    <row r="2119" spans="1:13">
      <c r="A2119" s="71" t="s">
        <v>6356</v>
      </c>
      <c r="B2119" s="67">
        <v>26665024814</v>
      </c>
      <c r="C2119" s="77"/>
      <c r="D2119" s="69"/>
      <c r="E2119" s="9"/>
      <c r="F2119" s="25"/>
      <c r="G2119" s="70"/>
      <c r="H2119" s="9"/>
      <c r="I2119" s="8"/>
      <c r="J2119" s="8"/>
      <c r="K2119" s="8"/>
      <c r="L2119" s="8"/>
      <c r="M2119" s="8"/>
    </row>
    <row r="2120" spans="1:13">
      <c r="A2120" s="15" t="s">
        <v>6357</v>
      </c>
      <c r="B2120" s="67">
        <v>3493507364</v>
      </c>
      <c r="C2120" s="72" t="s">
        <v>6358</v>
      </c>
      <c r="D2120" s="69">
        <v>35793827803</v>
      </c>
      <c r="E2120" s="9"/>
      <c r="F2120" s="25"/>
      <c r="G2120" s="70"/>
      <c r="H2120" s="9"/>
      <c r="I2120" s="8"/>
      <c r="J2120" s="8"/>
      <c r="K2120" s="8"/>
      <c r="L2120" s="8"/>
      <c r="M2120" s="8"/>
    </row>
    <row r="2121" spans="1:13">
      <c r="A2121" s="71" t="s">
        <v>6359</v>
      </c>
      <c r="B2121" s="67">
        <v>12722083892</v>
      </c>
      <c r="C2121" s="72"/>
      <c r="D2121" s="69"/>
      <c r="E2121" s="9">
        <v>1824</v>
      </c>
      <c r="F2121" s="25">
        <v>43091</v>
      </c>
      <c r="G2121" s="70" t="s">
        <v>3356</v>
      </c>
      <c r="H2121" s="9"/>
      <c r="I2121" s="8"/>
      <c r="J2121" s="8"/>
      <c r="K2121" s="8"/>
      <c r="L2121" s="9">
        <v>1828</v>
      </c>
      <c r="M2121" s="8"/>
    </row>
    <row r="2122" spans="1:13">
      <c r="A2122" s="71" t="s">
        <v>6360</v>
      </c>
      <c r="B2122" s="67">
        <v>72303573572</v>
      </c>
      <c r="C2122" s="72"/>
      <c r="D2122" s="69"/>
      <c r="E2122" s="9">
        <v>810</v>
      </c>
      <c r="F2122" s="25">
        <v>42915</v>
      </c>
      <c r="G2122" s="70" t="s">
        <v>3356</v>
      </c>
      <c r="H2122" s="9"/>
      <c r="I2122" s="8"/>
      <c r="J2122" s="8"/>
      <c r="K2122" s="8"/>
      <c r="L2122" s="9" t="s">
        <v>3475</v>
      </c>
      <c r="M2122" s="8"/>
    </row>
    <row r="2123" spans="1:13">
      <c r="A2123" s="71" t="s">
        <v>6361</v>
      </c>
      <c r="B2123" s="67">
        <v>9111755806</v>
      </c>
      <c r="C2123" s="72"/>
      <c r="D2123" s="69"/>
      <c r="E2123" s="9">
        <v>527</v>
      </c>
      <c r="F2123" s="25">
        <v>43210</v>
      </c>
      <c r="G2123" s="70"/>
      <c r="H2123" s="9"/>
      <c r="I2123" s="8"/>
      <c r="J2123" s="8"/>
      <c r="K2123" s="8"/>
      <c r="L2123" s="9">
        <v>528</v>
      </c>
      <c r="M2123" s="8"/>
    </row>
    <row r="2124" spans="1:13">
      <c r="A2124" s="71" t="s">
        <v>6362</v>
      </c>
      <c r="B2124" s="67">
        <v>31365484858</v>
      </c>
      <c r="C2124" s="71" t="s">
        <v>6363</v>
      </c>
      <c r="D2124" s="67">
        <v>17087119885</v>
      </c>
      <c r="E2124" s="9"/>
      <c r="F2124" s="25"/>
      <c r="G2124" s="70"/>
      <c r="H2124" s="9"/>
      <c r="I2124" s="8"/>
      <c r="J2124" s="8"/>
      <c r="K2124" s="8"/>
      <c r="L2124" s="8"/>
      <c r="M2124" s="8"/>
    </row>
    <row r="2125" spans="1:13">
      <c r="A2125" s="71" t="s">
        <v>6364</v>
      </c>
      <c r="B2125" s="67">
        <v>24759458859</v>
      </c>
      <c r="C2125" s="68"/>
      <c r="D2125" s="69"/>
      <c r="E2125" s="9">
        <v>1214</v>
      </c>
      <c r="F2125" s="25">
        <v>42989</v>
      </c>
      <c r="G2125" s="70" t="s">
        <v>3356</v>
      </c>
      <c r="H2125" s="9"/>
      <c r="I2125" s="8"/>
      <c r="J2125" s="8"/>
      <c r="K2125" s="8"/>
      <c r="L2125" s="8"/>
      <c r="M2125" s="8"/>
    </row>
    <row r="2126" spans="1:13">
      <c r="A2126" s="71" t="s">
        <v>6365</v>
      </c>
      <c r="B2126" s="67">
        <v>27068346847</v>
      </c>
      <c r="C2126" s="72"/>
      <c r="D2126" s="69"/>
      <c r="E2126" s="9">
        <v>810</v>
      </c>
      <c r="F2126" s="25">
        <v>42915</v>
      </c>
      <c r="G2126" s="70" t="s">
        <v>3356</v>
      </c>
      <c r="H2126" s="9"/>
      <c r="I2126" s="8"/>
      <c r="J2126" s="8"/>
      <c r="K2126" s="8"/>
      <c r="L2126" s="9" t="s">
        <v>3475</v>
      </c>
      <c r="M2126" s="8"/>
    </row>
    <row r="2127" spans="1:13">
      <c r="A2127" s="14" t="s">
        <v>6366</v>
      </c>
      <c r="B2127" s="67">
        <v>69813043504</v>
      </c>
      <c r="C2127" s="72" t="s">
        <v>6367</v>
      </c>
      <c r="D2127" s="69">
        <v>12384582895</v>
      </c>
      <c r="E2127" s="9">
        <v>573</v>
      </c>
      <c r="F2127" s="25">
        <v>43224</v>
      </c>
      <c r="G2127" s="70"/>
      <c r="H2127" s="9"/>
      <c r="I2127" s="8"/>
      <c r="J2127" s="8"/>
      <c r="K2127" s="8"/>
      <c r="L2127" s="8"/>
      <c r="M2127" s="8"/>
    </row>
    <row r="2128" spans="1:13">
      <c r="A2128" s="18" t="s">
        <v>6368</v>
      </c>
      <c r="B2128" s="67">
        <v>22728510881</v>
      </c>
      <c r="C2128" s="18"/>
      <c r="D2128" s="69"/>
      <c r="E2128" s="9"/>
      <c r="F2128" s="25"/>
      <c r="G2128" s="70"/>
      <c r="H2128" s="9"/>
      <c r="I2128" s="8"/>
      <c r="J2128" s="8"/>
      <c r="K2128" s="8"/>
      <c r="L2128" s="8"/>
      <c r="M2128" s="8"/>
    </row>
    <row r="2129" spans="1:13">
      <c r="A2129" s="71" t="s">
        <v>6369</v>
      </c>
      <c r="B2129" s="67">
        <v>8784971886</v>
      </c>
      <c r="C2129" s="72"/>
      <c r="D2129" s="69"/>
      <c r="E2129" s="9">
        <v>117</v>
      </c>
      <c r="F2129" s="25">
        <v>43117</v>
      </c>
      <c r="G2129" s="70" t="s">
        <v>3356</v>
      </c>
      <c r="H2129" s="9"/>
      <c r="I2129" s="8"/>
      <c r="J2129" s="8"/>
      <c r="K2129" s="8"/>
      <c r="L2129" s="9" t="s">
        <v>3507</v>
      </c>
      <c r="M2129" s="8"/>
    </row>
    <row r="2130" spans="1:13">
      <c r="A2130" s="18" t="s">
        <v>6370</v>
      </c>
      <c r="B2130" s="67">
        <v>15800175845</v>
      </c>
      <c r="C2130" s="18" t="s">
        <v>6371</v>
      </c>
      <c r="D2130" s="69">
        <v>8904506840</v>
      </c>
      <c r="E2130" s="9"/>
      <c r="F2130" s="25"/>
      <c r="G2130" s="70"/>
      <c r="H2130" s="9"/>
      <c r="I2130" s="8"/>
      <c r="J2130" s="8"/>
      <c r="K2130" s="8"/>
      <c r="L2130" s="8"/>
      <c r="M2130" s="8"/>
    </row>
    <row r="2131" spans="1:13">
      <c r="A2131" s="71" t="s">
        <v>6372</v>
      </c>
      <c r="B2131" s="67">
        <v>13018290801</v>
      </c>
      <c r="C2131" s="72" t="s">
        <v>6373</v>
      </c>
      <c r="D2131" s="69">
        <v>13557701816</v>
      </c>
      <c r="E2131" s="9">
        <v>509</v>
      </c>
      <c r="F2131" s="25">
        <v>43203</v>
      </c>
      <c r="G2131" s="76"/>
      <c r="H2131" s="76">
        <v>43213</v>
      </c>
      <c r="I2131" s="8"/>
      <c r="J2131" s="8"/>
      <c r="K2131" s="8"/>
      <c r="L2131" s="8"/>
      <c r="M2131" s="8"/>
    </row>
    <row r="2132" spans="1:13">
      <c r="A2132" s="18" t="s">
        <v>6374</v>
      </c>
      <c r="B2132" s="67">
        <v>61505078318</v>
      </c>
      <c r="C2132" s="18" t="s">
        <v>6375</v>
      </c>
      <c r="D2132" s="69">
        <v>342762893</v>
      </c>
      <c r="E2132" s="9"/>
      <c r="F2132" s="25"/>
      <c r="G2132" s="70"/>
      <c r="H2132" s="76">
        <v>43213</v>
      </c>
      <c r="I2132" s="8"/>
      <c r="J2132" s="8"/>
      <c r="K2132" s="8"/>
      <c r="L2132" s="8"/>
      <c r="M2132" s="8"/>
    </row>
    <row r="2133" spans="1:13">
      <c r="A2133" s="71" t="s">
        <v>6376</v>
      </c>
      <c r="B2133" s="67">
        <v>6097323824</v>
      </c>
      <c r="C2133" s="72" t="s">
        <v>6377</v>
      </c>
      <c r="D2133" s="69">
        <v>4869646803</v>
      </c>
      <c r="E2133" s="9"/>
      <c r="F2133" s="25"/>
      <c r="G2133" s="70"/>
      <c r="H2133" s="76">
        <v>43213</v>
      </c>
      <c r="I2133" s="8"/>
      <c r="J2133" s="8"/>
      <c r="K2133" s="8"/>
      <c r="L2133" s="8"/>
      <c r="M2133" s="8"/>
    </row>
    <row r="2134" spans="1:13">
      <c r="A2134" s="71" t="s">
        <v>6378</v>
      </c>
      <c r="B2134" s="67">
        <v>2280793814</v>
      </c>
      <c r="C2134" s="72"/>
      <c r="D2134" s="69"/>
      <c r="E2134" s="9">
        <v>1824</v>
      </c>
      <c r="F2134" s="25">
        <v>43091</v>
      </c>
      <c r="G2134" s="70" t="s">
        <v>3356</v>
      </c>
      <c r="H2134" s="76">
        <v>43213</v>
      </c>
      <c r="I2134" s="8"/>
      <c r="J2134" s="8"/>
      <c r="K2134" s="8"/>
      <c r="L2134" s="9">
        <v>1828</v>
      </c>
      <c r="M2134" s="8"/>
    </row>
    <row r="2135" spans="1:13">
      <c r="A2135" s="71" t="s">
        <v>6379</v>
      </c>
      <c r="B2135" s="67">
        <v>16514582869</v>
      </c>
      <c r="C2135" s="72"/>
      <c r="D2135" s="69"/>
      <c r="E2135" s="9">
        <v>810</v>
      </c>
      <c r="F2135" s="25">
        <v>42915</v>
      </c>
      <c r="G2135" s="70" t="s">
        <v>3356</v>
      </c>
      <c r="H2135" s="76">
        <v>43213</v>
      </c>
      <c r="I2135" s="8"/>
      <c r="J2135" s="8"/>
      <c r="K2135" s="8"/>
      <c r="L2135" s="9" t="s">
        <v>3475</v>
      </c>
      <c r="M2135" s="8"/>
    </row>
    <row r="2136" spans="1:13">
      <c r="A2136" s="71" t="s">
        <v>6380</v>
      </c>
      <c r="B2136" s="67">
        <v>93387784520</v>
      </c>
      <c r="C2136" s="72"/>
      <c r="D2136" s="69"/>
      <c r="E2136" s="9">
        <v>810</v>
      </c>
      <c r="F2136" s="25">
        <v>42915</v>
      </c>
      <c r="G2136" s="70" t="s">
        <v>3356</v>
      </c>
      <c r="H2136" s="76">
        <v>43213</v>
      </c>
      <c r="I2136" s="8"/>
      <c r="J2136" s="8"/>
      <c r="K2136" s="8"/>
      <c r="L2136" s="9" t="s">
        <v>3475</v>
      </c>
      <c r="M2136" s="8"/>
    </row>
    <row r="2137" spans="1:13">
      <c r="A2137" s="71" t="s">
        <v>6381</v>
      </c>
      <c r="B2137" s="67">
        <v>19266795801</v>
      </c>
      <c r="C2137" s="72"/>
      <c r="D2137" s="69"/>
      <c r="E2137" s="9">
        <v>810</v>
      </c>
      <c r="F2137" s="25">
        <v>42915</v>
      </c>
      <c r="G2137" s="70" t="s">
        <v>3356</v>
      </c>
      <c r="H2137" s="76">
        <v>43213</v>
      </c>
      <c r="I2137" s="8"/>
      <c r="J2137" s="8"/>
      <c r="K2137" s="8"/>
      <c r="L2137" s="9" t="s">
        <v>3475</v>
      </c>
      <c r="M2137" s="8"/>
    </row>
    <row r="2138" spans="1:13">
      <c r="A2138" s="71" t="s">
        <v>6382</v>
      </c>
      <c r="B2138" s="67">
        <v>25748697882</v>
      </c>
      <c r="C2138" s="72"/>
      <c r="D2138" s="69"/>
      <c r="E2138" s="9"/>
      <c r="F2138" s="25"/>
      <c r="G2138" s="70"/>
      <c r="H2138" s="76">
        <v>43213</v>
      </c>
      <c r="I2138" s="8"/>
      <c r="J2138" s="8"/>
      <c r="K2138" s="8"/>
      <c r="L2138" s="8"/>
      <c r="M2138" s="8"/>
    </row>
    <row r="2139" spans="1:13">
      <c r="A2139" s="71" t="s">
        <v>6383</v>
      </c>
      <c r="B2139" s="67">
        <v>18020035842</v>
      </c>
      <c r="C2139" s="72"/>
      <c r="D2139" s="69"/>
      <c r="E2139" s="9">
        <v>1752</v>
      </c>
      <c r="F2139" s="25">
        <v>43051</v>
      </c>
      <c r="G2139" s="70" t="s">
        <v>3356</v>
      </c>
      <c r="H2139" s="76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6384</v>
      </c>
      <c r="B2140" s="67">
        <v>33005130819</v>
      </c>
      <c r="C2140" s="72" t="s">
        <v>6385</v>
      </c>
      <c r="D2140" s="69">
        <v>29843431820</v>
      </c>
      <c r="E2140" s="9">
        <v>117</v>
      </c>
      <c r="F2140" s="25">
        <v>43117</v>
      </c>
      <c r="G2140" s="70" t="s">
        <v>3356</v>
      </c>
      <c r="H2140" s="76">
        <v>43213</v>
      </c>
      <c r="I2140" s="8"/>
      <c r="J2140" s="8"/>
      <c r="K2140" s="8"/>
      <c r="L2140" s="9" t="s">
        <v>3507</v>
      </c>
      <c r="M2140" s="8"/>
    </row>
    <row r="2141" spans="1:13">
      <c r="A2141" s="71" t="s">
        <v>6386</v>
      </c>
      <c r="B2141" s="67">
        <v>41277413843</v>
      </c>
      <c r="C2141" s="72"/>
      <c r="D2141" s="69"/>
      <c r="E2141" s="9">
        <v>292</v>
      </c>
      <c r="F2141" s="25">
        <v>43168</v>
      </c>
      <c r="G2141" s="70" t="s">
        <v>3356</v>
      </c>
      <c r="H2141" s="9"/>
      <c r="I2141" s="8"/>
      <c r="J2141" s="8"/>
      <c r="K2141" s="8"/>
      <c r="L2141" s="9">
        <v>318</v>
      </c>
      <c r="M2141" s="8"/>
    </row>
    <row r="2142" spans="1:13">
      <c r="A2142" s="71" t="s">
        <v>6387</v>
      </c>
      <c r="B2142" s="67">
        <v>42840674866</v>
      </c>
      <c r="C2142" s="72" t="s">
        <v>6388</v>
      </c>
      <c r="D2142" s="69">
        <v>33066015866</v>
      </c>
      <c r="E2142" s="9">
        <v>117</v>
      </c>
      <c r="F2142" s="25">
        <v>43117</v>
      </c>
      <c r="G2142" s="70" t="s">
        <v>3356</v>
      </c>
      <c r="H2142" s="9"/>
      <c r="I2142" s="8"/>
      <c r="J2142" s="8"/>
      <c r="K2142" s="8"/>
      <c r="L2142" s="9" t="s">
        <v>3507</v>
      </c>
      <c r="M2142" s="8"/>
    </row>
    <row r="2143" spans="1:13">
      <c r="A2143" s="71" t="s">
        <v>6389</v>
      </c>
      <c r="B2143" s="67">
        <v>35341510895</v>
      </c>
      <c r="C2143" s="72"/>
      <c r="D2143" s="69"/>
      <c r="E2143" s="9"/>
      <c r="F2143" s="25"/>
      <c r="G2143" s="70"/>
      <c r="H2143" s="9"/>
      <c r="I2143" s="8"/>
      <c r="J2143" s="8"/>
      <c r="K2143" s="8"/>
      <c r="L2143" s="8"/>
      <c r="M2143" s="8"/>
    </row>
    <row r="2144" spans="1:13">
      <c r="A2144" s="29" t="s">
        <v>6390</v>
      </c>
      <c r="B2144" s="67">
        <v>2312065851</v>
      </c>
      <c r="C2144" s="73" t="s">
        <v>6391</v>
      </c>
      <c r="D2144" s="69">
        <v>26078428837</v>
      </c>
      <c r="E2144" s="9"/>
      <c r="F2144" s="25"/>
      <c r="G2144" s="70"/>
      <c r="H2144" s="9"/>
      <c r="I2144" s="8"/>
      <c r="J2144" s="8"/>
      <c r="K2144" s="8"/>
      <c r="L2144" s="8"/>
      <c r="M2144" s="8"/>
    </row>
    <row r="2145" spans="1:13">
      <c r="A2145" s="71" t="s">
        <v>6392</v>
      </c>
      <c r="B2145" s="67">
        <v>48549010472</v>
      </c>
      <c r="C2145" s="72" t="s">
        <v>6393</v>
      </c>
      <c r="D2145" s="69">
        <v>7796014830</v>
      </c>
      <c r="E2145" s="9">
        <v>1267</v>
      </c>
      <c r="F2145" s="25">
        <v>42998</v>
      </c>
      <c r="G2145" s="70" t="s">
        <v>3356</v>
      </c>
      <c r="H2145" s="9"/>
      <c r="I2145" s="8"/>
      <c r="J2145" s="8"/>
      <c r="K2145" s="8"/>
      <c r="L2145" s="8"/>
      <c r="M2145" s="8"/>
    </row>
    <row r="2146" spans="1:13">
      <c r="A2146" s="29" t="s">
        <v>6394</v>
      </c>
      <c r="B2146" s="67"/>
      <c r="C2146" s="18" t="s">
        <v>3466</v>
      </c>
      <c r="D2146" s="69"/>
      <c r="E2146" s="9"/>
      <c r="F2146" s="25"/>
      <c r="G2146" s="70"/>
      <c r="H2146" s="9"/>
      <c r="I2146" s="8"/>
      <c r="J2146" s="8"/>
      <c r="K2146" s="8"/>
      <c r="L2146" s="8"/>
      <c r="M2146" s="8"/>
    </row>
    <row r="2147" spans="1:13">
      <c r="A2147" s="95" t="s">
        <v>6394</v>
      </c>
      <c r="B2147" s="67">
        <v>14907695870</v>
      </c>
      <c r="C2147" s="29"/>
      <c r="D2147" s="69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73" t="s">
        <v>6395</v>
      </c>
      <c r="B2148" s="67">
        <v>38348922890</v>
      </c>
      <c r="C2148" s="72" t="s">
        <v>6396</v>
      </c>
      <c r="D2148" s="69">
        <v>22580367802</v>
      </c>
      <c r="E2148" s="9">
        <v>810</v>
      </c>
      <c r="F2148" s="25">
        <v>42915</v>
      </c>
      <c r="G2148" s="70" t="s">
        <v>3356</v>
      </c>
      <c r="H2148" s="9"/>
      <c r="I2148" s="8"/>
      <c r="J2148" s="8"/>
      <c r="K2148" s="8"/>
      <c r="L2148" s="9" t="s">
        <v>3475</v>
      </c>
      <c r="M2148" s="8"/>
    </row>
    <row r="2149" spans="1:13">
      <c r="A2149" s="72" t="s">
        <v>6397</v>
      </c>
      <c r="B2149" s="67">
        <v>27123900839</v>
      </c>
      <c r="C2149" s="72"/>
      <c r="D2149" s="69"/>
      <c r="E2149" s="9">
        <v>117</v>
      </c>
      <c r="F2149" s="25">
        <v>43117</v>
      </c>
      <c r="G2149" s="70" t="s">
        <v>3356</v>
      </c>
      <c r="H2149" s="9"/>
      <c r="I2149" s="8"/>
      <c r="J2149" s="8"/>
      <c r="K2149" s="8"/>
      <c r="L2149" s="9" t="s">
        <v>3507</v>
      </c>
      <c r="M2149" s="8"/>
    </row>
    <row r="2150" spans="1:13">
      <c r="A2150" s="71" t="s">
        <v>6398</v>
      </c>
      <c r="B2150" s="67">
        <v>13529456810</v>
      </c>
      <c r="C2150" s="72"/>
      <c r="D2150" s="69"/>
      <c r="E2150" s="9"/>
      <c r="F2150" s="25"/>
      <c r="G2150" s="70"/>
      <c r="H2150" s="9"/>
      <c r="I2150" s="8"/>
      <c r="J2150" s="8"/>
      <c r="K2150" s="8"/>
      <c r="L2150" s="8"/>
      <c r="M2150" s="8"/>
    </row>
    <row r="2151" spans="1:13">
      <c r="A2151" s="73" t="s">
        <v>6399</v>
      </c>
      <c r="B2151" s="67">
        <v>36691354800</v>
      </c>
      <c r="C2151" s="72" t="s">
        <v>6400</v>
      </c>
      <c r="D2151" s="69">
        <v>33316627634</v>
      </c>
      <c r="E2151" s="9"/>
      <c r="F2151" s="25"/>
      <c r="G2151" s="70"/>
      <c r="H2151" s="9"/>
      <c r="I2151" s="8"/>
      <c r="J2151" s="8"/>
      <c r="K2151" s="8"/>
      <c r="L2151" s="8"/>
      <c r="M2151" s="8"/>
    </row>
    <row r="2152" spans="1:13">
      <c r="A2152" s="15" t="s">
        <v>6401</v>
      </c>
      <c r="B2152" s="67">
        <v>2599679559</v>
      </c>
      <c r="C2152" s="72" t="s">
        <v>6402</v>
      </c>
      <c r="D2152" s="69">
        <v>99002051549</v>
      </c>
      <c r="E2152" s="9">
        <v>1824</v>
      </c>
      <c r="F2152" s="25">
        <v>43091</v>
      </c>
      <c r="G2152" s="70" t="s">
        <v>3370</v>
      </c>
      <c r="H2152" s="9"/>
      <c r="I2152" s="8"/>
      <c r="J2152" s="8"/>
      <c r="K2152" s="8"/>
      <c r="L2152" s="9">
        <v>1828</v>
      </c>
      <c r="M2152" s="8"/>
    </row>
    <row r="2153" spans="1:13">
      <c r="A2153" s="29" t="s">
        <v>6403</v>
      </c>
      <c r="B2153" s="67">
        <v>50263790525</v>
      </c>
      <c r="C2153" s="18"/>
      <c r="D2153" s="69"/>
      <c r="E2153" s="9"/>
      <c r="F2153" s="25"/>
      <c r="G2153" s="70"/>
      <c r="H2153" s="9"/>
      <c r="I2153" s="8"/>
      <c r="J2153" s="8"/>
      <c r="K2153" s="8"/>
      <c r="L2153" s="8"/>
      <c r="M2153" s="8"/>
    </row>
    <row r="2154" spans="1:13">
      <c r="A2154" s="71" t="s">
        <v>6404</v>
      </c>
      <c r="B2154" s="67">
        <v>35562252805</v>
      </c>
      <c r="C2154" s="72"/>
      <c r="D2154" s="69"/>
      <c r="E2154" s="9">
        <v>1214</v>
      </c>
      <c r="F2154" s="25">
        <v>42989</v>
      </c>
      <c r="G2154" s="70" t="s">
        <v>3356</v>
      </c>
      <c r="H2154" s="9"/>
      <c r="I2154" s="8"/>
      <c r="J2154" s="8"/>
      <c r="K2154" s="8"/>
      <c r="L2154" s="8"/>
      <c r="M2154" s="8"/>
    </row>
    <row r="2155" spans="1:13">
      <c r="A2155" s="15" t="s">
        <v>6405</v>
      </c>
      <c r="B2155" s="67">
        <v>932891381</v>
      </c>
      <c r="C2155" s="72"/>
      <c r="D2155" s="69"/>
      <c r="E2155" s="9">
        <v>229</v>
      </c>
      <c r="F2155" s="25">
        <v>43151</v>
      </c>
      <c r="G2155" s="70" t="s">
        <v>3356</v>
      </c>
      <c r="H2155" s="9"/>
      <c r="I2155" s="8"/>
      <c r="J2155" s="8"/>
      <c r="K2155" s="8"/>
      <c r="L2155" s="9">
        <v>232</v>
      </c>
      <c r="M2155" s="8"/>
    </row>
    <row r="2156" spans="1:13">
      <c r="A2156" s="29" t="s">
        <v>6406</v>
      </c>
      <c r="B2156" s="67">
        <v>94813078591</v>
      </c>
      <c r="C2156" s="18" t="s">
        <v>6407</v>
      </c>
      <c r="D2156" s="69">
        <v>18975422836</v>
      </c>
      <c r="E2156" s="9"/>
      <c r="F2156" s="25"/>
      <c r="G2156" s="70"/>
      <c r="H2156" s="9"/>
      <c r="I2156" s="8"/>
      <c r="J2156" s="8"/>
      <c r="K2156" s="8"/>
      <c r="L2156" s="8"/>
      <c r="M2156" s="8"/>
    </row>
    <row r="2157" spans="1:13">
      <c r="A2157" s="15" t="s">
        <v>6408</v>
      </c>
      <c r="B2157" s="67">
        <v>6522038846</v>
      </c>
      <c r="C2157" s="72" t="s">
        <v>6409</v>
      </c>
      <c r="D2157" s="69">
        <v>390582808</v>
      </c>
      <c r="E2157" s="9">
        <v>292</v>
      </c>
      <c r="F2157" s="25">
        <v>43168</v>
      </c>
      <c r="G2157" s="70" t="s">
        <v>3356</v>
      </c>
      <c r="H2157" s="9"/>
      <c r="I2157" s="8"/>
      <c r="J2157" s="8"/>
      <c r="K2157" s="8"/>
      <c r="L2157" s="9">
        <v>318</v>
      </c>
      <c r="M2157" s="8"/>
    </row>
    <row r="2158" spans="1:13">
      <c r="A2158" s="71" t="s">
        <v>6410</v>
      </c>
      <c r="B2158" s="67">
        <v>70986847402</v>
      </c>
      <c r="C2158" s="72" t="s">
        <v>6411</v>
      </c>
      <c r="D2158" s="69">
        <v>39640099899</v>
      </c>
      <c r="E2158" s="9">
        <v>229</v>
      </c>
      <c r="F2158" s="25">
        <v>43151</v>
      </c>
      <c r="G2158" s="70" t="s">
        <v>3356</v>
      </c>
      <c r="H2158" s="9"/>
      <c r="I2158" s="8"/>
      <c r="J2158" s="8"/>
      <c r="K2158" s="8"/>
      <c r="L2158" s="9">
        <v>232</v>
      </c>
      <c r="M2158" s="8"/>
    </row>
    <row r="2159" spans="1:13">
      <c r="A2159" s="71" t="s">
        <v>6412</v>
      </c>
      <c r="B2159" s="67">
        <v>37737032878</v>
      </c>
      <c r="C2159" s="72" t="s">
        <v>6413</v>
      </c>
      <c r="D2159" s="69">
        <v>24659778819</v>
      </c>
      <c r="E2159" s="9">
        <v>1417</v>
      </c>
      <c r="F2159" s="25">
        <v>43017</v>
      </c>
      <c r="G2159" s="70" t="s">
        <v>3362</v>
      </c>
      <c r="H2159" s="9"/>
      <c r="I2159" s="8"/>
      <c r="J2159" s="8"/>
      <c r="K2159" s="8"/>
      <c r="L2159" s="9" t="s">
        <v>3590</v>
      </c>
      <c r="M2159" s="8"/>
    </row>
    <row r="2160" spans="1:13">
      <c r="A2160" s="71" t="s">
        <v>6414</v>
      </c>
      <c r="B2160" s="67">
        <v>62239147504</v>
      </c>
      <c r="C2160" s="72"/>
      <c r="D2160" s="69"/>
      <c r="E2160" s="9">
        <v>527</v>
      </c>
      <c r="F2160" s="25">
        <v>43210</v>
      </c>
      <c r="G2160" s="70"/>
      <c r="H2160" s="9"/>
      <c r="I2160" s="8"/>
      <c r="J2160" s="8"/>
      <c r="K2160" s="8"/>
      <c r="L2160" s="9">
        <v>528</v>
      </c>
      <c r="M2160" s="8"/>
    </row>
    <row r="2161" spans="1:13">
      <c r="A2161" s="71" t="s">
        <v>6415</v>
      </c>
      <c r="B2161" s="67">
        <v>15597554824</v>
      </c>
      <c r="C2161" s="72"/>
      <c r="D2161" s="69"/>
      <c r="E2161" s="9">
        <v>1214</v>
      </c>
      <c r="F2161" s="25">
        <v>42989</v>
      </c>
      <c r="G2161" s="70" t="s">
        <v>3356</v>
      </c>
      <c r="H2161" s="9"/>
      <c r="I2161" s="8"/>
      <c r="J2161" s="8"/>
      <c r="K2161" s="8"/>
      <c r="L2161" s="8"/>
      <c r="M2161" s="8"/>
    </row>
    <row r="2162" spans="1:13">
      <c r="A2162" s="73" t="s">
        <v>6416</v>
      </c>
      <c r="B2162" s="67">
        <v>15716959822</v>
      </c>
      <c r="C2162" s="72" t="s">
        <v>6417</v>
      </c>
      <c r="D2162" s="69">
        <v>10451985877</v>
      </c>
      <c r="E2162" s="9">
        <v>262</v>
      </c>
      <c r="F2162" s="25">
        <v>43160</v>
      </c>
      <c r="G2162" s="70" t="s">
        <v>3356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2" t="s">
        <v>6418</v>
      </c>
      <c r="B2163" s="80">
        <v>12739147830</v>
      </c>
      <c r="C2163" s="81"/>
      <c r="D2163" s="82"/>
      <c r="E2163" s="47">
        <v>262</v>
      </c>
      <c r="F2163" s="48">
        <v>43160</v>
      </c>
      <c r="G2163" s="83"/>
      <c r="H2163" s="48">
        <v>43164</v>
      </c>
      <c r="I2163" s="49"/>
      <c r="J2163" s="49"/>
      <c r="K2163" s="49"/>
      <c r="L2163" s="9">
        <v>255</v>
      </c>
      <c r="M2163" s="49"/>
    </row>
    <row r="2164" spans="1:13">
      <c r="A2164" s="71" t="s">
        <v>6419</v>
      </c>
      <c r="B2164" s="67">
        <v>41976066808</v>
      </c>
      <c r="C2164" s="72"/>
      <c r="D2164" s="69"/>
      <c r="E2164" s="9">
        <v>262</v>
      </c>
      <c r="F2164" s="25">
        <v>43160</v>
      </c>
      <c r="G2164" s="70" t="s">
        <v>3356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6420</v>
      </c>
      <c r="B2165" s="67">
        <v>21888553880</v>
      </c>
      <c r="C2165" s="72"/>
      <c r="D2165" s="69"/>
      <c r="E2165" s="9">
        <v>1350</v>
      </c>
      <c r="F2165" s="25">
        <v>43006</v>
      </c>
      <c r="G2165" s="70" t="s">
        <v>3356</v>
      </c>
      <c r="H2165" s="9"/>
      <c r="I2165" s="8"/>
      <c r="J2165" s="8"/>
      <c r="K2165" s="8"/>
      <c r="L2165" s="8"/>
      <c r="M2165" s="8"/>
    </row>
    <row r="2166" spans="1:13">
      <c r="A2166" s="71" t="s">
        <v>6421</v>
      </c>
      <c r="B2166" s="67">
        <v>32241408875</v>
      </c>
      <c r="C2166" s="72" t="s">
        <v>6422</v>
      </c>
      <c r="D2166" s="69">
        <v>7164250413</v>
      </c>
      <c r="E2166" s="9">
        <v>1824</v>
      </c>
      <c r="F2166" s="25">
        <v>43091</v>
      </c>
      <c r="G2166" s="70" t="s">
        <v>3356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6423</v>
      </c>
      <c r="B2167" s="67">
        <v>2169510460</v>
      </c>
      <c r="C2167" s="72"/>
      <c r="D2167" s="69"/>
      <c r="E2167" s="9">
        <v>262</v>
      </c>
      <c r="F2167" s="25">
        <v>43160</v>
      </c>
      <c r="G2167" s="70" t="s">
        <v>3356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71" t="s">
        <v>6424</v>
      </c>
      <c r="B2168" s="67">
        <v>27254252806</v>
      </c>
      <c r="C2168" s="68"/>
      <c r="D2168" s="69"/>
      <c r="E2168" s="9">
        <v>1128</v>
      </c>
      <c r="F2168" s="25">
        <v>42972</v>
      </c>
      <c r="G2168" s="70" t="s">
        <v>3356</v>
      </c>
      <c r="H2168" s="9"/>
      <c r="I2168" s="8"/>
      <c r="J2168" s="8"/>
      <c r="K2168" s="8"/>
      <c r="L2168" s="8"/>
      <c r="M2168" s="8"/>
    </row>
    <row r="2169" spans="1:13">
      <c r="A2169" s="72" t="s">
        <v>6425</v>
      </c>
      <c r="B2169" s="67">
        <v>32762788803</v>
      </c>
      <c r="C2169" s="72"/>
      <c r="D2169" s="69"/>
      <c r="E2169" s="9">
        <v>485</v>
      </c>
      <c r="F2169" s="25">
        <v>43196</v>
      </c>
      <c r="G2169" s="70"/>
      <c r="H2169" s="9"/>
      <c r="I2169" s="8"/>
      <c r="J2169" s="8"/>
      <c r="K2169" s="8"/>
      <c r="L2169" s="9">
        <v>483</v>
      </c>
      <c r="M2169" s="8"/>
    </row>
    <row r="2170" spans="1:13">
      <c r="A2170" s="72" t="s">
        <v>6426</v>
      </c>
      <c r="B2170" s="67">
        <v>14691798811</v>
      </c>
      <c r="C2170" s="72"/>
      <c r="D2170" s="69"/>
      <c r="E2170" s="9">
        <v>443</v>
      </c>
      <c r="F2170" s="25">
        <v>43188</v>
      </c>
      <c r="G2170" s="70"/>
      <c r="H2170" s="9"/>
      <c r="I2170" s="8"/>
      <c r="J2170" s="8"/>
      <c r="K2170" s="8"/>
      <c r="L2170" s="8"/>
      <c r="M2170" s="8"/>
    </row>
    <row r="2171" spans="1:13">
      <c r="A2171" s="72" t="s">
        <v>6427</v>
      </c>
      <c r="B2171" s="67">
        <v>25924763854</v>
      </c>
      <c r="C2171" s="72"/>
      <c r="D2171" s="69"/>
      <c r="E2171" s="9">
        <v>292</v>
      </c>
      <c r="F2171" s="25">
        <v>43168</v>
      </c>
      <c r="G2171" s="9" t="s">
        <v>3356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6428</v>
      </c>
      <c r="B2172" s="67">
        <v>70044554400</v>
      </c>
      <c r="C2172" s="72"/>
      <c r="D2172" s="69"/>
      <c r="E2172" s="9">
        <v>1417</v>
      </c>
      <c r="F2172" s="25">
        <v>43017</v>
      </c>
      <c r="G2172" s="70" t="s">
        <v>3356</v>
      </c>
      <c r="H2172" s="9"/>
      <c r="I2172" s="8"/>
      <c r="J2172" s="8"/>
      <c r="K2172" s="8"/>
      <c r="L2172" s="9" t="s">
        <v>3590</v>
      </c>
      <c r="M2172" s="8"/>
    </row>
    <row r="2173" spans="1:13">
      <c r="A2173" s="71" t="s">
        <v>6429</v>
      </c>
      <c r="B2173" s="67">
        <v>8983229870</v>
      </c>
      <c r="C2173" s="72" t="s">
        <v>6430</v>
      </c>
      <c r="D2173" s="69">
        <v>25639387831</v>
      </c>
      <c r="E2173" s="9"/>
      <c r="F2173" s="25"/>
      <c r="G2173" s="70"/>
      <c r="H2173" s="9"/>
      <c r="I2173" s="8"/>
      <c r="J2173" s="8"/>
      <c r="K2173" s="8"/>
      <c r="L2173" s="8"/>
      <c r="M2173" s="8"/>
    </row>
    <row r="2174" spans="1:13">
      <c r="A2174" s="71" t="s">
        <v>6431</v>
      </c>
      <c r="B2174" s="67">
        <v>9269199894</v>
      </c>
      <c r="C2174" s="72" t="s">
        <v>6432</v>
      </c>
      <c r="D2174" s="69">
        <v>11299722871</v>
      </c>
      <c r="E2174" s="9"/>
      <c r="F2174" s="25"/>
      <c r="G2174" s="70"/>
      <c r="H2174" s="9"/>
      <c r="I2174" s="8"/>
      <c r="J2174" s="8"/>
      <c r="K2174" s="8"/>
      <c r="L2174" s="8"/>
      <c r="M2174" s="8"/>
    </row>
    <row r="2175" spans="1:13">
      <c r="A2175" s="71" t="s">
        <v>6433</v>
      </c>
      <c r="B2175" s="67">
        <v>67401376504</v>
      </c>
      <c r="C2175" s="72"/>
      <c r="D2175" s="69"/>
      <c r="E2175" s="9">
        <v>1106</v>
      </c>
      <c r="F2175" s="25">
        <v>42965</v>
      </c>
      <c r="G2175" s="70" t="s">
        <v>3356</v>
      </c>
      <c r="H2175" s="9"/>
      <c r="I2175" s="8"/>
      <c r="J2175" s="8"/>
      <c r="K2175" s="8"/>
      <c r="L2175" s="8"/>
      <c r="M2175" s="8"/>
    </row>
    <row r="2176" spans="1:13">
      <c r="A2176" s="13" t="s">
        <v>6434</v>
      </c>
      <c r="B2176" s="67">
        <v>2277633518</v>
      </c>
      <c r="C2176" s="72"/>
      <c r="D2176" s="69"/>
      <c r="E2176" s="9">
        <v>1350</v>
      </c>
      <c r="F2176" s="25">
        <v>43006</v>
      </c>
      <c r="G2176" s="70" t="s">
        <v>3356</v>
      </c>
      <c r="H2176" s="9"/>
      <c r="I2176" s="8"/>
      <c r="J2176" s="8"/>
      <c r="K2176" s="8"/>
      <c r="L2176" s="8"/>
      <c r="M2176" s="8"/>
    </row>
    <row r="2177" spans="1:13">
      <c r="A2177" s="71" t="s">
        <v>6435</v>
      </c>
      <c r="B2177" s="67">
        <v>26144961895</v>
      </c>
      <c r="C2177" s="72"/>
      <c r="D2177" s="69"/>
      <c r="E2177" s="9">
        <v>292</v>
      </c>
      <c r="F2177" s="25">
        <v>43168</v>
      </c>
      <c r="G2177" s="70" t="s">
        <v>3356</v>
      </c>
      <c r="H2177" s="9"/>
      <c r="I2177" s="8"/>
      <c r="J2177" s="8"/>
      <c r="K2177" s="8"/>
      <c r="L2177" s="9">
        <v>318</v>
      </c>
      <c r="M2177" s="8"/>
    </row>
    <row r="2178" spans="1:13">
      <c r="A2178" s="73" t="s">
        <v>6436</v>
      </c>
      <c r="B2178" s="67">
        <v>34641758808</v>
      </c>
      <c r="C2178" s="72" t="s">
        <v>6437</v>
      </c>
      <c r="D2178" s="69">
        <v>30083315802</v>
      </c>
      <c r="E2178" s="9">
        <v>810</v>
      </c>
      <c r="F2178" s="25">
        <v>42915</v>
      </c>
      <c r="G2178" s="70" t="s">
        <v>3356</v>
      </c>
      <c r="H2178" s="9"/>
      <c r="I2178" s="8"/>
      <c r="J2178" s="8"/>
      <c r="K2178" s="8"/>
      <c r="L2178" s="9" t="s">
        <v>3475</v>
      </c>
      <c r="M2178" s="8"/>
    </row>
    <row r="2179" spans="1:13">
      <c r="A2179" s="71" t="s">
        <v>6438</v>
      </c>
      <c r="B2179" s="67">
        <v>1335459383</v>
      </c>
      <c r="C2179" s="71" t="s">
        <v>6439</v>
      </c>
      <c r="D2179" s="69">
        <v>2369426381</v>
      </c>
      <c r="E2179" s="9">
        <v>292</v>
      </c>
      <c r="F2179" s="25">
        <v>43168</v>
      </c>
      <c r="G2179" s="70" t="s">
        <v>3356</v>
      </c>
      <c r="H2179" s="9"/>
      <c r="I2179" s="8"/>
      <c r="J2179" s="8"/>
      <c r="K2179" s="8"/>
      <c r="L2179" s="9">
        <v>318</v>
      </c>
      <c r="M2179" s="8"/>
    </row>
    <row r="2180" spans="1:13">
      <c r="A2180" s="71" t="s">
        <v>6440</v>
      </c>
      <c r="B2180" s="67">
        <v>14780354803</v>
      </c>
      <c r="C2180" s="72"/>
      <c r="D2180" s="69"/>
      <c r="E2180" s="9">
        <v>117</v>
      </c>
      <c r="F2180" s="25">
        <v>43117</v>
      </c>
      <c r="G2180" s="70" t="s">
        <v>3356</v>
      </c>
      <c r="H2180" s="9"/>
      <c r="I2180" s="8"/>
      <c r="J2180" s="8"/>
      <c r="K2180" s="8"/>
      <c r="L2180" s="9" t="s">
        <v>3507</v>
      </c>
      <c r="M2180" s="8"/>
    </row>
    <row r="2181" spans="1:13">
      <c r="A2181" s="71" t="s">
        <v>6441</v>
      </c>
      <c r="B2181" s="67">
        <v>95479112368</v>
      </c>
      <c r="C2181" s="72"/>
      <c r="D2181" s="69"/>
      <c r="E2181" s="9">
        <v>1824</v>
      </c>
      <c r="F2181" s="25">
        <v>43091</v>
      </c>
      <c r="G2181" s="9" t="s">
        <v>3356</v>
      </c>
      <c r="H2181" s="9"/>
      <c r="I2181" s="8"/>
      <c r="J2181" s="8"/>
      <c r="K2181" s="8"/>
      <c r="L2181" s="9">
        <v>1828</v>
      </c>
      <c r="M2181" s="8"/>
    </row>
    <row r="2182" spans="1:13">
      <c r="A2182" s="29" t="s">
        <v>6442</v>
      </c>
      <c r="B2182" s="67">
        <v>38248770826</v>
      </c>
      <c r="C2182" s="29" t="s">
        <v>6443</v>
      </c>
      <c r="D2182" s="69">
        <v>22681091861</v>
      </c>
      <c r="E2182" s="9"/>
      <c r="F2182" s="25"/>
      <c r="G2182" s="70"/>
      <c r="H2182" s="9"/>
      <c r="I2182" s="8"/>
      <c r="J2182" s="8"/>
      <c r="K2182" s="8"/>
      <c r="L2182" s="8"/>
      <c r="M2182" s="8"/>
    </row>
    <row r="2183" spans="1:13">
      <c r="A2183" s="73" t="s">
        <v>6444</v>
      </c>
      <c r="B2183" s="67">
        <v>32857847840</v>
      </c>
      <c r="C2183" s="72" t="s">
        <v>6445</v>
      </c>
      <c r="D2183" s="69">
        <v>33885204886</v>
      </c>
      <c r="E2183" s="9">
        <v>810</v>
      </c>
      <c r="F2183" s="25">
        <v>42915</v>
      </c>
      <c r="G2183" s="70" t="s">
        <v>3356</v>
      </c>
      <c r="H2183" s="9"/>
      <c r="I2183" s="8"/>
      <c r="J2183" s="8"/>
      <c r="K2183" s="8"/>
      <c r="L2183" s="9" t="s">
        <v>3475</v>
      </c>
      <c r="M2183" s="8"/>
    </row>
    <row r="2184" spans="1:13">
      <c r="A2184" s="14" t="s">
        <v>6446</v>
      </c>
      <c r="B2184" s="67">
        <v>25367069827</v>
      </c>
      <c r="C2184" s="72" t="s">
        <v>6447</v>
      </c>
      <c r="D2184" s="69">
        <v>28922275855</v>
      </c>
      <c r="E2184" s="9">
        <v>262</v>
      </c>
      <c r="F2184" s="25">
        <v>43160</v>
      </c>
      <c r="G2184" s="70" t="s">
        <v>3362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6448</v>
      </c>
      <c r="B2185" s="67">
        <v>26032519880</v>
      </c>
      <c r="C2185" s="72"/>
      <c r="D2185" s="69"/>
      <c r="E2185" s="9">
        <v>117</v>
      </c>
      <c r="F2185" s="25">
        <v>43117</v>
      </c>
      <c r="G2185" s="70" t="s">
        <v>3356</v>
      </c>
      <c r="H2185" s="9"/>
      <c r="I2185" s="8"/>
      <c r="J2185" s="8"/>
      <c r="K2185" s="8"/>
      <c r="L2185" s="9" t="s">
        <v>3507</v>
      </c>
      <c r="M2185" s="8"/>
    </row>
    <row r="2186" spans="1:13">
      <c r="A2186" s="71" t="s">
        <v>6449</v>
      </c>
      <c r="B2186" s="67">
        <v>29652533866</v>
      </c>
      <c r="C2186" s="72" t="s">
        <v>6450</v>
      </c>
      <c r="D2186" s="69">
        <v>21898199892</v>
      </c>
      <c r="E2186" s="9">
        <v>1752</v>
      </c>
      <c r="F2186" s="25">
        <v>43051</v>
      </c>
      <c r="G2186" s="70" t="s">
        <v>3356</v>
      </c>
      <c r="H2186" s="9"/>
      <c r="I2186" s="8"/>
      <c r="J2186" s="8"/>
      <c r="K2186" s="8"/>
      <c r="L2186" s="9">
        <v>1759</v>
      </c>
      <c r="M2186" s="8"/>
    </row>
    <row r="2187" spans="1:13">
      <c r="A2187" s="71" t="s">
        <v>6451</v>
      </c>
      <c r="B2187" s="67">
        <v>69554196415</v>
      </c>
      <c r="C2187" s="72"/>
      <c r="D2187" s="69"/>
      <c r="E2187" s="9">
        <v>608</v>
      </c>
      <c r="F2187" s="25">
        <v>43012</v>
      </c>
      <c r="G2187" s="70" t="s">
        <v>3356</v>
      </c>
      <c r="H2187" s="9"/>
      <c r="I2187" s="8"/>
      <c r="J2187" s="8"/>
      <c r="K2187" s="8"/>
      <c r="L2187" s="8"/>
      <c r="M2187" s="8"/>
    </row>
    <row r="2188" spans="1:13">
      <c r="A2188" s="14" t="s">
        <v>6452</v>
      </c>
      <c r="B2188" s="67">
        <v>52584275520</v>
      </c>
      <c r="C2188" s="72"/>
      <c r="D2188" s="69"/>
      <c r="E2188" s="9">
        <v>292</v>
      </c>
      <c r="F2188" s="25">
        <v>43168</v>
      </c>
      <c r="G2188" s="70" t="s">
        <v>3356</v>
      </c>
      <c r="H2188" s="9"/>
      <c r="I2188" s="8"/>
      <c r="J2188" s="8"/>
      <c r="K2188" s="8"/>
      <c r="L2188" s="9">
        <v>318</v>
      </c>
      <c r="M2188" s="8"/>
    </row>
    <row r="2189" spans="1:13">
      <c r="A2189" s="71" t="s">
        <v>6453</v>
      </c>
      <c r="B2189" s="67">
        <v>34777966836</v>
      </c>
      <c r="C2189" s="72" t="s">
        <v>6454</v>
      </c>
      <c r="D2189" s="69">
        <v>33600648870</v>
      </c>
      <c r="E2189" s="9">
        <v>117</v>
      </c>
      <c r="F2189" s="25">
        <v>43117</v>
      </c>
      <c r="G2189" s="70" t="s">
        <v>3356</v>
      </c>
      <c r="H2189" s="9"/>
      <c r="I2189" s="8"/>
      <c r="J2189" s="8"/>
      <c r="K2189" s="8"/>
      <c r="L2189" s="9" t="s">
        <v>3507</v>
      </c>
      <c r="M2189" s="8"/>
    </row>
    <row r="2190" spans="1:13">
      <c r="A2190" s="29" t="s">
        <v>6455</v>
      </c>
      <c r="B2190" s="67"/>
      <c r="C2190" s="29" t="s">
        <v>6456</v>
      </c>
      <c r="D2190" s="69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71" t="s">
        <v>6457</v>
      </c>
      <c r="B2191" s="67">
        <v>30104832878</v>
      </c>
      <c r="C2191" s="72"/>
      <c r="D2191" s="69"/>
      <c r="E2191" s="9">
        <v>292</v>
      </c>
      <c r="F2191" s="25">
        <v>43168</v>
      </c>
      <c r="G2191" s="9" t="s">
        <v>3356</v>
      </c>
      <c r="H2191" s="9"/>
      <c r="I2191" s="8"/>
      <c r="J2191" s="8"/>
      <c r="K2191" s="8"/>
      <c r="L2191" s="9">
        <v>318</v>
      </c>
      <c r="M2191" s="8"/>
    </row>
    <row r="2192" spans="1:13">
      <c r="A2192" s="71" t="s">
        <v>6458</v>
      </c>
      <c r="B2192" s="67">
        <v>26930078875</v>
      </c>
      <c r="C2192" s="72"/>
      <c r="D2192" s="69"/>
      <c r="E2192" s="9"/>
      <c r="F2192" s="25"/>
      <c r="G2192" s="70"/>
      <c r="H2192" s="9"/>
      <c r="I2192" s="8"/>
      <c r="J2192" s="8"/>
      <c r="K2192" s="8"/>
      <c r="L2192" s="8"/>
      <c r="M2192" s="8"/>
    </row>
    <row r="2193" spans="1:13">
      <c r="A2193" s="15" t="s">
        <v>6459</v>
      </c>
      <c r="B2193" s="67">
        <v>30080164803</v>
      </c>
      <c r="C2193" s="72"/>
      <c r="D2193" s="69"/>
      <c r="E2193" s="9">
        <v>229</v>
      </c>
      <c r="F2193" s="25">
        <v>43151</v>
      </c>
      <c r="G2193" s="70" t="s">
        <v>3356</v>
      </c>
      <c r="H2193" s="9"/>
      <c r="I2193" s="8"/>
      <c r="J2193" s="8"/>
      <c r="K2193" s="8"/>
      <c r="L2193" s="9">
        <v>232</v>
      </c>
      <c r="M2193" s="8"/>
    </row>
    <row r="2194" spans="1:13">
      <c r="A2194" s="71" t="s">
        <v>6460</v>
      </c>
      <c r="B2194" s="67">
        <v>27082581840</v>
      </c>
      <c r="C2194" s="77" t="s">
        <v>6461</v>
      </c>
      <c r="D2194" s="69">
        <v>37976724894</v>
      </c>
      <c r="E2194" s="9"/>
      <c r="F2194" s="25"/>
      <c r="G2194" s="70"/>
      <c r="H2194" s="9"/>
      <c r="I2194" s="8"/>
      <c r="J2194" s="8"/>
      <c r="K2194" s="8"/>
      <c r="L2194" s="8"/>
      <c r="M2194" s="8"/>
    </row>
    <row r="2195" spans="1:13">
      <c r="A2195" s="72" t="s">
        <v>6462</v>
      </c>
      <c r="B2195" s="67">
        <v>8191538857</v>
      </c>
      <c r="C2195" s="72"/>
      <c r="D2195" s="69"/>
      <c r="E2195" s="9">
        <v>485</v>
      </c>
      <c r="F2195" s="25">
        <v>43196</v>
      </c>
      <c r="G2195" s="70"/>
      <c r="H2195" s="9"/>
      <c r="I2195" s="8"/>
      <c r="J2195" s="8"/>
      <c r="K2195" s="8"/>
      <c r="L2195" s="9">
        <v>483</v>
      </c>
      <c r="M2195" s="8"/>
    </row>
    <row r="2196" spans="1:13">
      <c r="A2196" s="72" t="s">
        <v>6463</v>
      </c>
      <c r="B2196" s="67">
        <v>40878539859</v>
      </c>
      <c r="C2196" s="72" t="s">
        <v>6464</v>
      </c>
      <c r="D2196" s="69"/>
      <c r="E2196" s="9">
        <v>1489</v>
      </c>
      <c r="F2196" s="25">
        <v>43038</v>
      </c>
      <c r="G2196" s="70" t="s">
        <v>3356</v>
      </c>
      <c r="H2196" s="9"/>
      <c r="I2196" s="8"/>
      <c r="J2196" s="8"/>
      <c r="K2196" s="8"/>
      <c r="L2196" s="9" t="s">
        <v>3497</v>
      </c>
      <c r="M2196" s="8"/>
    </row>
    <row r="2197" spans="1:13">
      <c r="A2197" s="71" t="s">
        <v>6465</v>
      </c>
      <c r="B2197" s="67">
        <v>35643661802</v>
      </c>
      <c r="C2197" s="68" t="s">
        <v>6466</v>
      </c>
      <c r="D2197" s="69">
        <v>34613571898</v>
      </c>
      <c r="E2197" s="9">
        <v>1128</v>
      </c>
      <c r="F2197" s="25">
        <v>42972</v>
      </c>
      <c r="G2197" s="70" t="s">
        <v>3356</v>
      </c>
      <c r="H2197" s="9"/>
      <c r="I2197" s="8"/>
      <c r="J2197" s="8"/>
      <c r="K2197" s="8"/>
      <c r="L2197" s="8"/>
      <c r="M2197" s="8"/>
    </row>
    <row r="2198" spans="1:13">
      <c r="A2198" s="29" t="s">
        <v>6467</v>
      </c>
      <c r="B2198" s="67">
        <v>89251660549</v>
      </c>
      <c r="C2198" s="18" t="s">
        <v>3466</v>
      </c>
      <c r="D2198" s="69"/>
      <c r="E2198" s="9"/>
      <c r="F2198" s="25"/>
      <c r="G2198" s="70"/>
      <c r="H2198" s="9"/>
      <c r="I2198" s="8"/>
      <c r="J2198" s="8"/>
      <c r="K2198" s="8"/>
      <c r="L2198" s="8"/>
      <c r="M2198" s="8"/>
    </row>
    <row r="2199" spans="1:13">
      <c r="A2199" s="13" t="s">
        <v>6468</v>
      </c>
      <c r="B2199" s="67">
        <v>16264017809</v>
      </c>
      <c r="C2199" s="68"/>
      <c r="D2199" s="69"/>
      <c r="E2199" s="9">
        <v>1241</v>
      </c>
      <c r="F2199" s="25">
        <v>42992</v>
      </c>
      <c r="G2199" s="70" t="s">
        <v>3356</v>
      </c>
      <c r="H2199" s="9"/>
      <c r="I2199" s="8"/>
      <c r="J2199" s="8"/>
      <c r="K2199" s="8"/>
      <c r="L2199" s="8"/>
      <c r="M2199" s="8"/>
    </row>
    <row r="2200" spans="1:13">
      <c r="A2200" s="13" t="s">
        <v>6469</v>
      </c>
      <c r="B2200" s="67">
        <v>28280731814</v>
      </c>
      <c r="C2200" s="68" t="s">
        <v>6470</v>
      </c>
      <c r="D2200" s="69">
        <v>36523032884</v>
      </c>
      <c r="E2200" s="9">
        <v>1128</v>
      </c>
      <c r="F2200" s="25">
        <v>42972</v>
      </c>
      <c r="G2200" s="70" t="s">
        <v>3356</v>
      </c>
      <c r="H2200" s="9"/>
      <c r="I2200" s="8"/>
      <c r="J2200" s="8"/>
      <c r="K2200" s="8"/>
      <c r="L2200" s="8"/>
      <c r="M2200" s="8"/>
    </row>
    <row r="2201" spans="1:13">
      <c r="A2201" s="71" t="s">
        <v>6471</v>
      </c>
      <c r="B2201" s="67">
        <v>12525223802</v>
      </c>
      <c r="C2201" s="68" t="s">
        <v>6472</v>
      </c>
      <c r="D2201" s="69">
        <v>67349218591</v>
      </c>
      <c r="E2201" s="9">
        <v>1343</v>
      </c>
      <c r="F2201" s="25">
        <v>43004</v>
      </c>
      <c r="G2201" s="70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71" t="s">
        <v>6473</v>
      </c>
      <c r="B2202" s="67">
        <v>37014825860</v>
      </c>
      <c r="C2202" s="72" t="s">
        <v>6474</v>
      </c>
      <c r="D2202" s="69">
        <v>38869051870</v>
      </c>
      <c r="E2202" s="9">
        <v>1752</v>
      </c>
      <c r="F2202" s="25">
        <v>43051</v>
      </c>
      <c r="G2202" s="70" t="s">
        <v>3356</v>
      </c>
      <c r="H2202" s="9"/>
      <c r="I2202" s="8"/>
      <c r="J2202" s="8"/>
      <c r="K2202" s="8"/>
      <c r="L2202" s="9">
        <v>1759</v>
      </c>
      <c r="M2202" s="8"/>
    </row>
    <row r="2203" spans="1:13">
      <c r="A2203" s="71" t="s">
        <v>6475</v>
      </c>
      <c r="B2203" s="67">
        <v>34927576850</v>
      </c>
      <c r="C2203" s="72"/>
      <c r="D2203" s="69"/>
      <c r="E2203" s="9">
        <v>1106</v>
      </c>
      <c r="F2203" s="25">
        <v>42965</v>
      </c>
      <c r="G2203" s="70" t="s">
        <v>3356</v>
      </c>
      <c r="H2203" s="9"/>
      <c r="I2203" s="8"/>
      <c r="J2203" s="8"/>
      <c r="K2203" s="8"/>
      <c r="L2203" s="8"/>
      <c r="M2203" s="8"/>
    </row>
    <row r="2204" spans="1:13">
      <c r="A2204" s="71" t="s">
        <v>6476</v>
      </c>
      <c r="B2204" s="67">
        <v>36059848869</v>
      </c>
      <c r="C2204" s="68"/>
      <c r="D2204" s="69"/>
      <c r="E2204" s="9">
        <v>1128</v>
      </c>
      <c r="F2204" s="25">
        <v>42972</v>
      </c>
      <c r="G2204" s="70" t="s">
        <v>3356</v>
      </c>
      <c r="H2204" s="9"/>
      <c r="I2204" s="8"/>
      <c r="J2204" s="8"/>
      <c r="K2204" s="8"/>
      <c r="L2204" s="8"/>
      <c r="M2204" s="8"/>
    </row>
    <row r="2205" spans="1:13">
      <c r="A2205" s="71" t="s">
        <v>6477</v>
      </c>
      <c r="B2205" s="67">
        <v>15095801825</v>
      </c>
      <c r="C2205" s="72" t="s">
        <v>6478</v>
      </c>
      <c r="D2205" s="69">
        <v>16417229831</v>
      </c>
      <c r="E2205" s="9">
        <v>85</v>
      </c>
      <c r="F2205" s="25">
        <v>43109</v>
      </c>
      <c r="G2205" s="70" t="s">
        <v>3356</v>
      </c>
      <c r="H2205" s="25">
        <v>43151</v>
      </c>
      <c r="I2205" s="8"/>
      <c r="J2205" s="8"/>
      <c r="K2205" s="8"/>
      <c r="L2205" s="8"/>
      <c r="M2205" s="8"/>
    </row>
    <row r="2206" spans="1:13">
      <c r="A2206" s="71" t="s">
        <v>6479</v>
      </c>
      <c r="B2206" s="67">
        <v>33752444878</v>
      </c>
      <c r="C2206" s="72"/>
      <c r="D2206" s="69"/>
      <c r="E2206" s="9"/>
      <c r="F2206" s="25"/>
      <c r="G2206" s="70"/>
      <c r="H2206" s="9"/>
      <c r="I2206" s="8"/>
      <c r="J2206" s="8"/>
      <c r="K2206" s="8"/>
      <c r="L2206" s="8"/>
      <c r="M2206" s="8"/>
    </row>
    <row r="2207" spans="1:13">
      <c r="A2207" s="15" t="s">
        <v>6480</v>
      </c>
      <c r="B2207" s="67">
        <v>58037845249</v>
      </c>
      <c r="C2207" s="72" t="s">
        <v>6481</v>
      </c>
      <c r="D2207" s="69">
        <v>496500333</v>
      </c>
      <c r="E2207" s="9">
        <v>117</v>
      </c>
      <c r="F2207" s="25">
        <v>43117</v>
      </c>
      <c r="G2207" s="70" t="s">
        <v>3356</v>
      </c>
      <c r="H2207" s="9"/>
      <c r="I2207" s="8"/>
      <c r="J2207" s="8"/>
      <c r="K2207" s="8"/>
      <c r="L2207" s="9" t="s">
        <v>3507</v>
      </c>
      <c r="M2207" s="8"/>
    </row>
    <row r="2208" spans="1:13">
      <c r="A2208" s="84" t="s">
        <v>6482</v>
      </c>
      <c r="B2208" s="67">
        <v>21380472881</v>
      </c>
      <c r="C2208" s="72"/>
      <c r="D2208" s="69"/>
      <c r="E2208" s="9"/>
      <c r="F2208" s="25"/>
      <c r="G2208" s="70"/>
      <c r="H2208" s="9"/>
      <c r="I2208" s="8"/>
      <c r="J2208" s="8"/>
      <c r="K2208" s="8"/>
      <c r="L2208" s="8"/>
      <c r="M2208" s="8"/>
    </row>
    <row r="2209" spans="1:13">
      <c r="A2209" s="71" t="s">
        <v>6483</v>
      </c>
      <c r="B2209" s="67">
        <v>30245787810</v>
      </c>
      <c r="C2209" s="72"/>
      <c r="D2209" s="69"/>
      <c r="E2209" s="9">
        <v>443</v>
      </c>
      <c r="F2209" s="25">
        <v>43188</v>
      </c>
      <c r="G2209" s="70"/>
      <c r="H2209" s="9"/>
      <c r="I2209" s="8"/>
      <c r="J2209" s="8"/>
      <c r="K2209" s="8"/>
      <c r="L2209" s="8"/>
      <c r="M2209" s="8"/>
    </row>
    <row r="2210" spans="1:13">
      <c r="A2210" s="72" t="s">
        <v>6484</v>
      </c>
      <c r="B2210" s="67">
        <v>4416847858</v>
      </c>
      <c r="C2210" s="72" t="s">
        <v>6485</v>
      </c>
      <c r="D2210" s="69">
        <v>21831994518</v>
      </c>
      <c r="E2210" s="9"/>
      <c r="F2210" s="25"/>
      <c r="G2210" s="70"/>
      <c r="H2210" s="9"/>
      <c r="I2210" s="8"/>
      <c r="J2210" s="8"/>
      <c r="K2210" s="8"/>
      <c r="L2210" s="8"/>
      <c r="M2210" s="8"/>
    </row>
    <row r="2211" spans="1:13">
      <c r="A2211" s="29" t="s">
        <v>6486</v>
      </c>
      <c r="B2211" s="67"/>
      <c r="C2211" s="18" t="s">
        <v>3466</v>
      </c>
      <c r="D2211" s="69"/>
      <c r="E2211" s="9"/>
      <c r="F2211" s="25"/>
      <c r="G2211" s="70"/>
      <c r="H2211" s="9"/>
      <c r="I2211" s="8"/>
      <c r="J2211" s="8"/>
      <c r="K2211" s="8"/>
      <c r="L2211" s="8"/>
      <c r="M2211" s="8"/>
    </row>
    <row r="2212" spans="1:13">
      <c r="A2212" s="71" t="s">
        <v>6487</v>
      </c>
      <c r="B2212" s="67">
        <v>16661345896</v>
      </c>
      <c r="C2212" s="72"/>
      <c r="D2212" s="69"/>
      <c r="E2212" s="9">
        <v>1241</v>
      </c>
      <c r="F2212" s="25">
        <v>42992</v>
      </c>
      <c r="G2212" s="70" t="s">
        <v>3356</v>
      </c>
      <c r="H2212" s="9"/>
      <c r="I2212" s="8"/>
      <c r="J2212" s="8"/>
      <c r="K2212" s="8"/>
      <c r="L2212" s="8"/>
      <c r="M2212" s="8"/>
    </row>
    <row r="2213" spans="1:13">
      <c r="A2213" s="71" t="s">
        <v>6488</v>
      </c>
      <c r="B2213" s="67">
        <v>35325197800</v>
      </c>
      <c r="C2213" s="72" t="s">
        <v>6489</v>
      </c>
      <c r="D2213" s="69">
        <v>38159378840</v>
      </c>
      <c r="E2213" s="9">
        <v>810</v>
      </c>
      <c r="F2213" s="25">
        <v>42915</v>
      </c>
      <c r="G2213" s="70" t="s">
        <v>3356</v>
      </c>
      <c r="H2213" s="9"/>
      <c r="I2213" s="8"/>
      <c r="J2213" s="8"/>
      <c r="K2213" s="8"/>
      <c r="L2213" s="9" t="s">
        <v>3475</v>
      </c>
      <c r="M2213" s="8"/>
    </row>
    <row r="2214" spans="1:13">
      <c r="A2214" s="71" t="s">
        <v>6490</v>
      </c>
      <c r="B2214" s="67">
        <v>37527821884</v>
      </c>
      <c r="C2214" s="72" t="s">
        <v>6491</v>
      </c>
      <c r="D2214" s="69">
        <v>69447810420</v>
      </c>
      <c r="E2214" s="9">
        <v>262</v>
      </c>
      <c r="F2214" s="25">
        <v>43160</v>
      </c>
      <c r="G2214" s="70" t="s">
        <v>3356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71" t="s">
        <v>6492</v>
      </c>
      <c r="B2215" s="67">
        <v>29116415825</v>
      </c>
      <c r="C2215" s="72"/>
      <c r="D2215" s="69"/>
      <c r="E2215" s="9">
        <v>117</v>
      </c>
      <c r="F2215" s="25">
        <v>43117</v>
      </c>
      <c r="G2215" s="70" t="s">
        <v>3356</v>
      </c>
      <c r="H2215" s="9"/>
      <c r="I2215" s="8"/>
      <c r="J2215" s="8"/>
      <c r="K2215" s="8"/>
      <c r="L2215" s="9" t="s">
        <v>3507</v>
      </c>
      <c r="M2215" s="8"/>
    </row>
    <row r="2216" spans="1:13">
      <c r="A2216" s="15" t="s">
        <v>6493</v>
      </c>
      <c r="B2216" s="67">
        <v>85281050672</v>
      </c>
      <c r="C2216" s="72" t="s">
        <v>6494</v>
      </c>
      <c r="D2216" s="69">
        <v>5490696664</v>
      </c>
      <c r="E2216" s="9">
        <v>229</v>
      </c>
      <c r="F2216" s="25">
        <v>43151</v>
      </c>
      <c r="G2216" s="70" t="s">
        <v>3356</v>
      </c>
      <c r="H2216" s="9"/>
      <c r="I2216" s="8"/>
      <c r="J2216" s="8"/>
      <c r="K2216" s="8"/>
      <c r="L2216" s="9">
        <v>232</v>
      </c>
      <c r="M2216" s="8"/>
    </row>
    <row r="2217" spans="1:13">
      <c r="A2217" s="71" t="s">
        <v>6495</v>
      </c>
      <c r="B2217" s="67">
        <v>28203692869</v>
      </c>
      <c r="C2217" s="72"/>
      <c r="D2217" s="69"/>
      <c r="E2217" s="9">
        <v>292</v>
      </c>
      <c r="F2217" s="25">
        <v>43168</v>
      </c>
      <c r="G2217" s="70" t="s">
        <v>3356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6496</v>
      </c>
      <c r="B2218" s="67">
        <v>7414399800</v>
      </c>
      <c r="C2218" s="72"/>
      <c r="D2218" s="69"/>
      <c r="E2218" s="9">
        <v>117</v>
      </c>
      <c r="F2218" s="25">
        <v>43117</v>
      </c>
      <c r="G2218" s="70" t="s">
        <v>3362</v>
      </c>
      <c r="H2218" s="9"/>
      <c r="I2218" s="8"/>
      <c r="J2218" s="8"/>
      <c r="K2218" s="8"/>
      <c r="L2218" s="9" t="s">
        <v>3507</v>
      </c>
      <c r="M2218" s="8"/>
    </row>
    <row r="2219" spans="1:13">
      <c r="A2219" s="71" t="s">
        <v>6497</v>
      </c>
      <c r="B2219" s="67">
        <v>2939736448</v>
      </c>
      <c r="C2219" s="72"/>
      <c r="D2219" s="69"/>
      <c r="E2219" s="9"/>
      <c r="F2219" s="25"/>
      <c r="G2219" s="70"/>
      <c r="H2219" s="9"/>
      <c r="I2219" s="8"/>
      <c r="J2219" s="8"/>
      <c r="K2219" s="8"/>
      <c r="L2219" s="8"/>
      <c r="M2219" s="8"/>
    </row>
    <row r="2220" spans="1:13">
      <c r="A2220" s="71" t="s">
        <v>6498</v>
      </c>
      <c r="B2220" s="67">
        <v>27851461820</v>
      </c>
      <c r="C2220" s="72" t="s">
        <v>6499</v>
      </c>
      <c r="D2220" s="69">
        <v>27264565882</v>
      </c>
      <c r="E2220" s="9">
        <v>117</v>
      </c>
      <c r="F2220" s="25">
        <v>43117</v>
      </c>
      <c r="G2220" s="70" t="s">
        <v>3356</v>
      </c>
      <c r="H2220" s="9"/>
      <c r="I2220" s="8"/>
      <c r="J2220" s="8"/>
      <c r="K2220" s="8"/>
      <c r="L2220" s="9" t="s">
        <v>3507</v>
      </c>
      <c r="M2220" s="8"/>
    </row>
    <row r="2221" spans="1:13">
      <c r="A2221" s="71" t="s">
        <v>6500</v>
      </c>
      <c r="B2221" s="67">
        <v>32960731832</v>
      </c>
      <c r="C2221" s="77" t="s">
        <v>6501</v>
      </c>
      <c r="D2221" s="69">
        <v>33264655802</v>
      </c>
      <c r="E2221" s="9"/>
      <c r="F2221" s="25"/>
      <c r="G2221" s="70"/>
      <c r="H2221" s="9"/>
      <c r="I2221" s="8"/>
      <c r="J2221" s="8"/>
      <c r="K2221" s="8"/>
      <c r="L2221" s="8"/>
      <c r="M2221" s="8"/>
    </row>
    <row r="2222" spans="1:13">
      <c r="A2222" s="18" t="s">
        <v>6502</v>
      </c>
      <c r="B2222" s="67"/>
      <c r="C2222" s="18"/>
      <c r="D2222" s="69"/>
      <c r="E2222" s="9"/>
      <c r="F2222" s="25"/>
      <c r="G2222" s="70"/>
      <c r="H2222" s="9"/>
      <c r="I2222" s="8"/>
      <c r="J2222" s="8"/>
      <c r="K2222" s="8"/>
      <c r="L2222" s="8"/>
      <c r="M2222" s="8"/>
    </row>
    <row r="2223" spans="1:13">
      <c r="A2223" s="71" t="s">
        <v>6503</v>
      </c>
      <c r="B2223" s="67">
        <v>11596370831</v>
      </c>
      <c r="C2223" s="72"/>
      <c r="D2223" s="69"/>
      <c r="E2223" s="9">
        <v>1267</v>
      </c>
      <c r="F2223" s="25">
        <v>42998</v>
      </c>
      <c r="G2223" s="70" t="s">
        <v>3356</v>
      </c>
      <c r="H2223" s="9"/>
      <c r="I2223" s="8"/>
      <c r="J2223" s="8"/>
      <c r="K2223" s="8"/>
      <c r="L2223" s="8"/>
      <c r="M2223" s="8"/>
    </row>
    <row r="2224" spans="1:13">
      <c r="A2224" s="71" t="s">
        <v>6504</v>
      </c>
      <c r="B2224" s="67">
        <v>32148451871</v>
      </c>
      <c r="C2224" s="72"/>
      <c r="D2224" s="69"/>
      <c r="E2224" s="9">
        <v>1489</v>
      </c>
      <c r="F2224" s="25">
        <v>43038</v>
      </c>
      <c r="G2224" s="70" t="s">
        <v>3356</v>
      </c>
      <c r="H2224" s="9"/>
      <c r="I2224" s="8"/>
      <c r="J2224" s="8"/>
      <c r="K2224" s="8"/>
      <c r="L2224" s="9" t="s">
        <v>3497</v>
      </c>
      <c r="M2224" s="8"/>
    </row>
    <row r="2225" spans="1:13">
      <c r="A2225" s="71" t="s">
        <v>6505</v>
      </c>
      <c r="B2225" s="67">
        <v>39390467870</v>
      </c>
      <c r="C2225" s="72"/>
      <c r="D2225" s="69"/>
      <c r="E2225" s="9">
        <v>1570</v>
      </c>
      <c r="F2225" s="25">
        <v>43077</v>
      </c>
      <c r="G2225" s="70" t="s">
        <v>3356</v>
      </c>
      <c r="H2225" s="9"/>
      <c r="I2225" s="8"/>
      <c r="J2225" s="8"/>
      <c r="K2225" s="8"/>
      <c r="L2225" s="8"/>
      <c r="M2225" s="8"/>
    </row>
    <row r="2226" spans="1:13">
      <c r="A2226" s="71" t="s">
        <v>6506</v>
      </c>
      <c r="B2226" s="67">
        <v>66019133591</v>
      </c>
      <c r="C2226" s="72"/>
      <c r="D2226" s="69"/>
      <c r="E2226" s="9">
        <v>1106</v>
      </c>
      <c r="F2226" s="25">
        <v>42965</v>
      </c>
      <c r="G2226" s="70" t="s">
        <v>3356</v>
      </c>
      <c r="H2226" s="9"/>
      <c r="I2226" s="8"/>
      <c r="J2226" s="8"/>
      <c r="K2226" s="8"/>
      <c r="L2226" s="8"/>
      <c r="M2226" s="8"/>
    </row>
    <row r="2227" spans="1:13">
      <c r="A2227" s="29" t="s">
        <v>6507</v>
      </c>
      <c r="B2227" s="67"/>
      <c r="C2227" s="18" t="s">
        <v>3466</v>
      </c>
      <c r="D2227" s="69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71" t="s">
        <v>6508</v>
      </c>
      <c r="B2228" s="67">
        <v>31837657807</v>
      </c>
      <c r="C2228" s="72"/>
      <c r="D2228" s="69"/>
      <c r="E2228" s="9">
        <v>1752</v>
      </c>
      <c r="F2228" s="25">
        <v>43051</v>
      </c>
      <c r="G2228" s="70" t="s">
        <v>3356</v>
      </c>
      <c r="H2228" s="9"/>
      <c r="I2228" s="8"/>
      <c r="J2228" s="8"/>
      <c r="K2228" s="8"/>
      <c r="L2228" s="9">
        <v>1759</v>
      </c>
      <c r="M2228" s="8"/>
    </row>
    <row r="2229" spans="1:13">
      <c r="A2229" s="71" t="s">
        <v>6509</v>
      </c>
      <c r="B2229" s="67">
        <v>442464045</v>
      </c>
      <c r="C2229" s="72"/>
      <c r="D2229" s="69"/>
      <c r="E2229" s="9">
        <v>292</v>
      </c>
      <c r="F2229" s="25">
        <v>43168</v>
      </c>
      <c r="G2229" s="70" t="s">
        <v>3356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6510</v>
      </c>
      <c r="B2230" s="67"/>
      <c r="C2230" s="18"/>
      <c r="D2230" s="69"/>
      <c r="E2230" s="9"/>
      <c r="F2230" s="25"/>
      <c r="G2230" s="70"/>
      <c r="H2230" s="9"/>
      <c r="I2230" s="8"/>
      <c r="J2230" s="8"/>
      <c r="K2230" s="8"/>
      <c r="L2230" s="8"/>
      <c r="M2230" s="8"/>
    </row>
    <row r="2231" spans="1:13">
      <c r="A2231" s="15" t="s">
        <v>6511</v>
      </c>
      <c r="B2231" s="67">
        <v>16699525840</v>
      </c>
      <c r="C2231" s="72"/>
      <c r="D2231" s="69"/>
      <c r="E2231" s="9">
        <v>117</v>
      </c>
      <c r="F2231" s="25">
        <v>43117</v>
      </c>
      <c r="G2231" s="70" t="s">
        <v>3356</v>
      </c>
      <c r="H2231" s="9"/>
      <c r="I2231" s="8"/>
      <c r="J2231" s="8"/>
      <c r="K2231" s="8"/>
      <c r="L2231" s="9" t="s">
        <v>3507</v>
      </c>
      <c r="M2231" s="8"/>
    </row>
    <row r="2232" spans="1:13">
      <c r="A2232" s="14" t="s">
        <v>6512</v>
      </c>
      <c r="B2232" s="67">
        <v>28144806859</v>
      </c>
      <c r="C2232" s="72"/>
      <c r="D2232" s="69"/>
      <c r="E2232" s="9">
        <v>443</v>
      </c>
      <c r="F2232" s="25">
        <v>43188</v>
      </c>
      <c r="G2232" s="70"/>
      <c r="H2232" s="9"/>
      <c r="I2232" s="8"/>
      <c r="J2232" s="8"/>
      <c r="K2232" s="8"/>
      <c r="L2232" s="8"/>
      <c r="M2232" s="8"/>
    </row>
    <row r="2233" spans="1:13">
      <c r="A2233" s="15" t="s">
        <v>6513</v>
      </c>
      <c r="B2233" s="67">
        <v>7632197893</v>
      </c>
      <c r="C2233" s="72"/>
      <c r="D2233" s="69"/>
      <c r="E2233" s="9">
        <v>85</v>
      </c>
      <c r="F2233" s="25">
        <v>43109</v>
      </c>
      <c r="G2233" s="70" t="s">
        <v>3356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6514</v>
      </c>
      <c r="B2234" s="67">
        <v>28135599897</v>
      </c>
      <c r="C2234" s="72"/>
      <c r="D2234" s="69"/>
      <c r="E2234" s="9"/>
      <c r="F2234" s="25"/>
      <c r="G2234" s="70"/>
      <c r="H2234" s="9"/>
      <c r="I2234" s="8"/>
      <c r="J2234" s="8"/>
      <c r="K2234" s="8"/>
      <c r="L2234" s="8"/>
      <c r="M2234" s="8"/>
    </row>
    <row r="2235" spans="1:13">
      <c r="A2235" s="71" t="s">
        <v>6515</v>
      </c>
      <c r="B2235" s="67">
        <v>25257368854</v>
      </c>
      <c r="C2235" s="72"/>
      <c r="D2235" s="69"/>
      <c r="E2235" s="9">
        <v>443</v>
      </c>
      <c r="F2235" s="25">
        <v>43188</v>
      </c>
      <c r="G2235" s="70"/>
      <c r="H2235" s="9"/>
      <c r="I2235" s="8"/>
      <c r="J2235" s="8"/>
      <c r="K2235" s="8"/>
      <c r="L2235" s="8"/>
      <c r="M2235" s="8"/>
    </row>
    <row r="2236" spans="1:13">
      <c r="A2236" s="77" t="s">
        <v>6516</v>
      </c>
      <c r="B2236" s="67">
        <v>65624858604</v>
      </c>
      <c r="C2236" s="72"/>
      <c r="D2236" s="69"/>
      <c r="E2236" s="9"/>
      <c r="F2236" s="25"/>
      <c r="G2236" s="70"/>
      <c r="H2236" s="9"/>
      <c r="I2236" s="8"/>
      <c r="J2236" s="8"/>
      <c r="K2236" s="8"/>
      <c r="L2236" s="8"/>
      <c r="M2236" s="8"/>
    </row>
    <row r="2237" spans="1:13">
      <c r="A2237" s="71" t="s">
        <v>6517</v>
      </c>
      <c r="B2237" s="67">
        <v>22548549844</v>
      </c>
      <c r="C2237" s="77" t="s">
        <v>6518</v>
      </c>
      <c r="D2237" s="69">
        <v>36160419889</v>
      </c>
      <c r="E2237" s="9"/>
      <c r="F2237" s="25"/>
      <c r="G2237" s="70"/>
      <c r="H2237" s="9"/>
      <c r="I2237" s="8"/>
      <c r="J2237" s="8"/>
      <c r="K2237" s="8"/>
      <c r="L2237" s="8"/>
      <c r="M2237" s="8"/>
    </row>
    <row r="2238" spans="1:13">
      <c r="A2238" s="15" t="s">
        <v>6519</v>
      </c>
      <c r="B2238" s="67">
        <v>34028808812</v>
      </c>
      <c r="C2238" s="72"/>
      <c r="D2238" s="69"/>
      <c r="E2238" s="9">
        <v>85</v>
      </c>
      <c r="F2238" s="25">
        <v>43109</v>
      </c>
      <c r="G2238" s="70" t="s">
        <v>3356</v>
      </c>
      <c r="H2238" s="25">
        <v>43151</v>
      </c>
      <c r="I2238" s="8"/>
      <c r="J2238" s="8"/>
      <c r="K2238" s="8"/>
      <c r="L2238" s="8"/>
      <c r="M2238" s="8"/>
    </row>
    <row r="2239" spans="1:13">
      <c r="A2239" s="71" t="s">
        <v>6520</v>
      </c>
      <c r="B2239" s="67">
        <v>32944172840</v>
      </c>
      <c r="C2239" s="72"/>
      <c r="D2239" s="69"/>
      <c r="E2239" s="9">
        <v>292</v>
      </c>
      <c r="F2239" s="25">
        <v>43168</v>
      </c>
      <c r="G2239" s="70" t="s">
        <v>3356</v>
      </c>
      <c r="H2239" s="9"/>
      <c r="I2239" s="8"/>
      <c r="J2239" s="8"/>
      <c r="K2239" s="8"/>
      <c r="L2239" s="9">
        <v>318</v>
      </c>
      <c r="M2239" s="8"/>
    </row>
    <row r="2240" spans="1:13">
      <c r="A2240" s="71" t="s">
        <v>6521</v>
      </c>
      <c r="B2240" s="67">
        <v>27757716888</v>
      </c>
      <c r="C2240" s="77" t="s">
        <v>6522</v>
      </c>
      <c r="D2240" s="69" t="s">
        <v>6523</v>
      </c>
      <c r="E2240" s="9"/>
      <c r="F2240" s="25"/>
      <c r="G2240" s="70"/>
      <c r="H2240" s="9"/>
      <c r="I2240" s="8"/>
      <c r="J2240" s="8"/>
      <c r="K2240" s="8"/>
      <c r="L2240" s="8"/>
      <c r="M2240" s="8"/>
    </row>
    <row r="2241" spans="1:13">
      <c r="A2241" s="15" t="s">
        <v>6524</v>
      </c>
      <c r="B2241" s="67">
        <v>30926413880</v>
      </c>
      <c r="C2241" s="72" t="s">
        <v>6525</v>
      </c>
      <c r="D2241" s="69">
        <v>29602877898</v>
      </c>
      <c r="E2241" s="9">
        <v>563</v>
      </c>
      <c r="F2241" s="25">
        <v>43217</v>
      </c>
      <c r="G2241" s="70"/>
      <c r="H2241" s="9"/>
      <c r="I2241" s="8"/>
      <c r="J2241" s="8"/>
      <c r="K2241" s="8"/>
      <c r="L2241" s="9" t="s">
        <v>3636</v>
      </c>
      <c r="M2241" s="8"/>
    </row>
    <row r="2242" spans="1:13">
      <c r="A2242" s="71" t="s">
        <v>6526</v>
      </c>
      <c r="B2242" s="67">
        <v>32954076810</v>
      </c>
      <c r="C2242" s="72" t="s">
        <v>6527</v>
      </c>
      <c r="D2242" s="69">
        <v>82353131468</v>
      </c>
      <c r="E2242" s="9">
        <v>292</v>
      </c>
      <c r="F2242" s="25">
        <v>43168</v>
      </c>
      <c r="G2242" s="70" t="s">
        <v>3356</v>
      </c>
      <c r="H2242" s="9"/>
      <c r="I2242" s="8"/>
      <c r="J2242" s="8"/>
      <c r="K2242" s="8"/>
      <c r="L2242" s="9">
        <v>318</v>
      </c>
      <c r="M2242" s="8"/>
    </row>
    <row r="2243" spans="1:13">
      <c r="A2243" s="71" t="s">
        <v>6528</v>
      </c>
      <c r="B2243" s="67">
        <v>73897264404</v>
      </c>
      <c r="C2243" s="72"/>
      <c r="D2243" s="69"/>
      <c r="E2243" s="9">
        <v>1824</v>
      </c>
      <c r="F2243" s="25">
        <v>43091</v>
      </c>
      <c r="G2243" s="70" t="s">
        <v>3362</v>
      </c>
      <c r="H2243" s="9"/>
      <c r="I2243" s="8"/>
      <c r="J2243" s="8"/>
      <c r="K2243" s="8"/>
      <c r="L2243" s="9">
        <v>1828</v>
      </c>
      <c r="M2243" s="8"/>
    </row>
    <row r="2244" spans="1:13">
      <c r="A2244" s="71" t="s">
        <v>6529</v>
      </c>
      <c r="B2244" s="67">
        <v>35516398843</v>
      </c>
      <c r="C2244" s="72"/>
      <c r="D2244" s="69"/>
      <c r="E2244" s="9">
        <v>292</v>
      </c>
      <c r="F2244" s="25">
        <v>43168</v>
      </c>
      <c r="G2244" s="70" t="s">
        <v>3356</v>
      </c>
      <c r="H2244" s="9"/>
      <c r="I2244" s="8"/>
      <c r="J2244" s="8"/>
      <c r="K2244" s="8"/>
      <c r="L2244" s="9">
        <v>318</v>
      </c>
      <c r="M2244" s="8"/>
    </row>
    <row r="2245" spans="1:13">
      <c r="A2245" s="71" t="s">
        <v>6530</v>
      </c>
      <c r="B2245" s="67">
        <v>21384986898</v>
      </c>
      <c r="C2245" s="72"/>
      <c r="D2245" s="69"/>
      <c r="E2245" s="9">
        <v>1824</v>
      </c>
      <c r="F2245" s="25">
        <v>43091</v>
      </c>
      <c r="G2245" s="70" t="s">
        <v>3356</v>
      </c>
      <c r="H2245" s="9"/>
      <c r="I2245" s="8"/>
      <c r="J2245" s="8"/>
      <c r="K2245" s="8"/>
      <c r="L2245" s="9">
        <v>1828</v>
      </c>
      <c r="M2245" s="8"/>
    </row>
    <row r="2246" spans="1:13">
      <c r="A2246" s="71" t="s">
        <v>6531</v>
      </c>
      <c r="B2246" s="67">
        <v>23171032805</v>
      </c>
      <c r="C2246" s="72" t="s">
        <v>6532</v>
      </c>
      <c r="D2246" s="69">
        <v>23170860836</v>
      </c>
      <c r="E2246" s="9">
        <v>443</v>
      </c>
      <c r="F2246" s="25">
        <v>43188</v>
      </c>
      <c r="G2246" s="70"/>
      <c r="H2246" s="9"/>
      <c r="I2246" s="8"/>
      <c r="J2246" s="8"/>
      <c r="K2246" s="8"/>
      <c r="L2246" s="8"/>
      <c r="M2246" s="8"/>
    </row>
    <row r="2247" spans="1:13">
      <c r="A2247" s="71" t="s">
        <v>6533</v>
      </c>
      <c r="B2247" s="67">
        <v>33375182813</v>
      </c>
      <c r="C2247" s="75" t="s">
        <v>6534</v>
      </c>
      <c r="D2247" s="69">
        <v>30178836800</v>
      </c>
      <c r="E2247" s="9">
        <v>1106</v>
      </c>
      <c r="F2247" s="25">
        <v>42965</v>
      </c>
      <c r="G2247" s="70" t="s">
        <v>3356</v>
      </c>
      <c r="H2247" s="9"/>
      <c r="I2247" s="8"/>
      <c r="J2247" s="8"/>
      <c r="K2247" s="8"/>
      <c r="L2247" s="8"/>
      <c r="M2247" s="8"/>
    </row>
    <row r="2248" spans="1:13">
      <c r="A2248" s="71" t="s">
        <v>6535</v>
      </c>
      <c r="B2248" s="67">
        <v>81684215668</v>
      </c>
      <c r="C2248" s="72"/>
      <c r="D2248" s="69"/>
      <c r="E2248" s="9">
        <v>1214</v>
      </c>
      <c r="F2248" s="25">
        <v>42989</v>
      </c>
      <c r="G2248" s="70" t="s">
        <v>3356</v>
      </c>
      <c r="H2248" s="9"/>
      <c r="I2248" s="8"/>
      <c r="J2248" s="8"/>
      <c r="K2248" s="8"/>
      <c r="L2248" s="8"/>
      <c r="M2248" s="8"/>
    </row>
    <row r="2249" spans="1:13">
      <c r="A2249" s="71" t="s">
        <v>6536</v>
      </c>
      <c r="B2249" s="67">
        <v>15712243865</v>
      </c>
      <c r="C2249" s="72" t="s">
        <v>6537</v>
      </c>
      <c r="D2249" s="69">
        <v>501095705</v>
      </c>
      <c r="E2249" s="9">
        <v>1752</v>
      </c>
      <c r="F2249" s="25">
        <v>43051</v>
      </c>
      <c r="G2249" s="70" t="s">
        <v>3356</v>
      </c>
      <c r="H2249" s="9"/>
      <c r="I2249" s="8"/>
      <c r="J2249" s="8"/>
      <c r="K2249" s="8"/>
      <c r="L2249" s="9">
        <v>1759</v>
      </c>
      <c r="M2249" s="8"/>
    </row>
    <row r="2250" spans="1:13">
      <c r="A2250" s="71" t="s">
        <v>6538</v>
      </c>
      <c r="B2250" s="67">
        <v>19448516827</v>
      </c>
      <c r="C2250" s="72"/>
      <c r="D2250" s="69"/>
      <c r="E2250" s="9">
        <v>810</v>
      </c>
      <c r="F2250" s="25">
        <v>42915</v>
      </c>
      <c r="G2250" s="70" t="s">
        <v>3356</v>
      </c>
      <c r="H2250" s="9"/>
      <c r="I2250" s="8"/>
      <c r="J2250" s="8"/>
      <c r="K2250" s="8"/>
      <c r="L2250" s="9" t="s">
        <v>3475</v>
      </c>
      <c r="M2250" s="8"/>
    </row>
    <row r="2251" spans="1:13">
      <c r="A2251" s="15" t="s">
        <v>6539</v>
      </c>
      <c r="B2251" s="67">
        <v>2635248419</v>
      </c>
      <c r="C2251" s="72"/>
      <c r="D2251" s="69"/>
      <c r="E2251" s="9">
        <v>262</v>
      </c>
      <c r="F2251" s="25">
        <v>43160</v>
      </c>
      <c r="G2251" s="70" t="s">
        <v>3356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71" t="s">
        <v>6540</v>
      </c>
      <c r="B2252" s="67">
        <v>22403927899</v>
      </c>
      <c r="C2252" s="72" t="s">
        <v>6541</v>
      </c>
      <c r="D2252" s="69">
        <v>28560501827</v>
      </c>
      <c r="E2252" s="9"/>
      <c r="F2252" s="25"/>
      <c r="G2252" s="70"/>
      <c r="H2252" s="9"/>
      <c r="I2252" s="8"/>
      <c r="J2252" s="8"/>
      <c r="K2252" s="8"/>
      <c r="L2252" s="8"/>
      <c r="M2252" s="8"/>
    </row>
    <row r="2253" spans="1:13">
      <c r="A2253" s="13" t="s">
        <v>6542</v>
      </c>
      <c r="B2253" s="67">
        <v>38569770820</v>
      </c>
      <c r="C2253" s="72"/>
      <c r="D2253" s="69"/>
      <c r="E2253" s="9">
        <v>117</v>
      </c>
      <c r="F2253" s="25">
        <v>43117</v>
      </c>
      <c r="G2253" s="70" t="s">
        <v>3356</v>
      </c>
      <c r="H2253" s="9"/>
      <c r="I2253" s="8"/>
      <c r="J2253" s="8"/>
      <c r="K2253" s="8"/>
      <c r="L2253" s="9" t="s">
        <v>3507</v>
      </c>
      <c r="M2253" s="8"/>
    </row>
    <row r="2254" spans="1:13">
      <c r="A2254" s="14" t="s">
        <v>6543</v>
      </c>
      <c r="B2254" s="67">
        <v>36943818805</v>
      </c>
      <c r="C2254" s="72"/>
      <c r="D2254" s="69"/>
      <c r="E2254" s="9"/>
      <c r="F2254" s="25"/>
      <c r="G2254" s="70"/>
      <c r="H2254" s="9"/>
      <c r="I2254" s="8"/>
      <c r="J2254" s="8"/>
      <c r="K2254" s="8"/>
      <c r="L2254" s="8"/>
      <c r="M2254" s="8"/>
    </row>
    <row r="2255" spans="1:13">
      <c r="A2255" s="75" t="s">
        <v>6544</v>
      </c>
      <c r="B2255" s="67">
        <v>32624504800</v>
      </c>
      <c r="C2255" s="72" t="s">
        <v>6545</v>
      </c>
      <c r="D2255" s="69">
        <v>40612746860</v>
      </c>
      <c r="E2255" s="9"/>
      <c r="F2255" s="25"/>
      <c r="G2255" s="70"/>
      <c r="H2255" s="9"/>
      <c r="I2255" s="8"/>
      <c r="J2255" s="8"/>
      <c r="K2255" s="8"/>
      <c r="L2255" s="8"/>
      <c r="M2255" s="8"/>
    </row>
    <row r="2256" spans="1:13">
      <c r="A2256" s="71" t="s">
        <v>6546</v>
      </c>
      <c r="B2256" s="67">
        <v>71077545568</v>
      </c>
      <c r="C2256" s="68"/>
      <c r="D2256" s="69"/>
      <c r="E2256" s="9">
        <v>1128</v>
      </c>
      <c r="F2256" s="25">
        <v>42972</v>
      </c>
      <c r="G2256" s="70" t="s">
        <v>3356</v>
      </c>
      <c r="H2256" s="9"/>
      <c r="I2256" s="8"/>
      <c r="J2256" s="8"/>
      <c r="K2256" s="8"/>
      <c r="L2256" s="8"/>
      <c r="M2256" s="8"/>
    </row>
    <row r="2257" spans="1:13">
      <c r="A2257" s="71" t="s">
        <v>6547</v>
      </c>
      <c r="B2257" s="67">
        <v>15534092807</v>
      </c>
      <c r="C2257" s="72"/>
      <c r="D2257" s="69"/>
      <c r="E2257" s="9">
        <v>1106</v>
      </c>
      <c r="F2257" s="25">
        <v>42965</v>
      </c>
      <c r="G2257" s="70" t="s">
        <v>3362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72" t="s">
        <v>6548</v>
      </c>
      <c r="B2258" s="67">
        <v>11207918806</v>
      </c>
      <c r="C2258" s="72"/>
      <c r="D2258" s="69"/>
      <c r="E2258" s="9"/>
      <c r="F2258" s="25"/>
      <c r="G2258" s="70"/>
      <c r="H2258" s="9"/>
      <c r="I2258" s="8"/>
      <c r="J2258" s="8"/>
      <c r="K2258" s="8"/>
      <c r="L2258" s="8"/>
      <c r="M2258" s="8"/>
    </row>
    <row r="2259" spans="1:13">
      <c r="A2259" s="72" t="s">
        <v>6549</v>
      </c>
      <c r="B2259" s="67">
        <v>11533924457</v>
      </c>
      <c r="C2259" s="72"/>
      <c r="D2259" s="69"/>
      <c r="E2259" s="9">
        <v>292</v>
      </c>
      <c r="F2259" s="25">
        <v>43168</v>
      </c>
      <c r="G2259" s="9" t="s">
        <v>3356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6550</v>
      </c>
      <c r="B2260" s="67">
        <v>14688456832</v>
      </c>
      <c r="C2260" s="72" t="s">
        <v>6551</v>
      </c>
      <c r="D2260" s="69">
        <v>72202017615</v>
      </c>
      <c r="E2260" s="9"/>
      <c r="F2260" s="25"/>
      <c r="G2260" s="70"/>
      <c r="H2260" s="9"/>
      <c r="I2260" s="8"/>
      <c r="J2260" s="8"/>
      <c r="K2260" s="8"/>
      <c r="L2260" s="8"/>
      <c r="M2260" s="8"/>
    </row>
    <row r="2261" spans="1:13">
      <c r="A2261" s="13" t="s">
        <v>6552</v>
      </c>
      <c r="B2261" s="67">
        <v>25238015828</v>
      </c>
      <c r="C2261" s="68"/>
      <c r="D2261" s="69"/>
      <c r="E2261" s="9">
        <v>1241</v>
      </c>
      <c r="F2261" s="25">
        <v>42992</v>
      </c>
      <c r="G2261" s="70" t="s">
        <v>3356</v>
      </c>
      <c r="H2261" s="9"/>
      <c r="I2261" s="8"/>
      <c r="J2261" s="8"/>
      <c r="K2261" s="8"/>
      <c r="L2261" s="8"/>
      <c r="M2261" s="8"/>
    </row>
    <row r="2262" spans="1:13">
      <c r="A2262" s="71" t="s">
        <v>6553</v>
      </c>
      <c r="B2262" s="67">
        <v>21912285851</v>
      </c>
      <c r="C2262" s="72"/>
      <c r="D2262" s="69"/>
      <c r="E2262" s="9">
        <v>292</v>
      </c>
      <c r="F2262" s="25">
        <v>43168</v>
      </c>
      <c r="G2262" s="70" t="s">
        <v>3356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6554</v>
      </c>
      <c r="B2263" s="67">
        <v>38726646897</v>
      </c>
      <c r="C2263" s="18" t="s">
        <v>6555</v>
      </c>
      <c r="D2263" s="69">
        <v>37572268870</v>
      </c>
      <c r="E2263" s="9"/>
      <c r="F2263" s="25"/>
      <c r="G2263" s="70"/>
      <c r="H2263" s="9"/>
      <c r="I2263" s="8"/>
      <c r="J2263" s="8"/>
      <c r="K2263" s="8"/>
      <c r="L2263" s="8"/>
      <c r="M2263" s="8"/>
    </row>
    <row r="2264" spans="1:13">
      <c r="A2264" s="29" t="s">
        <v>6556</v>
      </c>
      <c r="B2264" s="67">
        <v>45171952876</v>
      </c>
      <c r="C2264" s="29" t="s">
        <v>6557</v>
      </c>
      <c r="D2264" s="69">
        <v>41262810884</v>
      </c>
      <c r="E2264" s="9"/>
      <c r="F2264" s="25"/>
      <c r="G2264" s="70"/>
      <c r="H2264" s="9"/>
      <c r="I2264" s="8"/>
      <c r="J2264" s="8"/>
      <c r="K2264" s="8"/>
      <c r="L2264" s="8"/>
      <c r="M2264" s="8"/>
    </row>
    <row r="2265" spans="1:13">
      <c r="A2265" s="71" t="s">
        <v>6558</v>
      </c>
      <c r="B2265" s="67">
        <v>34527428810</v>
      </c>
      <c r="C2265" s="72"/>
      <c r="D2265" s="69"/>
      <c r="E2265" s="9">
        <v>292</v>
      </c>
      <c r="F2265" s="25">
        <v>43168</v>
      </c>
      <c r="G2265" s="70" t="s">
        <v>3356</v>
      </c>
      <c r="H2265" s="9"/>
      <c r="I2265" s="8"/>
      <c r="J2265" s="8"/>
      <c r="K2265" s="8"/>
      <c r="L2265" s="9">
        <v>318</v>
      </c>
      <c r="M2265" s="8"/>
    </row>
    <row r="2266" spans="1:13">
      <c r="A2266" s="71" t="s">
        <v>6559</v>
      </c>
      <c r="B2266" s="67">
        <v>36695082871</v>
      </c>
      <c r="C2266" s="72" t="s">
        <v>6560</v>
      </c>
      <c r="D2266" s="69">
        <v>36736721857</v>
      </c>
      <c r="E2266" s="9">
        <v>1241</v>
      </c>
      <c r="F2266" s="25">
        <v>42992</v>
      </c>
      <c r="G2266" s="70" t="s">
        <v>3356</v>
      </c>
      <c r="H2266" s="9"/>
      <c r="I2266" s="8"/>
      <c r="J2266" s="8"/>
      <c r="K2266" s="8"/>
      <c r="L2266" s="8"/>
      <c r="M2266" s="8"/>
    </row>
    <row r="2267" spans="1:13">
      <c r="A2267" s="13" t="s">
        <v>6561</v>
      </c>
      <c r="B2267" s="67">
        <v>34486403878</v>
      </c>
      <c r="C2267" s="68"/>
      <c r="D2267" s="69"/>
      <c r="E2267" s="9"/>
      <c r="F2267" s="25"/>
      <c r="G2267" s="70"/>
      <c r="H2267" s="9"/>
      <c r="I2267" s="8"/>
      <c r="J2267" s="8"/>
      <c r="K2267" s="8"/>
      <c r="L2267" s="8"/>
      <c r="M2267" s="8"/>
    </row>
    <row r="2268" spans="1:13">
      <c r="A2268" s="71" t="s">
        <v>6562</v>
      </c>
      <c r="B2268" s="67">
        <v>38536260840</v>
      </c>
      <c r="C2268" s="72"/>
      <c r="D2268" s="69"/>
      <c r="E2268" s="9"/>
      <c r="F2268" s="25"/>
      <c r="G2268" s="70"/>
      <c r="H2268" s="9"/>
      <c r="I2268" s="8"/>
      <c r="J2268" s="8"/>
      <c r="K2268" s="8"/>
      <c r="L2268" s="8"/>
      <c r="M2268" s="8"/>
    </row>
    <row r="2269" spans="1:13">
      <c r="A2269" s="71" t="s">
        <v>6563</v>
      </c>
      <c r="B2269" s="67">
        <v>42141950864</v>
      </c>
      <c r="C2269" s="72" t="s">
        <v>6564</v>
      </c>
      <c r="D2269" s="69"/>
      <c r="E2269" s="9">
        <v>1214</v>
      </c>
      <c r="F2269" s="25">
        <v>42989</v>
      </c>
      <c r="G2269" s="70" t="s">
        <v>3356</v>
      </c>
      <c r="H2269" s="9"/>
      <c r="I2269" s="8"/>
      <c r="J2269" s="8"/>
      <c r="K2269" s="8"/>
      <c r="L2269" s="8"/>
      <c r="M2269" s="8"/>
    </row>
    <row r="2270" spans="1:13">
      <c r="A2270" s="15" t="s">
        <v>6565</v>
      </c>
      <c r="B2270" s="67">
        <v>47270275858</v>
      </c>
      <c r="C2270" s="72" t="s">
        <v>6566</v>
      </c>
      <c r="D2270" s="69">
        <v>34861975840</v>
      </c>
      <c r="E2270" s="9">
        <v>1824</v>
      </c>
      <c r="F2270" s="25">
        <v>43091</v>
      </c>
      <c r="G2270" s="70" t="s">
        <v>3356</v>
      </c>
      <c r="H2270" s="9"/>
      <c r="I2270" s="8"/>
      <c r="J2270" s="8"/>
      <c r="K2270" s="8"/>
      <c r="L2270" s="9">
        <v>1828</v>
      </c>
      <c r="M2270" s="8"/>
    </row>
    <row r="2271" spans="1:13">
      <c r="A2271" s="73" t="s">
        <v>6567</v>
      </c>
      <c r="B2271" s="67">
        <v>25406088840</v>
      </c>
      <c r="C2271" s="72"/>
      <c r="D2271" s="69"/>
      <c r="E2271" s="9">
        <v>117</v>
      </c>
      <c r="F2271" s="25">
        <v>43117</v>
      </c>
      <c r="G2271" s="70" t="s">
        <v>3356</v>
      </c>
      <c r="H2271" s="9"/>
      <c r="I2271" s="8"/>
      <c r="J2271" s="8"/>
      <c r="K2271" s="8"/>
      <c r="L2271" s="9" t="s">
        <v>3507</v>
      </c>
      <c r="M2271" s="8"/>
    </row>
    <row r="2272" spans="1:13">
      <c r="A2272" s="29" t="s">
        <v>6568</v>
      </c>
      <c r="B2272" s="67">
        <v>22899917838</v>
      </c>
      <c r="C2272" s="18" t="s">
        <v>3466</v>
      </c>
      <c r="D2272" s="69"/>
      <c r="E2272" s="9"/>
      <c r="F2272" s="25"/>
      <c r="G2272" s="70"/>
      <c r="H2272" s="9"/>
      <c r="I2272" s="8"/>
      <c r="J2272" s="8"/>
      <c r="K2272" s="8"/>
      <c r="L2272" s="8"/>
      <c r="M2272" s="8"/>
    </row>
    <row r="2273" spans="1:13">
      <c r="A2273" s="29" t="s">
        <v>6569</v>
      </c>
      <c r="B2273" s="67"/>
      <c r="C2273" s="29" t="s">
        <v>3466</v>
      </c>
      <c r="D2273" s="69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71" t="s">
        <v>6570</v>
      </c>
      <c r="B2274" s="67">
        <v>45477385804</v>
      </c>
      <c r="C2274" s="72" t="s">
        <v>6571</v>
      </c>
      <c r="D2274" s="69">
        <v>40972166866</v>
      </c>
      <c r="E2274" s="9">
        <v>1417</v>
      </c>
      <c r="F2274" s="25">
        <v>43017</v>
      </c>
      <c r="G2274" s="70" t="s">
        <v>3356</v>
      </c>
      <c r="H2274" s="9"/>
      <c r="I2274" s="8"/>
      <c r="J2274" s="8"/>
      <c r="K2274" s="8"/>
      <c r="L2274" s="9" t="s">
        <v>3590</v>
      </c>
      <c r="M2274" s="8"/>
    </row>
    <row r="2275" spans="1:13">
      <c r="A2275" s="71" t="s">
        <v>6572</v>
      </c>
      <c r="B2275" s="67">
        <v>34332557840</v>
      </c>
      <c r="C2275" s="72"/>
      <c r="D2275" s="69"/>
      <c r="E2275" s="9">
        <v>1106</v>
      </c>
      <c r="F2275" s="25">
        <v>42965</v>
      </c>
      <c r="G2275" s="70" t="s">
        <v>3356</v>
      </c>
      <c r="H2275" s="9"/>
      <c r="I2275" s="8"/>
      <c r="J2275" s="8"/>
      <c r="K2275" s="8"/>
      <c r="L2275" s="8"/>
      <c r="M2275" s="8"/>
    </row>
    <row r="2276" spans="1:13">
      <c r="A2276" s="29" t="s">
        <v>6573</v>
      </c>
      <c r="B2276" s="67"/>
      <c r="C2276" s="29" t="s">
        <v>6574</v>
      </c>
      <c r="D2276" s="69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6575</v>
      </c>
      <c r="B2277" s="67">
        <v>8990461855</v>
      </c>
      <c r="C2277" s="15" t="s">
        <v>6414</v>
      </c>
      <c r="D2277" s="69">
        <v>62239147504</v>
      </c>
      <c r="E2277" s="9"/>
      <c r="F2277" s="25"/>
      <c r="G2277" s="70"/>
      <c r="H2277" s="9"/>
      <c r="I2277" s="8"/>
      <c r="J2277" s="8"/>
      <c r="K2277" s="8"/>
      <c r="L2277" s="8"/>
      <c r="M2277" s="8"/>
    </row>
    <row r="2278" spans="1:13">
      <c r="A2278" s="71" t="s">
        <v>6576</v>
      </c>
      <c r="B2278" s="67">
        <v>38728784847</v>
      </c>
      <c r="C2278" s="72"/>
      <c r="D2278" s="69"/>
      <c r="E2278" s="9"/>
      <c r="F2278" s="25"/>
      <c r="G2278" s="70"/>
      <c r="H2278" s="9"/>
      <c r="I2278" s="8"/>
      <c r="J2278" s="8"/>
      <c r="K2278" s="8"/>
      <c r="L2278" s="8"/>
      <c r="M2278" s="8"/>
    </row>
    <row r="2279" spans="1:13">
      <c r="A2279" s="29" t="s">
        <v>6577</v>
      </c>
      <c r="B2279" s="67"/>
      <c r="C2279" s="29" t="s">
        <v>6578</v>
      </c>
      <c r="D2279" s="69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71" t="s">
        <v>6579</v>
      </c>
      <c r="B2280" s="67">
        <v>16514790895</v>
      </c>
      <c r="C2280" s="72"/>
      <c r="D2280" s="69"/>
      <c r="E2280" s="9">
        <v>1824</v>
      </c>
      <c r="F2280" s="25">
        <v>43091</v>
      </c>
      <c r="G2280" s="70" t="s">
        <v>3356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6580</v>
      </c>
      <c r="B2281" s="67">
        <v>38917984827</v>
      </c>
      <c r="C2281" s="72" t="s">
        <v>6581</v>
      </c>
      <c r="D2281" s="69">
        <v>42231603896</v>
      </c>
      <c r="E2281" s="9">
        <v>229</v>
      </c>
      <c r="F2281" s="25">
        <v>43151</v>
      </c>
      <c r="G2281" s="70" t="s">
        <v>3356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6582</v>
      </c>
      <c r="B2282" s="67">
        <v>37870673889</v>
      </c>
      <c r="C2282" s="72" t="s">
        <v>6583</v>
      </c>
      <c r="D2282" s="69">
        <v>2786569516</v>
      </c>
      <c r="E2282" s="9">
        <v>262</v>
      </c>
      <c r="F2282" s="25">
        <v>43160</v>
      </c>
      <c r="G2282" s="70" t="s">
        <v>3356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6584</v>
      </c>
      <c r="B2283" s="67">
        <v>10441616801</v>
      </c>
      <c r="C2283" s="72" t="s">
        <v>6585</v>
      </c>
      <c r="D2283" s="69">
        <v>25326185822</v>
      </c>
      <c r="E2283" s="9"/>
      <c r="F2283" s="25"/>
      <c r="G2283" s="70"/>
      <c r="H2283" s="9"/>
      <c r="I2283" s="8"/>
      <c r="J2283" s="8"/>
      <c r="K2283" s="8"/>
      <c r="L2283" s="8"/>
      <c r="M2283" s="8"/>
    </row>
    <row r="2284" spans="1:13">
      <c r="A2284" s="30" t="s">
        <v>6586</v>
      </c>
      <c r="B2284" s="67">
        <v>11702039811</v>
      </c>
      <c r="C2284" s="32" t="s">
        <v>6587</v>
      </c>
      <c r="D2284" s="69">
        <v>14689396884</v>
      </c>
      <c r="E2284" s="9">
        <v>1350</v>
      </c>
      <c r="F2284" s="25">
        <v>43006</v>
      </c>
      <c r="G2284" s="70" t="s">
        <v>3356</v>
      </c>
      <c r="H2284" s="9"/>
      <c r="I2284" s="8"/>
      <c r="J2284" s="8"/>
      <c r="K2284" s="8"/>
      <c r="L2284" s="8"/>
      <c r="M2284" s="8"/>
    </row>
    <row r="2285" spans="1:13">
      <c r="A2285" s="15" t="s">
        <v>6588</v>
      </c>
      <c r="B2285" s="67">
        <v>7190997652</v>
      </c>
      <c r="C2285" s="72"/>
      <c r="D2285" s="69"/>
      <c r="E2285" s="9">
        <v>229</v>
      </c>
      <c r="F2285" s="25">
        <v>43151</v>
      </c>
      <c r="G2285" s="70" t="s">
        <v>3356</v>
      </c>
      <c r="H2285" s="9"/>
      <c r="I2285" s="8"/>
      <c r="J2285" s="8"/>
      <c r="K2285" s="8"/>
      <c r="L2285" s="9">
        <v>232</v>
      </c>
      <c r="M2285" s="8"/>
    </row>
    <row r="2286" spans="1:13">
      <c r="A2286" s="71" t="s">
        <v>6589</v>
      </c>
      <c r="B2286" s="67">
        <v>14806132829</v>
      </c>
      <c r="C2286" s="72"/>
      <c r="D2286" s="69"/>
      <c r="E2286" s="9"/>
      <c r="F2286" s="25"/>
      <c r="G2286" s="70"/>
      <c r="H2286" s="9"/>
      <c r="I2286" s="8"/>
      <c r="J2286" s="8"/>
      <c r="K2286" s="8"/>
      <c r="L2286" s="8"/>
      <c r="M2286" s="8"/>
    </row>
    <row r="2287" spans="1:13">
      <c r="A2287" s="71" t="s">
        <v>6590</v>
      </c>
      <c r="B2287" s="67">
        <v>32370344873</v>
      </c>
      <c r="C2287" s="72"/>
      <c r="D2287" s="69"/>
      <c r="E2287" s="9"/>
      <c r="F2287" s="25"/>
      <c r="G2287" s="70"/>
      <c r="H2287" s="9"/>
      <c r="I2287" s="8"/>
      <c r="J2287" s="8"/>
      <c r="K2287" s="8"/>
      <c r="L2287" s="8"/>
      <c r="M2287" s="8"/>
    </row>
    <row r="2288" spans="1:13">
      <c r="A2288" s="71" t="s">
        <v>6591</v>
      </c>
      <c r="B2288" s="67">
        <v>46959766842</v>
      </c>
      <c r="C2288" s="72" t="s">
        <v>6592</v>
      </c>
      <c r="D2288" s="69">
        <v>40096022876</v>
      </c>
      <c r="E2288" s="9">
        <v>1350</v>
      </c>
      <c r="F2288" s="25">
        <v>43006</v>
      </c>
      <c r="G2288" s="70" t="s">
        <v>3356</v>
      </c>
      <c r="H2288" s="9"/>
      <c r="I2288" s="8"/>
      <c r="J2288" s="8"/>
      <c r="K2288" s="8"/>
      <c r="L2288" s="8"/>
      <c r="M2288" s="8"/>
    </row>
    <row r="2289" spans="1:13">
      <c r="A2289" s="71" t="s">
        <v>6593</v>
      </c>
      <c r="B2289" s="67">
        <v>15147799869</v>
      </c>
      <c r="C2289" s="72" t="s">
        <v>6594</v>
      </c>
      <c r="D2289" s="69">
        <v>18304595893</v>
      </c>
      <c r="E2289" s="9">
        <v>1824</v>
      </c>
      <c r="F2289" s="25">
        <v>43091</v>
      </c>
      <c r="G2289" s="70" t="s">
        <v>3356</v>
      </c>
      <c r="H2289" s="9"/>
      <c r="I2289" s="8"/>
      <c r="J2289" s="8"/>
      <c r="K2289" s="8"/>
      <c r="L2289" s="9">
        <v>1828</v>
      </c>
      <c r="M2289" s="8"/>
    </row>
    <row r="2290" spans="1:13">
      <c r="A2290" s="71" t="s">
        <v>6595</v>
      </c>
      <c r="B2290" s="67">
        <v>29012884802</v>
      </c>
      <c r="C2290" s="72" t="s">
        <v>6596</v>
      </c>
      <c r="D2290" s="69">
        <v>16761377854</v>
      </c>
      <c r="E2290" s="9">
        <v>85</v>
      </c>
      <c r="F2290" s="25">
        <v>43109</v>
      </c>
      <c r="G2290" s="70" t="s">
        <v>3356</v>
      </c>
      <c r="H2290" s="25">
        <v>43151</v>
      </c>
      <c r="I2290" s="8"/>
      <c r="J2290" s="8"/>
      <c r="K2290" s="8"/>
      <c r="L2290" s="8"/>
      <c r="M2290" s="8"/>
    </row>
    <row r="2291" spans="1:13">
      <c r="A2291" s="71" t="s">
        <v>6597</v>
      </c>
      <c r="B2291" s="67">
        <v>13009518854</v>
      </c>
      <c r="C2291" s="72" t="s">
        <v>6598</v>
      </c>
      <c r="D2291" s="69">
        <v>59636467749</v>
      </c>
      <c r="E2291" s="9">
        <v>1267</v>
      </c>
      <c r="F2291" s="25">
        <v>42998</v>
      </c>
      <c r="G2291" s="70" t="s">
        <v>3370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71" t="s">
        <v>6599</v>
      </c>
      <c r="B2292" s="67">
        <v>27024611820</v>
      </c>
      <c r="C2292" s="72"/>
      <c r="D2292" s="69"/>
      <c r="E2292" s="9"/>
      <c r="F2292" s="25"/>
      <c r="G2292" s="70"/>
      <c r="H2292" s="9"/>
      <c r="I2292" s="8"/>
      <c r="J2292" s="8"/>
      <c r="K2292" s="8"/>
      <c r="L2292" s="8"/>
      <c r="M2292" s="8"/>
    </row>
    <row r="2293" spans="1:13">
      <c r="A2293" s="15" t="s">
        <v>6600</v>
      </c>
      <c r="B2293" s="67">
        <v>38605259809</v>
      </c>
      <c r="C2293" s="72" t="s">
        <v>6601</v>
      </c>
      <c r="D2293" s="69">
        <v>1090388519</v>
      </c>
      <c r="E2293" s="9">
        <v>117</v>
      </c>
      <c r="F2293" s="25">
        <v>43117</v>
      </c>
      <c r="G2293" s="70" t="s">
        <v>3356</v>
      </c>
      <c r="H2293" s="9"/>
      <c r="I2293" s="8"/>
      <c r="J2293" s="8"/>
      <c r="K2293" s="8"/>
      <c r="L2293" s="9" t="s">
        <v>3507</v>
      </c>
      <c r="M2293" s="8"/>
    </row>
    <row r="2294" spans="1:13">
      <c r="A2294" s="15" t="s">
        <v>6602</v>
      </c>
      <c r="B2294" s="67">
        <v>9333321810</v>
      </c>
      <c r="C2294" s="72" t="s">
        <v>6603</v>
      </c>
      <c r="D2294" s="69">
        <v>16122645818</v>
      </c>
      <c r="E2294" s="9">
        <v>117</v>
      </c>
      <c r="F2294" s="25">
        <v>43117</v>
      </c>
      <c r="G2294" s="70" t="s">
        <v>3356</v>
      </c>
      <c r="H2294" s="9"/>
      <c r="I2294" s="8"/>
      <c r="J2294" s="8"/>
      <c r="K2294" s="8"/>
      <c r="L2294" s="9" t="s">
        <v>3507</v>
      </c>
      <c r="M2294" s="8"/>
    </row>
    <row r="2295" spans="1:13">
      <c r="A2295" s="71" t="s">
        <v>6604</v>
      </c>
      <c r="B2295" s="67">
        <v>3941867539</v>
      </c>
      <c r="C2295" s="72"/>
      <c r="D2295" s="69"/>
      <c r="E2295" s="9">
        <v>810</v>
      </c>
      <c r="F2295" s="25">
        <v>42915</v>
      </c>
      <c r="G2295" s="70" t="s">
        <v>3356</v>
      </c>
      <c r="H2295" s="9"/>
      <c r="I2295" s="8"/>
      <c r="J2295" s="8"/>
      <c r="K2295" s="8"/>
      <c r="L2295" s="9" t="s">
        <v>3475</v>
      </c>
      <c r="M2295" s="8"/>
    </row>
    <row r="2296" spans="1:13">
      <c r="A2296" s="71" t="s">
        <v>6605</v>
      </c>
      <c r="B2296" s="67">
        <v>40786011890</v>
      </c>
      <c r="C2296" s="72"/>
      <c r="D2296" s="69"/>
      <c r="E2296" s="9"/>
      <c r="F2296" s="25"/>
      <c r="G2296" s="70"/>
      <c r="H2296" s="9"/>
      <c r="I2296" s="8"/>
      <c r="J2296" s="8"/>
      <c r="K2296" s="8"/>
      <c r="L2296" s="8"/>
      <c r="M2296" s="8"/>
    </row>
    <row r="2297" spans="1:13">
      <c r="A2297" s="71" t="s">
        <v>6606</v>
      </c>
      <c r="B2297" s="67">
        <v>25852243841</v>
      </c>
      <c r="C2297" s="72"/>
      <c r="D2297" s="69"/>
      <c r="E2297" s="9"/>
      <c r="F2297" s="25"/>
      <c r="G2297" s="70"/>
      <c r="H2297" s="9"/>
      <c r="I2297" s="8"/>
      <c r="J2297" s="8"/>
      <c r="K2297" s="8"/>
      <c r="L2297" s="8"/>
      <c r="M2297" s="8"/>
    </row>
    <row r="2298" spans="1:13">
      <c r="A2298" s="71" t="s">
        <v>6607</v>
      </c>
      <c r="B2298" s="67">
        <v>19586931897</v>
      </c>
      <c r="C2298" s="72"/>
      <c r="D2298" s="69"/>
      <c r="E2298" s="9"/>
      <c r="F2298" s="25"/>
      <c r="G2298" s="70"/>
      <c r="H2298" s="9"/>
      <c r="I2298" s="8"/>
      <c r="J2298" s="8"/>
      <c r="K2298" s="8"/>
      <c r="L2298" s="8"/>
      <c r="M2298" s="8"/>
    </row>
    <row r="2299" spans="1:13">
      <c r="A2299" s="71" t="s">
        <v>6608</v>
      </c>
      <c r="B2299" s="67">
        <v>33116094845</v>
      </c>
      <c r="C2299" s="73"/>
      <c r="D2299" s="69"/>
      <c r="E2299" s="9"/>
      <c r="F2299" s="25"/>
      <c r="G2299" s="70"/>
      <c r="H2299" s="9"/>
      <c r="I2299" s="8"/>
      <c r="J2299" s="8"/>
      <c r="K2299" s="8"/>
      <c r="L2299" s="8"/>
      <c r="M2299" s="8"/>
    </row>
    <row r="2300" spans="1:13">
      <c r="A2300" s="18" t="s">
        <v>6609</v>
      </c>
      <c r="B2300" s="67">
        <v>35810601839</v>
      </c>
      <c r="C2300" s="18" t="s">
        <v>6610</v>
      </c>
      <c r="D2300" s="69">
        <v>17623129805</v>
      </c>
      <c r="E2300" s="9"/>
      <c r="F2300" s="25"/>
      <c r="G2300" s="70"/>
      <c r="H2300" s="9"/>
      <c r="I2300" s="8"/>
      <c r="J2300" s="8"/>
      <c r="K2300" s="8"/>
      <c r="L2300" s="8"/>
      <c r="M2300" s="8"/>
    </row>
    <row r="2301" spans="1:13">
      <c r="A2301" s="71" t="s">
        <v>6611</v>
      </c>
      <c r="B2301" s="67">
        <v>32203433841</v>
      </c>
      <c r="C2301" s="72" t="s">
        <v>6612</v>
      </c>
      <c r="D2301" s="69">
        <v>36256617890</v>
      </c>
      <c r="E2301" s="9">
        <v>810</v>
      </c>
      <c r="F2301" s="25">
        <v>42915</v>
      </c>
      <c r="G2301" s="70" t="s">
        <v>3356</v>
      </c>
      <c r="H2301" s="9"/>
      <c r="I2301" s="8"/>
      <c r="J2301" s="8"/>
      <c r="K2301" s="8"/>
      <c r="L2301" s="9" t="s">
        <v>3475</v>
      </c>
      <c r="M2301" s="8"/>
    </row>
    <row r="2302" spans="1:13">
      <c r="A2302" s="72" t="s">
        <v>6613</v>
      </c>
      <c r="B2302" s="67">
        <v>29816586894</v>
      </c>
      <c r="C2302" s="72" t="s">
        <v>6614</v>
      </c>
      <c r="D2302" s="69">
        <v>10373683391</v>
      </c>
      <c r="E2302" s="9"/>
      <c r="F2302" s="25"/>
      <c r="G2302" s="70"/>
      <c r="H2302" s="9"/>
      <c r="I2302" s="8"/>
      <c r="J2302" s="8"/>
      <c r="K2302" s="8"/>
      <c r="L2302" s="8"/>
      <c r="M2302" s="8"/>
    </row>
    <row r="2303" spans="1:13">
      <c r="A2303" s="72" t="s">
        <v>6615</v>
      </c>
      <c r="B2303" s="67">
        <v>3087797545</v>
      </c>
      <c r="C2303" s="71" t="s">
        <v>6616</v>
      </c>
      <c r="D2303" s="69">
        <v>35687636803</v>
      </c>
      <c r="E2303" s="9"/>
      <c r="F2303" s="25"/>
      <c r="G2303" s="70"/>
      <c r="H2303" s="9"/>
      <c r="I2303" s="8"/>
      <c r="J2303" s="8"/>
      <c r="K2303" s="8"/>
      <c r="L2303" s="8"/>
      <c r="M2303" s="8"/>
    </row>
    <row r="2304" spans="1:13">
      <c r="A2304" s="18" t="s">
        <v>6617</v>
      </c>
      <c r="B2304" s="67">
        <v>44135110851</v>
      </c>
      <c r="C2304" s="18" t="s">
        <v>6618</v>
      </c>
      <c r="D2304" s="69">
        <v>23917833883</v>
      </c>
      <c r="E2304" s="9"/>
      <c r="F2304" s="25"/>
      <c r="G2304" s="70"/>
      <c r="H2304" s="9"/>
      <c r="I2304" s="8"/>
      <c r="J2304" s="8"/>
      <c r="K2304" s="8"/>
      <c r="L2304" s="8"/>
      <c r="M2304" s="8"/>
    </row>
    <row r="2305" spans="1:13">
      <c r="A2305" s="71" t="s">
        <v>6619</v>
      </c>
      <c r="B2305" s="67">
        <v>48639863865</v>
      </c>
      <c r="C2305" s="72"/>
      <c r="D2305" s="69"/>
      <c r="E2305" s="9">
        <v>1824</v>
      </c>
      <c r="F2305" s="25">
        <v>43091</v>
      </c>
      <c r="G2305" s="70" t="s">
        <v>3356</v>
      </c>
      <c r="H2305" s="9"/>
      <c r="I2305" s="8"/>
      <c r="J2305" s="8"/>
      <c r="K2305" s="8"/>
      <c r="L2305" s="9">
        <v>1828</v>
      </c>
      <c r="M2305" s="8"/>
    </row>
    <row r="2306" spans="1:13">
      <c r="A2306" s="71" t="s">
        <v>6620</v>
      </c>
      <c r="B2306" s="67">
        <v>5416929847</v>
      </c>
      <c r="C2306" s="72" t="s">
        <v>6621</v>
      </c>
      <c r="D2306" s="69">
        <v>69220670887</v>
      </c>
      <c r="E2306" s="9">
        <v>292</v>
      </c>
      <c r="F2306" s="25">
        <v>43168</v>
      </c>
      <c r="G2306" s="70" t="s">
        <v>3362</v>
      </c>
      <c r="H2306" s="9"/>
      <c r="I2306" s="8"/>
      <c r="J2306" s="8"/>
      <c r="K2306" s="8"/>
      <c r="L2306" s="9">
        <v>318</v>
      </c>
      <c r="M2306" s="8"/>
    </row>
    <row r="2307" spans="1:13">
      <c r="A2307" s="71" t="s">
        <v>6622</v>
      </c>
      <c r="B2307" s="67">
        <v>11462821847</v>
      </c>
      <c r="C2307" s="72"/>
      <c r="D2307" s="69"/>
      <c r="E2307" s="9">
        <v>1350</v>
      </c>
      <c r="F2307" s="25">
        <v>43006</v>
      </c>
      <c r="G2307" s="70" t="s">
        <v>3356</v>
      </c>
      <c r="H2307" s="70"/>
      <c r="I2307" s="8"/>
      <c r="J2307" s="8"/>
      <c r="K2307" s="8"/>
      <c r="L2307" s="8"/>
      <c r="M2307" s="8"/>
    </row>
    <row r="2308" spans="1:13">
      <c r="A2308" s="71" t="s">
        <v>6623</v>
      </c>
      <c r="B2308" s="67">
        <v>42985410886</v>
      </c>
      <c r="C2308" s="72"/>
      <c r="D2308" s="69"/>
      <c r="E2308" s="9"/>
      <c r="F2308" s="25"/>
      <c r="G2308" s="70"/>
      <c r="H2308" s="70"/>
      <c r="I2308" s="8"/>
      <c r="J2308" s="8"/>
      <c r="K2308" s="8"/>
      <c r="L2308" s="8"/>
      <c r="M2308" s="8"/>
    </row>
    <row r="2309" spans="1:13">
      <c r="A2309" s="72" t="s">
        <v>6624</v>
      </c>
      <c r="B2309" s="67">
        <v>37840635865</v>
      </c>
      <c r="C2309" s="72"/>
      <c r="D2309" s="69"/>
      <c r="E2309" s="9">
        <v>1417</v>
      </c>
      <c r="F2309" s="25">
        <v>43017</v>
      </c>
      <c r="G2309" s="70" t="s">
        <v>3356</v>
      </c>
      <c r="H2309" s="70"/>
      <c r="I2309" s="8"/>
      <c r="J2309" s="8"/>
      <c r="K2309" s="8"/>
      <c r="L2309" s="9" t="s">
        <v>3590</v>
      </c>
      <c r="M2309" s="8"/>
    </row>
    <row r="2310" spans="1:13">
      <c r="A2310" s="71" t="s">
        <v>6625</v>
      </c>
      <c r="B2310" s="67">
        <v>2433835500</v>
      </c>
      <c r="C2310" s="72"/>
      <c r="D2310" s="69"/>
      <c r="E2310" s="9">
        <v>1350</v>
      </c>
      <c r="F2310" s="25">
        <v>43006</v>
      </c>
      <c r="G2310" s="70" t="s">
        <v>3356</v>
      </c>
      <c r="H2310" s="70"/>
      <c r="I2310" s="8"/>
      <c r="J2310" s="8"/>
      <c r="K2310" s="8"/>
      <c r="L2310" s="8"/>
      <c r="M2310" s="8"/>
    </row>
    <row r="2311" spans="1:13">
      <c r="A2311" s="71" t="s">
        <v>6626</v>
      </c>
      <c r="B2311" s="67">
        <v>29501225828</v>
      </c>
      <c r="C2311" s="72"/>
      <c r="D2311" s="69"/>
      <c r="E2311" s="9"/>
      <c r="F2311" s="25"/>
      <c r="G2311" s="70"/>
      <c r="H2311" s="70"/>
      <c r="I2311" s="8"/>
      <c r="J2311" s="8"/>
      <c r="K2311" s="8"/>
      <c r="L2311" s="8"/>
      <c r="M2311" s="8"/>
    </row>
    <row r="2312" spans="1:13">
      <c r="A2312" s="13" t="s">
        <v>6627</v>
      </c>
      <c r="B2312" s="67">
        <v>34133971841</v>
      </c>
      <c r="C2312" s="68"/>
      <c r="D2312" s="69"/>
      <c r="E2312" s="9">
        <v>1241</v>
      </c>
      <c r="F2312" s="25">
        <v>42992</v>
      </c>
      <c r="G2312" s="70" t="s">
        <v>3356</v>
      </c>
      <c r="H2312" s="70"/>
      <c r="I2312" s="8"/>
      <c r="J2312" s="8"/>
      <c r="K2312" s="8"/>
      <c r="L2312" s="8"/>
      <c r="M2312" s="8"/>
    </row>
    <row r="2313" spans="1:13">
      <c r="A2313" s="71" t="s">
        <v>6628</v>
      </c>
      <c r="B2313" s="67">
        <v>32862677833</v>
      </c>
      <c r="C2313" s="72"/>
      <c r="D2313" s="69"/>
      <c r="E2313" s="9">
        <v>292</v>
      </c>
      <c r="F2313" s="25">
        <v>43168</v>
      </c>
      <c r="G2313" s="70" t="s">
        <v>3356</v>
      </c>
      <c r="H2313" s="70"/>
      <c r="I2313" s="8"/>
      <c r="J2313" s="8"/>
      <c r="K2313" s="8"/>
      <c r="L2313" s="9">
        <v>318</v>
      </c>
      <c r="M2313" s="8"/>
    </row>
    <row r="2314" spans="1:13">
      <c r="A2314" s="71" t="s">
        <v>6629</v>
      </c>
      <c r="B2314" s="67">
        <v>60363616373</v>
      </c>
      <c r="C2314" s="72" t="s">
        <v>6630</v>
      </c>
      <c r="D2314" s="69">
        <v>569417309</v>
      </c>
      <c r="E2314" s="9"/>
      <c r="F2314" s="25"/>
      <c r="G2314" s="70"/>
      <c r="H2314" s="70"/>
      <c r="I2314" s="8"/>
      <c r="J2314" s="8"/>
      <c r="K2314" s="8"/>
      <c r="L2314" s="8"/>
      <c r="M2314" s="8"/>
    </row>
    <row r="2315" spans="1:13">
      <c r="A2315" s="71" t="s">
        <v>6631</v>
      </c>
      <c r="B2315" s="67">
        <v>34431075836</v>
      </c>
      <c r="C2315" s="72"/>
      <c r="D2315" s="69"/>
      <c r="E2315" s="9">
        <v>1106</v>
      </c>
      <c r="F2315" s="25">
        <v>42965</v>
      </c>
      <c r="G2315" s="70" t="s">
        <v>3356</v>
      </c>
      <c r="H2315" s="70"/>
      <c r="I2315" s="8"/>
      <c r="J2315" s="8"/>
      <c r="K2315" s="8"/>
      <c r="L2315" s="8"/>
      <c r="M2315" s="8"/>
    </row>
    <row r="2316" spans="1:13">
      <c r="A2316" s="29" t="s">
        <v>6632</v>
      </c>
      <c r="B2316" s="67">
        <v>6780677833</v>
      </c>
      <c r="C2316" s="29" t="s">
        <v>6633</v>
      </c>
      <c r="D2316" s="69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71" t="s">
        <v>6634</v>
      </c>
      <c r="B2317" s="67">
        <v>43219329802</v>
      </c>
      <c r="C2317" s="72"/>
      <c r="D2317" s="69"/>
      <c r="E2317" s="9">
        <v>527</v>
      </c>
      <c r="F2317" s="25">
        <v>43210</v>
      </c>
      <c r="G2317" s="70"/>
      <c r="H2317" s="70"/>
      <c r="I2317" s="8"/>
      <c r="J2317" s="8"/>
      <c r="K2317" s="8"/>
      <c r="L2317" s="9">
        <v>528</v>
      </c>
      <c r="M2317" s="8"/>
    </row>
    <row r="2318" spans="1:13">
      <c r="A2318" s="29" t="s">
        <v>6635</v>
      </c>
      <c r="B2318" s="67"/>
      <c r="C2318" s="29" t="s">
        <v>3466</v>
      </c>
      <c r="D2318" s="69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71" t="s">
        <v>6636</v>
      </c>
      <c r="B2319" s="67">
        <v>32083016858</v>
      </c>
      <c r="C2319" s="72"/>
      <c r="D2319" s="69"/>
      <c r="E2319" s="9"/>
      <c r="F2319" s="25"/>
      <c r="G2319" s="70"/>
      <c r="H2319" s="70"/>
      <c r="I2319" s="8"/>
      <c r="J2319" s="8"/>
      <c r="K2319" s="8"/>
      <c r="L2319" s="8"/>
      <c r="M2319" s="8"/>
    </row>
    <row r="2320" spans="1:13">
      <c r="A2320" s="71" t="s">
        <v>6637</v>
      </c>
      <c r="B2320" s="67">
        <v>38711601809</v>
      </c>
      <c r="C2320" s="72"/>
      <c r="D2320" s="69"/>
      <c r="E2320" s="9"/>
      <c r="F2320" s="25"/>
      <c r="G2320" s="70"/>
      <c r="H2320" s="70"/>
      <c r="I2320" s="8"/>
      <c r="J2320" s="8"/>
      <c r="K2320" s="8"/>
      <c r="L2320" s="8"/>
      <c r="M2320" s="8"/>
    </row>
    <row r="2321" spans="1:13">
      <c r="A2321" s="18" t="s">
        <v>6638</v>
      </c>
      <c r="B2321" s="67"/>
      <c r="C2321" s="18" t="s">
        <v>6639</v>
      </c>
      <c r="D2321" s="69"/>
      <c r="E2321" s="9"/>
      <c r="F2321" s="25"/>
      <c r="G2321" s="70"/>
      <c r="H2321" s="70"/>
      <c r="I2321" s="8"/>
      <c r="J2321" s="8"/>
      <c r="K2321" s="8"/>
      <c r="L2321" s="8"/>
      <c r="M2321" s="8"/>
    </row>
    <row r="2322" spans="1:13">
      <c r="A2322" s="71" t="s">
        <v>6640</v>
      </c>
      <c r="B2322" s="67">
        <v>47104776800</v>
      </c>
      <c r="C2322" s="72" t="s">
        <v>6641</v>
      </c>
      <c r="D2322" s="69">
        <v>29524413833</v>
      </c>
      <c r="E2322" s="9">
        <v>117</v>
      </c>
      <c r="F2322" s="25">
        <v>43117</v>
      </c>
      <c r="G2322" s="70" t="s">
        <v>3356</v>
      </c>
      <c r="H2322" s="70"/>
      <c r="I2322" s="8"/>
      <c r="J2322" s="8"/>
      <c r="K2322" s="8"/>
      <c r="L2322" s="9" t="s">
        <v>3507</v>
      </c>
      <c r="M2322" s="8"/>
    </row>
    <row r="2323" spans="1:13">
      <c r="A2323" s="71" t="s">
        <v>6642</v>
      </c>
      <c r="B2323" s="67">
        <v>16410348827</v>
      </c>
      <c r="C2323" s="72"/>
      <c r="D2323" s="69"/>
      <c r="E2323" s="9">
        <v>292</v>
      </c>
      <c r="F2323" s="25">
        <v>43168</v>
      </c>
      <c r="G2323" s="70" t="s">
        <v>3356</v>
      </c>
      <c r="H2323" s="70"/>
      <c r="I2323" s="8"/>
      <c r="J2323" s="8"/>
      <c r="K2323" s="8"/>
      <c r="L2323" s="9">
        <v>318</v>
      </c>
      <c r="M2323" s="8"/>
    </row>
    <row r="2324" spans="1:13">
      <c r="A2324" s="71" t="s">
        <v>6643</v>
      </c>
      <c r="B2324" s="67">
        <v>7059813470</v>
      </c>
      <c r="C2324" s="72"/>
      <c r="D2324" s="69"/>
      <c r="E2324" s="9">
        <v>292</v>
      </c>
      <c r="F2324" s="25">
        <v>43168</v>
      </c>
      <c r="G2324" s="70" t="s">
        <v>3356</v>
      </c>
      <c r="H2324" s="70"/>
      <c r="I2324" s="8"/>
      <c r="J2324" s="8"/>
      <c r="K2324" s="8"/>
      <c r="L2324" s="9">
        <v>318</v>
      </c>
      <c r="M2324" s="8"/>
    </row>
    <row r="2325" spans="1:13">
      <c r="A2325" s="71" t="s">
        <v>6644</v>
      </c>
      <c r="B2325" s="67">
        <v>23413713884</v>
      </c>
      <c r="C2325" s="72"/>
      <c r="D2325" s="69"/>
      <c r="E2325" s="9">
        <v>509</v>
      </c>
      <c r="F2325" s="25">
        <v>43203</v>
      </c>
      <c r="G2325" s="76"/>
      <c r="H2325" s="76">
        <v>43213</v>
      </c>
      <c r="I2325" s="8"/>
      <c r="J2325" s="8"/>
      <c r="K2325" s="8"/>
      <c r="L2325" s="8"/>
      <c r="M2325" s="8"/>
    </row>
    <row r="2326" spans="1:13">
      <c r="A2326" s="29" t="s">
        <v>6645</v>
      </c>
      <c r="B2326" s="67"/>
      <c r="C2326" s="29" t="s">
        <v>6646</v>
      </c>
      <c r="D2326" s="69"/>
      <c r="E2326" s="9"/>
      <c r="F2326" s="25"/>
      <c r="G2326" s="70"/>
      <c r="H2326" s="9"/>
      <c r="I2326" s="8"/>
      <c r="J2326" s="8"/>
      <c r="K2326" s="8"/>
      <c r="L2326" s="8"/>
      <c r="M2326" s="8"/>
    </row>
    <row r="2327" spans="1:13">
      <c r="A2327" s="15" t="s">
        <v>6647</v>
      </c>
      <c r="B2327" s="67">
        <v>43704962848</v>
      </c>
      <c r="C2327" s="72"/>
      <c r="D2327" s="69"/>
      <c r="E2327" s="9">
        <v>117</v>
      </c>
      <c r="F2327" s="25">
        <v>43117</v>
      </c>
      <c r="G2327" s="70" t="s">
        <v>3356</v>
      </c>
      <c r="H2327" s="9"/>
      <c r="I2327" s="8"/>
      <c r="J2327" s="8"/>
      <c r="K2327" s="8"/>
      <c r="L2327" s="9" t="s">
        <v>3507</v>
      </c>
      <c r="M2327" s="8"/>
    </row>
    <row r="2328" spans="1:13">
      <c r="A2328" s="71" t="s">
        <v>6648</v>
      </c>
      <c r="B2328" s="67">
        <v>37815273874</v>
      </c>
      <c r="C2328" s="73"/>
      <c r="D2328" s="69"/>
      <c r="E2328" s="9">
        <v>573</v>
      </c>
      <c r="F2328" s="25">
        <v>43224</v>
      </c>
      <c r="G2328" s="70"/>
      <c r="H2328" s="9"/>
      <c r="I2328" s="8"/>
      <c r="J2328" s="8"/>
      <c r="K2328" s="8"/>
      <c r="L2328" s="8"/>
      <c r="M2328" s="8"/>
    </row>
    <row r="2329" spans="1:13">
      <c r="A2329" s="18" t="s">
        <v>6649</v>
      </c>
      <c r="B2329" s="67">
        <v>41731612800</v>
      </c>
      <c r="C2329" s="18"/>
      <c r="D2329" s="69"/>
      <c r="E2329" s="9"/>
      <c r="F2329" s="25"/>
      <c r="G2329" s="70"/>
      <c r="H2329" s="9"/>
      <c r="I2329" s="8"/>
      <c r="J2329" s="8"/>
      <c r="K2329" s="8"/>
      <c r="L2329" s="8"/>
      <c r="M2329" s="8"/>
    </row>
    <row r="2330" spans="1:13">
      <c r="A2330" s="15" t="s">
        <v>6650</v>
      </c>
      <c r="B2330" s="67">
        <v>44920823878</v>
      </c>
      <c r="C2330" s="72" t="s">
        <v>6651</v>
      </c>
      <c r="D2330" s="69">
        <v>45137930822</v>
      </c>
      <c r="E2330" s="9"/>
      <c r="F2330" s="25"/>
      <c r="G2330" s="70"/>
      <c r="H2330" s="9"/>
      <c r="I2330" s="8"/>
      <c r="J2330" s="8"/>
      <c r="K2330" s="8"/>
      <c r="L2330" s="8"/>
      <c r="M2330" s="8"/>
    </row>
    <row r="2331" spans="1:13">
      <c r="A2331" s="71" t="s">
        <v>6652</v>
      </c>
      <c r="B2331" s="67">
        <v>41236843860</v>
      </c>
      <c r="C2331" s="72"/>
      <c r="D2331" s="69"/>
      <c r="E2331" s="9"/>
      <c r="F2331" s="25"/>
      <c r="G2331" s="70"/>
      <c r="H2331" s="9"/>
      <c r="I2331" s="8"/>
      <c r="J2331" s="8"/>
      <c r="K2331" s="8"/>
      <c r="L2331" s="8"/>
      <c r="M2331" s="8"/>
    </row>
    <row r="2332" spans="1:13">
      <c r="A2332" s="71" t="s">
        <v>6653</v>
      </c>
      <c r="B2332" s="67">
        <v>27702750898</v>
      </c>
      <c r="C2332" s="72"/>
      <c r="D2332" s="69"/>
      <c r="E2332" s="9">
        <v>573</v>
      </c>
      <c r="F2332" s="25">
        <v>43224</v>
      </c>
      <c r="G2332" s="70"/>
      <c r="H2332" s="9"/>
      <c r="I2332" s="8"/>
      <c r="J2332" s="8"/>
      <c r="K2332" s="8"/>
      <c r="L2332" s="8"/>
      <c r="M2332" s="8"/>
    </row>
    <row r="2333" spans="1:13">
      <c r="A2333" s="71" t="s">
        <v>6654</v>
      </c>
      <c r="B2333" s="67">
        <v>8665698809</v>
      </c>
      <c r="C2333" s="72" t="s">
        <v>6655</v>
      </c>
      <c r="D2333" s="69">
        <v>5355408842</v>
      </c>
      <c r="E2333" s="9">
        <v>485</v>
      </c>
      <c r="F2333" s="25">
        <v>43196</v>
      </c>
      <c r="G2333" s="70"/>
      <c r="H2333" s="9"/>
      <c r="I2333" s="8"/>
      <c r="J2333" s="8"/>
      <c r="K2333" s="8"/>
      <c r="L2333" s="9">
        <v>483</v>
      </c>
      <c r="M2333" s="8"/>
    </row>
    <row r="2334" spans="1:13">
      <c r="A2334" s="71" t="s">
        <v>6656</v>
      </c>
      <c r="B2334" s="67">
        <v>47346205553</v>
      </c>
      <c r="C2334" s="72"/>
      <c r="D2334" s="69"/>
      <c r="E2334" s="9">
        <v>262</v>
      </c>
      <c r="F2334" s="25">
        <v>43160</v>
      </c>
      <c r="G2334" s="9" t="s">
        <v>3356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6657</v>
      </c>
      <c r="B2335" s="67">
        <v>41156243882</v>
      </c>
      <c r="C2335" s="72"/>
      <c r="D2335" s="69"/>
      <c r="E2335" s="9"/>
      <c r="F2335" s="25"/>
      <c r="G2335" s="70"/>
      <c r="H2335" s="9"/>
      <c r="I2335" s="8"/>
      <c r="J2335" s="8"/>
      <c r="K2335" s="8"/>
      <c r="L2335" s="8"/>
      <c r="M2335" s="8"/>
    </row>
    <row r="2336" spans="1:13">
      <c r="A2336" s="71" t="s">
        <v>6658</v>
      </c>
      <c r="B2336" s="67">
        <v>37383675860</v>
      </c>
      <c r="C2336" s="72" t="s">
        <v>6659</v>
      </c>
      <c r="D2336" s="69">
        <v>37457320814</v>
      </c>
      <c r="E2336" s="9">
        <v>1824</v>
      </c>
      <c r="F2336" s="25">
        <v>43091</v>
      </c>
      <c r="G2336" s="70" t="s">
        <v>3356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6660</v>
      </c>
      <c r="B2337" s="67">
        <v>36559837866</v>
      </c>
      <c r="C2337" s="72"/>
      <c r="D2337" s="69"/>
      <c r="E2337" s="9">
        <v>229</v>
      </c>
      <c r="F2337" s="25">
        <v>43151</v>
      </c>
      <c r="G2337" s="70" t="s">
        <v>3356</v>
      </c>
      <c r="H2337" s="9"/>
      <c r="I2337" s="8"/>
      <c r="J2337" s="8"/>
      <c r="K2337" s="8"/>
      <c r="L2337" s="9">
        <v>232</v>
      </c>
      <c r="M2337" s="8"/>
    </row>
    <row r="2338" spans="1:13">
      <c r="A2338" s="71" t="s">
        <v>6661</v>
      </c>
      <c r="B2338" s="67">
        <v>41800891814</v>
      </c>
      <c r="C2338" s="72"/>
      <c r="D2338" s="69"/>
      <c r="E2338" s="9">
        <v>1752</v>
      </c>
      <c r="F2338" s="25">
        <v>43051</v>
      </c>
      <c r="G2338" s="70" t="s">
        <v>3356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6662</v>
      </c>
      <c r="B2339" s="67">
        <v>5092648830</v>
      </c>
      <c r="C2339" s="18"/>
      <c r="D2339" s="69"/>
      <c r="E2339" s="9"/>
      <c r="F2339" s="25"/>
      <c r="G2339" s="70"/>
      <c r="H2339" s="9"/>
      <c r="I2339" s="8"/>
      <c r="J2339" s="8"/>
      <c r="K2339" s="8"/>
      <c r="L2339" s="8"/>
      <c r="M2339" s="8"/>
    </row>
    <row r="2340" spans="1:13">
      <c r="A2340" s="29" t="s">
        <v>6663</v>
      </c>
      <c r="B2340" s="67"/>
      <c r="C2340" s="18"/>
      <c r="D2340" s="69"/>
      <c r="E2340" s="9"/>
      <c r="F2340" s="25"/>
      <c r="G2340" s="70"/>
      <c r="H2340" s="9"/>
      <c r="I2340" s="8"/>
      <c r="J2340" s="8"/>
      <c r="K2340" s="8"/>
      <c r="L2340" s="8"/>
      <c r="M2340" s="8"/>
    </row>
    <row r="2341" spans="1:13">
      <c r="A2341" s="72" t="s">
        <v>6664</v>
      </c>
      <c r="B2341" s="67">
        <v>36394093882</v>
      </c>
      <c r="C2341" s="72" t="s">
        <v>6665</v>
      </c>
      <c r="D2341" s="69">
        <v>57069875568</v>
      </c>
      <c r="E2341" s="9"/>
      <c r="F2341" s="25"/>
      <c r="G2341" s="70"/>
      <c r="H2341" s="9"/>
      <c r="I2341" s="8"/>
      <c r="J2341" s="8"/>
      <c r="K2341" s="8"/>
      <c r="L2341" s="8"/>
      <c r="M2341" s="8"/>
    </row>
    <row r="2342" spans="1:13">
      <c r="A2342" s="79" t="s">
        <v>6666</v>
      </c>
      <c r="B2342" s="80">
        <v>38327155687</v>
      </c>
      <c r="C2342" s="81" t="s">
        <v>6667</v>
      </c>
      <c r="D2342" s="82">
        <v>20534089879</v>
      </c>
      <c r="E2342" s="47">
        <v>1824</v>
      </c>
      <c r="F2342" s="48">
        <v>43091</v>
      </c>
      <c r="G2342" s="83" t="s">
        <v>3370</v>
      </c>
      <c r="H2342" s="47"/>
      <c r="I2342" s="49"/>
      <c r="J2342" s="49"/>
      <c r="K2342" s="49"/>
      <c r="L2342" s="9">
        <v>1828</v>
      </c>
      <c r="M2342" s="49"/>
    </row>
    <row r="2343" spans="1:13">
      <c r="A2343" s="71" t="s">
        <v>6668</v>
      </c>
      <c r="B2343" s="67">
        <v>36553625875</v>
      </c>
      <c r="C2343" s="72" t="s">
        <v>6669</v>
      </c>
      <c r="D2343" s="69">
        <v>34615418850</v>
      </c>
      <c r="E2343" s="9">
        <v>608</v>
      </c>
      <c r="F2343" s="25">
        <v>43012</v>
      </c>
      <c r="G2343" s="70" t="s">
        <v>3356</v>
      </c>
      <c r="H2343" s="9"/>
      <c r="I2343" s="8"/>
      <c r="J2343" s="8"/>
      <c r="K2343" s="8"/>
      <c r="L2343" s="8"/>
      <c r="M2343" s="8"/>
    </row>
    <row r="2344" spans="1:13">
      <c r="A2344" s="71" t="s">
        <v>6670</v>
      </c>
      <c r="B2344" s="67">
        <v>10307625893</v>
      </c>
      <c r="C2344" s="72"/>
      <c r="D2344" s="69"/>
      <c r="E2344" s="9">
        <v>1752</v>
      </c>
      <c r="F2344" s="25">
        <v>43051</v>
      </c>
      <c r="G2344" s="70" t="s">
        <v>3356</v>
      </c>
      <c r="H2344" s="9"/>
      <c r="I2344" s="8"/>
      <c r="J2344" s="8"/>
      <c r="K2344" s="8"/>
      <c r="L2344" s="9">
        <v>1759</v>
      </c>
      <c r="M2344" s="8"/>
    </row>
    <row r="2345" spans="1:13">
      <c r="A2345" s="71" t="s">
        <v>6671</v>
      </c>
      <c r="B2345" s="67">
        <v>1284783499</v>
      </c>
      <c r="C2345" s="72"/>
      <c r="D2345" s="69"/>
      <c r="E2345" s="9">
        <v>810</v>
      </c>
      <c r="F2345" s="25">
        <v>42915</v>
      </c>
      <c r="G2345" s="70" t="s">
        <v>3356</v>
      </c>
      <c r="H2345" s="9"/>
      <c r="I2345" s="8"/>
      <c r="J2345" s="8"/>
      <c r="K2345" s="8"/>
      <c r="L2345" s="9" t="s">
        <v>3475</v>
      </c>
      <c r="M2345" s="8"/>
    </row>
    <row r="2346" spans="1:13">
      <c r="A2346" s="13" t="s">
        <v>6672</v>
      </c>
      <c r="B2346" s="67">
        <v>28301601850</v>
      </c>
      <c r="C2346" s="68"/>
      <c r="D2346" s="69"/>
      <c r="E2346" s="9">
        <v>1489</v>
      </c>
      <c r="F2346" s="25">
        <v>43038</v>
      </c>
      <c r="G2346" s="70" t="s">
        <v>3356</v>
      </c>
      <c r="H2346" s="9"/>
      <c r="I2346" s="8"/>
      <c r="J2346" s="8"/>
      <c r="K2346" s="8"/>
      <c r="L2346" s="9" t="s">
        <v>3497</v>
      </c>
      <c r="M2346" s="8"/>
    </row>
    <row r="2347" spans="1:13">
      <c r="A2347" s="71" t="s">
        <v>6673</v>
      </c>
      <c r="B2347" s="67">
        <v>28705745845</v>
      </c>
      <c r="C2347" s="72"/>
      <c r="D2347" s="69"/>
      <c r="E2347" s="9"/>
      <c r="F2347" s="25"/>
      <c r="G2347" s="70"/>
      <c r="H2347" s="9"/>
      <c r="I2347" s="8"/>
      <c r="J2347" s="8"/>
      <c r="K2347" s="8"/>
      <c r="L2347" s="8"/>
      <c r="M2347" s="8"/>
    </row>
    <row r="2348" spans="1:13" ht="13.5" customHeight="1">
      <c r="A2348" s="71" t="s">
        <v>6674</v>
      </c>
      <c r="B2348" s="67">
        <v>8306544889</v>
      </c>
      <c r="C2348" s="72"/>
      <c r="D2348" s="69"/>
      <c r="E2348" s="9">
        <v>262</v>
      </c>
      <c r="F2348" s="25">
        <v>43160</v>
      </c>
      <c r="G2348" s="70" t="s">
        <v>3356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6675</v>
      </c>
      <c r="B2349" s="67">
        <v>23450608835</v>
      </c>
      <c r="C2349" s="72"/>
      <c r="D2349" s="69"/>
      <c r="E2349" s="9">
        <v>229</v>
      </c>
      <c r="F2349" s="25">
        <v>43151</v>
      </c>
      <c r="G2349" s="70" t="s">
        <v>3356</v>
      </c>
      <c r="H2349" s="9"/>
      <c r="I2349" s="8"/>
      <c r="J2349" s="8"/>
      <c r="K2349" s="8"/>
      <c r="L2349" s="9">
        <v>232</v>
      </c>
      <c r="M2349" s="8"/>
    </row>
    <row r="2350" spans="1:13">
      <c r="A2350" s="71" t="s">
        <v>6676</v>
      </c>
      <c r="B2350" s="67">
        <v>28282406813</v>
      </c>
      <c r="C2350" s="72"/>
      <c r="D2350" s="69"/>
      <c r="E2350" s="9">
        <v>1470</v>
      </c>
      <c r="F2350" s="25">
        <v>43031</v>
      </c>
      <c r="G2350" s="70" t="s">
        <v>3356</v>
      </c>
      <c r="H2350" s="9"/>
      <c r="I2350" s="8"/>
      <c r="J2350" s="8"/>
      <c r="K2350" s="8"/>
      <c r="L2350" s="8"/>
      <c r="M2350" s="8"/>
    </row>
    <row r="2351" spans="1:13">
      <c r="A2351" s="14" t="s">
        <v>6677</v>
      </c>
      <c r="B2351" s="67">
        <v>25324930890</v>
      </c>
      <c r="C2351" s="72"/>
      <c r="D2351" s="69"/>
      <c r="E2351" s="9">
        <v>292</v>
      </c>
      <c r="F2351" s="25">
        <v>43168</v>
      </c>
      <c r="G2351" s="70" t="s">
        <v>3356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6678</v>
      </c>
      <c r="B2352" s="67">
        <v>5141089835</v>
      </c>
      <c r="C2352" s="18"/>
      <c r="D2352" s="69"/>
      <c r="E2352" s="9"/>
      <c r="F2352" s="25"/>
      <c r="G2352" s="70"/>
      <c r="H2352" s="9"/>
      <c r="I2352" s="8"/>
      <c r="J2352" s="8"/>
      <c r="K2352" s="8"/>
      <c r="L2352" s="8"/>
      <c r="M2352" s="8"/>
    </row>
    <row r="2353" spans="1:13">
      <c r="A2353" s="71" t="s">
        <v>6679</v>
      </c>
      <c r="B2353" s="67">
        <v>2267811863</v>
      </c>
      <c r="C2353" s="68" t="s">
        <v>6680</v>
      </c>
      <c r="D2353" s="69"/>
      <c r="E2353" s="9"/>
      <c r="F2353" s="25"/>
      <c r="G2353" s="70"/>
      <c r="H2353" s="9"/>
      <c r="I2353" s="8"/>
      <c r="J2353" s="8"/>
      <c r="K2353" s="8"/>
      <c r="L2353" s="8"/>
      <c r="M2353" s="8"/>
    </row>
    <row r="2354" spans="1:13">
      <c r="A2354" s="14" t="s">
        <v>6681</v>
      </c>
      <c r="B2354" s="67">
        <v>4640546726</v>
      </c>
      <c r="C2354" s="72" t="s">
        <v>6682</v>
      </c>
      <c r="D2354" s="69">
        <v>72849215791</v>
      </c>
      <c r="E2354" s="9">
        <v>262</v>
      </c>
      <c r="F2354" s="25">
        <v>43160</v>
      </c>
      <c r="G2354" s="70" t="s">
        <v>3356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9" t="s">
        <v>6683</v>
      </c>
      <c r="B2355" s="67">
        <v>11862093806</v>
      </c>
      <c r="C2355" s="18" t="s">
        <v>3466</v>
      </c>
      <c r="D2355" s="69"/>
      <c r="E2355" s="9"/>
      <c r="F2355" s="25"/>
      <c r="G2355" s="70"/>
      <c r="H2355" s="9"/>
      <c r="I2355" s="8"/>
      <c r="J2355" s="8"/>
      <c r="K2355" s="8"/>
      <c r="L2355" s="8"/>
      <c r="M2355" s="8"/>
    </row>
    <row r="2356" spans="1:13">
      <c r="A2356" s="71" t="s">
        <v>6684</v>
      </c>
      <c r="B2356" s="67">
        <v>16945365808</v>
      </c>
      <c r="C2356" s="72"/>
      <c r="D2356" s="69"/>
      <c r="E2356" s="9">
        <v>292</v>
      </c>
      <c r="F2356" s="25">
        <v>43168</v>
      </c>
      <c r="G2356" s="70" t="s">
        <v>3356</v>
      </c>
      <c r="H2356" s="9"/>
      <c r="I2356" s="8"/>
      <c r="J2356" s="8"/>
      <c r="K2356" s="8"/>
      <c r="L2356" s="9">
        <v>318</v>
      </c>
      <c r="M2356" s="8"/>
    </row>
    <row r="2357" spans="1:13">
      <c r="A2357" s="71" t="s">
        <v>6685</v>
      </c>
      <c r="B2357" s="67">
        <v>14330845890</v>
      </c>
      <c r="C2357" s="72"/>
      <c r="D2357" s="69"/>
      <c r="E2357" s="9">
        <v>262</v>
      </c>
      <c r="F2357" s="25">
        <v>43160</v>
      </c>
      <c r="G2357" s="70" t="s">
        <v>3356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71" t="s">
        <v>6686</v>
      </c>
      <c r="B2358" s="67">
        <v>12983214842</v>
      </c>
      <c r="C2358" s="72" t="s">
        <v>6687</v>
      </c>
      <c r="D2358" s="69">
        <v>33776403802</v>
      </c>
      <c r="E2358" s="9">
        <v>85</v>
      </c>
      <c r="F2358" s="25">
        <v>43109</v>
      </c>
      <c r="G2358" s="70" t="s">
        <v>3356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6688</v>
      </c>
      <c r="B2359" s="67">
        <v>3343521507</v>
      </c>
      <c r="C2359" s="15" t="s">
        <v>6689</v>
      </c>
      <c r="D2359" s="69">
        <v>42021841812</v>
      </c>
      <c r="E2359" s="9"/>
      <c r="F2359" s="25"/>
      <c r="G2359" s="70"/>
      <c r="H2359" s="9"/>
      <c r="I2359" s="8"/>
      <c r="J2359" s="8"/>
      <c r="K2359" s="8"/>
      <c r="L2359" s="8"/>
      <c r="M2359" s="8"/>
    </row>
    <row r="2360" spans="1:13">
      <c r="A2360" s="73" t="s">
        <v>6690</v>
      </c>
      <c r="B2360" s="67">
        <v>41812689500</v>
      </c>
      <c r="C2360" s="72" t="s">
        <v>6691</v>
      </c>
      <c r="D2360" s="69">
        <v>14037047837</v>
      </c>
      <c r="E2360" s="9">
        <v>1106</v>
      </c>
      <c r="F2360" s="25">
        <v>42965</v>
      </c>
      <c r="G2360" s="70" t="s">
        <v>3356</v>
      </c>
      <c r="H2360" s="9"/>
      <c r="I2360" s="8"/>
      <c r="J2360" s="8"/>
      <c r="K2360" s="8"/>
      <c r="L2360" s="8"/>
      <c r="M2360" s="8"/>
    </row>
    <row r="2361" spans="1:13">
      <c r="A2361" s="71" t="s">
        <v>6692</v>
      </c>
      <c r="B2361" s="67">
        <v>33954116804</v>
      </c>
      <c r="C2361" s="72"/>
      <c r="D2361" s="69"/>
      <c r="E2361" s="9">
        <v>527</v>
      </c>
      <c r="F2361" s="25">
        <v>43210</v>
      </c>
      <c r="G2361" s="70"/>
      <c r="H2361" s="9"/>
      <c r="I2361" s="8"/>
      <c r="J2361" s="8"/>
      <c r="K2361" s="8"/>
      <c r="L2361" s="9">
        <v>528</v>
      </c>
      <c r="M2361" s="8"/>
    </row>
    <row r="2362" spans="1:13">
      <c r="A2362" s="71" t="s">
        <v>6693</v>
      </c>
      <c r="B2362" s="67">
        <v>17529253867</v>
      </c>
      <c r="C2362" s="72"/>
      <c r="D2362" s="69"/>
      <c r="E2362" s="9">
        <v>810</v>
      </c>
      <c r="F2362" s="25">
        <v>42915</v>
      </c>
      <c r="G2362" s="70" t="s">
        <v>3356</v>
      </c>
      <c r="H2362" s="9"/>
      <c r="I2362" s="8"/>
      <c r="J2362" s="8"/>
      <c r="K2362" s="8"/>
      <c r="L2362" s="9" t="s">
        <v>3475</v>
      </c>
      <c r="M2362" s="8"/>
    </row>
    <row r="2363" spans="1:13">
      <c r="A2363" s="71" t="s">
        <v>6694</v>
      </c>
      <c r="B2363" s="67">
        <v>80505597691</v>
      </c>
      <c r="C2363" s="72"/>
      <c r="D2363" s="69"/>
      <c r="E2363" s="9"/>
      <c r="F2363" s="25"/>
      <c r="G2363" s="70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6695</v>
      </c>
      <c r="B2364" s="67">
        <v>45479391879</v>
      </c>
      <c r="C2364" s="30" t="s">
        <v>6696</v>
      </c>
      <c r="D2364" s="67">
        <v>35624185820</v>
      </c>
      <c r="E2364" s="9">
        <v>1350</v>
      </c>
      <c r="F2364" s="25">
        <v>43006</v>
      </c>
      <c r="G2364" s="70" t="s">
        <v>3356</v>
      </c>
      <c r="H2364" s="9"/>
      <c r="I2364" s="8"/>
      <c r="J2364" s="8"/>
      <c r="K2364" s="8"/>
      <c r="L2364" s="8"/>
      <c r="M2364" s="8"/>
    </row>
    <row r="2365" spans="1:13" ht="15" customHeight="1">
      <c r="A2365" s="75" t="s">
        <v>6697</v>
      </c>
      <c r="B2365" s="67">
        <v>30625026810</v>
      </c>
      <c r="C2365" s="72"/>
      <c r="D2365" s="69"/>
      <c r="E2365" s="9">
        <v>1439</v>
      </c>
      <c r="F2365" s="25">
        <v>43025</v>
      </c>
      <c r="G2365" s="70" t="s">
        <v>3370</v>
      </c>
      <c r="H2365" s="9"/>
      <c r="I2365" s="8"/>
      <c r="J2365" s="8"/>
      <c r="K2365" s="8"/>
      <c r="L2365" s="9" t="s">
        <v>3838</v>
      </c>
      <c r="M2365" s="8"/>
    </row>
    <row r="2366" spans="1:13">
      <c r="A2366" s="15" t="s">
        <v>6698</v>
      </c>
      <c r="B2366" s="67">
        <v>33701405867</v>
      </c>
      <c r="C2366" s="72"/>
      <c r="D2366" s="69"/>
      <c r="E2366" s="9">
        <v>85</v>
      </c>
      <c r="F2366" s="25">
        <v>43109</v>
      </c>
      <c r="G2366" s="70" t="s">
        <v>3356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6699</v>
      </c>
      <c r="B2367" s="67">
        <v>32275575847</v>
      </c>
      <c r="C2367" s="18"/>
      <c r="D2367" s="69"/>
      <c r="E2367" s="9"/>
      <c r="F2367" s="25"/>
      <c r="G2367" s="70"/>
      <c r="H2367" s="9"/>
      <c r="I2367" s="8"/>
      <c r="J2367" s="8"/>
      <c r="K2367" s="8"/>
      <c r="L2367" s="8"/>
      <c r="M2367" s="8"/>
    </row>
    <row r="2368" spans="1:13">
      <c r="A2368" s="15" t="s">
        <v>6700</v>
      </c>
      <c r="B2368" s="67">
        <v>25737671836</v>
      </c>
      <c r="C2368" s="72"/>
      <c r="D2368" s="69"/>
      <c r="E2368" s="9">
        <v>573</v>
      </c>
      <c r="F2368" s="25">
        <v>43224</v>
      </c>
      <c r="G2368" s="70"/>
      <c r="H2368" s="9"/>
      <c r="I2368" s="8"/>
      <c r="J2368" s="8"/>
      <c r="K2368" s="8"/>
      <c r="L2368" s="8"/>
      <c r="M2368" s="8"/>
    </row>
    <row r="2369" spans="1:13">
      <c r="A2369" s="71" t="s">
        <v>6701</v>
      </c>
      <c r="B2369" s="67">
        <v>36159577840</v>
      </c>
      <c r="C2369" s="72" t="s">
        <v>6702</v>
      </c>
      <c r="D2369" s="69">
        <v>19181887850</v>
      </c>
      <c r="E2369" s="9"/>
      <c r="F2369" s="25"/>
      <c r="G2369" s="70"/>
      <c r="H2369" s="9"/>
      <c r="I2369" s="8"/>
      <c r="J2369" s="8"/>
      <c r="K2369" s="8"/>
      <c r="L2369" s="8"/>
      <c r="M2369" s="8"/>
    </row>
    <row r="2370" spans="1:13">
      <c r="A2370" s="72" t="s">
        <v>6703</v>
      </c>
      <c r="B2370" s="67">
        <v>39308828842</v>
      </c>
      <c r="C2370" s="72" t="s">
        <v>6704</v>
      </c>
      <c r="D2370" s="69">
        <v>32505241821</v>
      </c>
      <c r="E2370" s="9"/>
      <c r="F2370" s="25"/>
      <c r="G2370" s="70"/>
      <c r="H2370" s="9"/>
      <c r="I2370" s="8"/>
      <c r="J2370" s="8"/>
      <c r="K2370" s="8"/>
      <c r="L2370" s="8"/>
      <c r="M2370" s="8"/>
    </row>
    <row r="2371" spans="1:13">
      <c r="A2371" s="29" t="s">
        <v>6705</v>
      </c>
      <c r="B2371" s="67">
        <v>6619801897</v>
      </c>
      <c r="C2371" s="29" t="s">
        <v>6706</v>
      </c>
      <c r="D2371" s="69">
        <v>6619802869</v>
      </c>
      <c r="E2371" s="9"/>
      <c r="F2371" s="25"/>
      <c r="G2371" s="70"/>
      <c r="H2371" s="9"/>
      <c r="I2371" s="8"/>
      <c r="J2371" s="8"/>
      <c r="K2371" s="8"/>
      <c r="L2371" s="8"/>
      <c r="M2371" s="8"/>
    </row>
    <row r="2372" spans="1:13">
      <c r="A2372" s="71" t="s">
        <v>6707</v>
      </c>
      <c r="B2372" s="67">
        <v>25610478812</v>
      </c>
      <c r="C2372" s="72"/>
      <c r="D2372" s="69"/>
      <c r="E2372" s="9"/>
      <c r="F2372" s="25"/>
      <c r="G2372" s="70"/>
      <c r="H2372" s="9"/>
      <c r="I2372" s="8"/>
      <c r="J2372" s="8"/>
      <c r="K2372" s="8"/>
      <c r="L2372" s="8"/>
      <c r="M2372" s="8"/>
    </row>
    <row r="2373" spans="1:13">
      <c r="A2373" s="71" t="s">
        <v>6708</v>
      </c>
      <c r="B2373" s="67">
        <v>14268250808</v>
      </c>
      <c r="C2373" s="72"/>
      <c r="D2373" s="69"/>
      <c r="E2373" s="9">
        <v>292</v>
      </c>
      <c r="F2373" s="25">
        <v>43168</v>
      </c>
      <c r="G2373" s="9" t="s">
        <v>3356</v>
      </c>
      <c r="H2373" s="9"/>
      <c r="I2373" s="8"/>
      <c r="J2373" s="8"/>
      <c r="K2373" s="8"/>
      <c r="L2373" s="9">
        <v>318</v>
      </c>
      <c r="M2373" s="8"/>
    </row>
    <row r="2374" spans="1:13">
      <c r="A2374" s="71" t="s">
        <v>6709</v>
      </c>
      <c r="B2374" s="67">
        <v>36138056850</v>
      </c>
      <c r="C2374" s="72" t="s">
        <v>6710</v>
      </c>
      <c r="D2374" s="69">
        <v>56721897504</v>
      </c>
      <c r="E2374" s="9">
        <v>262</v>
      </c>
      <c r="F2374" s="25">
        <v>43160</v>
      </c>
      <c r="G2374" s="70" t="s">
        <v>3356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71" t="s">
        <v>6711</v>
      </c>
      <c r="B2375" s="67">
        <v>22365509878</v>
      </c>
      <c r="C2375" s="72" t="s">
        <v>6712</v>
      </c>
      <c r="D2375" s="69">
        <v>9353681839</v>
      </c>
      <c r="E2375" s="9">
        <v>810</v>
      </c>
      <c r="F2375" s="25">
        <v>42915</v>
      </c>
      <c r="G2375" s="70" t="s">
        <v>3356</v>
      </c>
      <c r="H2375" s="9"/>
      <c r="I2375" s="8"/>
      <c r="J2375" s="8"/>
      <c r="K2375" s="8"/>
      <c r="L2375" s="9" t="s">
        <v>3475</v>
      </c>
      <c r="M2375" s="8"/>
    </row>
    <row r="2376" spans="1:13">
      <c r="A2376" s="72" t="s">
        <v>6713</v>
      </c>
      <c r="B2376" s="67">
        <v>18474192838</v>
      </c>
      <c r="C2376" s="72"/>
      <c r="D2376" s="69"/>
      <c r="E2376" s="9"/>
      <c r="F2376" s="25"/>
      <c r="G2376" s="70"/>
      <c r="H2376" s="9"/>
      <c r="I2376" s="8"/>
      <c r="J2376" s="8"/>
      <c r="K2376" s="8"/>
      <c r="L2376" s="8"/>
      <c r="M2376" s="8"/>
    </row>
    <row r="2377" spans="1:13">
      <c r="A2377" s="71" t="s">
        <v>6714</v>
      </c>
      <c r="B2377" s="67">
        <v>14781464866</v>
      </c>
      <c r="C2377" s="72"/>
      <c r="D2377" s="69"/>
      <c r="E2377" s="9">
        <v>1824</v>
      </c>
      <c r="F2377" s="25">
        <v>43091</v>
      </c>
      <c r="G2377" s="70" t="s">
        <v>3356</v>
      </c>
      <c r="H2377" s="9"/>
      <c r="I2377" s="8"/>
      <c r="J2377" s="8"/>
      <c r="K2377" s="8"/>
      <c r="L2377" s="9">
        <v>1828</v>
      </c>
      <c r="M2377" s="8"/>
    </row>
    <row r="2378" spans="1:13">
      <c r="A2378" s="73" t="s">
        <v>6715</v>
      </c>
      <c r="B2378" s="67">
        <v>38632080644</v>
      </c>
      <c r="C2378" s="72"/>
      <c r="D2378" s="69"/>
      <c r="E2378" s="9"/>
      <c r="F2378" s="25"/>
      <c r="G2378" s="70"/>
      <c r="H2378" s="9"/>
      <c r="I2378" s="8"/>
      <c r="J2378" s="8"/>
      <c r="K2378" s="8"/>
      <c r="L2378" s="8"/>
      <c r="M2378" s="8"/>
    </row>
    <row r="2379" spans="1:13">
      <c r="A2379" s="71" t="s">
        <v>6716</v>
      </c>
      <c r="B2379" s="67">
        <v>43093185840</v>
      </c>
      <c r="C2379" s="72"/>
      <c r="D2379" s="69"/>
      <c r="E2379" s="9">
        <v>1555</v>
      </c>
      <c r="F2379" s="25">
        <v>43049</v>
      </c>
      <c r="G2379" s="70" t="s">
        <v>3356</v>
      </c>
      <c r="H2379" s="9"/>
      <c r="I2379" s="8"/>
      <c r="J2379" s="8"/>
      <c r="K2379" s="8"/>
      <c r="L2379" s="9" t="s">
        <v>3735</v>
      </c>
      <c r="M2379" s="8"/>
    </row>
    <row r="2380" spans="1:13">
      <c r="A2380" s="71" t="s">
        <v>6717</v>
      </c>
      <c r="B2380" s="67">
        <v>36134228591</v>
      </c>
      <c r="C2380" s="72"/>
      <c r="D2380" s="69"/>
      <c r="E2380" s="9">
        <v>117</v>
      </c>
      <c r="F2380" s="25">
        <v>43117</v>
      </c>
      <c r="G2380" s="70" t="s">
        <v>3356</v>
      </c>
      <c r="H2380" s="9"/>
      <c r="I2380" s="8"/>
      <c r="J2380" s="8"/>
      <c r="K2380" s="8"/>
      <c r="L2380" s="9" t="s">
        <v>3507</v>
      </c>
      <c r="M2380" s="8"/>
    </row>
    <row r="2381" spans="1:13">
      <c r="A2381" s="71" t="s">
        <v>6718</v>
      </c>
      <c r="B2381" s="67">
        <v>40878398856</v>
      </c>
      <c r="C2381" s="72" t="s">
        <v>6719</v>
      </c>
      <c r="D2381" s="69">
        <v>73226718568</v>
      </c>
      <c r="E2381" s="9">
        <v>262</v>
      </c>
      <c r="F2381" s="25">
        <v>43160</v>
      </c>
      <c r="G2381" s="70" t="s">
        <v>3356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71" t="s">
        <v>6720</v>
      </c>
      <c r="B2382" s="67">
        <v>24809944816</v>
      </c>
      <c r="C2382" s="72"/>
      <c r="D2382" s="69"/>
      <c r="E2382" s="9">
        <v>1106</v>
      </c>
      <c r="F2382" s="25">
        <v>42965</v>
      </c>
      <c r="G2382" s="70" t="s">
        <v>3356</v>
      </c>
      <c r="H2382" s="9"/>
      <c r="I2382" s="8"/>
      <c r="J2382" s="8"/>
      <c r="K2382" s="8"/>
      <c r="L2382" s="8"/>
      <c r="M2382" s="8"/>
    </row>
    <row r="2383" spans="1:13">
      <c r="A2383" s="13" t="s">
        <v>6721</v>
      </c>
      <c r="B2383" s="67">
        <v>13413350544</v>
      </c>
      <c r="C2383" s="68"/>
      <c r="D2383" s="69"/>
      <c r="E2383" s="9">
        <v>1752</v>
      </c>
      <c r="F2383" s="25">
        <v>43051</v>
      </c>
      <c r="G2383" s="70" t="s">
        <v>3356</v>
      </c>
      <c r="H2383" s="9"/>
      <c r="I2383" s="8"/>
      <c r="J2383" s="8"/>
      <c r="K2383" s="8"/>
      <c r="L2383" s="9">
        <v>1759</v>
      </c>
      <c r="M2383" s="8"/>
    </row>
    <row r="2384" spans="1:13">
      <c r="A2384" s="30" t="s">
        <v>6722</v>
      </c>
      <c r="B2384" s="67">
        <v>36898198300</v>
      </c>
      <c r="C2384" s="72"/>
      <c r="D2384" s="69"/>
      <c r="E2384" s="9">
        <v>1470</v>
      </c>
      <c r="F2384" s="25">
        <v>43031</v>
      </c>
      <c r="G2384" s="70" t="s">
        <v>3356</v>
      </c>
      <c r="H2384" s="9"/>
      <c r="I2384" s="8"/>
      <c r="J2384" s="8"/>
      <c r="K2384" s="8"/>
      <c r="L2384" s="8"/>
      <c r="M2384" s="8"/>
    </row>
    <row r="2385" spans="1:13">
      <c r="A2385" s="71" t="s">
        <v>6723</v>
      </c>
      <c r="B2385" s="67">
        <v>33475393387</v>
      </c>
      <c r="C2385" s="72" t="s">
        <v>6724</v>
      </c>
      <c r="D2385" s="69">
        <v>21580260306</v>
      </c>
      <c r="E2385" s="9">
        <v>292</v>
      </c>
      <c r="F2385" s="25">
        <v>43168</v>
      </c>
      <c r="G2385" s="70" t="s">
        <v>3356</v>
      </c>
      <c r="H2385" s="9"/>
      <c r="I2385" s="8"/>
      <c r="J2385" s="8"/>
      <c r="K2385" s="8"/>
      <c r="L2385" s="9">
        <v>318</v>
      </c>
      <c r="M2385" s="8"/>
    </row>
    <row r="2386" spans="1:13">
      <c r="A2386" s="71" t="s">
        <v>6725</v>
      </c>
      <c r="B2386" s="67">
        <v>15328055861</v>
      </c>
      <c r="C2386" s="72"/>
      <c r="D2386" s="69"/>
      <c r="E2386" s="9">
        <v>443</v>
      </c>
      <c r="F2386" s="25">
        <v>43188</v>
      </c>
      <c r="G2386" s="70"/>
      <c r="H2386" s="9"/>
      <c r="I2386" s="8"/>
      <c r="J2386" s="8"/>
      <c r="K2386" s="8"/>
      <c r="L2386" s="8"/>
      <c r="M2386" s="8"/>
    </row>
    <row r="2387" spans="1:13">
      <c r="A2387" s="29" t="s">
        <v>6726</v>
      </c>
      <c r="B2387" s="67">
        <v>15114386816</v>
      </c>
      <c r="C2387" s="29" t="s">
        <v>6727</v>
      </c>
      <c r="D2387" s="69">
        <v>83833552891</v>
      </c>
      <c r="E2387" s="9"/>
      <c r="F2387" s="25"/>
      <c r="G2387" s="70"/>
      <c r="H2387" s="9"/>
      <c r="I2387" s="8"/>
      <c r="J2387" s="8"/>
      <c r="K2387" s="8"/>
      <c r="L2387" s="8"/>
      <c r="M2387" s="8"/>
    </row>
    <row r="2388" spans="1:13">
      <c r="A2388" s="71" t="s">
        <v>6728</v>
      </c>
      <c r="B2388" s="67">
        <v>21655657828</v>
      </c>
      <c r="C2388" s="72"/>
      <c r="D2388" s="69"/>
      <c r="E2388" s="9">
        <v>262</v>
      </c>
      <c r="F2388" s="25">
        <v>43160</v>
      </c>
      <c r="G2388" s="9" t="s">
        <v>3356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71" t="s">
        <v>6729</v>
      </c>
      <c r="B2389" s="67">
        <v>16909682300</v>
      </c>
      <c r="C2389" s="72"/>
      <c r="D2389" s="69"/>
      <c r="E2389" s="9">
        <v>1214</v>
      </c>
      <c r="F2389" s="25">
        <v>42989</v>
      </c>
      <c r="G2389" s="70" t="s">
        <v>3356</v>
      </c>
      <c r="H2389" s="9"/>
      <c r="I2389" s="8"/>
      <c r="J2389" s="8"/>
      <c r="K2389" s="8"/>
      <c r="L2389" s="8"/>
      <c r="M2389" s="8"/>
    </row>
    <row r="2390" spans="1:13">
      <c r="A2390" s="71" t="s">
        <v>6730</v>
      </c>
      <c r="B2390" s="67">
        <v>21421319802</v>
      </c>
      <c r="C2390" s="72"/>
      <c r="D2390" s="69"/>
      <c r="E2390" s="9"/>
      <c r="F2390" s="25"/>
      <c r="G2390" s="70"/>
      <c r="H2390" s="9"/>
      <c r="I2390" s="8"/>
      <c r="J2390" s="8"/>
      <c r="K2390" s="8"/>
      <c r="L2390" s="8"/>
      <c r="M2390" s="8"/>
    </row>
    <row r="2391" spans="1:13">
      <c r="A2391" s="71" t="s">
        <v>6731</v>
      </c>
      <c r="B2391" s="67">
        <v>23154358897</v>
      </c>
      <c r="C2391" s="72"/>
      <c r="D2391" s="69"/>
      <c r="E2391" s="9"/>
      <c r="F2391" s="25"/>
      <c r="G2391" s="70"/>
      <c r="H2391" s="9"/>
      <c r="I2391" s="8"/>
      <c r="J2391" s="8"/>
      <c r="K2391" s="8"/>
      <c r="L2391" s="8"/>
      <c r="M2391" s="8"/>
    </row>
    <row r="2392" spans="1:13">
      <c r="A2392" s="71" t="s">
        <v>6732</v>
      </c>
      <c r="B2392" s="67">
        <v>39556370854</v>
      </c>
      <c r="C2392" s="72"/>
      <c r="D2392" s="69"/>
      <c r="E2392" s="9"/>
      <c r="F2392" s="25"/>
      <c r="G2392" s="70"/>
      <c r="H2392" s="9"/>
      <c r="I2392" s="8"/>
      <c r="J2392" s="8"/>
      <c r="K2392" s="8"/>
      <c r="L2392" s="8"/>
      <c r="M2392" s="8"/>
    </row>
    <row r="2393" spans="1:13">
      <c r="A2393" s="15" t="s">
        <v>6733</v>
      </c>
      <c r="B2393" s="67">
        <v>38754982839</v>
      </c>
      <c r="C2393" s="72" t="s">
        <v>6734</v>
      </c>
      <c r="D2393" s="69">
        <v>34941494881</v>
      </c>
      <c r="E2393" s="9">
        <v>85</v>
      </c>
      <c r="F2393" s="25">
        <v>43109</v>
      </c>
      <c r="G2393" s="70" t="s">
        <v>3370</v>
      </c>
      <c r="H2393" s="25">
        <v>43151</v>
      </c>
      <c r="I2393" s="8"/>
      <c r="J2393" s="8"/>
      <c r="K2393" s="8"/>
      <c r="L2393" s="8"/>
      <c r="M2393" s="8"/>
    </row>
    <row r="2394" spans="1:13">
      <c r="A2394" s="71" t="s">
        <v>6735</v>
      </c>
      <c r="B2394" s="67">
        <v>33401168819</v>
      </c>
      <c r="C2394" s="72" t="s">
        <v>6736</v>
      </c>
      <c r="D2394" s="69">
        <v>29647170874</v>
      </c>
      <c r="E2394" s="9"/>
      <c r="F2394" s="25"/>
      <c r="G2394" s="70"/>
      <c r="H2394" s="9"/>
      <c r="I2394" s="8"/>
      <c r="J2394" s="8"/>
      <c r="K2394" s="8"/>
      <c r="L2394" s="8"/>
      <c r="M2394" s="8"/>
    </row>
    <row r="2395" spans="1:13">
      <c r="A2395" s="71" t="s">
        <v>6737</v>
      </c>
      <c r="B2395" s="67">
        <v>42116294843</v>
      </c>
      <c r="C2395" s="72" t="s">
        <v>6738</v>
      </c>
      <c r="D2395" s="69">
        <v>42151043860</v>
      </c>
      <c r="E2395" s="9"/>
      <c r="F2395" s="25"/>
      <c r="G2395" s="70"/>
      <c r="H2395" s="9"/>
      <c r="I2395" s="8"/>
      <c r="J2395" s="8"/>
      <c r="K2395" s="8"/>
      <c r="L2395" s="8"/>
      <c r="M2395" s="8"/>
    </row>
    <row r="2396" spans="1:13">
      <c r="A2396" s="14" t="s">
        <v>6739</v>
      </c>
      <c r="B2396" s="67">
        <v>12648968679</v>
      </c>
      <c r="C2396" s="72" t="s">
        <v>6740</v>
      </c>
      <c r="D2396" s="69">
        <v>2274453683</v>
      </c>
      <c r="E2396" s="9"/>
      <c r="F2396" s="25"/>
      <c r="G2396" s="70"/>
      <c r="H2396" s="9"/>
      <c r="I2396" s="8"/>
      <c r="J2396" s="8"/>
      <c r="K2396" s="8"/>
      <c r="L2396" s="8"/>
      <c r="M2396" s="8"/>
    </row>
    <row r="2397" spans="1:13">
      <c r="A2397" s="73" t="s">
        <v>6741</v>
      </c>
      <c r="B2397" s="67">
        <v>34361698899</v>
      </c>
      <c r="C2397" s="72" t="s">
        <v>6742</v>
      </c>
      <c r="D2397" s="69">
        <v>21266025839</v>
      </c>
      <c r="E2397" s="9">
        <v>1489</v>
      </c>
      <c r="F2397" s="25">
        <v>43038</v>
      </c>
      <c r="G2397" s="70" t="s">
        <v>3356</v>
      </c>
      <c r="H2397" s="9"/>
      <c r="I2397" s="8"/>
      <c r="J2397" s="8"/>
      <c r="K2397" s="8"/>
      <c r="L2397" s="9" t="s">
        <v>3497</v>
      </c>
      <c r="M2397" s="8"/>
    </row>
    <row r="2398" spans="1:13">
      <c r="A2398" s="71" t="s">
        <v>6743</v>
      </c>
      <c r="B2398" s="67">
        <v>12835905812</v>
      </c>
      <c r="C2398" s="72" t="s">
        <v>6744</v>
      </c>
      <c r="D2398" s="69">
        <v>26821342890</v>
      </c>
      <c r="E2398" s="9">
        <v>262</v>
      </c>
      <c r="F2398" s="25">
        <v>43160</v>
      </c>
      <c r="G2398" s="70" t="s">
        <v>3362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71" t="s">
        <v>6745</v>
      </c>
      <c r="B2399" s="67">
        <v>30207968810</v>
      </c>
      <c r="C2399" s="72"/>
      <c r="D2399" s="69"/>
      <c r="E2399" s="9">
        <v>262</v>
      </c>
      <c r="F2399" s="25">
        <v>43160</v>
      </c>
      <c r="G2399" s="70" t="s">
        <v>3356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71" t="s">
        <v>6746</v>
      </c>
      <c r="B2400" s="67">
        <v>22713517826</v>
      </c>
      <c r="C2400" s="72" t="s">
        <v>6747</v>
      </c>
      <c r="D2400" s="69">
        <v>30508085861</v>
      </c>
      <c r="E2400" s="9"/>
      <c r="F2400" s="25"/>
      <c r="G2400" s="70"/>
      <c r="H2400" s="9"/>
      <c r="I2400" s="8"/>
      <c r="J2400" s="8"/>
      <c r="K2400" s="8"/>
      <c r="L2400" s="8"/>
      <c r="M2400" s="8"/>
    </row>
    <row r="2401" spans="1:13">
      <c r="A2401" s="71" t="s">
        <v>6748</v>
      </c>
      <c r="B2401" s="67">
        <v>28467390808</v>
      </c>
      <c r="C2401" s="72" t="s">
        <v>6749</v>
      </c>
      <c r="D2401" s="69">
        <v>90847547</v>
      </c>
      <c r="E2401" s="9">
        <v>810</v>
      </c>
      <c r="F2401" s="25">
        <v>42915</v>
      </c>
      <c r="G2401" s="70" t="s">
        <v>3356</v>
      </c>
      <c r="H2401" s="9"/>
      <c r="I2401" s="8"/>
      <c r="J2401" s="8"/>
      <c r="K2401" s="8"/>
      <c r="L2401" s="9" t="s">
        <v>3475</v>
      </c>
      <c r="M2401" s="8"/>
    </row>
    <row r="2402" spans="1:13">
      <c r="A2402" s="71" t="s">
        <v>6750</v>
      </c>
      <c r="B2402" s="67">
        <v>29872130850</v>
      </c>
      <c r="C2402" s="72"/>
      <c r="D2402" s="69"/>
      <c r="E2402" s="9">
        <v>1106</v>
      </c>
      <c r="F2402" s="25">
        <v>42965</v>
      </c>
      <c r="G2402" s="70" t="s">
        <v>3356</v>
      </c>
      <c r="H2402" s="9"/>
      <c r="I2402" s="8"/>
      <c r="J2402" s="8"/>
      <c r="K2402" s="8"/>
      <c r="L2402" s="8"/>
      <c r="M2402" s="8"/>
    </row>
    <row r="2403" spans="1:13">
      <c r="A2403" s="73" t="s">
        <v>6751</v>
      </c>
      <c r="B2403" s="67">
        <v>32033541878</v>
      </c>
      <c r="C2403" s="72" t="s">
        <v>6752</v>
      </c>
      <c r="D2403" s="69">
        <v>19674006877</v>
      </c>
      <c r="E2403" s="9">
        <v>1752</v>
      </c>
      <c r="F2403" s="25">
        <v>43051</v>
      </c>
      <c r="G2403" s="70" t="s">
        <v>3356</v>
      </c>
      <c r="H2403" s="9"/>
      <c r="I2403" s="8"/>
      <c r="J2403" s="8"/>
      <c r="K2403" s="8"/>
      <c r="L2403" s="9">
        <v>1759</v>
      </c>
      <c r="M2403" s="8"/>
    </row>
    <row r="2404" spans="1:13">
      <c r="A2404" s="29" t="s">
        <v>6753</v>
      </c>
      <c r="B2404" s="67">
        <v>23241720896</v>
      </c>
      <c r="C2404" s="18" t="s">
        <v>6754</v>
      </c>
      <c r="D2404" s="69">
        <v>668743514</v>
      </c>
      <c r="E2404" s="9"/>
      <c r="F2404" s="25"/>
      <c r="G2404" s="70"/>
      <c r="H2404" s="9"/>
      <c r="I2404" s="8"/>
      <c r="J2404" s="8"/>
      <c r="K2404" s="8"/>
      <c r="L2404" s="8"/>
      <c r="M2404" s="8"/>
    </row>
    <row r="2405" spans="1:13">
      <c r="A2405" s="71" t="s">
        <v>6755</v>
      </c>
      <c r="B2405" s="67">
        <v>20538853867</v>
      </c>
      <c r="C2405" s="72"/>
      <c r="D2405" s="69"/>
      <c r="E2405" s="9">
        <v>443</v>
      </c>
      <c r="F2405" s="25">
        <v>43188</v>
      </c>
      <c r="G2405" s="70"/>
      <c r="H2405" s="9"/>
      <c r="I2405" s="8"/>
      <c r="J2405" s="8"/>
      <c r="K2405" s="8"/>
      <c r="L2405" s="8"/>
      <c r="M2405" s="8"/>
    </row>
    <row r="2406" spans="1:13">
      <c r="A2406" s="71" t="s">
        <v>6756</v>
      </c>
      <c r="B2406" s="67">
        <v>40257213848</v>
      </c>
      <c r="C2406" s="72"/>
      <c r="D2406" s="69"/>
      <c r="E2406" s="9">
        <v>262</v>
      </c>
      <c r="F2406" s="25">
        <v>43160</v>
      </c>
      <c r="G2406" s="70" t="s">
        <v>3356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73" t="s">
        <v>6757</v>
      </c>
      <c r="B2407" s="67">
        <v>1889333360</v>
      </c>
      <c r="C2407" s="72" t="s">
        <v>6758</v>
      </c>
      <c r="D2407" s="69">
        <v>580003302</v>
      </c>
      <c r="E2407" s="9">
        <v>1241</v>
      </c>
      <c r="F2407" s="25">
        <v>42992</v>
      </c>
      <c r="G2407" s="70" t="s">
        <v>3356</v>
      </c>
      <c r="H2407" s="9"/>
      <c r="I2407" s="8"/>
      <c r="J2407" s="8"/>
      <c r="K2407" s="8"/>
      <c r="L2407" s="8"/>
      <c r="M2407" s="8"/>
    </row>
    <row r="2408" spans="1:13">
      <c r="A2408" s="71" t="s">
        <v>6759</v>
      </c>
      <c r="B2408" s="67">
        <v>40321655800</v>
      </c>
      <c r="C2408" s="72" t="s">
        <v>6760</v>
      </c>
      <c r="D2408" s="69">
        <v>37378835803</v>
      </c>
      <c r="E2408" s="9">
        <v>810</v>
      </c>
      <c r="F2408" s="25">
        <v>42915</v>
      </c>
      <c r="G2408" s="70" t="s">
        <v>3356</v>
      </c>
      <c r="H2408" s="9"/>
      <c r="I2408" s="8"/>
      <c r="J2408" s="8"/>
      <c r="K2408" s="8"/>
      <c r="L2408" s="9" t="s">
        <v>3475</v>
      </c>
      <c r="M2408" s="8"/>
    </row>
    <row r="2409" spans="1:13">
      <c r="A2409" s="14" t="s">
        <v>6761</v>
      </c>
      <c r="B2409" s="67">
        <v>5117256557</v>
      </c>
      <c r="C2409" s="72" t="s">
        <v>6762</v>
      </c>
      <c r="D2409" s="69">
        <v>5063737544</v>
      </c>
      <c r="E2409" s="9">
        <v>262</v>
      </c>
      <c r="F2409" s="25">
        <v>43160</v>
      </c>
      <c r="G2409" s="70" t="s">
        <v>3362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6763</v>
      </c>
      <c r="B2410" s="67">
        <v>21863985832</v>
      </c>
      <c r="C2410" s="72" t="s">
        <v>6764</v>
      </c>
      <c r="D2410" s="69">
        <v>8037111822</v>
      </c>
      <c r="E2410" s="9">
        <v>262</v>
      </c>
      <c r="F2410" s="25">
        <v>43160</v>
      </c>
      <c r="G2410" s="70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71" t="s">
        <v>6765</v>
      </c>
      <c r="B2411" s="67">
        <v>28301891831</v>
      </c>
      <c r="C2411" s="72"/>
      <c r="D2411" s="69"/>
      <c r="E2411" s="9">
        <v>1417</v>
      </c>
      <c r="F2411" s="25">
        <v>43017</v>
      </c>
      <c r="G2411" s="70" t="s">
        <v>3356</v>
      </c>
      <c r="H2411" s="9"/>
      <c r="I2411" s="8"/>
      <c r="J2411" s="8"/>
      <c r="K2411" s="8"/>
      <c r="L2411" s="9" t="s">
        <v>3590</v>
      </c>
      <c r="M2411" s="8"/>
    </row>
    <row r="2412" spans="1:13">
      <c r="A2412" s="18" t="s">
        <v>6766</v>
      </c>
      <c r="B2412" s="67">
        <v>31694477851</v>
      </c>
      <c r="C2412" s="18" t="s">
        <v>6767</v>
      </c>
      <c r="D2412" s="69">
        <v>33083604890</v>
      </c>
      <c r="E2412" s="9"/>
      <c r="F2412" s="25"/>
      <c r="G2412" s="70"/>
      <c r="H2412" s="9"/>
      <c r="I2412" s="8"/>
      <c r="J2412" s="8"/>
      <c r="K2412" s="8"/>
      <c r="L2412" s="8"/>
      <c r="M2412" s="8"/>
    </row>
    <row r="2413" spans="1:13">
      <c r="A2413" s="71" t="s">
        <v>6768</v>
      </c>
      <c r="B2413" s="67">
        <v>14690610827</v>
      </c>
      <c r="C2413" s="72" t="s">
        <v>6769</v>
      </c>
      <c r="D2413" s="69">
        <v>5379935761</v>
      </c>
      <c r="E2413" s="9"/>
      <c r="F2413" s="25"/>
      <c r="G2413" s="70"/>
      <c r="H2413" s="9"/>
      <c r="I2413" s="8"/>
      <c r="J2413" s="8"/>
      <c r="K2413" s="8"/>
      <c r="L2413" s="8"/>
      <c r="M2413" s="8"/>
    </row>
    <row r="2414" spans="1:13">
      <c r="A2414" s="71" t="s">
        <v>6770</v>
      </c>
      <c r="B2414" s="67">
        <v>1740803523</v>
      </c>
      <c r="C2414" s="72" t="s">
        <v>6771</v>
      </c>
      <c r="D2414" s="69">
        <v>32727175876</v>
      </c>
      <c r="E2414" s="9"/>
      <c r="F2414" s="25"/>
      <c r="G2414" s="70"/>
      <c r="H2414" s="9"/>
      <c r="I2414" s="8"/>
      <c r="J2414" s="8"/>
      <c r="K2414" s="8"/>
      <c r="L2414" s="8"/>
      <c r="M2414" s="8"/>
    </row>
    <row r="2415" spans="1:13">
      <c r="A2415" s="71" t="s">
        <v>6772</v>
      </c>
      <c r="B2415" s="67">
        <v>23328195840</v>
      </c>
      <c r="C2415" s="72" t="s">
        <v>6773</v>
      </c>
      <c r="D2415" s="69">
        <v>770249310</v>
      </c>
      <c r="E2415" s="9">
        <v>810</v>
      </c>
      <c r="F2415" s="25">
        <v>42915</v>
      </c>
      <c r="G2415" s="70" t="s">
        <v>3356</v>
      </c>
      <c r="H2415" s="9"/>
      <c r="I2415" s="8"/>
      <c r="J2415" s="8"/>
      <c r="K2415" s="8"/>
      <c r="L2415" s="9" t="s">
        <v>3475</v>
      </c>
      <c r="M2415" s="8"/>
    </row>
    <row r="2416" spans="1:13">
      <c r="A2416" s="71" t="s">
        <v>6774</v>
      </c>
      <c r="B2416" s="67">
        <v>28082388862</v>
      </c>
      <c r="C2416" s="72" t="s">
        <v>6775</v>
      </c>
      <c r="D2416" s="69">
        <v>92633617549</v>
      </c>
      <c r="E2416" s="9"/>
      <c r="F2416" s="25"/>
      <c r="G2416" s="70"/>
      <c r="H2416" s="9"/>
      <c r="I2416" s="8"/>
      <c r="J2416" s="8"/>
      <c r="K2416" s="8"/>
      <c r="L2416" s="8"/>
      <c r="M2416" s="8"/>
    </row>
    <row r="2417" spans="1:13">
      <c r="A2417" s="29" t="s">
        <v>6776</v>
      </c>
      <c r="B2417" s="67">
        <v>43054747867</v>
      </c>
      <c r="C2417" s="29" t="s">
        <v>6777</v>
      </c>
      <c r="D2417" s="69">
        <v>35589807867</v>
      </c>
      <c r="E2417" s="9"/>
      <c r="F2417" s="25"/>
      <c r="G2417" s="70"/>
      <c r="H2417" s="9"/>
      <c r="I2417" s="8"/>
      <c r="J2417" s="8"/>
      <c r="K2417" s="8"/>
      <c r="L2417" s="8"/>
      <c r="M2417" s="8"/>
    </row>
    <row r="2418" spans="1:13">
      <c r="A2418" s="71" t="s">
        <v>6778</v>
      </c>
      <c r="B2418" s="67">
        <v>25765767885</v>
      </c>
      <c r="C2418" s="72"/>
      <c r="D2418" s="69"/>
      <c r="E2418" s="9"/>
      <c r="F2418" s="25"/>
      <c r="G2418" s="70"/>
      <c r="H2418" s="9"/>
      <c r="I2418" s="8"/>
      <c r="J2418" s="8"/>
      <c r="K2418" s="8"/>
      <c r="L2418" s="8"/>
      <c r="M2418" s="8"/>
    </row>
    <row r="2419" spans="1:13">
      <c r="A2419" s="14" t="s">
        <v>6779</v>
      </c>
      <c r="B2419" s="67">
        <v>89863704504</v>
      </c>
      <c r="C2419" s="72" t="s">
        <v>6780</v>
      </c>
      <c r="D2419" s="69">
        <v>29135886897</v>
      </c>
      <c r="E2419" s="9"/>
      <c r="F2419" s="25"/>
      <c r="G2419" s="70"/>
      <c r="H2419" s="9"/>
      <c r="I2419" s="8"/>
      <c r="J2419" s="8"/>
      <c r="K2419" s="8"/>
      <c r="L2419" s="8"/>
      <c r="M2419" s="8"/>
    </row>
    <row r="2420" spans="1:13">
      <c r="A2420" s="71" t="s">
        <v>6781</v>
      </c>
      <c r="B2420" s="67">
        <v>22134435801</v>
      </c>
      <c r="C2420" s="72"/>
      <c r="D2420" s="69"/>
      <c r="E2420" s="9"/>
      <c r="F2420" s="25"/>
      <c r="G2420" s="70"/>
      <c r="H2420" s="9"/>
      <c r="I2420" s="8"/>
      <c r="J2420" s="8"/>
      <c r="K2420" s="8"/>
      <c r="L2420" s="8"/>
      <c r="M2420" s="8"/>
    </row>
    <row r="2421" spans="1:13">
      <c r="A2421" s="71" t="s">
        <v>6782</v>
      </c>
      <c r="B2421" s="67">
        <v>33451336871</v>
      </c>
      <c r="C2421" s="72"/>
      <c r="D2421" s="69"/>
      <c r="E2421" s="9">
        <v>292</v>
      </c>
      <c r="F2421" s="25">
        <v>43168</v>
      </c>
      <c r="G2421" s="70" t="s">
        <v>3356</v>
      </c>
      <c r="H2421" s="9"/>
      <c r="I2421" s="8"/>
      <c r="J2421" s="8"/>
      <c r="K2421" s="8"/>
      <c r="L2421" s="9">
        <v>318</v>
      </c>
      <c r="M2421" s="8"/>
    </row>
    <row r="2422" spans="1:13">
      <c r="A2422" s="71" t="s">
        <v>6783</v>
      </c>
      <c r="B2422" s="67">
        <v>32408669863</v>
      </c>
      <c r="C2422" s="72"/>
      <c r="D2422" s="69"/>
      <c r="E2422" s="9"/>
      <c r="F2422" s="25"/>
      <c r="G2422" s="70"/>
      <c r="H2422" s="9"/>
      <c r="I2422" s="8"/>
      <c r="J2422" s="8"/>
      <c r="K2422" s="8"/>
      <c r="L2422" s="8"/>
      <c r="M2422" s="8"/>
    </row>
    <row r="2423" spans="1:13">
      <c r="A2423" s="71" t="s">
        <v>6784</v>
      </c>
      <c r="B2423" s="67">
        <v>16123772899</v>
      </c>
      <c r="C2423" s="68"/>
      <c r="D2423" s="69"/>
      <c r="E2423" s="9">
        <v>1214</v>
      </c>
      <c r="F2423" s="25">
        <v>42989</v>
      </c>
      <c r="G2423" s="70" t="s">
        <v>3356</v>
      </c>
      <c r="H2423" s="9"/>
      <c r="I2423" s="8"/>
      <c r="J2423" s="8"/>
      <c r="K2423" s="8"/>
      <c r="L2423" s="8"/>
      <c r="M2423" s="8"/>
    </row>
    <row r="2424" spans="1:13">
      <c r="A2424" s="73" t="s">
        <v>6785</v>
      </c>
      <c r="B2424" s="67">
        <v>33538686823</v>
      </c>
      <c r="C2424" s="72" t="s">
        <v>6786</v>
      </c>
      <c r="D2424" s="69">
        <v>37104062858</v>
      </c>
      <c r="E2424" s="9">
        <v>810</v>
      </c>
      <c r="F2424" s="25">
        <v>42915</v>
      </c>
      <c r="G2424" s="9" t="s">
        <v>3356</v>
      </c>
      <c r="H2424" s="9"/>
      <c r="I2424" s="8"/>
      <c r="J2424" s="8"/>
      <c r="K2424" s="8"/>
      <c r="L2424" s="9" t="s">
        <v>3475</v>
      </c>
      <c r="M2424" s="8"/>
    </row>
    <row r="2425" spans="1:13">
      <c r="A2425" s="18" t="s">
        <v>6787</v>
      </c>
      <c r="B2425" s="67">
        <v>30524078807</v>
      </c>
      <c r="C2425" s="18"/>
      <c r="D2425" s="69"/>
      <c r="E2425" s="9"/>
      <c r="F2425" s="25"/>
      <c r="G2425" s="70"/>
      <c r="H2425" s="9"/>
      <c r="I2425" s="8"/>
      <c r="J2425" s="8"/>
      <c r="K2425" s="8"/>
      <c r="L2425" s="8"/>
      <c r="M2425" s="8"/>
    </row>
    <row r="2426" spans="1:13">
      <c r="A2426" s="71" t="s">
        <v>6788</v>
      </c>
      <c r="B2426" s="67">
        <v>1296421856</v>
      </c>
      <c r="C2426" s="72"/>
      <c r="D2426" s="69"/>
      <c r="E2426" s="9">
        <v>292</v>
      </c>
      <c r="F2426" s="25">
        <v>43168</v>
      </c>
      <c r="G2426" s="70" t="s">
        <v>3356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6789</v>
      </c>
      <c r="B2427" s="67">
        <v>22678523810</v>
      </c>
      <c r="C2427" s="72"/>
      <c r="D2427" s="69"/>
      <c r="E2427" s="9">
        <v>485</v>
      </c>
      <c r="F2427" s="25">
        <v>43196</v>
      </c>
      <c r="G2427" s="70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6790</v>
      </c>
      <c r="B2428" s="67">
        <v>87763559349</v>
      </c>
      <c r="C2428" s="72"/>
      <c r="D2428" s="69"/>
      <c r="E2428" s="9">
        <v>292</v>
      </c>
      <c r="F2428" s="25">
        <v>43168</v>
      </c>
      <c r="G2428" s="70" t="s">
        <v>3356</v>
      </c>
      <c r="H2428" s="9"/>
      <c r="I2428" s="8"/>
      <c r="J2428" s="8"/>
      <c r="K2428" s="8"/>
      <c r="L2428" s="9">
        <v>318</v>
      </c>
      <c r="M2428" s="8"/>
    </row>
    <row r="2429" spans="1:13">
      <c r="A2429" s="71" t="s">
        <v>6791</v>
      </c>
      <c r="B2429" s="67">
        <v>93637551420</v>
      </c>
      <c r="C2429" s="72"/>
      <c r="D2429" s="69"/>
      <c r="E2429" s="9">
        <v>1214</v>
      </c>
      <c r="F2429" s="25">
        <v>42989</v>
      </c>
      <c r="G2429" s="93" t="s">
        <v>3356</v>
      </c>
      <c r="H2429" s="9"/>
      <c r="I2429" s="8"/>
      <c r="J2429" s="8"/>
      <c r="K2429" s="8"/>
      <c r="L2429" s="8"/>
      <c r="M2429" s="8"/>
    </row>
    <row r="2430" spans="1:13">
      <c r="A2430" s="29" t="s">
        <v>6792</v>
      </c>
      <c r="B2430" s="67"/>
      <c r="C2430" s="29" t="s">
        <v>3466</v>
      </c>
      <c r="D2430" s="69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6793</v>
      </c>
      <c r="B2431" s="67">
        <v>39308964860</v>
      </c>
      <c r="C2431" s="72" t="s">
        <v>6794</v>
      </c>
      <c r="D2431" s="69">
        <v>39308963898</v>
      </c>
      <c r="E2431" s="9">
        <v>229</v>
      </c>
      <c r="F2431" s="25">
        <v>43151</v>
      </c>
      <c r="G2431" s="70" t="s">
        <v>3356</v>
      </c>
      <c r="H2431" s="9"/>
      <c r="I2431" s="8"/>
      <c r="J2431" s="8"/>
      <c r="K2431" s="8"/>
      <c r="L2431" s="9">
        <v>232</v>
      </c>
      <c r="M2431" s="8"/>
    </row>
    <row r="2432" spans="1:13">
      <c r="A2432" s="71" t="s">
        <v>6795</v>
      </c>
      <c r="B2432" s="67">
        <v>81487509987</v>
      </c>
      <c r="C2432" s="72"/>
      <c r="D2432" s="69"/>
      <c r="E2432" s="9">
        <v>292</v>
      </c>
      <c r="F2432" s="25">
        <v>43168</v>
      </c>
      <c r="G2432" s="9" t="s">
        <v>3356</v>
      </c>
      <c r="H2432" s="9"/>
      <c r="I2432" s="8"/>
      <c r="J2432" s="8"/>
      <c r="K2432" s="8"/>
      <c r="L2432" s="9">
        <v>318</v>
      </c>
      <c r="M2432" s="8"/>
    </row>
    <row r="2433" spans="1:13">
      <c r="A2433" s="71" t="s">
        <v>6796</v>
      </c>
      <c r="B2433" s="67">
        <v>12737024846</v>
      </c>
      <c r="C2433" s="68"/>
      <c r="D2433" s="69"/>
      <c r="E2433" s="9">
        <v>1128</v>
      </c>
      <c r="F2433" s="25">
        <v>42972</v>
      </c>
      <c r="G2433" s="70" t="s">
        <v>3356</v>
      </c>
      <c r="H2433" s="9"/>
      <c r="I2433" s="8"/>
      <c r="J2433" s="8"/>
      <c r="K2433" s="8"/>
      <c r="L2433" s="8"/>
      <c r="M2433" s="8"/>
    </row>
    <row r="2434" spans="1:13">
      <c r="A2434" s="71" t="s">
        <v>6797</v>
      </c>
      <c r="B2434" s="67">
        <v>107110580</v>
      </c>
      <c r="C2434" s="72"/>
      <c r="D2434" s="69"/>
      <c r="E2434" s="9"/>
      <c r="F2434" s="25"/>
      <c r="G2434" s="70"/>
      <c r="H2434" s="9"/>
      <c r="I2434" s="8"/>
      <c r="J2434" s="8"/>
      <c r="K2434" s="8"/>
      <c r="L2434" s="8"/>
      <c r="M2434" s="8"/>
    </row>
    <row r="2435" spans="1:13">
      <c r="A2435" s="71" t="s">
        <v>6798</v>
      </c>
      <c r="B2435" s="67">
        <v>14032390886</v>
      </c>
      <c r="C2435" s="68"/>
      <c r="D2435" s="69"/>
      <c r="E2435" s="9">
        <v>1128</v>
      </c>
      <c r="F2435" s="25">
        <v>42972</v>
      </c>
      <c r="G2435" s="70" t="s">
        <v>3356</v>
      </c>
      <c r="H2435" s="9"/>
      <c r="I2435" s="8"/>
      <c r="J2435" s="8"/>
      <c r="K2435" s="8"/>
      <c r="L2435" s="8"/>
      <c r="M2435" s="8"/>
    </row>
    <row r="2436" spans="1:13">
      <c r="A2436" s="71" t="s">
        <v>6799</v>
      </c>
      <c r="B2436" s="67">
        <v>27853704810</v>
      </c>
      <c r="C2436" s="72"/>
      <c r="D2436" s="69"/>
      <c r="E2436" s="9"/>
      <c r="F2436" s="25"/>
      <c r="G2436" s="70"/>
      <c r="H2436" s="9"/>
      <c r="I2436" s="8"/>
      <c r="J2436" s="8"/>
      <c r="K2436" s="8"/>
      <c r="L2436" s="8"/>
      <c r="M2436" s="8"/>
    </row>
    <row r="2437" spans="1:13">
      <c r="A2437" s="71" t="s">
        <v>6800</v>
      </c>
      <c r="B2437" s="67"/>
      <c r="C2437" s="72"/>
      <c r="D2437" s="69"/>
      <c r="E2437" s="9"/>
      <c r="F2437" s="25"/>
      <c r="G2437" s="70"/>
      <c r="H2437" s="9"/>
      <c r="I2437" s="8"/>
      <c r="J2437" s="8"/>
      <c r="K2437" s="8"/>
      <c r="L2437" s="8"/>
      <c r="M2437" s="8"/>
    </row>
    <row r="2438" spans="1:13">
      <c r="A2438" s="13" t="s">
        <v>6801</v>
      </c>
      <c r="B2438" s="67">
        <v>90585038520</v>
      </c>
      <c r="C2438" s="68"/>
      <c r="D2438" s="69"/>
      <c r="E2438" s="9"/>
      <c r="F2438" s="25"/>
      <c r="G2438" s="70"/>
      <c r="H2438" s="9"/>
      <c r="I2438" s="8"/>
      <c r="J2438" s="8"/>
      <c r="K2438" s="8"/>
      <c r="L2438" s="8"/>
      <c r="M2438" s="8"/>
    </row>
    <row r="2439" spans="1:13">
      <c r="A2439" s="73" t="s">
        <v>6802</v>
      </c>
      <c r="B2439" s="67">
        <v>4453780850</v>
      </c>
      <c r="C2439" s="72"/>
      <c r="D2439" s="69"/>
      <c r="E2439" s="9">
        <v>117</v>
      </c>
      <c r="F2439" s="25">
        <v>43117</v>
      </c>
      <c r="G2439" s="70" t="s">
        <v>3356</v>
      </c>
      <c r="H2439" s="9"/>
      <c r="I2439" s="8"/>
      <c r="J2439" s="8"/>
      <c r="K2439" s="8"/>
      <c r="L2439" s="9" t="s">
        <v>3507</v>
      </c>
      <c r="M2439" s="8"/>
    </row>
    <row r="2440" spans="1:13">
      <c r="A2440" s="71" t="s">
        <v>6803</v>
      </c>
      <c r="B2440" s="67">
        <v>36344864818</v>
      </c>
      <c r="C2440" s="72" t="s">
        <v>6804</v>
      </c>
      <c r="D2440" s="69">
        <v>35601867810</v>
      </c>
      <c r="E2440" s="9">
        <v>810</v>
      </c>
      <c r="F2440" s="25">
        <v>42915</v>
      </c>
      <c r="G2440" s="70" t="s">
        <v>3356</v>
      </c>
      <c r="H2440" s="9"/>
      <c r="I2440" s="8"/>
      <c r="J2440" s="8"/>
      <c r="K2440" s="8"/>
      <c r="L2440" s="9" t="s">
        <v>3475</v>
      </c>
      <c r="M2440" s="8"/>
    </row>
    <row r="2441" spans="1:13">
      <c r="A2441" s="29" t="s">
        <v>6805</v>
      </c>
      <c r="B2441" s="67"/>
      <c r="C2441" s="29" t="s">
        <v>3466</v>
      </c>
      <c r="D2441" s="69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71" t="s">
        <v>6806</v>
      </c>
      <c r="B2442" s="67">
        <v>34950715801</v>
      </c>
      <c r="C2442" s="72"/>
      <c r="D2442" s="69"/>
      <c r="E2442" s="9">
        <v>1241</v>
      </c>
      <c r="F2442" s="25">
        <v>42992</v>
      </c>
      <c r="G2442" s="70" t="s">
        <v>3356</v>
      </c>
      <c r="H2442" s="9"/>
      <c r="I2442" s="8"/>
      <c r="J2442" s="8"/>
      <c r="K2442" s="8"/>
      <c r="L2442" s="8"/>
      <c r="M2442" s="8"/>
    </row>
    <row r="2443" spans="1:13">
      <c r="A2443" s="73" t="s">
        <v>6807</v>
      </c>
      <c r="B2443" s="67">
        <v>23969560861</v>
      </c>
      <c r="C2443" s="72" t="s">
        <v>6808</v>
      </c>
      <c r="D2443" s="69">
        <v>16141701850</v>
      </c>
      <c r="E2443" s="9">
        <v>1267</v>
      </c>
      <c r="F2443" s="25">
        <v>42998</v>
      </c>
      <c r="G2443" s="70" t="s">
        <v>3356</v>
      </c>
      <c r="H2443" s="9"/>
      <c r="I2443" s="8"/>
      <c r="J2443" s="8"/>
      <c r="K2443" s="8"/>
      <c r="L2443" s="8"/>
      <c r="M2443" s="8"/>
    </row>
    <row r="2444" spans="1:13">
      <c r="A2444" s="71" t="s">
        <v>6809</v>
      </c>
      <c r="B2444" s="67">
        <v>37416846862</v>
      </c>
      <c r="C2444" s="72"/>
      <c r="D2444" s="69"/>
      <c r="E2444" s="9"/>
      <c r="F2444" s="25"/>
      <c r="G2444" s="70"/>
      <c r="H2444" s="9"/>
      <c r="I2444" s="8"/>
      <c r="J2444" s="8"/>
      <c r="K2444" s="8"/>
      <c r="L2444" s="8"/>
      <c r="M2444" s="8"/>
    </row>
    <row r="2445" spans="1:13">
      <c r="A2445" s="71" t="s">
        <v>6810</v>
      </c>
      <c r="B2445" s="67">
        <v>40042422825</v>
      </c>
      <c r="C2445" s="72"/>
      <c r="D2445" s="69"/>
      <c r="E2445" s="9">
        <v>262</v>
      </c>
      <c r="F2445" s="25">
        <v>43160</v>
      </c>
      <c r="G2445" s="70" t="s">
        <v>3356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6811</v>
      </c>
      <c r="B2446" s="67">
        <v>1510095543</v>
      </c>
      <c r="C2446" s="68"/>
      <c r="D2446" s="69"/>
      <c r="E2446" s="9">
        <v>1241</v>
      </c>
      <c r="F2446" s="25">
        <v>42992</v>
      </c>
      <c r="G2446" s="70" t="s">
        <v>3356</v>
      </c>
      <c r="H2446" s="9"/>
      <c r="I2446" s="8"/>
      <c r="J2446" s="8"/>
      <c r="K2446" s="8"/>
      <c r="L2446" s="8"/>
      <c r="M2446" s="8"/>
    </row>
    <row r="2447" spans="1:13">
      <c r="A2447" s="72" t="s">
        <v>6812</v>
      </c>
      <c r="B2447" s="67">
        <v>27138808828</v>
      </c>
      <c r="C2447" s="72"/>
      <c r="D2447" s="69"/>
      <c r="E2447" s="9"/>
      <c r="F2447" s="25"/>
      <c r="G2447" s="70"/>
      <c r="H2447" s="9"/>
      <c r="I2447" s="8"/>
      <c r="J2447" s="8"/>
      <c r="K2447" s="8"/>
      <c r="L2447" s="8"/>
      <c r="M2447" s="8"/>
    </row>
    <row r="2448" spans="1:13">
      <c r="A2448" s="15" t="s">
        <v>6813</v>
      </c>
      <c r="B2448" s="67">
        <v>35193151817</v>
      </c>
      <c r="C2448" s="72" t="s">
        <v>6814</v>
      </c>
      <c r="D2448" s="69">
        <v>26084005829</v>
      </c>
      <c r="E2448" s="9">
        <v>229</v>
      </c>
      <c r="F2448" s="25">
        <v>43151</v>
      </c>
      <c r="G2448" s="70" t="s">
        <v>3356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6815</v>
      </c>
      <c r="B2449" s="67">
        <v>42160844861</v>
      </c>
      <c r="C2449" s="18"/>
      <c r="D2449" s="69"/>
      <c r="E2449" s="9"/>
      <c r="F2449" s="25"/>
      <c r="G2449" s="70"/>
      <c r="H2449" s="9"/>
      <c r="I2449" s="8"/>
      <c r="J2449" s="8"/>
      <c r="K2449" s="8"/>
      <c r="L2449" s="8"/>
      <c r="M2449" s="8"/>
    </row>
    <row r="2450" spans="1:13">
      <c r="A2450" s="15" t="s">
        <v>6816</v>
      </c>
      <c r="B2450" s="67">
        <v>43302954824</v>
      </c>
      <c r="C2450" s="72"/>
      <c r="D2450" s="69"/>
      <c r="E2450" s="9"/>
      <c r="F2450" s="25"/>
      <c r="G2450" s="70"/>
      <c r="H2450" s="9"/>
      <c r="I2450" s="8"/>
      <c r="J2450" s="8"/>
      <c r="K2450" s="8"/>
      <c r="L2450" s="8"/>
      <c r="M2450" s="8"/>
    </row>
    <row r="2451" spans="1:13">
      <c r="A2451" s="71" t="s">
        <v>6817</v>
      </c>
      <c r="B2451" s="67">
        <v>39928618801</v>
      </c>
      <c r="C2451" s="72"/>
      <c r="D2451" s="69"/>
      <c r="E2451" s="9">
        <v>292</v>
      </c>
      <c r="F2451" s="25">
        <v>43168</v>
      </c>
      <c r="G2451" s="9" t="s">
        <v>3356</v>
      </c>
      <c r="H2451" s="9"/>
      <c r="I2451" s="8"/>
      <c r="J2451" s="8"/>
      <c r="K2451" s="8"/>
      <c r="L2451" s="9">
        <v>318</v>
      </c>
      <c r="M2451" s="8"/>
    </row>
    <row r="2452" spans="1:13">
      <c r="A2452" s="71" t="s">
        <v>6818</v>
      </c>
      <c r="B2452" s="67">
        <v>34674605857</v>
      </c>
      <c r="C2452" s="72" t="s">
        <v>6819</v>
      </c>
      <c r="D2452" s="69">
        <v>36771603830</v>
      </c>
      <c r="E2452" s="9">
        <v>810</v>
      </c>
      <c r="F2452" s="25">
        <v>42915</v>
      </c>
      <c r="G2452" s="70" t="s">
        <v>3356</v>
      </c>
      <c r="H2452" s="9"/>
      <c r="I2452" s="8"/>
      <c r="J2452" s="8"/>
      <c r="K2452" s="8"/>
      <c r="L2452" s="9" t="s">
        <v>3475</v>
      </c>
      <c r="M2452" s="8"/>
    </row>
    <row r="2453" spans="1:13">
      <c r="A2453" s="71" t="s">
        <v>6820</v>
      </c>
      <c r="B2453" s="67">
        <v>33248807857</v>
      </c>
      <c r="C2453" s="72" t="s">
        <v>6821</v>
      </c>
      <c r="D2453" s="69">
        <v>40575174803</v>
      </c>
      <c r="E2453" s="9">
        <v>573</v>
      </c>
      <c r="F2453" s="25">
        <v>43224</v>
      </c>
      <c r="G2453" s="70"/>
      <c r="H2453" s="9"/>
      <c r="I2453" s="8"/>
      <c r="J2453" s="8"/>
      <c r="K2453" s="8"/>
      <c r="L2453" s="8"/>
      <c r="M2453" s="8"/>
    </row>
    <row r="2454" spans="1:13">
      <c r="A2454" s="13" t="s">
        <v>6822</v>
      </c>
      <c r="B2454" s="67">
        <v>42336003813</v>
      </c>
      <c r="C2454" s="72"/>
      <c r="D2454" s="69"/>
      <c r="E2454" s="9">
        <v>1350</v>
      </c>
      <c r="F2454" s="25">
        <v>43006</v>
      </c>
      <c r="G2454" s="70" t="s">
        <v>3356</v>
      </c>
      <c r="H2454" s="9"/>
      <c r="I2454" s="8"/>
      <c r="J2454" s="8"/>
      <c r="K2454" s="8"/>
      <c r="L2454" s="8"/>
      <c r="M2454" s="8"/>
    </row>
    <row r="2455" spans="1:13">
      <c r="A2455" s="13" t="s">
        <v>6823</v>
      </c>
      <c r="B2455" s="67">
        <v>34488341810</v>
      </c>
      <c r="C2455" s="72"/>
      <c r="D2455" s="69"/>
      <c r="E2455" s="9">
        <v>1350</v>
      </c>
      <c r="F2455" s="25">
        <v>43006</v>
      </c>
      <c r="G2455" s="70" t="s">
        <v>3356</v>
      </c>
      <c r="H2455" s="9"/>
      <c r="I2455" s="8"/>
      <c r="J2455" s="8"/>
      <c r="K2455" s="8"/>
      <c r="L2455" s="8"/>
      <c r="M2455" s="8"/>
    </row>
    <row r="2456" spans="1:13">
      <c r="A2456" s="71" t="s">
        <v>6824</v>
      </c>
      <c r="B2456" s="67">
        <v>39556368876</v>
      </c>
      <c r="C2456" s="22"/>
      <c r="D2456" s="23"/>
      <c r="E2456" s="9"/>
      <c r="F2456" s="25"/>
      <c r="G2456" s="70"/>
      <c r="H2456" s="9"/>
      <c r="I2456" s="8"/>
      <c r="J2456" s="8"/>
      <c r="K2456" s="8"/>
      <c r="L2456" s="8"/>
      <c r="M2456" s="8"/>
    </row>
    <row r="2457" spans="1:13">
      <c r="A2457" s="71" t="s">
        <v>6825</v>
      </c>
      <c r="B2457" s="67">
        <v>34957713871</v>
      </c>
      <c r="C2457" s="72"/>
      <c r="D2457" s="69"/>
      <c r="E2457" s="9">
        <v>1752</v>
      </c>
      <c r="F2457" s="25">
        <v>43051</v>
      </c>
      <c r="G2457" s="70" t="s">
        <v>3356</v>
      </c>
      <c r="H2457" s="9"/>
      <c r="I2457" s="8"/>
      <c r="J2457" s="8"/>
      <c r="K2457" s="8"/>
      <c r="L2457" s="9">
        <v>1759</v>
      </c>
      <c r="M2457" s="8"/>
    </row>
    <row r="2458" spans="1:13">
      <c r="A2458" s="29" t="s">
        <v>6826</v>
      </c>
      <c r="B2458" s="67">
        <v>7143855901</v>
      </c>
      <c r="C2458" s="18" t="s">
        <v>3466</v>
      </c>
      <c r="D2458" s="69"/>
      <c r="E2458" s="9"/>
      <c r="F2458" s="25"/>
      <c r="G2458" s="70"/>
      <c r="H2458" s="9"/>
      <c r="I2458" s="8"/>
      <c r="J2458" s="8"/>
      <c r="K2458" s="8"/>
      <c r="L2458" s="8"/>
      <c r="M2458" s="8"/>
    </row>
    <row r="2459" spans="1:13">
      <c r="A2459" s="29" t="s">
        <v>6827</v>
      </c>
      <c r="B2459" s="67"/>
      <c r="C2459" s="29" t="s">
        <v>3466</v>
      </c>
      <c r="D2459" s="69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71" t="s">
        <v>6828</v>
      </c>
      <c r="B2460" s="67">
        <v>5365375505</v>
      </c>
      <c r="C2460" s="68" t="s">
        <v>6829</v>
      </c>
      <c r="D2460" s="69">
        <v>34658162857</v>
      </c>
      <c r="E2460" s="9">
        <v>1128</v>
      </c>
      <c r="F2460" s="25">
        <v>42972</v>
      </c>
      <c r="G2460" s="70" t="s">
        <v>3356</v>
      </c>
      <c r="H2460" s="9"/>
      <c r="I2460" s="8"/>
      <c r="J2460" s="8"/>
      <c r="K2460" s="8"/>
      <c r="L2460" s="8"/>
      <c r="M2460" s="8"/>
    </row>
    <row r="2461" spans="1:13">
      <c r="A2461" s="18" t="s">
        <v>6830</v>
      </c>
      <c r="B2461" s="67">
        <v>16544220884</v>
      </c>
      <c r="C2461" s="18"/>
      <c r="D2461" s="69"/>
      <c r="E2461" s="9"/>
      <c r="F2461" s="25"/>
      <c r="G2461" s="70"/>
      <c r="H2461" s="9"/>
      <c r="I2461" s="8"/>
      <c r="J2461" s="8"/>
      <c r="K2461" s="8"/>
      <c r="L2461" s="8"/>
      <c r="M2461" s="8"/>
    </row>
    <row r="2462" spans="1:13">
      <c r="A2462" s="29" t="s">
        <v>6831</v>
      </c>
      <c r="B2462" s="67">
        <v>66691990404</v>
      </c>
      <c r="C2462" s="29" t="s">
        <v>6832</v>
      </c>
      <c r="D2462" s="69">
        <v>65787714415</v>
      </c>
      <c r="E2462" s="9"/>
      <c r="F2462" s="25"/>
      <c r="G2462" s="70"/>
      <c r="H2462" s="9"/>
      <c r="I2462" s="8"/>
      <c r="J2462" s="8"/>
      <c r="K2462" s="8"/>
      <c r="L2462" s="8"/>
      <c r="M2462" s="8"/>
    </row>
    <row r="2463" spans="1:13">
      <c r="A2463" s="15" t="s">
        <v>6833</v>
      </c>
      <c r="B2463" s="67">
        <v>60347000355</v>
      </c>
      <c r="C2463" s="72" t="s">
        <v>6834</v>
      </c>
      <c r="D2463" s="69">
        <v>40730915816</v>
      </c>
      <c r="E2463" s="9"/>
      <c r="F2463" s="25"/>
      <c r="G2463" s="70"/>
      <c r="H2463" s="9"/>
      <c r="I2463" s="8"/>
      <c r="J2463" s="8"/>
      <c r="K2463" s="8"/>
      <c r="L2463" s="8"/>
      <c r="M2463" s="8"/>
    </row>
    <row r="2464" spans="1:13">
      <c r="A2464" s="15" t="s">
        <v>6835</v>
      </c>
      <c r="B2464" s="67">
        <v>37467543808</v>
      </c>
      <c r="C2464" s="72" t="s">
        <v>6836</v>
      </c>
      <c r="D2464" s="69">
        <v>40552745804</v>
      </c>
      <c r="E2464" s="9">
        <v>229</v>
      </c>
      <c r="F2464" s="25">
        <v>43151</v>
      </c>
      <c r="G2464" s="70" t="s">
        <v>3356</v>
      </c>
      <c r="H2464" s="9"/>
      <c r="I2464" s="8"/>
      <c r="J2464" s="8"/>
      <c r="K2464" s="8"/>
      <c r="L2464" s="9">
        <v>232</v>
      </c>
      <c r="M2464" s="8"/>
    </row>
    <row r="2465" spans="1:13">
      <c r="A2465" s="71" t="s">
        <v>6837</v>
      </c>
      <c r="B2465" s="67">
        <v>41146398883</v>
      </c>
      <c r="C2465" s="77"/>
      <c r="D2465" s="69"/>
      <c r="E2465" s="9"/>
      <c r="F2465" s="25"/>
      <c r="G2465" s="70"/>
      <c r="H2465" s="9"/>
      <c r="I2465" s="8"/>
      <c r="J2465" s="8"/>
      <c r="K2465" s="8"/>
      <c r="L2465" s="8"/>
      <c r="M2465" s="8"/>
    </row>
    <row r="2466" spans="1:13">
      <c r="A2466" s="71" t="s">
        <v>6838</v>
      </c>
      <c r="B2466" s="67">
        <v>41506785883</v>
      </c>
      <c r="C2466" s="73"/>
      <c r="D2466" s="69"/>
      <c r="E2466" s="9">
        <v>573</v>
      </c>
      <c r="F2466" s="25">
        <v>43224</v>
      </c>
      <c r="G2466" s="70"/>
      <c r="H2466" s="9"/>
      <c r="I2466" s="8"/>
      <c r="J2466" s="8"/>
      <c r="K2466" s="8"/>
      <c r="L2466" s="8"/>
      <c r="M2466" s="8"/>
    </row>
    <row r="2467" spans="1:13">
      <c r="A2467" s="29" t="s">
        <v>6839</v>
      </c>
      <c r="B2467" s="67"/>
      <c r="C2467" s="18" t="s">
        <v>3466</v>
      </c>
      <c r="D2467" s="69"/>
      <c r="E2467" s="9"/>
      <c r="F2467" s="25"/>
      <c r="G2467" s="70"/>
      <c r="H2467" s="9"/>
      <c r="I2467" s="8"/>
      <c r="J2467" s="8"/>
      <c r="K2467" s="8"/>
      <c r="L2467" s="8"/>
      <c r="M2467" s="8"/>
    </row>
    <row r="2468" spans="1:13">
      <c r="A2468" s="71" t="s">
        <v>6840</v>
      </c>
      <c r="B2468" s="67">
        <v>36726282800</v>
      </c>
      <c r="C2468" s="68"/>
      <c r="D2468" s="69"/>
      <c r="E2468" s="9">
        <v>1824</v>
      </c>
      <c r="F2468" s="25">
        <v>43091</v>
      </c>
      <c r="G2468" s="70" t="s">
        <v>3356</v>
      </c>
      <c r="H2468" s="9"/>
      <c r="I2468" s="8"/>
      <c r="J2468" s="8"/>
      <c r="K2468" s="8"/>
      <c r="L2468" s="9">
        <v>1828</v>
      </c>
      <c r="M2468" s="8"/>
    </row>
    <row r="2469" spans="1:13">
      <c r="A2469" s="71" t="s">
        <v>6841</v>
      </c>
      <c r="B2469" s="67">
        <v>37416964806</v>
      </c>
      <c r="C2469" s="72"/>
      <c r="D2469" s="69"/>
      <c r="E2469" s="9"/>
      <c r="F2469" s="25"/>
      <c r="G2469" s="70"/>
      <c r="H2469" s="9"/>
      <c r="I2469" s="8"/>
      <c r="J2469" s="8"/>
      <c r="K2469" s="8"/>
      <c r="L2469" s="8"/>
      <c r="M2469" s="8"/>
    </row>
    <row r="2470" spans="1:13">
      <c r="A2470" s="15" t="s">
        <v>6842</v>
      </c>
      <c r="B2470" s="67">
        <v>36190751822</v>
      </c>
      <c r="C2470" s="72"/>
      <c r="D2470" s="69"/>
      <c r="E2470" s="9"/>
      <c r="F2470" s="25"/>
      <c r="G2470" s="70"/>
      <c r="H2470" s="9"/>
      <c r="I2470" s="8"/>
      <c r="J2470" s="8"/>
      <c r="K2470" s="8"/>
      <c r="L2470" s="8"/>
      <c r="M2470" s="8"/>
    </row>
    <row r="2471" spans="1:13">
      <c r="A2471" s="15" t="s">
        <v>6843</v>
      </c>
      <c r="B2471" s="67">
        <v>48697483808</v>
      </c>
      <c r="C2471" s="72"/>
      <c r="D2471" s="69"/>
      <c r="E2471" s="9"/>
      <c r="F2471" s="25"/>
      <c r="G2471" s="70"/>
      <c r="H2471" s="9"/>
      <c r="I2471" s="8"/>
      <c r="J2471" s="8"/>
      <c r="K2471" s="8"/>
      <c r="L2471" s="8"/>
      <c r="M2471" s="8"/>
    </row>
    <row r="2472" spans="1:13">
      <c r="A2472" s="29" t="s">
        <v>6844</v>
      </c>
      <c r="B2472" s="67"/>
      <c r="C2472" s="18" t="s">
        <v>3466</v>
      </c>
      <c r="D2472" s="69"/>
      <c r="E2472" s="9"/>
      <c r="F2472" s="25"/>
      <c r="G2472" s="70"/>
      <c r="H2472" s="9"/>
      <c r="I2472" s="8"/>
      <c r="J2472" s="8"/>
      <c r="K2472" s="8"/>
      <c r="L2472" s="8"/>
      <c r="M2472" s="8"/>
    </row>
    <row r="2473" spans="1:13">
      <c r="A2473" s="15" t="s">
        <v>6845</v>
      </c>
      <c r="B2473" s="67">
        <v>34907942818</v>
      </c>
      <c r="C2473" s="72" t="s">
        <v>6846</v>
      </c>
      <c r="D2473" s="69">
        <v>36020385809</v>
      </c>
      <c r="E2473" s="9"/>
      <c r="F2473" s="25"/>
      <c r="G2473" s="70"/>
      <c r="H2473" s="9"/>
      <c r="I2473" s="8"/>
      <c r="J2473" s="8"/>
      <c r="K2473" s="8"/>
      <c r="L2473" s="8"/>
      <c r="M2473" s="8"/>
    </row>
    <row r="2474" spans="1:13">
      <c r="A2474" s="71" t="s">
        <v>6847</v>
      </c>
      <c r="B2474" s="67">
        <v>32865304841</v>
      </c>
      <c r="C2474" s="72"/>
      <c r="D2474" s="69"/>
      <c r="E2474" s="9"/>
      <c r="F2474" s="25"/>
      <c r="G2474" s="93"/>
      <c r="H2474" s="9"/>
      <c r="I2474" s="8"/>
      <c r="J2474" s="8"/>
      <c r="K2474" s="8"/>
      <c r="L2474" s="8"/>
      <c r="M2474" s="8"/>
    </row>
    <row r="2475" spans="1:13">
      <c r="A2475" s="71" t="s">
        <v>6848</v>
      </c>
      <c r="B2475" s="67">
        <v>40642684820</v>
      </c>
      <c r="C2475" s="72" t="s">
        <v>6849</v>
      </c>
      <c r="D2475" s="69">
        <v>43189527890</v>
      </c>
      <c r="E2475" s="9">
        <v>292</v>
      </c>
      <c r="F2475" s="25">
        <v>43168</v>
      </c>
      <c r="G2475" s="70" t="s">
        <v>3356</v>
      </c>
      <c r="H2475" s="9"/>
      <c r="I2475" s="8"/>
      <c r="J2475" s="8"/>
      <c r="K2475" s="8"/>
      <c r="L2475" s="9">
        <v>318</v>
      </c>
      <c r="M2475" s="8"/>
    </row>
    <row r="2476" spans="1:13">
      <c r="A2476" s="71" t="s">
        <v>6850</v>
      </c>
      <c r="B2476" s="67">
        <v>36401343893</v>
      </c>
      <c r="C2476" s="72" t="s">
        <v>6851</v>
      </c>
      <c r="D2476" s="69">
        <v>43068415888</v>
      </c>
      <c r="E2476" s="9">
        <v>563</v>
      </c>
      <c r="F2476" s="25">
        <v>43217</v>
      </c>
      <c r="G2476" s="70"/>
      <c r="H2476" s="9"/>
      <c r="I2476" s="8"/>
      <c r="J2476" s="8"/>
      <c r="K2476" s="8"/>
      <c r="L2476" s="9" t="s">
        <v>3636</v>
      </c>
      <c r="M2476" s="8"/>
    </row>
    <row r="2477" spans="1:13">
      <c r="A2477" s="15" t="s">
        <v>6852</v>
      </c>
      <c r="B2477" s="67">
        <v>10413301460</v>
      </c>
      <c r="C2477" s="72" t="s">
        <v>6853</v>
      </c>
      <c r="D2477" s="69">
        <v>10931047404</v>
      </c>
      <c r="E2477" s="9">
        <v>117</v>
      </c>
      <c r="F2477" s="25">
        <v>43117</v>
      </c>
      <c r="G2477" s="70" t="s">
        <v>3356</v>
      </c>
      <c r="H2477" s="9"/>
      <c r="I2477" s="8"/>
      <c r="J2477" s="8"/>
      <c r="K2477" s="8"/>
      <c r="L2477" s="9" t="s">
        <v>3507</v>
      </c>
      <c r="M2477" s="8"/>
    </row>
    <row r="2478" spans="1:13">
      <c r="A2478" s="15" t="s">
        <v>6854</v>
      </c>
      <c r="B2478" s="67">
        <v>42030087866</v>
      </c>
      <c r="C2478" s="72" t="s">
        <v>6855</v>
      </c>
      <c r="D2478" s="69">
        <v>29748028852</v>
      </c>
      <c r="E2478" s="9"/>
      <c r="F2478" s="25"/>
      <c r="G2478" s="70"/>
      <c r="H2478" s="9"/>
      <c r="I2478" s="8"/>
      <c r="J2478" s="8"/>
      <c r="K2478" s="8"/>
      <c r="L2478" s="8"/>
      <c r="M2478" s="8"/>
    </row>
    <row r="2479" spans="1:13">
      <c r="A2479" s="15" t="s">
        <v>6856</v>
      </c>
      <c r="B2479" s="67">
        <v>46879751865</v>
      </c>
      <c r="C2479" s="72"/>
      <c r="D2479" s="69"/>
      <c r="E2479" s="9"/>
      <c r="F2479" s="25"/>
      <c r="G2479" s="70"/>
      <c r="H2479" s="9"/>
      <c r="I2479" s="8"/>
      <c r="J2479" s="8"/>
      <c r="K2479" s="8"/>
      <c r="L2479" s="8"/>
      <c r="M2479" s="8"/>
    </row>
    <row r="2480" spans="1:13">
      <c r="A2480" s="19" t="s">
        <v>6857</v>
      </c>
      <c r="B2480" s="67">
        <v>38302413801</v>
      </c>
      <c r="C2480" s="77" t="s">
        <v>6858</v>
      </c>
      <c r="D2480" s="69">
        <v>33894151811</v>
      </c>
      <c r="E2480" s="9"/>
      <c r="F2480" s="25"/>
      <c r="G2480" s="70"/>
      <c r="H2480" s="9"/>
      <c r="I2480" s="8"/>
      <c r="J2480" s="8"/>
      <c r="K2480" s="8"/>
      <c r="L2480" s="8"/>
      <c r="M2480" s="8"/>
    </row>
    <row r="2481" spans="1:13">
      <c r="A2481" s="71" t="s">
        <v>6859</v>
      </c>
      <c r="B2481" s="67">
        <v>1421810301</v>
      </c>
      <c r="C2481" s="72"/>
      <c r="D2481" s="69"/>
      <c r="E2481" s="9">
        <v>810</v>
      </c>
      <c r="F2481" s="25">
        <v>42915</v>
      </c>
      <c r="G2481" s="70" t="s">
        <v>3356</v>
      </c>
      <c r="H2481" s="9"/>
      <c r="I2481" s="8"/>
      <c r="J2481" s="8"/>
      <c r="K2481" s="8"/>
      <c r="L2481" s="9" t="s">
        <v>3475</v>
      </c>
      <c r="M2481" s="8"/>
    </row>
    <row r="2482" spans="1:13">
      <c r="A2482" s="71" t="s">
        <v>6860</v>
      </c>
      <c r="B2482" s="67">
        <v>33735840</v>
      </c>
      <c r="C2482" s="72"/>
      <c r="D2482" s="69"/>
      <c r="E2482" s="9">
        <v>262</v>
      </c>
      <c r="F2482" s="25">
        <v>43160</v>
      </c>
      <c r="G2482" s="70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6861</v>
      </c>
      <c r="B2483" s="67">
        <v>2884067531</v>
      </c>
      <c r="C2483" s="72"/>
      <c r="D2483" s="69"/>
      <c r="E2483" s="9">
        <v>262</v>
      </c>
      <c r="F2483" s="25">
        <v>43160</v>
      </c>
      <c r="G2483" s="70" t="s">
        <v>3362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71" t="s">
        <v>6862</v>
      </c>
      <c r="B2484" s="67">
        <v>27421788808</v>
      </c>
      <c r="C2484" s="72"/>
      <c r="D2484" s="69"/>
      <c r="E2484" s="9">
        <v>1570</v>
      </c>
      <c r="F2484" s="25">
        <v>43055</v>
      </c>
      <c r="G2484" s="9" t="s">
        <v>3356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71" t="s">
        <v>6863</v>
      </c>
      <c r="B2485" s="67">
        <v>12713166845</v>
      </c>
      <c r="C2485" s="72"/>
      <c r="D2485" s="69"/>
      <c r="E2485" s="9">
        <v>292</v>
      </c>
      <c r="F2485" s="25">
        <v>43168</v>
      </c>
      <c r="G2485" s="70" t="s">
        <v>3356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6864</v>
      </c>
      <c r="B2486" s="67">
        <v>34034498315</v>
      </c>
      <c r="C2486" s="72" t="s">
        <v>6865</v>
      </c>
      <c r="D2486" s="69">
        <v>30620015349</v>
      </c>
      <c r="E2486" s="9">
        <v>1470</v>
      </c>
      <c r="F2486" s="25">
        <v>43031</v>
      </c>
      <c r="G2486" s="70" t="s">
        <v>3356</v>
      </c>
      <c r="H2486" s="9"/>
      <c r="I2486" s="8"/>
      <c r="J2486" s="8"/>
      <c r="K2486" s="8"/>
      <c r="L2486" s="8"/>
      <c r="M2486" s="8"/>
    </row>
    <row r="2487" spans="1:13">
      <c r="A2487" s="71" t="s">
        <v>6866</v>
      </c>
      <c r="B2487" s="67">
        <v>38027861810</v>
      </c>
      <c r="C2487" s="72" t="s">
        <v>6867</v>
      </c>
      <c r="D2487" s="69">
        <v>28770070814</v>
      </c>
      <c r="E2487" s="9">
        <v>443</v>
      </c>
      <c r="F2487" s="25">
        <v>43188</v>
      </c>
      <c r="G2487" s="70"/>
      <c r="H2487" s="9"/>
      <c r="I2487" s="8"/>
      <c r="J2487" s="8"/>
      <c r="K2487" s="8"/>
      <c r="L2487" s="8"/>
      <c r="M2487" s="8"/>
    </row>
    <row r="2488" spans="1:13">
      <c r="A2488" s="15" t="s">
        <v>6868</v>
      </c>
      <c r="B2488" s="67">
        <v>34557275818</v>
      </c>
      <c r="C2488" s="72" t="s">
        <v>6869</v>
      </c>
      <c r="D2488" s="69">
        <v>25995627830</v>
      </c>
      <c r="E2488" s="9">
        <v>262</v>
      </c>
      <c r="F2488" s="25">
        <v>43160</v>
      </c>
      <c r="G2488" s="70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71" t="s">
        <v>6870</v>
      </c>
      <c r="B2489" s="67">
        <v>29929841830</v>
      </c>
      <c r="C2489" s="72"/>
      <c r="D2489" s="69"/>
      <c r="E2489" s="9">
        <v>1752</v>
      </c>
      <c r="F2489" s="25">
        <v>43051</v>
      </c>
      <c r="G2489" s="70" t="s">
        <v>3356</v>
      </c>
      <c r="H2489" s="9"/>
      <c r="I2489" s="8"/>
      <c r="J2489" s="8"/>
      <c r="K2489" s="8"/>
      <c r="L2489" s="9">
        <v>1759</v>
      </c>
      <c r="M2489" s="8"/>
    </row>
    <row r="2490" spans="1:13">
      <c r="A2490" s="29" t="s">
        <v>6871</v>
      </c>
      <c r="B2490" s="67"/>
      <c r="C2490" s="29" t="s">
        <v>6872</v>
      </c>
      <c r="D2490" s="69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6873</v>
      </c>
      <c r="B2491" s="67">
        <v>40298877830</v>
      </c>
      <c r="C2491" s="72" t="s">
        <v>6874</v>
      </c>
      <c r="D2491" s="69">
        <v>5551703576</v>
      </c>
      <c r="E2491" s="9">
        <v>262</v>
      </c>
      <c r="F2491" s="25">
        <v>43160</v>
      </c>
      <c r="G2491" s="70" t="s">
        <v>3356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71" t="s">
        <v>6875</v>
      </c>
      <c r="B2492" s="67">
        <v>36295512895</v>
      </c>
      <c r="C2492" s="72" t="s">
        <v>6876</v>
      </c>
      <c r="D2492" s="69">
        <v>29129585805</v>
      </c>
      <c r="E2492" s="9">
        <v>292</v>
      </c>
      <c r="F2492" s="25">
        <v>43168</v>
      </c>
      <c r="G2492" s="70" t="s">
        <v>3356</v>
      </c>
      <c r="H2492" s="9"/>
      <c r="I2492" s="8"/>
      <c r="J2492" s="8"/>
      <c r="K2492" s="8"/>
      <c r="L2492" s="9">
        <v>318</v>
      </c>
      <c r="M2492" s="8"/>
    </row>
    <row r="2493" spans="1:13">
      <c r="A2493" s="73" t="s">
        <v>6877</v>
      </c>
      <c r="B2493" s="67">
        <v>13188101830</v>
      </c>
      <c r="C2493" s="72" t="s">
        <v>6878</v>
      </c>
      <c r="D2493" s="69">
        <v>55072399320</v>
      </c>
      <c r="E2493" s="9">
        <v>1752</v>
      </c>
      <c r="F2493" s="25">
        <v>43051</v>
      </c>
      <c r="G2493" s="70" t="s">
        <v>3362</v>
      </c>
      <c r="H2493" s="9"/>
      <c r="I2493" s="8"/>
      <c r="J2493" s="8"/>
      <c r="K2493" s="8"/>
      <c r="L2493" s="9">
        <v>1759</v>
      </c>
      <c r="M2493" s="8"/>
    </row>
    <row r="2494" spans="1:13">
      <c r="A2494" s="71" t="s">
        <v>6879</v>
      </c>
      <c r="B2494" s="67">
        <v>4592851307</v>
      </c>
      <c r="C2494" s="68"/>
      <c r="D2494" s="69"/>
      <c r="E2494" s="9"/>
      <c r="F2494" s="25"/>
      <c r="G2494" s="70"/>
      <c r="H2494" s="9"/>
      <c r="I2494" s="8"/>
      <c r="J2494" s="8"/>
      <c r="K2494" s="8"/>
      <c r="L2494" s="8"/>
      <c r="M2494" s="8"/>
    </row>
    <row r="2495" spans="1:13">
      <c r="A2495" s="71" t="s">
        <v>6880</v>
      </c>
      <c r="B2495" s="67">
        <v>33207343856</v>
      </c>
      <c r="C2495" s="68"/>
      <c r="D2495" s="69"/>
      <c r="E2495" s="9">
        <v>1489</v>
      </c>
      <c r="F2495" s="25">
        <v>43038</v>
      </c>
      <c r="G2495" s="70" t="s">
        <v>3356</v>
      </c>
      <c r="H2495" s="9"/>
      <c r="I2495" s="8"/>
      <c r="J2495" s="8"/>
      <c r="K2495" s="8"/>
      <c r="L2495" s="9" t="s">
        <v>3497</v>
      </c>
      <c r="M2495" s="8"/>
    </row>
    <row r="2496" spans="1:13">
      <c r="A2496" s="71" t="s">
        <v>6881</v>
      </c>
      <c r="B2496" s="67">
        <v>51930315368</v>
      </c>
      <c r="C2496" s="72"/>
      <c r="D2496" s="69"/>
      <c r="E2496" s="9"/>
      <c r="F2496" s="25"/>
      <c r="G2496" s="70"/>
      <c r="H2496" s="9"/>
      <c r="I2496" s="8"/>
      <c r="J2496" s="8"/>
      <c r="K2496" s="8"/>
      <c r="L2496" s="8"/>
      <c r="M2496" s="8"/>
    </row>
    <row r="2497" spans="1:13">
      <c r="A2497" s="72" t="s">
        <v>6882</v>
      </c>
      <c r="B2497" s="67">
        <v>18468597864</v>
      </c>
      <c r="C2497" s="72" t="s">
        <v>6883</v>
      </c>
      <c r="D2497" s="69">
        <v>28658630854</v>
      </c>
      <c r="E2497" s="9"/>
      <c r="F2497" s="25"/>
      <c r="G2497" s="70"/>
      <c r="H2497" s="9"/>
      <c r="I2497" s="8"/>
      <c r="J2497" s="8"/>
      <c r="K2497" s="8"/>
      <c r="L2497" s="8"/>
      <c r="M2497" s="8"/>
    </row>
    <row r="2498" spans="1:13">
      <c r="A2498" s="71" t="s">
        <v>6884</v>
      </c>
      <c r="B2498" s="67">
        <v>18462937825</v>
      </c>
      <c r="C2498" s="68"/>
      <c r="D2498" s="69"/>
      <c r="E2498" s="9">
        <v>1128</v>
      </c>
      <c r="F2498" s="25">
        <v>42972</v>
      </c>
      <c r="G2498" s="70" t="s">
        <v>3356</v>
      </c>
      <c r="H2498" s="9"/>
      <c r="I2498" s="8"/>
      <c r="J2498" s="8"/>
      <c r="K2498" s="8"/>
      <c r="L2498" s="8"/>
      <c r="M2498" s="8"/>
    </row>
    <row r="2499" spans="1:13">
      <c r="A2499" s="15" t="s">
        <v>6885</v>
      </c>
      <c r="B2499" s="67">
        <v>38618983810</v>
      </c>
      <c r="C2499" s="72"/>
      <c r="D2499" s="69"/>
      <c r="E2499" s="9">
        <v>229</v>
      </c>
      <c r="F2499" s="25">
        <v>43151</v>
      </c>
      <c r="G2499" s="70" t="s">
        <v>3356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6886</v>
      </c>
      <c r="B2500" s="67">
        <v>46654346890</v>
      </c>
      <c r="C2500" s="72"/>
      <c r="D2500" s="69"/>
      <c r="E2500" s="9">
        <v>85</v>
      </c>
      <c r="F2500" s="25">
        <v>43109</v>
      </c>
      <c r="G2500" s="70" t="s">
        <v>3356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6887</v>
      </c>
      <c r="B2501" s="67">
        <v>23134916843</v>
      </c>
      <c r="C2501" s="72" t="s">
        <v>6888</v>
      </c>
      <c r="D2501" s="69"/>
      <c r="E2501" s="9"/>
      <c r="F2501" s="25"/>
      <c r="G2501" s="70"/>
      <c r="H2501" s="9"/>
      <c r="I2501" s="8"/>
      <c r="J2501" s="8"/>
      <c r="K2501" s="8"/>
      <c r="L2501" s="8"/>
      <c r="M2501" s="8"/>
    </row>
    <row r="2502" spans="1:13">
      <c r="A2502" s="72" t="s">
        <v>6889</v>
      </c>
      <c r="B2502" s="67">
        <v>60939966468</v>
      </c>
      <c r="C2502" s="72" t="s">
        <v>6890</v>
      </c>
      <c r="D2502" s="69">
        <v>43508498824</v>
      </c>
      <c r="E2502" s="9"/>
      <c r="F2502" s="25"/>
      <c r="G2502" s="70"/>
      <c r="H2502" s="9"/>
      <c r="I2502" s="8"/>
      <c r="J2502" s="8"/>
      <c r="K2502" s="8"/>
      <c r="L2502" s="8"/>
      <c r="M2502" s="8"/>
    </row>
    <row r="2503" spans="1:13">
      <c r="A2503" s="29" t="s">
        <v>6891</v>
      </c>
      <c r="B2503" s="67"/>
      <c r="C2503" s="29" t="s">
        <v>6892</v>
      </c>
      <c r="D2503" s="69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6893</v>
      </c>
      <c r="B2504" s="67">
        <v>33701764832</v>
      </c>
      <c r="C2504" s="72"/>
      <c r="D2504" s="69"/>
      <c r="E2504" s="9">
        <v>262</v>
      </c>
      <c r="F2504" s="25">
        <v>43160</v>
      </c>
      <c r="G2504" s="70" t="s">
        <v>3356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6894</v>
      </c>
      <c r="B2505" s="67">
        <v>33594407810</v>
      </c>
      <c r="C2505" s="68" t="s">
        <v>6895</v>
      </c>
      <c r="D2505" s="69">
        <v>5613611777</v>
      </c>
      <c r="E2505" s="9">
        <v>1128</v>
      </c>
      <c r="F2505" s="25">
        <v>42972</v>
      </c>
      <c r="G2505" s="70" t="s">
        <v>3356</v>
      </c>
      <c r="H2505" s="9"/>
      <c r="I2505" s="8"/>
      <c r="J2505" s="8"/>
      <c r="K2505" s="8"/>
      <c r="L2505" s="8"/>
      <c r="M2505" s="8"/>
    </row>
    <row r="2506" spans="1:13">
      <c r="A2506" s="71" t="s">
        <v>6896</v>
      </c>
      <c r="B2506" s="67">
        <v>31973273810</v>
      </c>
      <c r="C2506" s="72"/>
      <c r="D2506" s="69"/>
      <c r="E2506" s="9">
        <v>292</v>
      </c>
      <c r="F2506" s="25">
        <v>43168</v>
      </c>
      <c r="G2506" s="70" t="s">
        <v>3356</v>
      </c>
      <c r="H2506" s="9"/>
      <c r="I2506" s="8"/>
      <c r="J2506" s="8"/>
      <c r="K2506" s="8"/>
      <c r="L2506" s="9">
        <v>318</v>
      </c>
      <c r="M2506" s="8"/>
    </row>
    <row r="2507" spans="1:13">
      <c r="A2507" s="71" t="s">
        <v>6897</v>
      </c>
      <c r="B2507" s="67">
        <v>38473495896</v>
      </c>
      <c r="C2507" s="77"/>
      <c r="D2507" s="69"/>
      <c r="E2507" s="9"/>
      <c r="F2507" s="25"/>
      <c r="G2507" s="70"/>
      <c r="H2507" s="9"/>
      <c r="I2507" s="8"/>
      <c r="J2507" s="8"/>
      <c r="K2507" s="8"/>
      <c r="L2507" s="8"/>
      <c r="M2507" s="8"/>
    </row>
    <row r="2508" spans="1:13">
      <c r="A2508" s="71" t="s">
        <v>6898</v>
      </c>
      <c r="B2508" s="67">
        <v>38404903832</v>
      </c>
      <c r="C2508" s="72" t="s">
        <v>6899</v>
      </c>
      <c r="D2508" s="69">
        <v>35612360819</v>
      </c>
      <c r="E2508" s="9">
        <v>810</v>
      </c>
      <c r="F2508" s="25">
        <v>42915</v>
      </c>
      <c r="G2508" s="70" t="s">
        <v>3356</v>
      </c>
      <c r="H2508" s="9"/>
      <c r="I2508" s="8"/>
      <c r="J2508" s="8"/>
      <c r="K2508" s="8"/>
      <c r="L2508" s="9" t="s">
        <v>3475</v>
      </c>
      <c r="M2508" s="8"/>
    </row>
    <row r="2509" spans="1:13">
      <c r="A2509" s="71" t="s">
        <v>6900</v>
      </c>
      <c r="B2509" s="67">
        <v>33198410843</v>
      </c>
      <c r="C2509" s="72" t="s">
        <v>6901</v>
      </c>
      <c r="D2509" s="69">
        <v>32853865843</v>
      </c>
      <c r="E2509" s="9">
        <v>810</v>
      </c>
      <c r="F2509" s="25">
        <v>42915</v>
      </c>
      <c r="G2509" s="70" t="s">
        <v>3356</v>
      </c>
      <c r="H2509" s="9"/>
      <c r="I2509" s="8"/>
      <c r="J2509" s="8"/>
      <c r="K2509" s="8"/>
      <c r="L2509" s="9" t="s">
        <v>3475</v>
      </c>
      <c r="M2509" s="8"/>
    </row>
    <row r="2510" spans="1:13">
      <c r="A2510" s="71" t="s">
        <v>6902</v>
      </c>
      <c r="B2510" s="67">
        <v>39248825842</v>
      </c>
      <c r="C2510" s="72"/>
      <c r="D2510" s="69"/>
      <c r="E2510" s="9">
        <v>292</v>
      </c>
      <c r="F2510" s="25">
        <v>43168</v>
      </c>
      <c r="G2510" s="70" t="s">
        <v>3356</v>
      </c>
      <c r="H2510" s="9"/>
      <c r="I2510" s="8"/>
      <c r="J2510" s="8"/>
      <c r="K2510" s="8"/>
      <c r="L2510" s="9">
        <v>318</v>
      </c>
      <c r="M2510" s="8"/>
    </row>
    <row r="2511" spans="1:13">
      <c r="A2511" s="71" t="s">
        <v>6903</v>
      </c>
      <c r="B2511" s="67">
        <v>46962268831</v>
      </c>
      <c r="C2511" s="72" t="s">
        <v>6904</v>
      </c>
      <c r="D2511" s="69">
        <v>40564058831</v>
      </c>
      <c r="E2511" s="9">
        <v>1752</v>
      </c>
      <c r="F2511" s="25">
        <v>43051</v>
      </c>
      <c r="G2511" s="70" t="s">
        <v>3370</v>
      </c>
      <c r="H2511" s="9"/>
      <c r="I2511" s="8"/>
      <c r="J2511" s="8"/>
      <c r="K2511" s="8"/>
      <c r="L2511" s="9">
        <v>1759</v>
      </c>
      <c r="M2511" s="8"/>
    </row>
    <row r="2512" spans="1:13">
      <c r="A2512" s="71" t="s">
        <v>6905</v>
      </c>
      <c r="B2512" s="67">
        <v>33337344860</v>
      </c>
      <c r="C2512" s="72" t="s">
        <v>6906</v>
      </c>
      <c r="D2512" s="69">
        <v>33436663867</v>
      </c>
      <c r="E2512" s="9">
        <v>810</v>
      </c>
      <c r="F2512" s="25">
        <v>42915</v>
      </c>
      <c r="G2512" s="70" t="s">
        <v>3356</v>
      </c>
      <c r="H2512" s="9"/>
      <c r="I2512" s="8"/>
      <c r="J2512" s="8"/>
      <c r="K2512" s="8"/>
      <c r="L2512" s="9" t="s">
        <v>3475</v>
      </c>
      <c r="M2512" s="8"/>
    </row>
    <row r="2513" spans="1:13">
      <c r="A2513" s="14" t="s">
        <v>6907</v>
      </c>
      <c r="B2513" s="67">
        <v>11587518694</v>
      </c>
      <c r="C2513" s="72" t="s">
        <v>6908</v>
      </c>
      <c r="D2513" s="69">
        <v>4367275442</v>
      </c>
      <c r="E2513" s="9"/>
      <c r="F2513" s="25"/>
      <c r="G2513" s="70"/>
      <c r="H2513" s="9"/>
      <c r="I2513" s="8"/>
      <c r="J2513" s="8"/>
      <c r="K2513" s="8"/>
      <c r="L2513" s="8"/>
      <c r="M2513" s="8"/>
    </row>
    <row r="2514" spans="1:13">
      <c r="A2514" s="13" t="s">
        <v>6909</v>
      </c>
      <c r="B2514" s="67">
        <v>37957151809</v>
      </c>
      <c r="C2514" s="72" t="s">
        <v>6910</v>
      </c>
      <c r="D2514" s="69">
        <v>28342788814</v>
      </c>
      <c r="E2514" s="9">
        <v>1570</v>
      </c>
      <c r="F2514" s="25">
        <v>43077</v>
      </c>
      <c r="G2514" s="70" t="s">
        <v>3356</v>
      </c>
      <c r="H2514" s="9"/>
      <c r="I2514" s="8"/>
      <c r="J2514" s="8"/>
      <c r="K2514" s="8"/>
      <c r="L2514" s="8"/>
      <c r="M2514" s="8"/>
    </row>
    <row r="2515" spans="1:13">
      <c r="A2515" s="71" t="s">
        <v>6911</v>
      </c>
      <c r="B2515" s="67">
        <v>33607921814</v>
      </c>
      <c r="C2515" s="72"/>
      <c r="D2515" s="69"/>
      <c r="E2515" s="9">
        <v>563</v>
      </c>
      <c r="F2515" s="25">
        <v>43217</v>
      </c>
      <c r="G2515" s="70"/>
      <c r="H2515" s="9"/>
      <c r="I2515" s="8"/>
      <c r="J2515" s="8"/>
      <c r="K2515" s="8"/>
      <c r="L2515" s="9" t="s">
        <v>3636</v>
      </c>
      <c r="M2515" s="8"/>
    </row>
    <row r="2516" spans="1:13">
      <c r="A2516" s="29" t="s">
        <v>6912</v>
      </c>
      <c r="B2516" s="67">
        <v>35434226852</v>
      </c>
      <c r="C2516" s="29" t="s">
        <v>6913</v>
      </c>
      <c r="D2516" s="69">
        <v>35141643808</v>
      </c>
      <c r="E2516" s="9"/>
      <c r="F2516" s="25"/>
      <c r="G2516" s="70"/>
      <c r="H2516" s="9"/>
      <c r="I2516" s="8"/>
      <c r="J2516" s="8"/>
      <c r="K2516" s="8"/>
      <c r="L2516" s="8"/>
      <c r="M2516" s="8"/>
    </row>
    <row r="2517" spans="1:13">
      <c r="A2517" s="71" t="s">
        <v>6914</v>
      </c>
      <c r="B2517" s="67">
        <v>32019159805</v>
      </c>
      <c r="C2517" s="72"/>
      <c r="D2517" s="69"/>
      <c r="E2517" s="9">
        <v>85</v>
      </c>
      <c r="F2517" s="25">
        <v>43109</v>
      </c>
      <c r="G2517" s="70" t="s">
        <v>3356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6915</v>
      </c>
      <c r="B2518" s="67">
        <v>32997471850</v>
      </c>
      <c r="C2518" s="72"/>
      <c r="D2518" s="69"/>
      <c r="E2518" s="9">
        <v>1350</v>
      </c>
      <c r="F2518" s="25">
        <v>43006</v>
      </c>
      <c r="G2518" s="70" t="s">
        <v>3356</v>
      </c>
      <c r="H2518" s="9"/>
      <c r="I2518" s="8"/>
      <c r="J2518" s="8"/>
      <c r="K2518" s="8"/>
      <c r="L2518" s="8"/>
      <c r="M2518" s="8"/>
    </row>
    <row r="2519" spans="1:13">
      <c r="A2519" s="15" t="s">
        <v>6916</v>
      </c>
      <c r="B2519" s="67">
        <v>22184632880</v>
      </c>
      <c r="C2519" s="72"/>
      <c r="D2519" s="69"/>
      <c r="E2519" s="9">
        <v>262</v>
      </c>
      <c r="F2519" s="25">
        <v>43160</v>
      </c>
      <c r="G2519" s="70" t="s">
        <v>3356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6917</v>
      </c>
      <c r="B2520" s="67">
        <v>25408655857</v>
      </c>
      <c r="C2520" s="72"/>
      <c r="D2520" s="69"/>
      <c r="E2520" s="9"/>
      <c r="F2520" s="25"/>
      <c r="G2520" s="70"/>
      <c r="H2520" s="9"/>
      <c r="I2520" s="8"/>
      <c r="J2520" s="8"/>
      <c r="K2520" s="8"/>
      <c r="L2520" s="8"/>
      <c r="M2520" s="8"/>
    </row>
    <row r="2521" spans="1:13">
      <c r="A2521" s="72" t="s">
        <v>6918</v>
      </c>
      <c r="B2521" s="67">
        <v>2802673637</v>
      </c>
      <c r="C2521" s="72"/>
      <c r="D2521" s="69"/>
      <c r="E2521" s="9"/>
      <c r="F2521" s="25"/>
      <c r="G2521" s="70"/>
      <c r="H2521" s="9"/>
      <c r="I2521" s="8"/>
      <c r="J2521" s="8"/>
      <c r="K2521" s="8"/>
      <c r="L2521" s="8"/>
      <c r="M2521" s="8"/>
    </row>
    <row r="2522" spans="1:13">
      <c r="A2522" s="71" t="s">
        <v>6919</v>
      </c>
      <c r="B2522" s="67">
        <v>31989585809</v>
      </c>
      <c r="C2522" s="72" t="s">
        <v>6920</v>
      </c>
      <c r="D2522" s="69">
        <v>4312861919</v>
      </c>
      <c r="E2522" s="9">
        <v>1824</v>
      </c>
      <c r="F2522" s="25">
        <v>43091</v>
      </c>
      <c r="G2522" s="70" t="s">
        <v>3370</v>
      </c>
      <c r="H2522" s="9"/>
      <c r="I2522" s="8"/>
      <c r="J2522" s="8"/>
      <c r="K2522" s="8"/>
      <c r="L2522" s="9">
        <v>1828</v>
      </c>
      <c r="M2522" s="8"/>
    </row>
    <row r="2523" spans="1:13">
      <c r="A2523" s="29" t="s">
        <v>6921</v>
      </c>
      <c r="B2523" s="67">
        <v>30264611802</v>
      </c>
      <c r="C2523" s="29" t="s">
        <v>6922</v>
      </c>
      <c r="D2523" s="69">
        <v>38321522882</v>
      </c>
      <c r="E2523" s="9"/>
      <c r="F2523" s="25"/>
      <c r="G2523" s="70"/>
      <c r="H2523" s="9"/>
      <c r="I2523" s="8"/>
      <c r="J2523" s="8"/>
      <c r="K2523" s="8"/>
      <c r="L2523" s="8"/>
      <c r="M2523" s="8"/>
    </row>
    <row r="2524" spans="1:13">
      <c r="A2524" s="13" t="s">
        <v>6923</v>
      </c>
      <c r="B2524" s="67">
        <v>98401858534</v>
      </c>
      <c r="C2524" s="68"/>
      <c r="D2524" s="69"/>
      <c r="E2524" s="9">
        <v>1128</v>
      </c>
      <c r="F2524" s="25">
        <v>42972</v>
      </c>
      <c r="G2524" s="70" t="s">
        <v>3356</v>
      </c>
      <c r="H2524" s="9"/>
      <c r="I2524" s="8"/>
      <c r="J2524" s="8"/>
      <c r="K2524" s="8"/>
      <c r="L2524" s="8"/>
      <c r="M2524" s="8"/>
    </row>
    <row r="2525" spans="1:13">
      <c r="A2525" s="71" t="s">
        <v>6924</v>
      </c>
      <c r="B2525" s="67">
        <v>35598313855</v>
      </c>
      <c r="C2525" s="72"/>
      <c r="D2525" s="69"/>
      <c r="E2525" s="9">
        <v>292</v>
      </c>
      <c r="F2525" s="25">
        <v>43168</v>
      </c>
      <c r="G2525" s="70" t="s">
        <v>3356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6925</v>
      </c>
      <c r="B2526" s="67">
        <v>8432447803</v>
      </c>
      <c r="C2526" s="72"/>
      <c r="D2526" s="69"/>
      <c r="E2526" s="9">
        <v>262</v>
      </c>
      <c r="F2526" s="25">
        <v>43160</v>
      </c>
      <c r="G2526" s="70" t="s">
        <v>3356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71" t="s">
        <v>6926</v>
      </c>
      <c r="B2527" s="67">
        <v>61372684549</v>
      </c>
      <c r="C2527" s="72"/>
      <c r="D2527" s="69"/>
      <c r="E2527" s="9">
        <v>262</v>
      </c>
      <c r="F2527" s="25">
        <v>43160</v>
      </c>
      <c r="G2527" s="9" t="s">
        <v>3356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71" t="s">
        <v>6927</v>
      </c>
      <c r="B2528" s="67">
        <v>3110525330</v>
      </c>
      <c r="C2528" s="72"/>
      <c r="D2528" s="69"/>
      <c r="E2528" s="9">
        <v>573</v>
      </c>
      <c r="F2528" s="25">
        <v>43224</v>
      </c>
      <c r="G2528" s="70"/>
      <c r="H2528" s="9"/>
      <c r="I2528" s="8"/>
      <c r="J2528" s="8"/>
      <c r="K2528" s="8"/>
      <c r="L2528" s="8"/>
      <c r="M2528" s="8"/>
    </row>
    <row r="2529" spans="1:13">
      <c r="A2529" s="71" t="s">
        <v>6928</v>
      </c>
      <c r="B2529" s="67">
        <v>37331713817</v>
      </c>
      <c r="C2529" s="72"/>
      <c r="D2529" s="69"/>
      <c r="E2529" s="9"/>
      <c r="F2529" s="25"/>
      <c r="G2529" s="70"/>
      <c r="H2529" s="9"/>
      <c r="I2529" s="8"/>
      <c r="J2529" s="8"/>
      <c r="K2529" s="8"/>
      <c r="L2529" s="8"/>
      <c r="M2529" s="8"/>
    </row>
    <row r="2530" spans="1:13">
      <c r="A2530" s="71" t="s">
        <v>6929</v>
      </c>
      <c r="B2530" s="67">
        <v>31117169880</v>
      </c>
      <c r="C2530" s="72" t="s">
        <v>6930</v>
      </c>
      <c r="D2530" s="69">
        <v>94586772468</v>
      </c>
      <c r="E2530" s="9"/>
      <c r="F2530" s="25"/>
      <c r="G2530" s="70"/>
      <c r="H2530" s="9"/>
      <c r="I2530" s="8"/>
      <c r="J2530" s="8"/>
      <c r="K2530" s="8"/>
      <c r="L2530" s="8"/>
      <c r="M2530" s="8"/>
    </row>
    <row r="2531" spans="1:13">
      <c r="A2531" s="15" t="s">
        <v>6931</v>
      </c>
      <c r="B2531" s="67">
        <v>16412994874</v>
      </c>
      <c r="C2531" s="72"/>
      <c r="D2531" s="69"/>
      <c r="E2531" s="9">
        <v>117</v>
      </c>
      <c r="F2531" s="25">
        <v>43117</v>
      </c>
      <c r="G2531" s="70" t="s">
        <v>3356</v>
      </c>
      <c r="H2531" s="9"/>
      <c r="I2531" s="8"/>
      <c r="J2531" s="8"/>
      <c r="K2531" s="8"/>
      <c r="L2531" s="9" t="s">
        <v>3507</v>
      </c>
      <c r="M2531" s="8"/>
    </row>
    <row r="2532" spans="1:13">
      <c r="A2532" s="29" t="s">
        <v>6932</v>
      </c>
      <c r="B2532" s="67"/>
      <c r="C2532" s="18"/>
      <c r="D2532" s="69"/>
      <c r="E2532" s="9"/>
      <c r="F2532" s="25"/>
      <c r="G2532" s="70"/>
      <c r="H2532" s="9"/>
      <c r="I2532" s="8"/>
      <c r="J2532" s="8"/>
      <c r="K2532" s="8"/>
      <c r="L2532" s="8"/>
      <c r="M2532" s="8"/>
    </row>
    <row r="2533" spans="1:13">
      <c r="A2533" s="73" t="s">
        <v>6933</v>
      </c>
      <c r="B2533" s="67">
        <v>34800386896</v>
      </c>
      <c r="C2533" s="72" t="s">
        <v>6934</v>
      </c>
      <c r="D2533" s="69">
        <v>33748068808</v>
      </c>
      <c r="E2533" s="9">
        <v>810</v>
      </c>
      <c r="F2533" s="25">
        <v>42915</v>
      </c>
      <c r="G2533" s="70" t="s">
        <v>3356</v>
      </c>
      <c r="H2533" s="9"/>
      <c r="I2533" s="8"/>
      <c r="J2533" s="8"/>
      <c r="K2533" s="8"/>
      <c r="L2533" s="9" t="s">
        <v>3475</v>
      </c>
      <c r="M2533" s="8"/>
    </row>
    <row r="2534" spans="1:13">
      <c r="A2534" s="72" t="s">
        <v>6935</v>
      </c>
      <c r="B2534" s="67">
        <v>46664827840</v>
      </c>
      <c r="C2534" s="72"/>
      <c r="D2534" s="69"/>
      <c r="E2534" s="9"/>
      <c r="F2534" s="25"/>
      <c r="G2534" s="70"/>
      <c r="H2534" s="9"/>
      <c r="I2534" s="8"/>
      <c r="J2534" s="8"/>
      <c r="K2534" s="8"/>
      <c r="L2534" s="8"/>
      <c r="M2534" s="8"/>
    </row>
    <row r="2535" spans="1:13">
      <c r="A2535" s="71" t="s">
        <v>6936</v>
      </c>
      <c r="B2535" s="67">
        <v>38858760867</v>
      </c>
      <c r="C2535" s="68" t="s">
        <v>6937</v>
      </c>
      <c r="D2535" s="69">
        <v>37279553842</v>
      </c>
      <c r="E2535" s="9">
        <v>1128</v>
      </c>
      <c r="F2535" s="25">
        <v>42972</v>
      </c>
      <c r="G2535" s="70" t="s">
        <v>3356</v>
      </c>
      <c r="H2535" s="9"/>
      <c r="I2535" s="8"/>
      <c r="J2535" s="8"/>
      <c r="K2535" s="8"/>
      <c r="L2535" s="8"/>
      <c r="M2535" s="8"/>
    </row>
    <row r="2536" spans="1:13">
      <c r="A2536" s="29" t="s">
        <v>6938</v>
      </c>
      <c r="B2536" s="67">
        <v>43621579800</v>
      </c>
      <c r="C2536" s="29" t="s">
        <v>3466</v>
      </c>
      <c r="D2536" s="69"/>
      <c r="E2536" s="9"/>
      <c r="F2536" s="25"/>
      <c r="G2536" s="70"/>
      <c r="H2536" s="9"/>
      <c r="I2536" s="8"/>
      <c r="J2536" s="8"/>
      <c r="K2536" s="8"/>
      <c r="L2536" s="8"/>
      <c r="M2536" s="8"/>
    </row>
    <row r="2537" spans="1:13">
      <c r="A2537" s="71" t="s">
        <v>6939</v>
      </c>
      <c r="B2537" s="67">
        <v>37412192825</v>
      </c>
      <c r="C2537" s="72" t="s">
        <v>6940</v>
      </c>
      <c r="D2537" s="69">
        <v>27576214830</v>
      </c>
      <c r="E2537" s="9">
        <v>1489</v>
      </c>
      <c r="F2537" s="25">
        <v>43038</v>
      </c>
      <c r="G2537" s="70" t="s">
        <v>3356</v>
      </c>
      <c r="H2537" s="9"/>
      <c r="I2537" s="8"/>
      <c r="J2537" s="8"/>
      <c r="K2537" s="8"/>
      <c r="L2537" s="9" t="s">
        <v>3497</v>
      </c>
      <c r="M2537" s="8"/>
    </row>
    <row r="2538" spans="1:13">
      <c r="A2538" s="71" t="s">
        <v>6941</v>
      </c>
      <c r="B2538" s="67">
        <v>25372296810</v>
      </c>
      <c r="C2538" s="72"/>
      <c r="D2538" s="69"/>
      <c r="E2538" s="9">
        <v>85</v>
      </c>
      <c r="F2538" s="25">
        <v>43109</v>
      </c>
      <c r="G2538" s="70" t="s">
        <v>3356</v>
      </c>
      <c r="H2538" s="25">
        <v>43151</v>
      </c>
      <c r="I2538" s="8"/>
      <c r="J2538" s="8"/>
      <c r="K2538" s="8"/>
      <c r="L2538" s="8"/>
      <c r="M2538" s="8"/>
    </row>
    <row r="2539" spans="1:13">
      <c r="A2539" s="71" t="s">
        <v>6942</v>
      </c>
      <c r="B2539" s="67">
        <v>26516449864</v>
      </c>
      <c r="C2539" s="72"/>
      <c r="D2539" s="69"/>
      <c r="E2539" s="9">
        <v>810</v>
      </c>
      <c r="F2539" s="25">
        <v>42915</v>
      </c>
      <c r="G2539" s="70" t="s">
        <v>3356</v>
      </c>
      <c r="H2539" s="9"/>
      <c r="I2539" s="8"/>
      <c r="J2539" s="8"/>
      <c r="K2539" s="8"/>
      <c r="L2539" s="9" t="s">
        <v>3475</v>
      </c>
      <c r="M2539" s="8"/>
    </row>
    <row r="2540" spans="1:13">
      <c r="A2540" s="71" t="s">
        <v>6943</v>
      </c>
      <c r="B2540" s="67">
        <v>34932681810</v>
      </c>
      <c r="C2540" s="72"/>
      <c r="D2540" s="69"/>
      <c r="E2540" s="9">
        <v>443</v>
      </c>
      <c r="F2540" s="25">
        <v>43188</v>
      </c>
      <c r="G2540" s="70"/>
      <c r="H2540" s="9"/>
      <c r="I2540" s="8"/>
      <c r="J2540" s="8"/>
      <c r="K2540" s="8"/>
      <c r="L2540" s="8"/>
      <c r="M2540" s="8"/>
    </row>
    <row r="2541" spans="1:13">
      <c r="A2541" s="15" t="s">
        <v>6944</v>
      </c>
      <c r="B2541" s="67">
        <v>41136210806</v>
      </c>
      <c r="C2541" s="72"/>
      <c r="D2541" s="69"/>
      <c r="E2541" s="9"/>
      <c r="F2541" s="25"/>
      <c r="G2541" s="70"/>
      <c r="H2541" s="9"/>
      <c r="I2541" s="8"/>
      <c r="J2541" s="8"/>
      <c r="K2541" s="8"/>
      <c r="L2541" s="8"/>
      <c r="M2541" s="8"/>
    </row>
    <row r="2542" spans="1:13">
      <c r="A2542" s="72" t="s">
        <v>6945</v>
      </c>
      <c r="B2542" s="67">
        <v>3402540410</v>
      </c>
      <c r="C2542" s="72"/>
      <c r="D2542" s="69"/>
      <c r="E2542" s="9"/>
      <c r="F2542" s="25"/>
      <c r="G2542" s="70"/>
      <c r="H2542" s="9"/>
      <c r="I2542" s="8"/>
      <c r="J2542" s="8"/>
      <c r="K2542" s="8"/>
      <c r="L2542" s="8"/>
      <c r="M2542" s="8"/>
    </row>
    <row r="2543" spans="1:13">
      <c r="A2543" s="71" t="s">
        <v>6946</v>
      </c>
      <c r="B2543" s="67">
        <v>36613563803</v>
      </c>
      <c r="C2543" s="72" t="s">
        <v>6947</v>
      </c>
      <c r="D2543" s="69">
        <v>27798369899</v>
      </c>
      <c r="E2543" s="9">
        <v>292</v>
      </c>
      <c r="F2543" s="25">
        <v>43168</v>
      </c>
      <c r="G2543" s="70" t="s">
        <v>3356</v>
      </c>
      <c r="H2543" s="9"/>
      <c r="I2543" s="8"/>
      <c r="J2543" s="8"/>
      <c r="K2543" s="8"/>
      <c r="L2543" s="9">
        <v>318</v>
      </c>
      <c r="M2543" s="8"/>
    </row>
    <row r="2544" spans="1:13">
      <c r="A2544" s="71" t="s">
        <v>6948</v>
      </c>
      <c r="B2544" s="67">
        <v>35336370851</v>
      </c>
      <c r="C2544" s="72"/>
      <c r="D2544" s="69"/>
      <c r="E2544" s="9"/>
      <c r="F2544" s="25"/>
      <c r="G2544" s="70"/>
      <c r="H2544" s="9"/>
      <c r="I2544" s="8"/>
      <c r="J2544" s="8"/>
      <c r="K2544" s="8"/>
      <c r="L2544" s="8"/>
      <c r="M2544" s="8"/>
    </row>
    <row r="2545" spans="1:13">
      <c r="A2545" s="71" t="s">
        <v>6949</v>
      </c>
      <c r="B2545" s="67">
        <v>29653447807</v>
      </c>
      <c r="C2545" s="72"/>
      <c r="D2545" s="69"/>
      <c r="E2545" s="9">
        <v>810</v>
      </c>
      <c r="F2545" s="25">
        <v>42915</v>
      </c>
      <c r="G2545" s="70" t="s">
        <v>3356</v>
      </c>
      <c r="H2545" s="9"/>
      <c r="I2545" s="8"/>
      <c r="J2545" s="8"/>
      <c r="K2545" s="8"/>
      <c r="L2545" s="9" t="s">
        <v>3475</v>
      </c>
      <c r="M2545" s="8"/>
    </row>
    <row r="2546" spans="1:13" ht="30">
      <c r="A2546" s="91" t="s">
        <v>6950</v>
      </c>
      <c r="B2546" s="67">
        <v>29034417824</v>
      </c>
      <c r="C2546" s="72"/>
      <c r="D2546" s="69"/>
      <c r="E2546" s="9">
        <v>1350</v>
      </c>
      <c r="F2546" s="25">
        <v>43006</v>
      </c>
      <c r="G2546" s="70" t="s">
        <v>3356</v>
      </c>
      <c r="H2546" s="9"/>
      <c r="I2546" s="8"/>
      <c r="J2546" s="8"/>
      <c r="K2546" s="8"/>
      <c r="L2546" s="8"/>
      <c r="M2546" s="8"/>
    </row>
    <row r="2547" spans="1:13">
      <c r="A2547" s="15" t="s">
        <v>6951</v>
      </c>
      <c r="B2547" s="67">
        <v>2950068545</v>
      </c>
      <c r="C2547" s="15" t="s">
        <v>6952</v>
      </c>
      <c r="D2547" s="69">
        <v>64495957520</v>
      </c>
      <c r="E2547" s="9"/>
      <c r="F2547" s="25"/>
      <c r="G2547" s="70"/>
      <c r="H2547" s="9"/>
      <c r="I2547" s="8"/>
      <c r="J2547" s="8"/>
      <c r="K2547" s="8"/>
      <c r="L2547" s="8"/>
      <c r="M2547" s="8"/>
    </row>
    <row r="2548" spans="1:13">
      <c r="A2548" s="71" t="s">
        <v>6953</v>
      </c>
      <c r="B2548" s="67">
        <v>28714095874</v>
      </c>
      <c r="C2548" s="72"/>
      <c r="D2548" s="69"/>
      <c r="E2548" s="9">
        <v>1106</v>
      </c>
      <c r="F2548" s="25">
        <v>42965</v>
      </c>
      <c r="G2548" s="70" t="s">
        <v>3356</v>
      </c>
      <c r="H2548" s="9"/>
      <c r="I2548" s="8"/>
      <c r="J2548" s="8"/>
      <c r="K2548" s="8"/>
      <c r="L2548" s="8"/>
      <c r="M2548" s="8"/>
    </row>
    <row r="2549" spans="1:13">
      <c r="A2549" s="71" t="s">
        <v>6954</v>
      </c>
      <c r="B2549" s="67">
        <v>4747247513</v>
      </c>
      <c r="C2549" s="68"/>
      <c r="D2549" s="69"/>
      <c r="E2549" s="9">
        <v>1824</v>
      </c>
      <c r="F2549" s="25">
        <v>43091</v>
      </c>
      <c r="G2549" s="70" t="s">
        <v>3362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6955</v>
      </c>
      <c r="B2550" s="67">
        <v>12460105690</v>
      </c>
      <c r="C2550" s="72"/>
      <c r="D2550" s="69"/>
      <c r="E2550" s="9"/>
      <c r="F2550" s="25"/>
      <c r="G2550" s="70"/>
      <c r="H2550" s="9"/>
      <c r="I2550" s="8"/>
      <c r="J2550" s="8"/>
      <c r="K2550" s="8"/>
      <c r="L2550" s="8"/>
      <c r="M2550" s="8"/>
    </row>
    <row r="2551" spans="1:13">
      <c r="A2551" s="71" t="s">
        <v>6956</v>
      </c>
      <c r="B2551" s="67">
        <v>44618522453</v>
      </c>
      <c r="C2551" s="68" t="s">
        <v>6957</v>
      </c>
      <c r="D2551" s="69">
        <v>22176180836</v>
      </c>
      <c r="E2551" s="9">
        <v>292</v>
      </c>
      <c r="F2551" s="25">
        <v>43168</v>
      </c>
      <c r="G2551" s="70"/>
      <c r="H2551" s="9"/>
      <c r="I2551" s="8"/>
      <c r="J2551" s="8"/>
      <c r="K2551" s="8"/>
      <c r="L2551" s="9">
        <v>318</v>
      </c>
      <c r="M2551" s="8"/>
    </row>
    <row r="2552" spans="1:13">
      <c r="A2552" s="71" t="s">
        <v>6958</v>
      </c>
      <c r="B2552" s="67">
        <v>4517298540</v>
      </c>
      <c r="C2552" s="68"/>
      <c r="D2552" s="69"/>
      <c r="E2552" s="9">
        <v>117</v>
      </c>
      <c r="F2552" s="25">
        <v>43117</v>
      </c>
      <c r="G2552" s="70" t="s">
        <v>3356</v>
      </c>
      <c r="H2552" s="9"/>
      <c r="I2552" s="8"/>
      <c r="J2552" s="8"/>
      <c r="K2552" s="8"/>
      <c r="L2552" s="9" t="s">
        <v>3507</v>
      </c>
      <c r="M2552" s="8"/>
    </row>
    <row r="2553" spans="1:13">
      <c r="A2553" s="71" t="s">
        <v>6959</v>
      </c>
      <c r="B2553" s="67">
        <v>51627108491</v>
      </c>
      <c r="C2553" s="72"/>
      <c r="D2553" s="69"/>
      <c r="E2553" s="9">
        <v>1417</v>
      </c>
      <c r="F2553" s="25">
        <v>43017</v>
      </c>
      <c r="G2553" s="70" t="s">
        <v>3356</v>
      </c>
      <c r="H2553" s="9"/>
      <c r="I2553" s="8"/>
      <c r="J2553" s="8"/>
      <c r="K2553" s="8"/>
      <c r="L2553" s="9" t="s">
        <v>3590</v>
      </c>
      <c r="M2553" s="8"/>
    </row>
    <row r="2554" spans="1:13">
      <c r="A2554" s="71" t="s">
        <v>6960</v>
      </c>
      <c r="B2554" s="67">
        <v>32696581843</v>
      </c>
      <c r="C2554" s="72"/>
      <c r="D2554" s="69"/>
      <c r="E2554" s="9"/>
      <c r="F2554" s="25"/>
      <c r="G2554" s="70"/>
      <c r="H2554" s="9"/>
      <c r="I2554" s="8"/>
      <c r="J2554" s="8"/>
      <c r="K2554" s="8"/>
      <c r="L2554" s="8"/>
      <c r="M2554" s="8"/>
    </row>
    <row r="2555" spans="1:13">
      <c r="A2555" s="71" t="s">
        <v>6961</v>
      </c>
      <c r="B2555" s="67">
        <v>26333731862</v>
      </c>
      <c r="C2555" s="72" t="s">
        <v>6962</v>
      </c>
      <c r="D2555" s="69">
        <v>11915088895</v>
      </c>
      <c r="E2555" s="9"/>
      <c r="F2555" s="25"/>
      <c r="G2555" s="70"/>
      <c r="H2555" s="9"/>
      <c r="I2555" s="8"/>
      <c r="J2555" s="8"/>
      <c r="K2555" s="8"/>
      <c r="L2555" s="8"/>
      <c r="M2555" s="8"/>
    </row>
    <row r="2556" spans="1:13">
      <c r="A2556" s="71" t="s">
        <v>6963</v>
      </c>
      <c r="B2556" s="67">
        <v>33721864867</v>
      </c>
      <c r="C2556" s="77"/>
      <c r="D2556" s="69"/>
      <c r="E2556" s="9">
        <v>563</v>
      </c>
      <c r="F2556" s="25">
        <v>43217</v>
      </c>
      <c r="G2556" s="70"/>
      <c r="H2556" s="9"/>
      <c r="I2556" s="8"/>
      <c r="J2556" s="8"/>
      <c r="K2556" s="8"/>
      <c r="L2556" s="9" t="s">
        <v>3636</v>
      </c>
      <c r="M2556" s="8"/>
    </row>
    <row r="2557" spans="1:13">
      <c r="A2557" s="71" t="s">
        <v>6964</v>
      </c>
      <c r="B2557" s="67">
        <v>16490342880</v>
      </c>
      <c r="C2557" s="68"/>
      <c r="D2557" s="69"/>
      <c r="E2557" s="9">
        <v>1359</v>
      </c>
      <c r="F2557" s="25">
        <v>43006</v>
      </c>
      <c r="G2557" s="70" t="s">
        <v>3356</v>
      </c>
      <c r="H2557" s="9"/>
      <c r="I2557" s="8"/>
      <c r="J2557" s="8"/>
      <c r="K2557" s="8"/>
      <c r="L2557" s="8"/>
      <c r="M2557" s="8"/>
    </row>
    <row r="2558" spans="1:13">
      <c r="A2558" s="71" t="s">
        <v>6965</v>
      </c>
      <c r="B2558" s="67">
        <v>33194950894</v>
      </c>
      <c r="C2558" s="72"/>
      <c r="D2558" s="69"/>
      <c r="E2558" s="9">
        <v>262</v>
      </c>
      <c r="F2558" s="25">
        <v>43160</v>
      </c>
      <c r="G2558" s="9" t="s">
        <v>3356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71" t="s">
        <v>6966</v>
      </c>
      <c r="B2559" s="67">
        <v>34321457807</v>
      </c>
      <c r="C2559" s="72"/>
      <c r="D2559" s="69"/>
      <c r="E2559" s="9">
        <v>1422</v>
      </c>
      <c r="F2559" s="25">
        <v>43018</v>
      </c>
      <c r="G2559" s="70" t="s">
        <v>3356</v>
      </c>
      <c r="H2559" s="9"/>
      <c r="I2559" s="8"/>
      <c r="J2559" s="8"/>
      <c r="K2559" s="8"/>
      <c r="L2559" s="8"/>
      <c r="M2559" s="8"/>
    </row>
    <row r="2560" spans="1:13">
      <c r="A2560" s="71" t="s">
        <v>6967</v>
      </c>
      <c r="B2560" s="67">
        <v>27995581866</v>
      </c>
      <c r="C2560" s="72"/>
      <c r="D2560" s="69"/>
      <c r="E2560" s="9">
        <v>1106</v>
      </c>
      <c r="F2560" s="25">
        <v>42965</v>
      </c>
      <c r="G2560" s="70" t="s">
        <v>3356</v>
      </c>
      <c r="H2560" s="9"/>
      <c r="I2560" s="8"/>
      <c r="J2560" s="8"/>
      <c r="K2560" s="8"/>
      <c r="L2560" s="8"/>
      <c r="M2560" s="8"/>
    </row>
    <row r="2561" spans="1:13">
      <c r="A2561" s="84" t="s">
        <v>6968</v>
      </c>
      <c r="B2561" s="67">
        <v>2035513545</v>
      </c>
      <c r="C2561" s="77" t="s">
        <v>6969</v>
      </c>
      <c r="D2561" s="69">
        <v>30209785802</v>
      </c>
      <c r="E2561" s="9"/>
      <c r="F2561" s="25"/>
      <c r="G2561" s="70"/>
      <c r="H2561" s="70"/>
      <c r="I2561" s="8"/>
      <c r="J2561" s="8"/>
      <c r="K2561" s="8"/>
      <c r="L2561" s="8"/>
      <c r="M2561" s="8"/>
    </row>
    <row r="2562" spans="1:13">
      <c r="A2562" s="15" t="s">
        <v>6970</v>
      </c>
      <c r="B2562" s="67">
        <v>32375610881</v>
      </c>
      <c r="C2562" s="72" t="s">
        <v>6971</v>
      </c>
      <c r="D2562" s="69">
        <v>30232464839</v>
      </c>
      <c r="E2562" s="9">
        <v>509</v>
      </c>
      <c r="F2562" s="25">
        <v>43203</v>
      </c>
      <c r="G2562" s="76"/>
      <c r="H2562" s="76">
        <v>43213</v>
      </c>
      <c r="I2562" s="8"/>
      <c r="J2562" s="8"/>
      <c r="K2562" s="8"/>
      <c r="L2562" s="8"/>
      <c r="M2562" s="8"/>
    </row>
    <row r="2563" spans="1:13">
      <c r="A2563" s="13" t="s">
        <v>6972</v>
      </c>
      <c r="B2563" s="67">
        <v>29436360886</v>
      </c>
      <c r="C2563" s="68"/>
      <c r="D2563" s="69"/>
      <c r="E2563" s="9">
        <v>1359</v>
      </c>
      <c r="F2563" s="25">
        <v>43006</v>
      </c>
      <c r="G2563" s="70" t="s">
        <v>3356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6973</v>
      </c>
      <c r="B2564" s="67">
        <v>42538750504</v>
      </c>
      <c r="C2564" s="72"/>
      <c r="D2564" s="69"/>
      <c r="E2564" s="9">
        <v>1350</v>
      </c>
      <c r="F2564" s="25">
        <v>43006</v>
      </c>
      <c r="G2564" s="70" t="s">
        <v>3356</v>
      </c>
      <c r="H2564" s="25">
        <v>43011</v>
      </c>
      <c r="I2564" s="8"/>
      <c r="J2564" s="8"/>
      <c r="K2564" s="8"/>
      <c r="L2564" s="8"/>
      <c r="M2564" s="8"/>
    </row>
    <row r="2565" spans="1:13">
      <c r="A2565" s="71" t="s">
        <v>6974</v>
      </c>
      <c r="B2565" s="67">
        <v>47689016898</v>
      </c>
      <c r="C2565" s="72"/>
      <c r="D2565" s="69"/>
      <c r="E2565" s="9"/>
      <c r="F2565" s="25"/>
      <c r="G2565" s="70"/>
      <c r="H2565" s="9"/>
      <c r="I2565" s="8"/>
      <c r="J2565" s="8"/>
      <c r="K2565" s="8"/>
      <c r="L2565" s="8"/>
      <c r="M2565" s="8"/>
    </row>
    <row r="2566" spans="1:13">
      <c r="A2566" s="71" t="s">
        <v>6975</v>
      </c>
      <c r="B2566" s="67">
        <v>99070260697</v>
      </c>
      <c r="C2566" s="72"/>
      <c r="D2566" s="69"/>
      <c r="E2566" s="9">
        <v>1489</v>
      </c>
      <c r="F2566" s="25">
        <v>43038</v>
      </c>
      <c r="G2566" s="70" t="s">
        <v>3356</v>
      </c>
      <c r="H2566" s="9"/>
      <c r="I2566" s="8"/>
      <c r="J2566" s="8"/>
      <c r="K2566" s="8"/>
      <c r="L2566" s="9" t="s">
        <v>3497</v>
      </c>
      <c r="M2566" s="8"/>
    </row>
    <row r="2567" spans="1:13">
      <c r="A2567" s="71" t="s">
        <v>6976</v>
      </c>
      <c r="B2567" s="67">
        <v>93532571404</v>
      </c>
      <c r="C2567" s="72"/>
      <c r="D2567" s="69"/>
      <c r="E2567" s="9">
        <v>292</v>
      </c>
      <c r="F2567" s="25">
        <v>43168</v>
      </c>
      <c r="G2567" s="9" t="s">
        <v>3356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71" t="s">
        <v>6977</v>
      </c>
      <c r="B2568" s="67">
        <v>28040254892</v>
      </c>
      <c r="C2568" s="72" t="s">
        <v>6978</v>
      </c>
      <c r="D2568" s="69">
        <v>27414145808</v>
      </c>
      <c r="E2568" s="9">
        <v>810</v>
      </c>
      <c r="F2568" s="25">
        <v>42915</v>
      </c>
      <c r="G2568" s="70" t="s">
        <v>3356</v>
      </c>
      <c r="H2568" s="25">
        <v>42921</v>
      </c>
      <c r="I2568" s="8"/>
      <c r="J2568" s="8"/>
      <c r="K2568" s="8"/>
      <c r="L2568" s="9" t="s">
        <v>3475</v>
      </c>
      <c r="M2568" s="8"/>
    </row>
    <row r="2569" spans="1:13">
      <c r="A2569" s="71" t="s">
        <v>6979</v>
      </c>
      <c r="B2569" s="67">
        <v>22684269807</v>
      </c>
      <c r="C2569" s="72"/>
      <c r="D2569" s="69"/>
      <c r="E2569" s="9">
        <v>292</v>
      </c>
      <c r="F2569" s="25">
        <v>43168</v>
      </c>
      <c r="G2569" s="70" t="s">
        <v>3356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6980</v>
      </c>
      <c r="B2570" s="67">
        <v>19585439859</v>
      </c>
      <c r="C2570" s="72" t="s">
        <v>6981</v>
      </c>
      <c r="D2570" s="69">
        <v>3196522466</v>
      </c>
      <c r="E2570" s="9">
        <v>262</v>
      </c>
      <c r="F2570" s="25">
        <v>43160</v>
      </c>
      <c r="G2570" s="70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71" t="s">
        <v>6982</v>
      </c>
      <c r="B2571" s="67">
        <v>22619353823</v>
      </c>
      <c r="C2571" s="72"/>
      <c r="D2571" s="69"/>
      <c r="E2571" s="9">
        <v>292</v>
      </c>
      <c r="F2571" s="25">
        <v>43168</v>
      </c>
      <c r="G2571" s="70" t="s">
        <v>3356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9" t="s">
        <v>6983</v>
      </c>
      <c r="B2572" s="67">
        <v>33167057831</v>
      </c>
      <c r="C2572" s="18" t="s">
        <v>3466</v>
      </c>
      <c r="D2572" s="69"/>
      <c r="E2572" s="9"/>
      <c r="F2572" s="25"/>
      <c r="G2572" s="70"/>
      <c r="H2572" s="9"/>
      <c r="I2572" s="8"/>
      <c r="J2572" s="8"/>
      <c r="K2572" s="8"/>
      <c r="L2572" s="8"/>
      <c r="M2572" s="8"/>
    </row>
    <row r="2573" spans="1:13">
      <c r="A2573" s="15" t="s">
        <v>6984</v>
      </c>
      <c r="B2573" s="67">
        <v>66910528891</v>
      </c>
      <c r="C2573" s="72"/>
      <c r="D2573" s="69"/>
      <c r="E2573" s="9">
        <v>229</v>
      </c>
      <c r="F2573" s="25">
        <v>43151</v>
      </c>
      <c r="G2573" s="70" t="s">
        <v>3356</v>
      </c>
      <c r="H2573" s="9"/>
      <c r="I2573" s="8"/>
      <c r="J2573" s="8"/>
      <c r="K2573" s="8"/>
      <c r="L2573" s="9">
        <v>232</v>
      </c>
      <c r="M2573" s="8"/>
    </row>
    <row r="2574" spans="1:13">
      <c r="A2574" s="71" t="s">
        <v>6985</v>
      </c>
      <c r="B2574" s="67">
        <v>30182272800</v>
      </c>
      <c r="C2574" s="72"/>
      <c r="D2574" s="69"/>
      <c r="E2574" s="9">
        <v>292</v>
      </c>
      <c r="F2574" s="25">
        <v>43168</v>
      </c>
      <c r="G2574" s="70" t="s">
        <v>3356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6986</v>
      </c>
      <c r="B2575" s="67">
        <v>41360953841</v>
      </c>
      <c r="C2575" s="72" t="s">
        <v>6987</v>
      </c>
      <c r="D2575" s="69">
        <v>39212484859</v>
      </c>
      <c r="E2575" s="9">
        <v>117</v>
      </c>
      <c r="F2575" s="25">
        <v>43117</v>
      </c>
      <c r="G2575" s="70" t="s">
        <v>3356</v>
      </c>
      <c r="H2575" s="25">
        <v>43151</v>
      </c>
      <c r="I2575" s="8"/>
      <c r="J2575" s="8"/>
      <c r="K2575" s="8"/>
      <c r="L2575" s="9" t="s">
        <v>3507</v>
      </c>
      <c r="M2575" s="8"/>
    </row>
    <row r="2576" spans="1:13">
      <c r="A2576" s="15" t="s">
        <v>6988</v>
      </c>
      <c r="B2576" s="67">
        <v>5630332589</v>
      </c>
      <c r="C2576" s="72"/>
      <c r="D2576" s="69"/>
      <c r="E2576" s="9">
        <v>229</v>
      </c>
      <c r="F2576" s="25">
        <v>43151</v>
      </c>
      <c r="G2576" s="70" t="s">
        <v>3356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6989</v>
      </c>
      <c r="B2577" s="67">
        <v>17025966800</v>
      </c>
      <c r="C2577" s="72"/>
      <c r="D2577" s="69"/>
      <c r="E2577" s="9">
        <v>262</v>
      </c>
      <c r="F2577" s="25">
        <v>43160</v>
      </c>
      <c r="G2577" s="70" t="s">
        <v>3356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6990</v>
      </c>
      <c r="B2578" s="67">
        <v>28517747860</v>
      </c>
      <c r="C2578" s="68"/>
      <c r="D2578" s="69"/>
      <c r="E2578" s="9">
        <v>1422</v>
      </c>
      <c r="F2578" s="25">
        <v>43018</v>
      </c>
      <c r="G2578" s="70" t="s">
        <v>3356</v>
      </c>
      <c r="H2578" s="25">
        <v>43027</v>
      </c>
      <c r="I2578" s="8"/>
      <c r="J2578" s="8"/>
      <c r="K2578" s="8"/>
      <c r="L2578" s="8"/>
      <c r="M2578" s="8"/>
    </row>
    <row r="2579" spans="1:13">
      <c r="A2579" s="29" t="s">
        <v>6991</v>
      </c>
      <c r="B2579" s="67"/>
      <c r="C2579" s="29" t="s">
        <v>3466</v>
      </c>
      <c r="D2579" s="69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71" t="s">
        <v>6992</v>
      </c>
      <c r="B2580" s="67">
        <v>32306211825</v>
      </c>
      <c r="C2580" s="77"/>
      <c r="D2580" s="69"/>
      <c r="E2580" s="9"/>
      <c r="F2580" s="25"/>
      <c r="G2580" s="70"/>
      <c r="H2580" s="9"/>
      <c r="I2580" s="8"/>
      <c r="J2580" s="8"/>
      <c r="K2580" s="8"/>
      <c r="L2580" s="8"/>
      <c r="M2580" s="8"/>
    </row>
    <row r="2581" spans="1:13">
      <c r="A2581" s="14" t="s">
        <v>6993</v>
      </c>
      <c r="B2581" s="67">
        <v>23789003840</v>
      </c>
      <c r="C2581" s="72"/>
      <c r="D2581" s="69"/>
      <c r="E2581" s="9">
        <v>262</v>
      </c>
      <c r="F2581" s="25">
        <v>43160</v>
      </c>
      <c r="G2581" s="70" t="s">
        <v>3356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72" t="s">
        <v>6994</v>
      </c>
      <c r="B2582" s="67">
        <v>39407601889</v>
      </c>
      <c r="C2582" s="72" t="s">
        <v>6995</v>
      </c>
      <c r="D2582" s="69">
        <v>40422265829</v>
      </c>
      <c r="E2582" s="9"/>
      <c r="F2582" s="25"/>
      <c r="G2582" s="70"/>
      <c r="H2582" s="9"/>
      <c r="I2582" s="8"/>
      <c r="J2582" s="8"/>
      <c r="K2582" s="8"/>
      <c r="L2582" s="8"/>
      <c r="M2582" s="8"/>
    </row>
    <row r="2583" spans="1:13">
      <c r="A2583" s="72" t="s">
        <v>6996</v>
      </c>
      <c r="B2583" s="67">
        <v>39775104874</v>
      </c>
      <c r="C2583" s="72"/>
      <c r="D2583" s="69"/>
      <c r="E2583" s="9">
        <v>292</v>
      </c>
      <c r="F2583" s="25">
        <v>43168</v>
      </c>
      <c r="G2583" s="9" t="s">
        <v>3356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2493</v>
      </c>
      <c r="B2584" s="67"/>
      <c r="C2584" s="72"/>
      <c r="D2584" s="69"/>
      <c r="E2584" s="9"/>
      <c r="F2584" s="25"/>
      <c r="G2584" s="70"/>
      <c r="H2584" s="9"/>
      <c r="I2584" s="8"/>
      <c r="J2584" s="8"/>
      <c r="K2584" s="8"/>
      <c r="L2584" s="8"/>
      <c r="M2584" s="8"/>
    </row>
    <row r="2585" spans="1:13">
      <c r="A2585" s="71" t="s">
        <v>6997</v>
      </c>
      <c r="B2585" s="67">
        <v>33205428854</v>
      </c>
      <c r="C2585" s="72"/>
      <c r="D2585" s="69"/>
      <c r="E2585" s="9">
        <v>810</v>
      </c>
      <c r="F2585" s="25">
        <v>42915</v>
      </c>
      <c r="G2585" s="70" t="s">
        <v>3356</v>
      </c>
      <c r="H2585" s="25">
        <v>42921</v>
      </c>
      <c r="I2585" s="8"/>
      <c r="J2585" s="8"/>
      <c r="K2585" s="8"/>
      <c r="L2585" s="9" t="s">
        <v>3475</v>
      </c>
      <c r="M2585" s="8"/>
    </row>
    <row r="2586" spans="1:13">
      <c r="A2586" s="71" t="s">
        <v>6998</v>
      </c>
      <c r="B2586" s="67">
        <v>40831453826</v>
      </c>
      <c r="C2586" s="72" t="s">
        <v>6999</v>
      </c>
      <c r="D2586" s="69">
        <v>41787837858</v>
      </c>
      <c r="E2586" s="9">
        <v>1214</v>
      </c>
      <c r="F2586" s="25">
        <v>42989</v>
      </c>
      <c r="G2586" s="70" t="s">
        <v>3356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7000</v>
      </c>
      <c r="B2587" s="67">
        <v>23043868811</v>
      </c>
      <c r="C2587" s="18" t="s">
        <v>7001</v>
      </c>
      <c r="D2587" s="69">
        <v>22369654864</v>
      </c>
      <c r="E2587" s="9"/>
      <c r="F2587" s="25"/>
      <c r="G2587" s="70"/>
      <c r="H2587" s="9"/>
      <c r="I2587" s="8"/>
      <c r="J2587" s="8"/>
      <c r="K2587" s="8"/>
      <c r="L2587" s="8"/>
      <c r="M2587" s="8"/>
    </row>
    <row r="2588" spans="1:13">
      <c r="A2588" s="71" t="s">
        <v>7002</v>
      </c>
      <c r="B2588" s="67">
        <v>65167910404</v>
      </c>
      <c r="C2588" s="72"/>
      <c r="D2588" s="69"/>
      <c r="E2588" s="9">
        <v>262</v>
      </c>
      <c r="F2588" s="25">
        <v>43160</v>
      </c>
      <c r="G2588" s="70" t="s">
        <v>3356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7003</v>
      </c>
      <c r="B2589" s="67">
        <v>1152059343</v>
      </c>
      <c r="C2589" s="72"/>
      <c r="D2589" s="69"/>
      <c r="E2589" s="9">
        <v>1824</v>
      </c>
      <c r="F2589" s="25">
        <v>43091</v>
      </c>
      <c r="G2589" s="70" t="s">
        <v>3356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71" t="s">
        <v>7004</v>
      </c>
      <c r="B2590" s="67">
        <v>11739082850</v>
      </c>
      <c r="C2590" s="72" t="s">
        <v>7005</v>
      </c>
      <c r="D2590" s="69">
        <v>22128922844</v>
      </c>
      <c r="E2590" s="9"/>
      <c r="F2590" s="25"/>
      <c r="G2590" s="70"/>
      <c r="H2590" s="9"/>
      <c r="I2590" s="8"/>
      <c r="J2590" s="8"/>
      <c r="K2590" s="8"/>
      <c r="L2590" s="8"/>
      <c r="M2590" s="8"/>
    </row>
    <row r="2591" spans="1:13">
      <c r="A2591" s="71" t="s">
        <v>7006</v>
      </c>
      <c r="B2591" s="67">
        <v>46290680587</v>
      </c>
      <c r="C2591" s="72"/>
      <c r="D2591" s="69"/>
      <c r="E2591" s="9">
        <v>262</v>
      </c>
      <c r="F2591" s="25">
        <v>43160</v>
      </c>
      <c r="G2591" s="70" t="s">
        <v>3356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71" t="s">
        <v>7007</v>
      </c>
      <c r="B2592" s="67">
        <v>46261249091</v>
      </c>
      <c r="C2592" s="72"/>
      <c r="D2592" s="69"/>
      <c r="E2592" s="9">
        <v>1422</v>
      </c>
      <c r="F2592" s="25">
        <v>43018</v>
      </c>
      <c r="G2592" s="70" t="s">
        <v>3356</v>
      </c>
      <c r="H2592" s="25">
        <v>43027</v>
      </c>
      <c r="I2592" s="8"/>
      <c r="J2592" s="8"/>
      <c r="K2592" s="8"/>
      <c r="L2592" s="8"/>
      <c r="M2592" s="8"/>
    </row>
    <row r="2593" spans="1:13">
      <c r="A2593" s="71" t="s">
        <v>7008</v>
      </c>
      <c r="B2593" s="67">
        <v>55261035520</v>
      </c>
      <c r="C2593" s="72"/>
      <c r="D2593" s="69"/>
      <c r="E2593" s="9">
        <v>262</v>
      </c>
      <c r="F2593" s="25">
        <v>43160</v>
      </c>
      <c r="G2593" s="70" t="s">
        <v>3356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71" t="s">
        <v>7009</v>
      </c>
      <c r="B2594" s="67">
        <v>36782552809</v>
      </c>
      <c r="C2594" s="72" t="s">
        <v>7010</v>
      </c>
      <c r="D2594" s="69">
        <v>679244840</v>
      </c>
      <c r="E2594" s="9"/>
      <c r="F2594" s="25"/>
      <c r="G2594" s="70"/>
      <c r="H2594" s="9"/>
      <c r="I2594" s="8"/>
      <c r="J2594" s="8"/>
      <c r="K2594" s="8"/>
      <c r="L2594" s="8"/>
      <c r="M2594" s="8"/>
    </row>
    <row r="2595" spans="1:13">
      <c r="A2595" s="18" t="s">
        <v>7011</v>
      </c>
      <c r="B2595" s="67">
        <v>9138827808</v>
      </c>
      <c r="C2595" s="18"/>
      <c r="D2595" s="69"/>
      <c r="E2595" s="9"/>
      <c r="F2595" s="25"/>
      <c r="G2595" s="70"/>
      <c r="H2595" s="9"/>
      <c r="I2595" s="8"/>
      <c r="J2595" s="8"/>
      <c r="K2595" s="8"/>
      <c r="L2595" s="8"/>
      <c r="M2595" s="8"/>
    </row>
    <row r="2596" spans="1:13">
      <c r="A2596" s="71" t="s">
        <v>7012</v>
      </c>
      <c r="B2596" s="67">
        <v>14688424809</v>
      </c>
      <c r="C2596" s="72"/>
      <c r="D2596" s="69"/>
      <c r="E2596" s="9">
        <v>1106</v>
      </c>
      <c r="F2596" s="25">
        <v>42965</v>
      </c>
      <c r="G2596" s="70" t="s">
        <v>3356</v>
      </c>
      <c r="H2596" s="25">
        <v>42978</v>
      </c>
      <c r="I2596" s="8"/>
      <c r="J2596" s="8"/>
      <c r="K2596" s="8"/>
      <c r="L2596" s="8"/>
      <c r="M2596" s="8"/>
    </row>
    <row r="2597" spans="1:13">
      <c r="A2597" s="29" t="s">
        <v>7013</v>
      </c>
      <c r="B2597" s="67">
        <v>28249902874</v>
      </c>
      <c r="C2597" s="29" t="s">
        <v>7014</v>
      </c>
      <c r="D2597" s="69">
        <v>37445197591</v>
      </c>
      <c r="E2597" s="9"/>
      <c r="F2597" s="25"/>
      <c r="G2597" s="70"/>
      <c r="H2597" s="9"/>
      <c r="I2597" s="8"/>
      <c r="J2597" s="8"/>
      <c r="K2597" s="8"/>
      <c r="L2597" s="8"/>
      <c r="M2597" s="8"/>
    </row>
    <row r="2598" spans="1:13">
      <c r="A2598" s="71" t="s">
        <v>7015</v>
      </c>
      <c r="B2598" s="67">
        <v>36169238836</v>
      </c>
      <c r="C2598" s="77" t="s">
        <v>7016</v>
      </c>
      <c r="D2598" s="69">
        <v>36872184817</v>
      </c>
      <c r="E2598" s="9"/>
      <c r="F2598" s="25"/>
      <c r="G2598" s="70"/>
      <c r="H2598" s="9"/>
      <c r="I2598" s="8"/>
      <c r="J2598" s="8"/>
      <c r="K2598" s="8"/>
      <c r="L2598" s="8"/>
      <c r="M2598" s="8"/>
    </row>
    <row r="2599" spans="1:13">
      <c r="A2599" s="16" t="s">
        <v>7017</v>
      </c>
      <c r="B2599" s="67">
        <v>30706797817</v>
      </c>
      <c r="C2599" s="72"/>
      <c r="D2599" s="69"/>
      <c r="E2599" s="9">
        <v>292</v>
      </c>
      <c r="F2599" s="25">
        <v>43168</v>
      </c>
      <c r="G2599" s="70" t="s">
        <v>3356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9" t="s">
        <v>7018</v>
      </c>
      <c r="B2600" s="67">
        <v>30886267870</v>
      </c>
      <c r="C2600" s="29" t="s">
        <v>7019</v>
      </c>
      <c r="D2600" s="69">
        <v>26305863830</v>
      </c>
      <c r="E2600" s="9"/>
      <c r="F2600" s="25"/>
      <c r="G2600" s="70"/>
      <c r="H2600" s="9"/>
      <c r="I2600" s="8"/>
      <c r="J2600" s="8"/>
      <c r="K2600" s="8"/>
      <c r="L2600" s="8"/>
      <c r="M2600" s="8"/>
    </row>
    <row r="2601" spans="1:13">
      <c r="A2601" s="29" t="s">
        <v>7020</v>
      </c>
      <c r="B2601" s="67"/>
      <c r="C2601" s="29" t="s">
        <v>7021</v>
      </c>
      <c r="D2601" s="69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71" t="s">
        <v>7022</v>
      </c>
      <c r="B2602" s="67">
        <v>26107569847</v>
      </c>
      <c r="C2602" s="77" t="s">
        <v>7023</v>
      </c>
      <c r="D2602" s="69">
        <v>28988681835</v>
      </c>
      <c r="E2602" s="9"/>
      <c r="F2602" s="25"/>
      <c r="G2602" s="70"/>
      <c r="H2602" s="9"/>
      <c r="I2602" s="8"/>
      <c r="J2602" s="8"/>
      <c r="K2602" s="8"/>
      <c r="L2602" s="8"/>
      <c r="M2602" s="8"/>
    </row>
    <row r="2603" spans="1:13">
      <c r="A2603" s="71" t="s">
        <v>7024</v>
      </c>
      <c r="B2603" s="67">
        <v>55691668587</v>
      </c>
      <c r="C2603" s="68"/>
      <c r="D2603" s="69"/>
      <c r="E2603" s="9">
        <v>1128</v>
      </c>
      <c r="F2603" s="25">
        <v>42972</v>
      </c>
      <c r="G2603" s="70" t="s">
        <v>3356</v>
      </c>
      <c r="H2603" s="25">
        <v>42979</v>
      </c>
      <c r="I2603" s="8"/>
      <c r="J2603" s="8"/>
      <c r="K2603" s="8"/>
      <c r="L2603" s="8"/>
      <c r="M2603" s="8"/>
    </row>
    <row r="2604" spans="1:13">
      <c r="A2604" s="71" t="s">
        <v>7025</v>
      </c>
      <c r="B2604" s="67">
        <v>13516251875</v>
      </c>
      <c r="C2604" s="68" t="s">
        <v>7026</v>
      </c>
      <c r="D2604" s="69">
        <v>10146756851</v>
      </c>
      <c r="E2604" s="9">
        <v>1214</v>
      </c>
      <c r="F2604" s="25">
        <v>42989</v>
      </c>
      <c r="G2604" s="70" t="s">
        <v>3356</v>
      </c>
      <c r="H2604" s="25">
        <v>43000</v>
      </c>
      <c r="I2604" s="8"/>
      <c r="J2604" s="8"/>
      <c r="K2604" s="8"/>
      <c r="L2604" s="8"/>
      <c r="M2604" s="8"/>
    </row>
    <row r="2605" spans="1:13">
      <c r="A2605" s="72" t="s">
        <v>7027</v>
      </c>
      <c r="B2605" s="67">
        <v>3597715486</v>
      </c>
      <c r="C2605" s="72" t="s">
        <v>7028</v>
      </c>
      <c r="D2605" s="69">
        <v>25316261828</v>
      </c>
      <c r="E2605" s="9"/>
      <c r="F2605" s="25"/>
      <c r="G2605" s="70"/>
      <c r="H2605" s="9"/>
      <c r="I2605" s="8"/>
      <c r="J2605" s="8"/>
      <c r="K2605" s="8"/>
      <c r="L2605" s="8"/>
      <c r="M2605" s="8"/>
    </row>
    <row r="2606" spans="1:13">
      <c r="A2606" s="13" t="s">
        <v>7029</v>
      </c>
      <c r="B2606" s="67">
        <v>1563161532</v>
      </c>
      <c r="C2606" s="68" t="s">
        <v>7030</v>
      </c>
      <c r="D2606" s="69">
        <v>92557732591</v>
      </c>
      <c r="E2606" s="9">
        <v>1128</v>
      </c>
      <c r="F2606" s="25">
        <v>42972</v>
      </c>
      <c r="G2606" s="70" t="s">
        <v>3356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7031</v>
      </c>
      <c r="B2607" s="67">
        <v>32672017808</v>
      </c>
      <c r="C2607" s="18"/>
      <c r="D2607" s="69"/>
      <c r="E2607" s="9"/>
      <c r="F2607" s="25"/>
      <c r="G2607" s="70"/>
      <c r="H2607" s="9"/>
      <c r="I2607" s="8"/>
      <c r="J2607" s="8"/>
      <c r="K2607" s="8"/>
      <c r="L2607" s="8"/>
      <c r="M2607" s="8"/>
    </row>
    <row r="2608" spans="1:13">
      <c r="A2608" s="71" t="s">
        <v>7032</v>
      </c>
      <c r="B2608" s="67">
        <v>31914362861</v>
      </c>
      <c r="C2608" s="72" t="s">
        <v>7033</v>
      </c>
      <c r="D2608" s="69">
        <v>45704864449</v>
      </c>
      <c r="E2608" s="9">
        <v>563</v>
      </c>
      <c r="F2608" s="25">
        <v>43217</v>
      </c>
      <c r="G2608" s="70"/>
      <c r="H2608" s="25">
        <v>43234</v>
      </c>
      <c r="I2608" s="8"/>
      <c r="J2608" s="8"/>
      <c r="K2608" s="8"/>
      <c r="L2608" s="9" t="s">
        <v>3636</v>
      </c>
      <c r="M2608" s="8"/>
    </row>
    <row r="2609" spans="1:13">
      <c r="A2609" s="18" t="s">
        <v>7034</v>
      </c>
      <c r="B2609" s="67">
        <v>43488290808</v>
      </c>
      <c r="C2609" s="18"/>
      <c r="D2609" s="69"/>
      <c r="E2609" s="9"/>
      <c r="F2609" s="25"/>
      <c r="G2609" s="70"/>
      <c r="H2609" s="9"/>
      <c r="I2609" s="8"/>
      <c r="J2609" s="8"/>
      <c r="K2609" s="8"/>
      <c r="L2609" s="8"/>
      <c r="M2609" s="8"/>
    </row>
    <row r="2610" spans="1:13">
      <c r="A2610" s="71" t="s">
        <v>7035</v>
      </c>
      <c r="B2610" s="67">
        <v>35218693855</v>
      </c>
      <c r="C2610" s="72" t="s">
        <v>7036</v>
      </c>
      <c r="D2610" s="69">
        <v>14889952810</v>
      </c>
      <c r="E2610" s="9">
        <v>262</v>
      </c>
      <c r="F2610" s="25">
        <v>43160</v>
      </c>
      <c r="G2610" s="70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71" t="s">
        <v>7037</v>
      </c>
      <c r="B2611" s="67">
        <v>30947166874</v>
      </c>
      <c r="C2611" s="72" t="s">
        <v>7038</v>
      </c>
      <c r="D2611" s="69">
        <v>1304805506</v>
      </c>
      <c r="E2611" s="9">
        <v>1241</v>
      </c>
      <c r="F2611" s="25">
        <v>42992</v>
      </c>
      <c r="G2611" s="70" t="s">
        <v>3356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7039</v>
      </c>
      <c r="B2612" s="67">
        <v>32928932836</v>
      </c>
      <c r="C2612" s="18"/>
      <c r="D2612" s="69"/>
      <c r="E2612" s="9"/>
      <c r="F2612" s="25"/>
      <c r="G2612" s="70"/>
      <c r="H2612" s="9"/>
      <c r="I2612" s="8"/>
      <c r="J2612" s="8"/>
      <c r="K2612" s="8"/>
      <c r="L2612" s="8"/>
      <c r="M2612" s="8"/>
    </row>
    <row r="2613" spans="1:13">
      <c r="A2613" s="15" t="s">
        <v>7040</v>
      </c>
      <c r="B2613" s="67">
        <v>3632265593</v>
      </c>
      <c r="C2613" s="72" t="s">
        <v>7041</v>
      </c>
      <c r="D2613" s="69">
        <v>52449734449</v>
      </c>
      <c r="E2613" s="9"/>
      <c r="F2613" s="25"/>
      <c r="G2613" s="70"/>
      <c r="H2613" s="9"/>
      <c r="I2613" s="8"/>
      <c r="J2613" s="8"/>
      <c r="K2613" s="8"/>
      <c r="L2613" s="8"/>
      <c r="M2613" s="8"/>
    </row>
    <row r="2614" spans="1:13">
      <c r="A2614" s="71" t="s">
        <v>7042</v>
      </c>
      <c r="B2614" s="67">
        <v>9500687801</v>
      </c>
      <c r="C2614" s="77" t="s">
        <v>7043</v>
      </c>
      <c r="D2614" s="69">
        <v>4713108839</v>
      </c>
      <c r="E2614" s="9">
        <v>563</v>
      </c>
      <c r="F2614" s="25">
        <v>43217</v>
      </c>
      <c r="G2614" s="70"/>
      <c r="H2614" s="25">
        <v>43234</v>
      </c>
      <c r="I2614" s="8"/>
      <c r="J2614" s="8"/>
      <c r="K2614" s="8"/>
      <c r="L2614" s="9" t="s">
        <v>3636</v>
      </c>
      <c r="M2614" s="8"/>
    </row>
    <row r="2615" spans="1:13">
      <c r="A2615" s="71" t="s">
        <v>7044</v>
      </c>
      <c r="B2615" s="67">
        <v>78808405400</v>
      </c>
      <c r="C2615" s="72" t="s">
        <v>7045</v>
      </c>
      <c r="D2615" s="69">
        <v>6840084400</v>
      </c>
      <c r="E2615" s="9">
        <v>1824</v>
      </c>
      <c r="F2615" s="25">
        <v>43091</v>
      </c>
      <c r="G2615" s="70" t="s">
        <v>3356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7046</v>
      </c>
      <c r="B2616" s="67">
        <v>36104667821</v>
      </c>
      <c r="C2616" s="72"/>
      <c r="D2616" s="69"/>
      <c r="E2616" s="9">
        <v>229</v>
      </c>
      <c r="F2616" s="25">
        <v>43151</v>
      </c>
      <c r="G2616" s="70" t="s">
        <v>3356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7047</v>
      </c>
      <c r="B2617" s="67">
        <v>21632630885</v>
      </c>
      <c r="C2617" s="72"/>
      <c r="D2617" s="69"/>
      <c r="E2617" s="9">
        <v>443</v>
      </c>
      <c r="F2617" s="25">
        <v>43188</v>
      </c>
      <c r="G2617" s="70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7048</v>
      </c>
      <c r="B2618" s="67">
        <v>37500289820</v>
      </c>
      <c r="C2618" s="68" t="s">
        <v>7049</v>
      </c>
      <c r="D2618" s="69">
        <v>26607571867</v>
      </c>
      <c r="E2618" s="9">
        <v>1350</v>
      </c>
      <c r="F2618" s="25">
        <v>43006</v>
      </c>
      <c r="G2618" s="70" t="s">
        <v>3356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7050</v>
      </c>
      <c r="B2619" s="67">
        <v>4335257546</v>
      </c>
      <c r="C2619" s="18"/>
      <c r="D2619" s="69"/>
      <c r="E2619" s="9"/>
      <c r="F2619" s="25"/>
      <c r="G2619" s="70"/>
      <c r="H2619" s="9"/>
      <c r="I2619" s="8"/>
      <c r="J2619" s="8"/>
      <c r="K2619" s="8"/>
      <c r="L2619" s="8"/>
      <c r="M2619" s="8"/>
    </row>
    <row r="2620" spans="1:13">
      <c r="A2620" s="13" t="s">
        <v>7051</v>
      </c>
      <c r="B2620" s="67">
        <v>31616397829</v>
      </c>
      <c r="C2620" s="68"/>
      <c r="D2620" s="69"/>
      <c r="E2620" s="9">
        <v>1267</v>
      </c>
      <c r="F2620" s="25">
        <v>42998</v>
      </c>
      <c r="G2620" s="70" t="s">
        <v>3356</v>
      </c>
      <c r="H2620" s="25">
        <v>43000</v>
      </c>
      <c r="I2620" s="8"/>
      <c r="J2620" s="8"/>
      <c r="K2620" s="8"/>
      <c r="L2620" s="8"/>
      <c r="M2620" s="8"/>
    </row>
    <row r="2621" spans="1:13">
      <c r="A2621" s="71" t="s">
        <v>7052</v>
      </c>
      <c r="B2621" s="67">
        <v>11148167870</v>
      </c>
      <c r="C2621" s="77"/>
      <c r="D2621" s="69"/>
      <c r="E2621" s="9"/>
      <c r="F2621" s="25"/>
      <c r="G2621" s="70"/>
      <c r="H2621" s="9"/>
      <c r="I2621" s="8"/>
      <c r="J2621" s="8"/>
      <c r="K2621" s="8"/>
      <c r="L2621" s="8"/>
      <c r="M2621" s="8"/>
    </row>
    <row r="2622" spans="1:13">
      <c r="A2622" s="15" t="s">
        <v>7053</v>
      </c>
      <c r="B2622" s="67">
        <v>28688137803</v>
      </c>
      <c r="C2622" s="72"/>
      <c r="D2622" s="69"/>
      <c r="E2622" s="9">
        <v>229</v>
      </c>
      <c r="F2622" s="25">
        <v>43151</v>
      </c>
      <c r="G2622" s="70" t="s">
        <v>3356</v>
      </c>
      <c r="H2622" s="9"/>
      <c r="I2622" s="8"/>
      <c r="J2622" s="8"/>
      <c r="K2622" s="8"/>
      <c r="L2622" s="9">
        <v>232</v>
      </c>
      <c r="M2622" s="8"/>
    </row>
    <row r="2623" spans="1:13">
      <c r="A2623" s="71" t="s">
        <v>7054</v>
      </c>
      <c r="B2623" s="67">
        <v>8192130800</v>
      </c>
      <c r="C2623" s="72" t="s">
        <v>7055</v>
      </c>
      <c r="D2623" s="69">
        <v>816363854</v>
      </c>
      <c r="E2623" s="9"/>
      <c r="F2623" s="25"/>
      <c r="G2623" s="70"/>
      <c r="H2623" s="9"/>
      <c r="I2623" s="8"/>
      <c r="J2623" s="8"/>
      <c r="K2623" s="8"/>
      <c r="L2623" s="8"/>
      <c r="M2623" s="8"/>
    </row>
    <row r="2624" spans="1:13">
      <c r="A2624" s="18" t="s">
        <v>7056</v>
      </c>
      <c r="B2624" s="67">
        <v>26853070879</v>
      </c>
      <c r="C2624" s="18" t="s">
        <v>7057</v>
      </c>
      <c r="D2624" s="69">
        <v>8578114876</v>
      </c>
      <c r="E2624" s="9"/>
      <c r="F2624" s="25"/>
      <c r="G2624" s="70"/>
      <c r="H2624" s="9"/>
      <c r="I2624" s="8"/>
      <c r="J2624" s="8"/>
      <c r="K2624" s="8"/>
      <c r="L2624" s="8"/>
      <c r="M2624" s="8"/>
    </row>
    <row r="2625" spans="1:13">
      <c r="A2625" s="13" t="s">
        <v>7058</v>
      </c>
      <c r="B2625" s="67">
        <v>4632449822</v>
      </c>
      <c r="C2625" s="72"/>
      <c r="D2625" s="69"/>
      <c r="E2625" s="9">
        <v>1417</v>
      </c>
      <c r="F2625" s="25">
        <v>43017</v>
      </c>
      <c r="G2625" s="70" t="s">
        <v>3356</v>
      </c>
      <c r="H2625" s="25">
        <v>43027</v>
      </c>
      <c r="I2625" s="8"/>
      <c r="J2625" s="8"/>
      <c r="K2625" s="8"/>
      <c r="L2625" s="9" t="s">
        <v>3590</v>
      </c>
      <c r="M2625" s="8"/>
    </row>
    <row r="2626" spans="1:13">
      <c r="A2626" s="13" t="s">
        <v>7059</v>
      </c>
      <c r="B2626" s="67">
        <v>27440063864</v>
      </c>
      <c r="C2626" s="68" t="s">
        <v>7060</v>
      </c>
      <c r="D2626" s="69">
        <v>66533287400</v>
      </c>
      <c r="E2626" s="9">
        <v>1241</v>
      </c>
      <c r="F2626" s="25">
        <v>42992</v>
      </c>
      <c r="G2626" s="70" t="s">
        <v>3356</v>
      </c>
      <c r="H2626" s="25">
        <v>42998</v>
      </c>
      <c r="I2626" s="8"/>
      <c r="J2626" s="8"/>
      <c r="K2626" s="8"/>
      <c r="L2626" s="8"/>
      <c r="M2626" s="8"/>
    </row>
    <row r="2627" spans="1:13">
      <c r="A2627" s="71" t="s">
        <v>7061</v>
      </c>
      <c r="B2627" s="67">
        <v>32362879852</v>
      </c>
      <c r="C2627" s="72" t="s">
        <v>7062</v>
      </c>
      <c r="D2627" s="69">
        <v>12658677553</v>
      </c>
      <c r="E2627" s="9">
        <v>563</v>
      </c>
      <c r="F2627" s="25">
        <v>43217</v>
      </c>
      <c r="G2627" s="70"/>
      <c r="H2627" s="25">
        <v>43234</v>
      </c>
      <c r="I2627" s="8"/>
      <c r="J2627" s="8"/>
      <c r="K2627" s="8"/>
      <c r="L2627" s="9" t="s">
        <v>3636</v>
      </c>
      <c r="M2627" s="8"/>
    </row>
    <row r="2628" spans="1:13">
      <c r="A2628" s="15" t="s">
        <v>7063</v>
      </c>
      <c r="B2628" s="67">
        <v>28146002811</v>
      </c>
      <c r="C2628" s="72"/>
      <c r="D2628" s="69"/>
      <c r="E2628" s="9">
        <v>292</v>
      </c>
      <c r="F2628" s="25">
        <v>43168</v>
      </c>
      <c r="G2628" s="70" t="s">
        <v>3356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71" t="s">
        <v>7064</v>
      </c>
      <c r="B2629" s="67">
        <v>37904123843</v>
      </c>
      <c r="C2629" s="72" t="s">
        <v>7065</v>
      </c>
      <c r="D2629" s="69">
        <v>16565739897</v>
      </c>
      <c r="E2629" s="9">
        <v>292</v>
      </c>
      <c r="F2629" s="25">
        <v>43168</v>
      </c>
      <c r="G2629" s="70" t="s">
        <v>3356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71" t="s">
        <v>7066</v>
      </c>
      <c r="B2630" s="67">
        <v>30775860883</v>
      </c>
      <c r="C2630" s="72" t="s">
        <v>7067</v>
      </c>
      <c r="D2630" s="69">
        <v>34227894808</v>
      </c>
      <c r="E2630" s="9">
        <v>1359</v>
      </c>
      <c r="F2630" s="25">
        <v>43006</v>
      </c>
      <c r="G2630" s="70" t="s">
        <v>3356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7068</v>
      </c>
      <c r="B2631" s="67">
        <v>37788814857</v>
      </c>
      <c r="C2631" s="72"/>
      <c r="D2631" s="69"/>
      <c r="E2631" s="9">
        <v>1752</v>
      </c>
      <c r="F2631" s="25">
        <v>43051</v>
      </c>
      <c r="G2631" s="83" t="s">
        <v>3356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7069</v>
      </c>
      <c r="B2632" s="67">
        <v>29829509877</v>
      </c>
      <c r="C2632" s="72"/>
      <c r="D2632" s="69"/>
      <c r="E2632" s="9">
        <v>229</v>
      </c>
      <c r="F2632" s="25">
        <v>43151</v>
      </c>
      <c r="G2632" s="70" t="s">
        <v>3356</v>
      </c>
      <c r="H2632" s="9"/>
      <c r="I2632" s="8"/>
      <c r="J2632" s="8"/>
      <c r="K2632" s="8"/>
      <c r="L2632" s="9">
        <v>232</v>
      </c>
      <c r="M2632" s="8"/>
    </row>
    <row r="2633" spans="1:13">
      <c r="A2633" s="71" t="s">
        <v>7070</v>
      </c>
      <c r="B2633" s="67">
        <v>4666033807</v>
      </c>
      <c r="C2633" s="72"/>
      <c r="D2633" s="69"/>
      <c r="E2633" s="9">
        <v>1570</v>
      </c>
      <c r="F2633" s="25">
        <v>43055</v>
      </c>
      <c r="G2633" s="9" t="s">
        <v>3356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71" t="s">
        <v>7071</v>
      </c>
      <c r="B2634" s="67">
        <v>16700832845</v>
      </c>
      <c r="C2634" s="72"/>
      <c r="D2634" s="69"/>
      <c r="E2634" s="9">
        <v>1752</v>
      </c>
      <c r="F2634" s="25">
        <v>43051</v>
      </c>
      <c r="G2634" s="70" t="s">
        <v>3356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71" t="s">
        <v>7072</v>
      </c>
      <c r="B2635" s="67">
        <v>29287401802</v>
      </c>
      <c r="C2635" s="72" t="s">
        <v>7073</v>
      </c>
      <c r="D2635" s="69">
        <v>29511449893</v>
      </c>
      <c r="E2635" s="9"/>
      <c r="F2635" s="25"/>
      <c r="G2635" s="70"/>
      <c r="H2635" s="9"/>
      <c r="I2635" s="8"/>
      <c r="J2635" s="8"/>
      <c r="K2635" s="8"/>
      <c r="L2635" s="8"/>
      <c r="M2635" s="8"/>
    </row>
    <row r="2636" spans="1:13">
      <c r="A2636" s="15" t="s">
        <v>6952</v>
      </c>
      <c r="B2636" s="67">
        <v>64495957520</v>
      </c>
      <c r="C2636" s="72"/>
      <c r="D2636" s="69"/>
      <c r="E2636" s="9">
        <v>117</v>
      </c>
      <c r="F2636" s="25">
        <v>43117</v>
      </c>
      <c r="G2636" s="70" t="s">
        <v>3356</v>
      </c>
      <c r="H2636" s="25">
        <v>43151</v>
      </c>
      <c r="I2636" s="8"/>
      <c r="J2636" s="8"/>
      <c r="K2636" s="8"/>
      <c r="L2636" s="9" t="s">
        <v>3507</v>
      </c>
      <c r="M2636" s="8"/>
    </row>
    <row r="2637" spans="1:13">
      <c r="A2637" s="71" t="s">
        <v>7074</v>
      </c>
      <c r="B2637" s="67">
        <v>24852369844</v>
      </c>
      <c r="C2637" s="72"/>
      <c r="D2637" s="69"/>
      <c r="E2637" s="9"/>
      <c r="F2637" s="25"/>
      <c r="G2637" s="70"/>
      <c r="H2637" s="9"/>
      <c r="I2637" s="8"/>
      <c r="J2637" s="8"/>
      <c r="K2637" s="8"/>
      <c r="L2637" s="8"/>
      <c r="M2637" s="8"/>
    </row>
    <row r="2638" spans="1:13">
      <c r="A2638" s="30" t="s">
        <v>7075</v>
      </c>
      <c r="B2638" s="67">
        <v>36051425837</v>
      </c>
      <c r="C2638" s="77" t="s">
        <v>7076</v>
      </c>
      <c r="D2638" s="69">
        <v>33369796848</v>
      </c>
      <c r="E2638" s="9"/>
      <c r="F2638" s="25"/>
      <c r="G2638" s="70"/>
      <c r="H2638" s="9"/>
      <c r="I2638" s="8"/>
      <c r="J2638" s="8"/>
      <c r="K2638" s="8"/>
      <c r="L2638" s="8"/>
      <c r="M2638" s="8"/>
    </row>
    <row r="2639" spans="1:13">
      <c r="A2639" s="72" t="s">
        <v>7077</v>
      </c>
      <c r="B2639" s="67">
        <v>59784598515</v>
      </c>
      <c r="C2639" s="72"/>
      <c r="D2639" s="69"/>
      <c r="E2639" s="9">
        <v>1752</v>
      </c>
      <c r="F2639" s="25">
        <v>43051</v>
      </c>
      <c r="G2639" s="70" t="s">
        <v>3356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71" t="s">
        <v>7078</v>
      </c>
      <c r="B2640" s="67">
        <v>23362506836</v>
      </c>
      <c r="C2640" s="72"/>
      <c r="D2640" s="69"/>
      <c r="E2640" s="9">
        <v>563</v>
      </c>
      <c r="F2640" s="25">
        <v>43217</v>
      </c>
      <c r="G2640" s="70"/>
      <c r="H2640" s="25">
        <v>43234</v>
      </c>
      <c r="I2640" s="8"/>
      <c r="J2640" s="8"/>
      <c r="K2640" s="8"/>
      <c r="L2640" s="9" t="s">
        <v>3636</v>
      </c>
      <c r="M2640" s="8"/>
    </row>
    <row r="2641" spans="1:13">
      <c r="A2641" s="72" t="s">
        <v>7079</v>
      </c>
      <c r="B2641" s="67">
        <v>99219395720</v>
      </c>
      <c r="C2641" s="72"/>
      <c r="D2641" s="69"/>
      <c r="E2641" s="9"/>
      <c r="F2641" s="25"/>
      <c r="G2641" s="70"/>
      <c r="H2641" s="9"/>
      <c r="I2641" s="8"/>
      <c r="J2641" s="8"/>
      <c r="K2641" s="8"/>
      <c r="L2641" s="8"/>
      <c r="M2641" s="8"/>
    </row>
    <row r="2642" spans="1:13">
      <c r="A2642" s="71" t="s">
        <v>7080</v>
      </c>
      <c r="B2642" s="67">
        <v>33698017873</v>
      </c>
      <c r="C2642" s="72"/>
      <c r="D2642" s="69"/>
      <c r="E2642" s="9">
        <v>1106</v>
      </c>
      <c r="F2642" s="25">
        <v>42965</v>
      </c>
      <c r="G2642" s="70" t="s">
        <v>3356</v>
      </c>
      <c r="H2642" s="25">
        <v>42978</v>
      </c>
      <c r="I2642" s="8"/>
      <c r="J2642" s="8"/>
      <c r="K2642" s="8"/>
      <c r="L2642" s="8"/>
      <c r="M2642" s="8"/>
    </row>
    <row r="2643" spans="1:13">
      <c r="A2643" s="71" t="s">
        <v>7081</v>
      </c>
      <c r="B2643" s="67">
        <v>3212055375</v>
      </c>
      <c r="C2643" s="77" t="s">
        <v>7082</v>
      </c>
      <c r="D2643" s="69">
        <v>94071918349</v>
      </c>
      <c r="E2643" s="9"/>
      <c r="F2643" s="25"/>
      <c r="G2643" s="70"/>
      <c r="H2643" s="9"/>
      <c r="I2643" s="8"/>
      <c r="J2643" s="8"/>
      <c r="K2643" s="8"/>
      <c r="L2643" s="8"/>
      <c r="M2643" s="8"/>
    </row>
    <row r="2644" spans="1:13">
      <c r="A2644" s="15" t="s">
        <v>7083</v>
      </c>
      <c r="B2644" s="67">
        <v>38221892866</v>
      </c>
      <c r="C2644" s="72"/>
      <c r="D2644" s="69"/>
      <c r="E2644" s="9">
        <v>229</v>
      </c>
      <c r="F2644" s="25">
        <v>43151</v>
      </c>
      <c r="G2644" s="70" t="s">
        <v>3356</v>
      </c>
      <c r="H2644" s="9"/>
      <c r="I2644" s="8"/>
      <c r="J2644" s="8"/>
      <c r="K2644" s="8"/>
      <c r="L2644" s="9">
        <v>232</v>
      </c>
      <c r="M2644" s="8"/>
    </row>
    <row r="2645" spans="1:13">
      <c r="A2645" s="71" t="s">
        <v>7084</v>
      </c>
      <c r="B2645" s="67">
        <v>16420076846</v>
      </c>
      <c r="C2645" s="72"/>
      <c r="D2645" s="69"/>
      <c r="E2645" s="9">
        <v>1359</v>
      </c>
      <c r="F2645" s="25">
        <v>43006</v>
      </c>
      <c r="G2645" s="70" t="s">
        <v>3356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7085</v>
      </c>
      <c r="B2646" s="67">
        <v>11452168890</v>
      </c>
      <c r="C2646" s="72" t="s">
        <v>7086</v>
      </c>
      <c r="D2646" s="69">
        <v>25927807852</v>
      </c>
      <c r="E2646" s="9">
        <v>527</v>
      </c>
      <c r="F2646" s="25">
        <v>43210</v>
      </c>
      <c r="G2646" s="70"/>
      <c r="H2646" s="9"/>
      <c r="I2646" s="8"/>
      <c r="J2646" s="8"/>
      <c r="K2646" s="8"/>
      <c r="L2646" s="9">
        <v>528</v>
      </c>
      <c r="M2646" s="8"/>
    </row>
    <row r="2647" spans="1:13">
      <c r="A2647" s="71" t="s">
        <v>7087</v>
      </c>
      <c r="B2647" s="67">
        <v>41079665854</v>
      </c>
      <c r="C2647" s="72"/>
      <c r="D2647" s="69"/>
      <c r="E2647" s="9"/>
      <c r="F2647" s="25"/>
      <c r="G2647" s="70"/>
      <c r="H2647" s="9"/>
      <c r="I2647" s="8"/>
      <c r="J2647" s="8"/>
      <c r="K2647" s="8"/>
      <c r="L2647" s="8"/>
      <c r="M2647" s="8"/>
    </row>
    <row r="2648" spans="1:13">
      <c r="A2648" s="73" t="s">
        <v>7088</v>
      </c>
      <c r="B2648" s="67">
        <v>31856157865</v>
      </c>
      <c r="C2648" s="72" t="s">
        <v>7089</v>
      </c>
      <c r="D2648" s="69">
        <v>94552967568</v>
      </c>
      <c r="E2648" s="9">
        <v>810</v>
      </c>
      <c r="F2648" s="25">
        <v>42915</v>
      </c>
      <c r="G2648" s="70" t="s">
        <v>3356</v>
      </c>
      <c r="H2648" s="25">
        <v>42921</v>
      </c>
      <c r="I2648" s="8"/>
      <c r="J2648" s="8"/>
      <c r="K2648" s="8"/>
      <c r="L2648" s="9" t="s">
        <v>3475</v>
      </c>
      <c r="M2648" s="8"/>
    </row>
    <row r="2649" spans="1:13">
      <c r="A2649" s="71" t="s">
        <v>7090</v>
      </c>
      <c r="B2649" s="67">
        <v>46589719845</v>
      </c>
      <c r="C2649" s="72"/>
      <c r="D2649" s="69"/>
      <c r="E2649" s="9">
        <v>262</v>
      </c>
      <c r="F2649" s="25">
        <v>43160</v>
      </c>
      <c r="G2649" s="70" t="s">
        <v>3356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7091</v>
      </c>
      <c r="B2650" s="67">
        <v>37478827810</v>
      </c>
      <c r="C2650" s="72" t="s">
        <v>7092</v>
      </c>
      <c r="D2650" s="69">
        <v>37591131842</v>
      </c>
      <c r="E2650" s="9">
        <v>292</v>
      </c>
      <c r="F2650" s="25">
        <v>43168</v>
      </c>
      <c r="G2650" s="70" t="s">
        <v>3356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71" t="s">
        <v>7093</v>
      </c>
      <c r="B2651" s="67">
        <v>95285334420</v>
      </c>
      <c r="C2651" s="72"/>
      <c r="D2651" s="69"/>
      <c r="E2651" s="9">
        <v>1214</v>
      </c>
      <c r="F2651" s="25">
        <v>42989</v>
      </c>
      <c r="G2651" s="70" t="s">
        <v>3356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7094</v>
      </c>
      <c r="B2652" s="67">
        <v>23465596870</v>
      </c>
      <c r="C2652" s="72" t="s">
        <v>7095</v>
      </c>
      <c r="D2652" s="69">
        <v>23522451848</v>
      </c>
      <c r="E2652" s="9">
        <v>292</v>
      </c>
      <c r="F2652" s="25">
        <v>43168</v>
      </c>
      <c r="G2652" s="70" t="s">
        <v>3356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71" t="s">
        <v>7096</v>
      </c>
      <c r="B2653" s="67">
        <v>10047946814</v>
      </c>
      <c r="C2653" s="77"/>
      <c r="D2653" s="69"/>
      <c r="E2653" s="9">
        <v>563</v>
      </c>
      <c r="F2653" s="25">
        <v>43217</v>
      </c>
      <c r="G2653" s="70"/>
      <c r="H2653" s="25">
        <v>43234</v>
      </c>
      <c r="I2653" s="8"/>
      <c r="J2653" s="8"/>
      <c r="K2653" s="8"/>
      <c r="L2653" s="9" t="s">
        <v>3636</v>
      </c>
      <c r="M2653" s="8"/>
    </row>
    <row r="2654" spans="1:13">
      <c r="A2654" s="73" t="s">
        <v>7097</v>
      </c>
      <c r="B2654" s="67">
        <v>34274784835</v>
      </c>
      <c r="C2654" s="72" t="s">
        <v>7098</v>
      </c>
      <c r="D2654" s="69">
        <v>19379885890</v>
      </c>
      <c r="E2654" s="9">
        <v>810</v>
      </c>
      <c r="F2654" s="25">
        <v>42915</v>
      </c>
      <c r="G2654" s="70" t="s">
        <v>3356</v>
      </c>
      <c r="H2654" s="25">
        <v>42921</v>
      </c>
      <c r="I2654" s="8"/>
      <c r="J2654" s="8"/>
      <c r="K2654" s="8"/>
      <c r="L2654" s="9" t="s">
        <v>3475</v>
      </c>
      <c r="M2654" s="8"/>
    </row>
    <row r="2655" spans="1:13">
      <c r="A2655" s="71" t="s">
        <v>7099</v>
      </c>
      <c r="B2655" s="67">
        <v>31120987814</v>
      </c>
      <c r="C2655" s="72"/>
      <c r="D2655" s="69"/>
      <c r="E2655" s="9">
        <v>810</v>
      </c>
      <c r="F2655" s="25">
        <v>42915</v>
      </c>
      <c r="G2655" s="70" t="s">
        <v>3356</v>
      </c>
      <c r="H2655" s="25">
        <v>42921</v>
      </c>
      <c r="I2655" s="8"/>
      <c r="J2655" s="8"/>
      <c r="K2655" s="8"/>
      <c r="L2655" s="9" t="s">
        <v>3475</v>
      </c>
      <c r="M2655" s="8"/>
    </row>
    <row r="2656" spans="1:13">
      <c r="A2656" s="71" t="s">
        <v>7100</v>
      </c>
      <c r="B2656" s="67">
        <v>14529532879</v>
      </c>
      <c r="C2656" s="72"/>
      <c r="D2656" s="69"/>
      <c r="E2656" s="9">
        <v>810</v>
      </c>
      <c r="F2656" s="25">
        <v>42915</v>
      </c>
      <c r="G2656" s="70" t="s">
        <v>3356</v>
      </c>
      <c r="H2656" s="25">
        <v>42921</v>
      </c>
      <c r="I2656" s="8"/>
      <c r="J2656" s="8"/>
      <c r="K2656" s="8"/>
      <c r="L2656" s="9" t="s">
        <v>3475</v>
      </c>
      <c r="M2656" s="8"/>
    </row>
    <row r="2657" spans="1:13">
      <c r="A2657" s="71" t="s">
        <v>7101</v>
      </c>
      <c r="B2657" s="67">
        <v>17790512803</v>
      </c>
      <c r="C2657" s="72"/>
      <c r="D2657" s="69"/>
      <c r="E2657" s="9">
        <v>117</v>
      </c>
      <c r="F2657" s="25">
        <v>43117</v>
      </c>
      <c r="G2657" s="70" t="s">
        <v>3356</v>
      </c>
      <c r="H2657" s="25">
        <v>43151</v>
      </c>
      <c r="I2657" s="8"/>
      <c r="J2657" s="8"/>
      <c r="K2657" s="8"/>
      <c r="L2657" s="9" t="s">
        <v>3507</v>
      </c>
      <c r="M2657" s="8"/>
    </row>
    <row r="2658" spans="1:13">
      <c r="A2658" s="71" t="s">
        <v>7102</v>
      </c>
      <c r="B2658" s="67">
        <v>41491764856</v>
      </c>
      <c r="C2658" s="72" t="s">
        <v>7103</v>
      </c>
      <c r="D2658" s="69">
        <v>91076447520</v>
      </c>
      <c r="E2658" s="9">
        <v>292</v>
      </c>
      <c r="F2658" s="25">
        <v>43168</v>
      </c>
      <c r="G2658" s="70" t="s">
        <v>3356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71" t="s">
        <v>7104</v>
      </c>
      <c r="B2659" s="67">
        <v>94035229504</v>
      </c>
      <c r="C2659" s="72"/>
      <c r="D2659" s="69"/>
      <c r="E2659" s="9">
        <v>1570</v>
      </c>
      <c r="F2659" s="25">
        <v>43055</v>
      </c>
      <c r="G2659" s="70" t="s">
        <v>3356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7105</v>
      </c>
      <c r="B2660" s="67">
        <v>32962624820</v>
      </c>
      <c r="C2660" s="72" t="s">
        <v>7106</v>
      </c>
      <c r="D2660" s="69">
        <v>3430918871</v>
      </c>
      <c r="E2660" s="9"/>
      <c r="F2660" s="25"/>
      <c r="G2660" s="70" t="s">
        <v>3356</v>
      </c>
      <c r="H2660" s="9"/>
      <c r="I2660" s="8"/>
      <c r="J2660" s="8"/>
      <c r="K2660" s="8"/>
      <c r="L2660" s="8"/>
      <c r="M2660" s="8"/>
    </row>
    <row r="2661" spans="1:13">
      <c r="A2661" s="71" t="s">
        <v>7107</v>
      </c>
      <c r="B2661" s="67">
        <v>11962374840</v>
      </c>
      <c r="C2661" s="72"/>
      <c r="D2661" s="69"/>
      <c r="E2661" s="9">
        <v>1350</v>
      </c>
      <c r="F2661" s="25">
        <v>43006</v>
      </c>
      <c r="G2661" s="70" t="s">
        <v>3362</v>
      </c>
      <c r="H2661" s="25">
        <v>43011</v>
      </c>
      <c r="I2661" s="8"/>
      <c r="J2661" s="8"/>
      <c r="K2661" s="8"/>
      <c r="L2661" s="8"/>
      <c r="M2661" s="8"/>
    </row>
    <row r="2662" spans="1:13">
      <c r="A2662" s="71" t="s">
        <v>7108</v>
      </c>
      <c r="B2662" s="67">
        <v>32777590320</v>
      </c>
      <c r="C2662" s="72"/>
      <c r="D2662" s="69"/>
      <c r="E2662" s="9"/>
      <c r="F2662" s="25"/>
      <c r="G2662" s="70"/>
      <c r="H2662" s="9"/>
      <c r="I2662" s="8"/>
      <c r="J2662" s="8"/>
      <c r="K2662" s="8"/>
      <c r="L2662" s="8"/>
      <c r="M2662" s="8"/>
    </row>
    <row r="2663" spans="1:13">
      <c r="A2663" s="18" t="s">
        <v>7109</v>
      </c>
      <c r="B2663" s="67">
        <v>65961404587</v>
      </c>
      <c r="C2663" s="18"/>
      <c r="D2663" s="69"/>
      <c r="E2663" s="9"/>
      <c r="F2663" s="25"/>
      <c r="G2663" s="70"/>
      <c r="H2663" s="9"/>
      <c r="I2663" s="8"/>
      <c r="J2663" s="8"/>
      <c r="K2663" s="8"/>
      <c r="L2663" s="8"/>
      <c r="M2663" s="8"/>
    </row>
    <row r="2664" spans="1:13">
      <c r="A2664" s="71" t="s">
        <v>7110</v>
      </c>
      <c r="B2664" s="67" t="s">
        <v>7111</v>
      </c>
      <c r="C2664" s="73"/>
      <c r="D2664" s="69"/>
      <c r="E2664" s="9"/>
      <c r="F2664" s="25"/>
      <c r="G2664" s="70"/>
      <c r="H2664" s="9"/>
      <c r="I2664" s="8"/>
      <c r="J2664" s="8"/>
      <c r="K2664" s="8"/>
      <c r="L2664" s="8"/>
      <c r="M2664" s="8"/>
    </row>
    <row r="2665" spans="1:13">
      <c r="A2665" s="71" t="s">
        <v>7112</v>
      </c>
      <c r="B2665" s="67">
        <v>12713435846</v>
      </c>
      <c r="C2665" s="72"/>
      <c r="D2665" s="69"/>
      <c r="E2665" s="9">
        <v>1422</v>
      </c>
      <c r="F2665" s="25">
        <v>43018</v>
      </c>
      <c r="G2665" s="70" t="s">
        <v>3356</v>
      </c>
      <c r="H2665" s="25">
        <v>43027</v>
      </c>
      <c r="I2665" s="8"/>
      <c r="J2665" s="8"/>
      <c r="K2665" s="8"/>
      <c r="L2665" s="8"/>
      <c r="M2665" s="8"/>
    </row>
    <row r="2666" spans="1:13">
      <c r="A2666" s="29" t="s">
        <v>7113</v>
      </c>
      <c r="B2666" s="67">
        <v>99048957753</v>
      </c>
      <c r="C2666" s="29" t="s">
        <v>7114</v>
      </c>
      <c r="D2666" s="69">
        <v>14788838800</v>
      </c>
      <c r="E2666" s="9"/>
      <c r="F2666" s="25"/>
      <c r="G2666" s="70"/>
      <c r="H2666" s="9"/>
      <c r="I2666" s="8"/>
      <c r="J2666" s="8"/>
      <c r="K2666" s="8"/>
      <c r="L2666" s="8"/>
      <c r="M2666" s="8"/>
    </row>
    <row r="2667" spans="1:13">
      <c r="A2667" s="71" t="s">
        <v>7115</v>
      </c>
      <c r="B2667" s="67">
        <v>98859579872</v>
      </c>
      <c r="C2667" s="72"/>
      <c r="D2667" s="69"/>
      <c r="E2667" s="9"/>
      <c r="F2667" s="25"/>
      <c r="G2667" s="70"/>
      <c r="H2667" s="9"/>
      <c r="I2667" s="8"/>
      <c r="J2667" s="8"/>
      <c r="K2667" s="8"/>
      <c r="L2667" s="8"/>
      <c r="M2667" s="8"/>
    </row>
    <row r="2668" spans="1:13">
      <c r="A2668" s="71" t="s">
        <v>7116</v>
      </c>
      <c r="B2668" s="67">
        <v>11234152851</v>
      </c>
      <c r="C2668" s="72" t="s">
        <v>7117</v>
      </c>
      <c r="D2668" s="69">
        <v>11353668886</v>
      </c>
      <c r="E2668" s="9">
        <v>117</v>
      </c>
      <c r="F2668" s="25">
        <v>43117</v>
      </c>
      <c r="G2668" s="70" t="s">
        <v>3356</v>
      </c>
      <c r="H2668" s="25">
        <v>43151</v>
      </c>
      <c r="I2668" s="8"/>
      <c r="J2668" s="8"/>
      <c r="K2668" s="8"/>
      <c r="L2668" s="9" t="s">
        <v>3507</v>
      </c>
      <c r="M2668" s="8"/>
    </row>
    <row r="2669" spans="1:13">
      <c r="A2669" s="14" t="s">
        <v>7118</v>
      </c>
      <c r="B2669" s="67">
        <v>34926605848</v>
      </c>
      <c r="C2669" s="72"/>
      <c r="D2669" s="69"/>
      <c r="E2669" s="9"/>
      <c r="F2669" s="25"/>
      <c r="G2669" s="70"/>
      <c r="H2669" s="9"/>
      <c r="I2669" s="8"/>
      <c r="J2669" s="8"/>
      <c r="K2669" s="8"/>
      <c r="L2669" s="8"/>
      <c r="M2669" s="8"/>
    </row>
    <row r="2670" spans="1:13">
      <c r="A2670" s="29" t="s">
        <v>7119</v>
      </c>
      <c r="B2670" s="67">
        <v>39109326812</v>
      </c>
      <c r="C2670" s="29" t="s">
        <v>7120</v>
      </c>
      <c r="D2670" s="69">
        <v>34926211807</v>
      </c>
      <c r="E2670" s="9"/>
      <c r="F2670" s="25"/>
      <c r="G2670" s="70"/>
      <c r="H2670" s="9"/>
      <c r="I2670" s="8"/>
      <c r="J2670" s="8"/>
      <c r="K2670" s="8"/>
      <c r="L2670" s="8"/>
      <c r="M2670" s="8"/>
    </row>
    <row r="2671" spans="1:13">
      <c r="A2671" s="71" t="s">
        <v>7121</v>
      </c>
      <c r="B2671" s="67">
        <v>36108176822</v>
      </c>
      <c r="C2671" s="72"/>
      <c r="D2671" s="69"/>
      <c r="E2671" s="9">
        <v>810</v>
      </c>
      <c r="F2671" s="25">
        <v>42915</v>
      </c>
      <c r="G2671" s="70" t="s">
        <v>3356</v>
      </c>
      <c r="H2671" s="25">
        <v>42921</v>
      </c>
      <c r="I2671" s="8"/>
      <c r="J2671" s="8"/>
      <c r="K2671" s="8"/>
      <c r="L2671" s="9" t="s">
        <v>3475</v>
      </c>
      <c r="M2671" s="8"/>
    </row>
    <row r="2672" spans="1:13">
      <c r="A2672" s="71" t="s">
        <v>7122</v>
      </c>
      <c r="B2672" s="67">
        <v>33211970819</v>
      </c>
      <c r="C2672" s="72" t="s">
        <v>7123</v>
      </c>
      <c r="D2672" s="69">
        <v>22546816802</v>
      </c>
      <c r="E2672" s="9">
        <v>810</v>
      </c>
      <c r="F2672" s="25">
        <v>42915</v>
      </c>
      <c r="G2672" s="70" t="s">
        <v>3356</v>
      </c>
      <c r="H2672" s="25">
        <v>42921</v>
      </c>
      <c r="I2672" s="8"/>
      <c r="J2672" s="8"/>
      <c r="K2672" s="8"/>
      <c r="L2672" s="9" t="s">
        <v>3475</v>
      </c>
      <c r="M2672" s="8"/>
    </row>
    <row r="2673" spans="1:13">
      <c r="A2673" s="71" t="s">
        <v>7124</v>
      </c>
      <c r="B2673" s="67">
        <v>15717180870</v>
      </c>
      <c r="C2673" s="72"/>
      <c r="D2673" s="69"/>
      <c r="E2673" s="9">
        <v>262</v>
      </c>
      <c r="F2673" s="25">
        <v>43160</v>
      </c>
      <c r="G2673" s="9" t="s">
        <v>3356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9" t="s">
        <v>7125</v>
      </c>
      <c r="B2674" s="67">
        <v>45170442890</v>
      </c>
      <c r="C2674" s="18" t="s">
        <v>3466</v>
      </c>
      <c r="D2674" s="69"/>
      <c r="E2674" s="9"/>
      <c r="F2674" s="25"/>
      <c r="G2674" s="70"/>
      <c r="H2674" s="9"/>
      <c r="I2674" s="8"/>
      <c r="J2674" s="8"/>
      <c r="K2674" s="8"/>
      <c r="L2674" s="8"/>
      <c r="M2674" s="8"/>
    </row>
    <row r="2675" spans="1:13">
      <c r="A2675" s="15" t="s">
        <v>7126</v>
      </c>
      <c r="B2675" s="67">
        <v>51188770837</v>
      </c>
      <c r="C2675" s="72"/>
      <c r="D2675" s="69"/>
      <c r="E2675" s="9">
        <v>229</v>
      </c>
      <c r="F2675" s="25">
        <v>43151</v>
      </c>
      <c r="G2675" s="70" t="s">
        <v>3356</v>
      </c>
      <c r="H2675" s="9"/>
      <c r="I2675" s="8"/>
      <c r="J2675" s="8"/>
      <c r="K2675" s="8"/>
      <c r="L2675" s="9">
        <v>232</v>
      </c>
      <c r="M2675" s="8"/>
    </row>
    <row r="2676" spans="1:13">
      <c r="A2676" s="71" t="s">
        <v>7127</v>
      </c>
      <c r="B2676" s="67">
        <v>37024041803</v>
      </c>
      <c r="C2676" s="72"/>
      <c r="D2676" s="69"/>
      <c r="E2676" s="9">
        <v>1267</v>
      </c>
      <c r="F2676" s="25">
        <v>42998</v>
      </c>
      <c r="G2676" s="70" t="s">
        <v>3356</v>
      </c>
      <c r="H2676" s="25">
        <v>43000</v>
      </c>
      <c r="I2676" s="8"/>
      <c r="J2676" s="8"/>
      <c r="K2676" s="8"/>
      <c r="L2676" s="8"/>
      <c r="M2676" s="8"/>
    </row>
    <row r="2677" spans="1:13">
      <c r="A2677" s="71" t="s">
        <v>7128</v>
      </c>
      <c r="B2677" s="67"/>
      <c r="C2677" s="71" t="s">
        <v>7129</v>
      </c>
      <c r="D2677" s="69"/>
      <c r="E2677" s="9"/>
      <c r="F2677" s="25"/>
      <c r="G2677" s="70"/>
      <c r="H2677" s="9"/>
      <c r="I2677" s="8"/>
      <c r="J2677" s="8"/>
      <c r="K2677" s="8"/>
      <c r="L2677" s="8"/>
      <c r="M2677" s="8"/>
    </row>
    <row r="2678" spans="1:13">
      <c r="A2678" s="71" t="s">
        <v>7130</v>
      </c>
      <c r="B2678" s="67">
        <v>35365241843</v>
      </c>
      <c r="C2678" s="72"/>
      <c r="D2678" s="69"/>
      <c r="E2678" s="9"/>
      <c r="F2678" s="25"/>
      <c r="G2678" s="70"/>
      <c r="H2678" s="9"/>
      <c r="I2678" s="8"/>
      <c r="J2678" s="8"/>
      <c r="K2678" s="8"/>
      <c r="L2678" s="8"/>
      <c r="M2678" s="8"/>
    </row>
    <row r="2679" spans="1:13">
      <c r="A2679" s="29" t="s">
        <v>7131</v>
      </c>
      <c r="B2679" s="67"/>
      <c r="C2679" s="29" t="s">
        <v>3466</v>
      </c>
      <c r="D2679" s="69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7132</v>
      </c>
      <c r="B2680" s="67">
        <v>1846996490</v>
      </c>
      <c r="C2680" s="72" t="s">
        <v>7133</v>
      </c>
      <c r="D2680" s="69">
        <v>8864435808</v>
      </c>
      <c r="E2680" s="9"/>
      <c r="F2680" s="25"/>
      <c r="G2680" s="70"/>
      <c r="H2680" s="9"/>
      <c r="I2680" s="8"/>
      <c r="J2680" s="8"/>
      <c r="K2680" s="8"/>
      <c r="L2680" s="8"/>
      <c r="M2680" s="8"/>
    </row>
    <row r="2681" spans="1:13">
      <c r="A2681" s="71" t="s">
        <v>7134</v>
      </c>
      <c r="B2681" s="67">
        <v>27996678804</v>
      </c>
      <c r="C2681" s="72"/>
      <c r="D2681" s="69"/>
      <c r="E2681" s="9">
        <v>1628</v>
      </c>
      <c r="F2681" s="25">
        <v>43077</v>
      </c>
      <c r="G2681" s="70" t="s">
        <v>3356</v>
      </c>
      <c r="H2681" s="25">
        <v>43080</v>
      </c>
      <c r="I2681" s="8"/>
      <c r="J2681" s="8"/>
      <c r="K2681" s="8"/>
      <c r="L2681" s="8"/>
      <c r="M2681" s="8"/>
    </row>
    <row r="2682" spans="1:13">
      <c r="A2682" s="71" t="s">
        <v>7135</v>
      </c>
      <c r="B2682" s="67">
        <v>27509843863</v>
      </c>
      <c r="C2682" s="72"/>
      <c r="D2682" s="69"/>
      <c r="E2682" s="9">
        <v>292</v>
      </c>
      <c r="F2682" s="25">
        <v>43168</v>
      </c>
      <c r="G2682" s="9" t="s">
        <v>3356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71" t="s">
        <v>7136</v>
      </c>
      <c r="B2683" s="67">
        <v>32329221800</v>
      </c>
      <c r="C2683" s="72"/>
      <c r="D2683" s="69"/>
      <c r="E2683" s="9">
        <v>1417</v>
      </c>
      <c r="F2683" s="25">
        <v>43017</v>
      </c>
      <c r="G2683" s="70" t="s">
        <v>3356</v>
      </c>
      <c r="H2683" s="25">
        <v>43027</v>
      </c>
      <c r="I2683" s="8"/>
      <c r="J2683" s="8"/>
      <c r="K2683" s="8"/>
      <c r="L2683" s="9" t="s">
        <v>3590</v>
      </c>
      <c r="M2683" s="8"/>
    </row>
    <row r="2684" spans="1:13">
      <c r="A2684" s="13" t="s">
        <v>7137</v>
      </c>
      <c r="B2684" s="67">
        <v>29203944877</v>
      </c>
      <c r="C2684" s="68"/>
      <c r="D2684" s="69"/>
      <c r="E2684" s="9">
        <v>1128</v>
      </c>
      <c r="F2684" s="25">
        <v>42972</v>
      </c>
      <c r="G2684" s="70" t="s">
        <v>3356</v>
      </c>
      <c r="H2684" s="25">
        <v>42979</v>
      </c>
      <c r="I2684" s="8"/>
      <c r="J2684" s="8"/>
      <c r="K2684" s="8"/>
      <c r="L2684" s="8"/>
      <c r="M2684" s="8"/>
    </row>
    <row r="2685" spans="1:13">
      <c r="A2685" s="29" t="s">
        <v>7138</v>
      </c>
      <c r="B2685" s="67"/>
      <c r="C2685" s="29" t="s">
        <v>3466</v>
      </c>
      <c r="D2685" s="69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71" t="s">
        <v>7139</v>
      </c>
      <c r="B2686" s="67">
        <v>33374721842</v>
      </c>
      <c r="C2686" s="72"/>
      <c r="D2686" s="69"/>
      <c r="E2686" s="9">
        <v>292</v>
      </c>
      <c r="F2686" s="25">
        <v>43168</v>
      </c>
      <c r="G2686" s="9" t="s">
        <v>3356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72" t="s">
        <v>7140</v>
      </c>
      <c r="B2687" s="67">
        <v>18033634871</v>
      </c>
      <c r="C2687" s="72" t="s">
        <v>7141</v>
      </c>
      <c r="D2687" s="69">
        <v>4507492823</v>
      </c>
      <c r="E2687" s="9"/>
      <c r="F2687" s="25"/>
      <c r="G2687" s="70"/>
      <c r="H2687" s="9"/>
      <c r="I2687" s="8"/>
      <c r="J2687" s="8"/>
      <c r="K2687" s="8"/>
      <c r="L2687" s="8"/>
      <c r="M2687" s="8"/>
    </row>
    <row r="2688" spans="1:13">
      <c r="A2688" s="71" t="s">
        <v>7142</v>
      </c>
      <c r="B2688" s="67">
        <v>17309351843</v>
      </c>
      <c r="C2688" s="72"/>
      <c r="D2688" s="69"/>
      <c r="E2688" s="9"/>
      <c r="F2688" s="25"/>
      <c r="G2688" s="70"/>
      <c r="H2688" s="9"/>
      <c r="I2688" s="8"/>
      <c r="J2688" s="8"/>
      <c r="K2688" s="8"/>
      <c r="L2688" s="8"/>
      <c r="M2688" s="8"/>
    </row>
    <row r="2689" spans="1:13">
      <c r="A2689" s="96" t="s">
        <v>7143</v>
      </c>
      <c r="B2689" s="67">
        <v>16155105839</v>
      </c>
      <c r="C2689" s="72" t="s">
        <v>7144</v>
      </c>
      <c r="D2689" s="69">
        <v>53581717468</v>
      </c>
      <c r="E2689" s="9">
        <v>1359</v>
      </c>
      <c r="F2689" s="25">
        <v>43006</v>
      </c>
      <c r="G2689" s="70" t="s">
        <v>3356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7145</v>
      </c>
      <c r="B2690" s="67">
        <v>33244692877</v>
      </c>
      <c r="C2690" s="72" t="s">
        <v>7146</v>
      </c>
      <c r="D2690" s="69">
        <v>7582246802</v>
      </c>
      <c r="E2690" s="9">
        <v>1417</v>
      </c>
      <c r="F2690" s="25">
        <v>43017</v>
      </c>
      <c r="G2690" s="70" t="s">
        <v>3356</v>
      </c>
      <c r="H2690" s="25">
        <v>43027</v>
      </c>
      <c r="I2690" s="8"/>
      <c r="J2690" s="8"/>
      <c r="K2690" s="8"/>
      <c r="L2690" s="9" t="s">
        <v>3590</v>
      </c>
      <c r="M2690" s="8"/>
    </row>
    <row r="2691" spans="1:13">
      <c r="A2691" s="71" t="s">
        <v>7147</v>
      </c>
      <c r="B2691" s="67">
        <v>26334556894</v>
      </c>
      <c r="C2691" s="72"/>
      <c r="D2691" s="69"/>
      <c r="E2691" s="9"/>
      <c r="F2691" s="25"/>
      <c r="G2691" s="70"/>
      <c r="H2691" s="9"/>
      <c r="I2691" s="8"/>
      <c r="J2691" s="8"/>
      <c r="K2691" s="8"/>
      <c r="L2691" s="8"/>
      <c r="M2691" s="8"/>
    </row>
    <row r="2692" spans="1:13">
      <c r="A2692" s="71" t="s">
        <v>7148</v>
      </c>
      <c r="B2692" s="67">
        <v>23369422832</v>
      </c>
      <c r="C2692" s="72"/>
      <c r="D2692" s="69"/>
      <c r="E2692" s="9"/>
      <c r="F2692" s="25"/>
      <c r="G2692" s="70"/>
      <c r="H2692" s="9"/>
      <c r="I2692" s="8"/>
      <c r="J2692" s="8"/>
      <c r="K2692" s="8"/>
      <c r="L2692" s="8"/>
      <c r="M2692" s="8"/>
    </row>
    <row r="2693" spans="1:13">
      <c r="A2693" s="71" t="s">
        <v>7149</v>
      </c>
      <c r="B2693" s="67"/>
      <c r="C2693" s="72"/>
      <c r="D2693" s="69"/>
      <c r="E2693" s="9"/>
      <c r="F2693" s="25"/>
      <c r="G2693" s="70"/>
      <c r="H2693" s="9"/>
      <c r="I2693" s="8"/>
      <c r="J2693" s="8"/>
      <c r="K2693" s="8"/>
      <c r="L2693" s="8"/>
      <c r="M2693" s="8"/>
    </row>
    <row r="2694" spans="1:13">
      <c r="A2694" s="71" t="s">
        <v>7150</v>
      </c>
      <c r="B2694" s="67">
        <v>28406679832</v>
      </c>
      <c r="C2694" s="72"/>
      <c r="D2694" s="69"/>
      <c r="E2694" s="9"/>
      <c r="F2694" s="25"/>
      <c r="G2694" s="70"/>
      <c r="H2694" s="9"/>
      <c r="I2694" s="8"/>
      <c r="J2694" s="8"/>
      <c r="K2694" s="8"/>
      <c r="L2694" s="8"/>
      <c r="M2694" s="8"/>
    </row>
    <row r="2695" spans="1:13">
      <c r="A2695" s="73" t="s">
        <v>7151</v>
      </c>
      <c r="B2695" s="67">
        <v>8715634795</v>
      </c>
      <c r="C2695" s="72" t="s">
        <v>7152</v>
      </c>
      <c r="D2695" s="69">
        <v>30386378827</v>
      </c>
      <c r="E2695" s="9">
        <v>1106</v>
      </c>
      <c r="F2695" s="25">
        <v>42965</v>
      </c>
      <c r="G2695" s="70" t="s">
        <v>3356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7153</v>
      </c>
      <c r="B2696" s="67">
        <v>27007595839</v>
      </c>
      <c r="C2696" s="68"/>
      <c r="D2696" s="69"/>
      <c r="E2696" s="9">
        <v>1214</v>
      </c>
      <c r="F2696" s="25">
        <v>42989</v>
      </c>
      <c r="G2696" s="70" t="s">
        <v>3356</v>
      </c>
      <c r="H2696" s="25">
        <v>43000</v>
      </c>
      <c r="I2696" s="8"/>
      <c r="J2696" s="8"/>
      <c r="K2696" s="8"/>
      <c r="L2696" s="8"/>
      <c r="M2696" s="8"/>
    </row>
    <row r="2697" spans="1:13">
      <c r="A2697" s="71" t="s">
        <v>7154</v>
      </c>
      <c r="B2697" s="67">
        <v>22697753842</v>
      </c>
      <c r="C2697" s="72"/>
      <c r="D2697" s="69"/>
      <c r="E2697" s="9">
        <v>1350</v>
      </c>
      <c r="F2697" s="25">
        <v>43006</v>
      </c>
      <c r="G2697" s="70" t="s">
        <v>3356</v>
      </c>
      <c r="H2697" s="25">
        <v>43011</v>
      </c>
      <c r="I2697" s="8"/>
      <c r="J2697" s="8"/>
      <c r="K2697" s="8"/>
      <c r="L2697" s="8"/>
      <c r="M2697" s="8"/>
    </row>
    <row r="2698" spans="1:13">
      <c r="A2698" s="71" t="s">
        <v>7155</v>
      </c>
      <c r="B2698" s="67">
        <v>28419447862</v>
      </c>
      <c r="C2698" s="72"/>
      <c r="D2698" s="69"/>
      <c r="E2698" s="9"/>
      <c r="F2698" s="25"/>
      <c r="G2698" s="70"/>
      <c r="H2698" s="9"/>
      <c r="I2698" s="8"/>
      <c r="J2698" s="8"/>
      <c r="K2698" s="8"/>
      <c r="L2698" s="8"/>
      <c r="M2698" s="8"/>
    </row>
    <row r="2699" spans="1:13">
      <c r="A2699" s="15" t="s">
        <v>7156</v>
      </c>
      <c r="B2699" s="67">
        <v>85941933517</v>
      </c>
      <c r="C2699" s="72" t="s">
        <v>7157</v>
      </c>
      <c r="D2699" s="69">
        <v>7045108125</v>
      </c>
      <c r="E2699" s="9"/>
      <c r="F2699" s="25"/>
      <c r="G2699" s="70"/>
      <c r="H2699" s="9"/>
      <c r="I2699" s="8"/>
      <c r="J2699" s="8"/>
      <c r="K2699" s="8"/>
      <c r="L2699" s="8"/>
      <c r="M2699" s="8"/>
    </row>
    <row r="2700" spans="1:13">
      <c r="A2700" s="71" t="s">
        <v>7158</v>
      </c>
      <c r="B2700" s="67">
        <v>89531850500</v>
      </c>
      <c r="C2700" s="72"/>
      <c r="D2700" s="69"/>
      <c r="E2700" s="9">
        <v>485</v>
      </c>
      <c r="F2700" s="25">
        <v>43196</v>
      </c>
      <c r="G2700" s="70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71" t="s">
        <v>7159</v>
      </c>
      <c r="B2701" s="67">
        <v>28230933898</v>
      </c>
      <c r="C2701" s="72"/>
      <c r="D2701" s="69"/>
      <c r="E2701" s="9"/>
      <c r="F2701" s="25"/>
      <c r="G2701" s="70"/>
      <c r="H2701" s="9"/>
      <c r="I2701" s="8"/>
      <c r="J2701" s="8"/>
      <c r="K2701" s="8"/>
      <c r="L2701" s="8"/>
      <c r="M2701" s="8"/>
    </row>
    <row r="2702" spans="1:13">
      <c r="A2702" s="29" t="s">
        <v>7160</v>
      </c>
      <c r="B2702" s="67"/>
      <c r="C2702" s="18" t="s">
        <v>3466</v>
      </c>
      <c r="D2702" s="69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7161</v>
      </c>
      <c r="B2703" s="67">
        <v>39766945845</v>
      </c>
      <c r="C2703" s="72" t="s">
        <v>7162</v>
      </c>
      <c r="D2703" s="69">
        <v>4497515621</v>
      </c>
      <c r="E2703" s="9">
        <v>262</v>
      </c>
      <c r="F2703" s="25">
        <v>43160</v>
      </c>
      <c r="G2703" s="70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7163</v>
      </c>
      <c r="B2704" s="67">
        <v>95398112520</v>
      </c>
      <c r="C2704" s="72"/>
      <c r="D2704" s="69"/>
      <c r="E2704" s="9">
        <v>262</v>
      </c>
      <c r="F2704" s="25">
        <v>43160</v>
      </c>
      <c r="G2704" s="70" t="s">
        <v>3356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7164</v>
      </c>
      <c r="B2705" s="67">
        <v>16374846826</v>
      </c>
      <c r="C2705" s="72" t="s">
        <v>7165</v>
      </c>
      <c r="D2705" s="69">
        <v>38606593320</v>
      </c>
      <c r="E2705" s="9">
        <v>262</v>
      </c>
      <c r="F2705" s="25">
        <v>43160</v>
      </c>
      <c r="G2705" s="70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71" t="s">
        <v>7166</v>
      </c>
      <c r="B2706" s="67">
        <v>1856821897</v>
      </c>
      <c r="C2706" s="72"/>
      <c r="D2706" s="69"/>
      <c r="E2706" s="9"/>
      <c r="F2706" s="25"/>
      <c r="G2706" s="70"/>
      <c r="H2706" s="9"/>
      <c r="I2706" s="8"/>
      <c r="J2706" s="8"/>
      <c r="K2706" s="8"/>
      <c r="L2706" s="8"/>
      <c r="M2706" s="8"/>
    </row>
    <row r="2707" spans="1:13">
      <c r="A2707" s="15" t="s">
        <v>7167</v>
      </c>
      <c r="B2707" s="67">
        <v>93785780630</v>
      </c>
      <c r="C2707" s="72"/>
      <c r="D2707" s="69"/>
      <c r="E2707" s="9">
        <v>292</v>
      </c>
      <c r="F2707" s="25">
        <v>43168</v>
      </c>
      <c r="G2707" s="70" t="s">
        <v>3356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71" t="s">
        <v>7168</v>
      </c>
      <c r="B2708" s="67">
        <v>29475815805</v>
      </c>
      <c r="C2708" s="72"/>
      <c r="D2708" s="69"/>
      <c r="E2708" s="9">
        <v>1555</v>
      </c>
      <c r="F2708" s="25">
        <v>43049</v>
      </c>
      <c r="G2708" s="70" t="s">
        <v>3356</v>
      </c>
      <c r="H2708" s="9"/>
      <c r="I2708" s="8"/>
      <c r="J2708" s="8"/>
      <c r="K2708" s="8"/>
      <c r="L2708" s="9" t="s">
        <v>3735</v>
      </c>
      <c r="M2708" s="8"/>
    </row>
    <row r="2709" spans="1:13">
      <c r="A2709" s="71" t="s">
        <v>7169</v>
      </c>
      <c r="B2709" s="67">
        <v>32897500867</v>
      </c>
      <c r="C2709" s="72"/>
      <c r="D2709" s="69"/>
      <c r="E2709" s="9">
        <v>292</v>
      </c>
      <c r="F2709" s="25">
        <v>43168</v>
      </c>
      <c r="G2709" s="70" t="s">
        <v>3356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71" t="s">
        <v>7170</v>
      </c>
      <c r="B2710" s="67">
        <v>14337129898</v>
      </c>
      <c r="C2710" s="77" t="s">
        <v>7171</v>
      </c>
      <c r="D2710" s="69">
        <v>4016271606</v>
      </c>
      <c r="E2710" s="9"/>
      <c r="F2710" s="25"/>
      <c r="G2710" s="70"/>
      <c r="H2710" s="9"/>
      <c r="I2710" s="8"/>
      <c r="J2710" s="8"/>
      <c r="K2710" s="8"/>
      <c r="L2710" s="8"/>
      <c r="M2710" s="8"/>
    </row>
    <row r="2711" spans="1:13">
      <c r="A2711" s="13" t="s">
        <v>7172</v>
      </c>
      <c r="B2711" s="67">
        <v>32287555846</v>
      </c>
      <c r="C2711" s="68"/>
      <c r="D2711" s="69"/>
      <c r="E2711" s="9">
        <v>1128</v>
      </c>
      <c r="F2711" s="25">
        <v>42972</v>
      </c>
      <c r="G2711" s="70" t="s">
        <v>3356</v>
      </c>
      <c r="H2711" s="25">
        <v>42979</v>
      </c>
      <c r="I2711" s="8"/>
      <c r="J2711" s="8"/>
      <c r="K2711" s="8"/>
      <c r="L2711" s="8"/>
      <c r="M2711" s="8"/>
    </row>
    <row r="2712" spans="1:13">
      <c r="A2712" s="71" t="s">
        <v>7173</v>
      </c>
      <c r="B2712" s="67">
        <v>37793218825</v>
      </c>
      <c r="C2712" s="72"/>
      <c r="D2712" s="69"/>
      <c r="E2712" s="9">
        <v>262</v>
      </c>
      <c r="F2712" s="25">
        <v>43160</v>
      </c>
      <c r="G2712" s="70" t="s">
        <v>3356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71" t="s">
        <v>7174</v>
      </c>
      <c r="B2713" s="67">
        <v>36804287827</v>
      </c>
      <c r="C2713" s="72"/>
      <c r="D2713" s="69"/>
      <c r="E2713" s="9"/>
      <c r="F2713" s="25"/>
      <c r="G2713" s="70"/>
      <c r="H2713" s="9"/>
      <c r="I2713" s="8"/>
      <c r="J2713" s="8"/>
      <c r="K2713" s="8"/>
      <c r="L2713" s="8"/>
      <c r="M2713" s="8"/>
    </row>
    <row r="2714" spans="1:13">
      <c r="A2714" s="71" t="s">
        <v>7175</v>
      </c>
      <c r="B2714" s="67">
        <v>69308152415</v>
      </c>
      <c r="C2714" s="72"/>
      <c r="D2714" s="69"/>
      <c r="E2714" s="9"/>
      <c r="F2714" s="25"/>
      <c r="G2714" s="70"/>
      <c r="H2714" s="9"/>
      <c r="I2714" s="8"/>
      <c r="J2714" s="8"/>
      <c r="K2714" s="8"/>
      <c r="L2714" s="8"/>
      <c r="M2714" s="8"/>
    </row>
    <row r="2715" spans="1:13">
      <c r="A2715" s="71" t="s">
        <v>7176</v>
      </c>
      <c r="B2715" s="67">
        <v>64152375434</v>
      </c>
      <c r="C2715" s="72"/>
      <c r="D2715" s="69"/>
      <c r="E2715" s="9">
        <v>1267</v>
      </c>
      <c r="F2715" s="25">
        <v>42998</v>
      </c>
      <c r="G2715" s="70" t="s">
        <v>3356</v>
      </c>
      <c r="H2715" s="25">
        <v>43000</v>
      </c>
      <c r="I2715" s="8"/>
      <c r="J2715" s="8"/>
      <c r="K2715" s="8"/>
      <c r="L2715" s="8"/>
      <c r="M2715" s="8"/>
    </row>
    <row r="2716" spans="1:13">
      <c r="A2716" s="71" t="s">
        <v>7177</v>
      </c>
      <c r="B2716" s="67">
        <v>44013455846</v>
      </c>
      <c r="C2716" s="73"/>
      <c r="D2716" s="69"/>
      <c r="E2716" s="9">
        <v>573</v>
      </c>
      <c r="F2716" s="25">
        <v>43224</v>
      </c>
      <c r="G2716" s="70"/>
      <c r="H2716" s="9"/>
      <c r="I2716" s="8"/>
      <c r="J2716" s="8"/>
      <c r="K2716" s="8"/>
      <c r="L2716" s="8"/>
      <c r="M2716" s="8"/>
    </row>
    <row r="2717" spans="1:13">
      <c r="A2717" s="71" t="s">
        <v>7178</v>
      </c>
      <c r="B2717" s="67">
        <v>44712669349</v>
      </c>
      <c r="C2717" s="72"/>
      <c r="D2717" s="69"/>
      <c r="E2717" s="9"/>
      <c r="F2717" s="25"/>
      <c r="G2717" s="70"/>
      <c r="H2717" s="9"/>
      <c r="I2717" s="8"/>
      <c r="J2717" s="8"/>
      <c r="K2717" s="8"/>
      <c r="L2717" s="8"/>
      <c r="M2717" s="8"/>
    </row>
    <row r="2718" spans="1:13">
      <c r="A2718" s="13" t="s">
        <v>7179</v>
      </c>
      <c r="B2718" s="67">
        <v>53615859804</v>
      </c>
      <c r="C2718" s="72"/>
      <c r="D2718" s="69"/>
      <c r="E2718" s="9">
        <v>1752</v>
      </c>
      <c r="F2718" s="25">
        <v>43051</v>
      </c>
      <c r="G2718" s="70" t="s">
        <v>3370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71" t="s">
        <v>7180</v>
      </c>
      <c r="B2719" s="67">
        <v>12521312835</v>
      </c>
      <c r="C2719" s="72"/>
      <c r="D2719" s="69"/>
      <c r="E2719" s="9">
        <v>85</v>
      </c>
      <c r="F2719" s="25">
        <v>43109</v>
      </c>
      <c r="G2719" s="70" t="s">
        <v>3356</v>
      </c>
      <c r="H2719" s="25">
        <v>43151</v>
      </c>
      <c r="I2719" s="8"/>
      <c r="J2719" s="8"/>
      <c r="K2719" s="8"/>
      <c r="L2719" s="8"/>
      <c r="M2719" s="8"/>
    </row>
    <row r="2720" spans="1:13">
      <c r="A2720" s="71" t="s">
        <v>7181</v>
      </c>
      <c r="B2720" s="67">
        <v>38482003844</v>
      </c>
      <c r="C2720" s="72" t="s">
        <v>7182</v>
      </c>
      <c r="D2720" s="69">
        <v>34337869840</v>
      </c>
      <c r="E2720" s="9">
        <v>117</v>
      </c>
      <c r="F2720" s="25">
        <v>43117</v>
      </c>
      <c r="G2720" s="70" t="s">
        <v>3356</v>
      </c>
      <c r="H2720" s="25">
        <v>43151</v>
      </c>
      <c r="I2720" s="8"/>
      <c r="J2720" s="8"/>
      <c r="K2720" s="8"/>
      <c r="L2720" s="9" t="s">
        <v>3507</v>
      </c>
      <c r="M2720" s="8"/>
    </row>
    <row r="2721" spans="1:13">
      <c r="A2721" s="71" t="s">
        <v>7183</v>
      </c>
      <c r="B2721" s="67">
        <v>30880201886</v>
      </c>
      <c r="C2721" s="72"/>
      <c r="D2721" s="69"/>
      <c r="E2721" s="9"/>
      <c r="F2721" s="25"/>
      <c r="G2721" s="70"/>
      <c r="H2721" s="9"/>
      <c r="I2721" s="8"/>
      <c r="J2721" s="8"/>
      <c r="K2721" s="8"/>
      <c r="L2721" s="8"/>
      <c r="M2721" s="8"/>
    </row>
    <row r="2722" spans="1:13">
      <c r="A2722" s="14" t="s">
        <v>7184</v>
      </c>
      <c r="B2722" s="67">
        <v>33079736818</v>
      </c>
      <c r="C2722" s="72" t="s">
        <v>7185</v>
      </c>
      <c r="D2722" s="69">
        <v>35642667807</v>
      </c>
      <c r="E2722" s="9">
        <v>262</v>
      </c>
      <c r="F2722" s="25">
        <v>43160</v>
      </c>
      <c r="G2722" s="70" t="s">
        <v>3356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7186</v>
      </c>
      <c r="B2723" s="67">
        <v>22630792897</v>
      </c>
      <c r="C2723" s="72"/>
      <c r="D2723" s="69"/>
      <c r="E2723" s="9"/>
      <c r="F2723" s="25"/>
      <c r="G2723" s="70"/>
      <c r="H2723" s="9"/>
      <c r="I2723" s="8"/>
      <c r="J2723" s="8"/>
      <c r="K2723" s="8"/>
      <c r="L2723" s="8"/>
      <c r="M2723" s="8"/>
    </row>
    <row r="2724" spans="1:13">
      <c r="A2724" s="71" t="s">
        <v>7187</v>
      </c>
      <c r="B2724" s="67">
        <v>31620090813</v>
      </c>
      <c r="C2724" s="72" t="s">
        <v>7188</v>
      </c>
      <c r="D2724" s="69">
        <v>29977379823</v>
      </c>
      <c r="E2724" s="9"/>
      <c r="F2724" s="25"/>
      <c r="G2724" s="70"/>
      <c r="H2724" s="9"/>
      <c r="I2724" s="8"/>
      <c r="J2724" s="8"/>
      <c r="K2724" s="8"/>
      <c r="L2724" s="8"/>
      <c r="M2724" s="8"/>
    </row>
    <row r="2725" spans="1:13">
      <c r="A2725" s="71" t="s">
        <v>7189</v>
      </c>
      <c r="B2725" s="67">
        <v>39621579805</v>
      </c>
      <c r="C2725" s="77" t="s">
        <v>7190</v>
      </c>
      <c r="D2725" s="69">
        <v>32395887811</v>
      </c>
      <c r="E2725" s="9"/>
      <c r="F2725" s="25"/>
      <c r="G2725" s="70"/>
      <c r="H2725" s="9"/>
      <c r="I2725" s="8"/>
      <c r="J2725" s="8"/>
      <c r="K2725" s="8"/>
      <c r="L2725" s="8"/>
      <c r="M2725" s="8"/>
    </row>
    <row r="2726" spans="1:13">
      <c r="A2726" s="15" t="s">
        <v>7191</v>
      </c>
      <c r="B2726" s="67">
        <v>221267328</v>
      </c>
      <c r="C2726" s="72" t="s">
        <v>7192</v>
      </c>
      <c r="D2726" s="69">
        <v>98610830306</v>
      </c>
      <c r="E2726" s="9">
        <v>85</v>
      </c>
      <c r="F2726" s="25">
        <v>43109</v>
      </c>
      <c r="G2726" s="70" t="s">
        <v>3356</v>
      </c>
      <c r="H2726" s="25">
        <v>43151</v>
      </c>
      <c r="I2726" s="8"/>
      <c r="J2726" s="8"/>
      <c r="K2726" s="8"/>
      <c r="L2726" s="8"/>
      <c r="M2726" s="8"/>
    </row>
    <row r="2727" spans="1:13">
      <c r="A2727" s="71" t="s">
        <v>7193</v>
      </c>
      <c r="B2727" s="67">
        <v>35706262888</v>
      </c>
      <c r="C2727" s="71" t="s">
        <v>7194</v>
      </c>
      <c r="D2727" s="69">
        <v>28992397836</v>
      </c>
      <c r="E2727" s="9">
        <v>292</v>
      </c>
      <c r="F2727" s="25">
        <v>43168</v>
      </c>
      <c r="G2727" s="9" t="s">
        <v>3356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71" t="s">
        <v>7195</v>
      </c>
      <c r="B2728" s="67">
        <v>57260133520</v>
      </c>
      <c r="C2728" s="72"/>
      <c r="D2728" s="69"/>
      <c r="E2728" s="9">
        <v>810</v>
      </c>
      <c r="F2728" s="25">
        <v>42915</v>
      </c>
      <c r="G2728" s="70" t="s">
        <v>3356</v>
      </c>
      <c r="H2728" s="25">
        <v>42921</v>
      </c>
      <c r="I2728" s="8"/>
      <c r="J2728" s="8"/>
      <c r="K2728" s="8"/>
      <c r="L2728" s="9" t="s">
        <v>3475</v>
      </c>
      <c r="M2728" s="8"/>
    </row>
    <row r="2729" spans="1:13">
      <c r="A2729" s="71" t="s">
        <v>7196</v>
      </c>
      <c r="B2729" s="67">
        <v>25105431804</v>
      </c>
      <c r="C2729" s="72"/>
      <c r="D2729" s="69"/>
      <c r="E2729" s="9">
        <v>1350</v>
      </c>
      <c r="F2729" s="25">
        <v>43006</v>
      </c>
      <c r="G2729" s="70" t="s">
        <v>3356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7197</v>
      </c>
      <c r="B2730" s="67">
        <v>98729586534</v>
      </c>
      <c r="C2730" s="72"/>
      <c r="D2730" s="69"/>
      <c r="E2730" s="9">
        <v>573</v>
      </c>
      <c r="F2730" s="25">
        <v>43224</v>
      </c>
      <c r="G2730" s="70"/>
      <c r="H2730" s="9"/>
      <c r="I2730" s="8"/>
      <c r="J2730" s="8"/>
      <c r="K2730" s="8"/>
      <c r="L2730" s="8"/>
      <c r="M2730" s="8"/>
    </row>
    <row r="2731" spans="1:13">
      <c r="A2731" s="15" t="s">
        <v>7198</v>
      </c>
      <c r="B2731" s="67">
        <v>25376099806</v>
      </c>
      <c r="C2731" s="72"/>
      <c r="D2731" s="69"/>
      <c r="E2731" s="9">
        <v>262</v>
      </c>
      <c r="F2731" s="25">
        <v>43160</v>
      </c>
      <c r="G2731" s="70" t="s">
        <v>3356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71" t="s">
        <v>7199</v>
      </c>
      <c r="B2732" s="67">
        <v>41958754803</v>
      </c>
      <c r="C2732" s="72"/>
      <c r="D2732" s="69"/>
      <c r="E2732" s="9"/>
      <c r="F2732" s="25"/>
      <c r="G2732" s="70"/>
      <c r="H2732" s="9"/>
      <c r="I2732" s="8"/>
      <c r="J2732" s="8"/>
      <c r="K2732" s="8"/>
      <c r="L2732" s="8"/>
      <c r="M2732" s="8"/>
    </row>
    <row r="2733" spans="1:13">
      <c r="A2733" s="18" t="s">
        <v>7200</v>
      </c>
      <c r="B2733" s="67">
        <v>8644680838</v>
      </c>
      <c r="C2733" s="18"/>
      <c r="D2733" s="69"/>
      <c r="E2733" s="9"/>
      <c r="F2733" s="25"/>
      <c r="G2733" s="70"/>
      <c r="H2733" s="9"/>
      <c r="I2733" s="8"/>
      <c r="J2733" s="8"/>
      <c r="K2733" s="8"/>
      <c r="L2733" s="8"/>
      <c r="M2733" s="8"/>
    </row>
    <row r="2734" spans="1:13">
      <c r="A2734" s="32" t="s">
        <v>7201</v>
      </c>
      <c r="B2734" s="67">
        <v>34393827880</v>
      </c>
      <c r="C2734" s="72" t="s">
        <v>7202</v>
      </c>
      <c r="D2734" s="69">
        <v>32655308840</v>
      </c>
      <c r="E2734" s="9"/>
      <c r="F2734" s="25"/>
      <c r="G2734" s="70"/>
      <c r="H2734" s="9"/>
      <c r="I2734" s="8"/>
      <c r="J2734" s="8"/>
      <c r="K2734" s="8"/>
      <c r="L2734" s="8"/>
      <c r="M2734" s="8"/>
    </row>
    <row r="2735" spans="1:13">
      <c r="A2735" s="71" t="s">
        <v>7203</v>
      </c>
      <c r="B2735" s="67">
        <v>78717574315</v>
      </c>
      <c r="C2735" s="72"/>
      <c r="D2735" s="69"/>
      <c r="E2735" s="9"/>
      <c r="F2735" s="25"/>
      <c r="G2735" s="70"/>
      <c r="H2735" s="9"/>
      <c r="I2735" s="8"/>
      <c r="J2735" s="8"/>
      <c r="K2735" s="8"/>
      <c r="L2735" s="8"/>
      <c r="M2735" s="8"/>
    </row>
    <row r="2736" spans="1:13">
      <c r="A2736" s="71" t="s">
        <v>7204</v>
      </c>
      <c r="B2736" s="67">
        <v>35679630826</v>
      </c>
      <c r="C2736" s="72" t="s">
        <v>7205</v>
      </c>
      <c r="D2736" s="69">
        <v>34083542861</v>
      </c>
      <c r="E2736" s="9">
        <v>1752</v>
      </c>
      <c r="F2736" s="25">
        <v>43051</v>
      </c>
      <c r="G2736" s="70" t="s">
        <v>3356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7206</v>
      </c>
      <c r="B2737" s="67">
        <v>34949006800</v>
      </c>
      <c r="C2737" s="18" t="s">
        <v>7207</v>
      </c>
      <c r="D2737" s="69">
        <v>27568068897</v>
      </c>
      <c r="E2737" s="9"/>
      <c r="F2737" s="25"/>
      <c r="G2737" s="70"/>
      <c r="H2737" s="9"/>
      <c r="I2737" s="8"/>
      <c r="J2737" s="8"/>
      <c r="K2737" s="8"/>
      <c r="L2737" s="8"/>
      <c r="M2737" s="8"/>
    </row>
    <row r="2738" spans="1:13">
      <c r="A2738" s="15" t="s">
        <v>7208</v>
      </c>
      <c r="B2738" s="67">
        <v>1157524559</v>
      </c>
      <c r="C2738" s="72" t="s">
        <v>7209</v>
      </c>
      <c r="D2738" s="69">
        <v>1436524512</v>
      </c>
      <c r="E2738" s="9">
        <v>117</v>
      </c>
      <c r="F2738" s="25">
        <v>43117</v>
      </c>
      <c r="G2738" s="70" t="s">
        <v>3362</v>
      </c>
      <c r="H2738" s="25">
        <v>43151</v>
      </c>
      <c r="I2738" s="8"/>
      <c r="J2738" s="8"/>
      <c r="K2738" s="8"/>
      <c r="L2738" s="9" t="s">
        <v>3507</v>
      </c>
      <c r="M2738" s="8"/>
    </row>
    <row r="2739" spans="1:13">
      <c r="A2739" s="71" t="s">
        <v>7210</v>
      </c>
      <c r="B2739" s="67">
        <v>16488023896</v>
      </c>
      <c r="C2739" s="72"/>
      <c r="D2739" s="69"/>
      <c r="E2739" s="9">
        <v>292</v>
      </c>
      <c r="F2739" s="25">
        <v>43168</v>
      </c>
      <c r="G2739" s="70" t="s">
        <v>3356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71" t="s">
        <v>7211</v>
      </c>
      <c r="B2740" s="67">
        <v>23540857885</v>
      </c>
      <c r="C2740" s="72"/>
      <c r="D2740" s="69"/>
      <c r="E2740" s="9">
        <v>1241</v>
      </c>
      <c r="F2740" s="25">
        <v>42992</v>
      </c>
      <c r="G2740" s="70" t="s">
        <v>3356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7212</v>
      </c>
      <c r="B2741" s="67">
        <v>46700374391</v>
      </c>
      <c r="C2741" s="72"/>
      <c r="D2741" s="69"/>
      <c r="E2741" s="9">
        <v>262</v>
      </c>
      <c r="F2741" s="25">
        <v>43160</v>
      </c>
      <c r="G2741" s="70" t="s">
        <v>3356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9" t="s">
        <v>7213</v>
      </c>
      <c r="B2742" s="67">
        <v>21686263830</v>
      </c>
      <c r="C2742" s="29" t="s">
        <v>7214</v>
      </c>
      <c r="D2742" s="69">
        <v>13577537809</v>
      </c>
      <c r="E2742" s="9"/>
      <c r="F2742" s="25"/>
      <c r="G2742" s="70"/>
      <c r="H2742" s="9"/>
      <c r="I2742" s="8"/>
      <c r="J2742" s="8"/>
      <c r="K2742" s="8"/>
      <c r="L2742" s="8"/>
      <c r="M2742" s="8"/>
    </row>
    <row r="2743" spans="1:13">
      <c r="A2743" s="18" t="s">
        <v>7215</v>
      </c>
      <c r="B2743" s="67">
        <v>22497995800</v>
      </c>
      <c r="C2743" s="18" t="s">
        <v>7216</v>
      </c>
      <c r="D2743" s="69">
        <v>37991860850</v>
      </c>
      <c r="E2743" s="9"/>
      <c r="F2743" s="25"/>
      <c r="G2743" s="70"/>
      <c r="H2743" s="9"/>
      <c r="I2743" s="8"/>
      <c r="J2743" s="8"/>
      <c r="K2743" s="8"/>
      <c r="L2743" s="8"/>
      <c r="M2743" s="8"/>
    </row>
    <row r="2744" spans="1:13">
      <c r="A2744" s="15" t="s">
        <v>7217</v>
      </c>
      <c r="B2744" s="67">
        <v>40856820830</v>
      </c>
      <c r="C2744" s="72"/>
      <c r="D2744" s="69"/>
      <c r="E2744" s="9">
        <v>229</v>
      </c>
      <c r="F2744" s="25">
        <v>43151</v>
      </c>
      <c r="G2744" s="70" t="s">
        <v>3356</v>
      </c>
      <c r="H2744" s="9"/>
      <c r="I2744" s="8"/>
      <c r="J2744" s="8"/>
      <c r="K2744" s="8"/>
      <c r="L2744" s="9">
        <v>232</v>
      </c>
      <c r="M2744" s="8"/>
    </row>
    <row r="2745" spans="1:13">
      <c r="A2745" s="29" t="s">
        <v>7218</v>
      </c>
      <c r="B2745" s="67">
        <v>30637750888</v>
      </c>
      <c r="C2745" s="29"/>
      <c r="D2745" s="69"/>
      <c r="E2745" s="9"/>
      <c r="F2745" s="25"/>
      <c r="G2745" s="70"/>
      <c r="H2745" s="9"/>
      <c r="I2745" s="8"/>
      <c r="J2745" s="8"/>
      <c r="K2745" s="8"/>
      <c r="L2745" s="8"/>
      <c r="M2745" s="8"/>
    </row>
    <row r="2746" spans="1:13">
      <c r="A2746" s="71" t="s">
        <v>7219</v>
      </c>
      <c r="B2746" s="67">
        <v>40291692877</v>
      </c>
      <c r="C2746" s="72" t="s">
        <v>7220</v>
      </c>
      <c r="D2746" s="69">
        <v>1566073367</v>
      </c>
      <c r="E2746" s="9">
        <v>810</v>
      </c>
      <c r="F2746" s="25">
        <v>42915</v>
      </c>
      <c r="G2746" s="70" t="s">
        <v>3356</v>
      </c>
      <c r="H2746" s="25">
        <v>42921</v>
      </c>
      <c r="I2746" s="8"/>
      <c r="J2746" s="8"/>
      <c r="K2746" s="8"/>
      <c r="L2746" s="9" t="s">
        <v>3475</v>
      </c>
      <c r="M2746" s="8"/>
    </row>
    <row r="2747" spans="1:13">
      <c r="A2747" s="72" t="s">
        <v>7221</v>
      </c>
      <c r="B2747" s="67">
        <v>11767064896</v>
      </c>
      <c r="C2747" s="72" t="s">
        <v>7222</v>
      </c>
      <c r="D2747" s="69">
        <v>7473492829</v>
      </c>
      <c r="E2747" s="9"/>
      <c r="F2747" s="25"/>
      <c r="G2747" s="70"/>
      <c r="H2747" s="9"/>
      <c r="I2747" s="8"/>
      <c r="J2747" s="8"/>
      <c r="K2747" s="8"/>
      <c r="L2747" s="8"/>
      <c r="M2747" s="8"/>
    </row>
    <row r="2748" spans="1:13">
      <c r="A2748" s="13" t="s">
        <v>7223</v>
      </c>
      <c r="B2748" s="67">
        <v>28793949880</v>
      </c>
      <c r="C2748" s="68"/>
      <c r="D2748" s="69"/>
      <c r="E2748" s="9">
        <v>1128</v>
      </c>
      <c r="F2748" s="25">
        <v>42972</v>
      </c>
      <c r="G2748" s="70" t="s">
        <v>3356</v>
      </c>
      <c r="H2748" s="25">
        <v>42979</v>
      </c>
      <c r="I2748" s="8"/>
      <c r="J2748" s="8"/>
      <c r="K2748" s="8"/>
      <c r="L2748" s="8"/>
      <c r="M2748" s="8"/>
    </row>
    <row r="2749" spans="1:13">
      <c r="A2749" s="71" t="s">
        <v>7224</v>
      </c>
      <c r="B2749" s="67">
        <v>49009893391</v>
      </c>
      <c r="C2749" s="72" t="s">
        <v>7225</v>
      </c>
      <c r="D2749" s="69">
        <v>37349813368</v>
      </c>
      <c r="E2749" s="9">
        <v>292</v>
      </c>
      <c r="F2749" s="25">
        <v>43168</v>
      </c>
      <c r="G2749" s="70" t="s">
        <v>3356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7226</v>
      </c>
      <c r="B2750" s="67">
        <v>92361587572</v>
      </c>
      <c r="C2750" s="72" t="s">
        <v>7227</v>
      </c>
      <c r="D2750" s="69">
        <v>26270097886</v>
      </c>
      <c r="E2750" s="9"/>
      <c r="F2750" s="25"/>
      <c r="G2750" s="70"/>
      <c r="H2750" s="9"/>
      <c r="I2750" s="8"/>
      <c r="J2750" s="8"/>
      <c r="K2750" s="8"/>
      <c r="L2750" s="8"/>
      <c r="M2750" s="8"/>
    </row>
    <row r="2751" spans="1:13">
      <c r="A2751" s="71" t="s">
        <v>7228</v>
      </c>
      <c r="B2751" s="67">
        <v>17487435890</v>
      </c>
      <c r="C2751" s="72" t="s">
        <v>7229</v>
      </c>
      <c r="D2751" s="69">
        <v>2388809312</v>
      </c>
      <c r="E2751" s="9"/>
      <c r="F2751" s="25"/>
      <c r="G2751" s="70"/>
      <c r="H2751" s="9"/>
      <c r="I2751" s="8"/>
      <c r="J2751" s="8"/>
      <c r="K2751" s="8"/>
      <c r="L2751" s="8"/>
      <c r="M2751" s="8"/>
    </row>
    <row r="2752" spans="1:13">
      <c r="A2752" s="71" t="s">
        <v>7230</v>
      </c>
      <c r="B2752" s="67">
        <v>26377102844</v>
      </c>
      <c r="C2752" s="72"/>
      <c r="D2752" s="69"/>
      <c r="E2752" s="9">
        <v>292</v>
      </c>
      <c r="F2752" s="25">
        <v>43168</v>
      </c>
      <c r="G2752" s="70" t="s">
        <v>3356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7231</v>
      </c>
      <c r="B2753" s="67">
        <v>86815121615</v>
      </c>
      <c r="C2753" s="72" t="s">
        <v>7232</v>
      </c>
      <c r="D2753" s="69">
        <v>12711690881</v>
      </c>
      <c r="E2753" s="9"/>
      <c r="F2753" s="25"/>
      <c r="G2753" s="70"/>
      <c r="H2753" s="9"/>
      <c r="I2753" s="8"/>
      <c r="J2753" s="8"/>
      <c r="K2753" s="8"/>
      <c r="L2753" s="8"/>
      <c r="M2753" s="8"/>
    </row>
    <row r="2754" spans="1:13">
      <c r="A2754" s="14" t="s">
        <v>7233</v>
      </c>
      <c r="B2754" s="67">
        <v>25711316800</v>
      </c>
      <c r="C2754" s="72"/>
      <c r="D2754" s="69"/>
      <c r="E2754" s="9"/>
      <c r="F2754" s="25"/>
      <c r="G2754" s="70"/>
      <c r="H2754" s="9"/>
      <c r="I2754" s="8"/>
      <c r="J2754" s="8"/>
      <c r="K2754" s="8"/>
      <c r="L2754" s="8"/>
      <c r="M2754" s="8"/>
    </row>
    <row r="2755" spans="1:13">
      <c r="A2755" s="18" t="s">
        <v>7234</v>
      </c>
      <c r="B2755" s="67">
        <v>25793953850</v>
      </c>
      <c r="C2755" s="18"/>
      <c r="D2755" s="69"/>
      <c r="E2755" s="9"/>
      <c r="F2755" s="25"/>
      <c r="G2755" s="70"/>
      <c r="H2755" s="9"/>
      <c r="I2755" s="8"/>
      <c r="J2755" s="8"/>
      <c r="K2755" s="8"/>
      <c r="L2755" s="8"/>
      <c r="M2755" s="8"/>
    </row>
    <row r="2756" spans="1:13">
      <c r="A2756" s="71" t="s">
        <v>7235</v>
      </c>
      <c r="B2756" s="67">
        <v>22625355824</v>
      </c>
      <c r="C2756" s="72"/>
      <c r="D2756" s="69"/>
      <c r="E2756" s="9">
        <v>810</v>
      </c>
      <c r="F2756" s="25">
        <v>42915</v>
      </c>
      <c r="G2756" s="70" t="s">
        <v>3356</v>
      </c>
      <c r="H2756" s="25">
        <v>42921</v>
      </c>
      <c r="I2756" s="8"/>
      <c r="J2756" s="8"/>
      <c r="K2756" s="8"/>
      <c r="L2756" s="9" t="s">
        <v>3475</v>
      </c>
      <c r="M2756" s="8"/>
    </row>
    <row r="2757" spans="1:13">
      <c r="A2757" s="72" t="s">
        <v>7236</v>
      </c>
      <c r="B2757" s="67">
        <v>25261161800</v>
      </c>
      <c r="C2757" s="72" t="s">
        <v>7237</v>
      </c>
      <c r="D2757" s="69">
        <v>11384693866</v>
      </c>
      <c r="E2757" s="9"/>
      <c r="F2757" s="25"/>
      <c r="G2757" s="70"/>
      <c r="H2757" s="9"/>
      <c r="I2757" s="8"/>
      <c r="J2757" s="8"/>
      <c r="K2757" s="8"/>
      <c r="L2757" s="8"/>
      <c r="M2757" s="8"/>
    </row>
    <row r="2758" spans="1:13">
      <c r="A2758" s="15" t="s">
        <v>7238</v>
      </c>
      <c r="B2758" s="67">
        <v>41710847840</v>
      </c>
      <c r="C2758" s="72"/>
      <c r="D2758" s="69"/>
      <c r="E2758" s="9">
        <v>117</v>
      </c>
      <c r="F2758" s="25">
        <v>43117</v>
      </c>
      <c r="G2758" s="70" t="s">
        <v>3356</v>
      </c>
      <c r="H2758" s="25">
        <v>43151</v>
      </c>
      <c r="I2758" s="8"/>
      <c r="J2758" s="8"/>
      <c r="K2758" s="8"/>
      <c r="L2758" s="9" t="s">
        <v>3507</v>
      </c>
      <c r="M2758" s="8"/>
    </row>
    <row r="2759" spans="1:13">
      <c r="A2759" s="71" t="s">
        <v>7239</v>
      </c>
      <c r="B2759" s="67">
        <v>36882893829</v>
      </c>
      <c r="C2759" s="72"/>
      <c r="D2759" s="69"/>
      <c r="E2759" s="9">
        <v>1128</v>
      </c>
      <c r="F2759" s="25">
        <v>42972</v>
      </c>
      <c r="G2759" s="70" t="s">
        <v>3356</v>
      </c>
      <c r="H2759" s="25">
        <v>42979</v>
      </c>
      <c r="I2759" s="8"/>
      <c r="J2759" s="8"/>
      <c r="K2759" s="8"/>
      <c r="L2759" s="8"/>
      <c r="M2759" s="8"/>
    </row>
    <row r="2760" spans="1:13">
      <c r="A2760" s="71" t="s">
        <v>7240</v>
      </c>
      <c r="B2760" s="67">
        <v>28664626880</v>
      </c>
      <c r="C2760" s="72"/>
      <c r="D2760" s="69"/>
      <c r="E2760" s="9"/>
      <c r="F2760" s="25"/>
      <c r="G2760" s="70"/>
      <c r="H2760" s="9"/>
      <c r="I2760" s="8"/>
      <c r="J2760" s="8"/>
      <c r="K2760" s="8"/>
      <c r="L2760" s="8"/>
      <c r="M2760" s="8"/>
    </row>
    <row r="2761" spans="1:13">
      <c r="A2761" s="15" t="s">
        <v>7241</v>
      </c>
      <c r="B2761" s="67">
        <v>22638604879</v>
      </c>
      <c r="C2761" s="72" t="s">
        <v>7242</v>
      </c>
      <c r="D2761" s="69">
        <v>26693523838</v>
      </c>
      <c r="E2761" s="9"/>
      <c r="F2761" s="25"/>
      <c r="G2761" s="70"/>
      <c r="H2761" s="9"/>
      <c r="I2761" s="8"/>
      <c r="J2761" s="8"/>
      <c r="K2761" s="8"/>
      <c r="L2761" s="8"/>
      <c r="M2761" s="8"/>
    </row>
    <row r="2762" spans="1:13">
      <c r="A2762" s="19" t="s">
        <v>7243</v>
      </c>
      <c r="B2762" s="67" t="s">
        <v>7244</v>
      </c>
      <c r="C2762" s="18" t="s">
        <v>7245</v>
      </c>
      <c r="D2762" s="69">
        <v>29976188862</v>
      </c>
      <c r="E2762" s="9"/>
      <c r="F2762" s="25"/>
      <c r="G2762" s="70"/>
      <c r="H2762" s="9"/>
      <c r="I2762" s="8"/>
      <c r="J2762" s="8"/>
      <c r="K2762" s="8"/>
      <c r="L2762" s="8"/>
      <c r="M2762" s="8"/>
    </row>
    <row r="2763" spans="1:13">
      <c r="A2763" s="71" t="s">
        <v>7246</v>
      </c>
      <c r="B2763" s="67">
        <v>21858442885</v>
      </c>
      <c r="C2763" s="72"/>
      <c r="D2763" s="69"/>
      <c r="E2763" s="9">
        <v>443</v>
      </c>
      <c r="F2763" s="25">
        <v>43188</v>
      </c>
      <c r="G2763" s="70"/>
      <c r="H2763" s="25">
        <v>43192</v>
      </c>
      <c r="I2763" s="8"/>
      <c r="J2763" s="8"/>
      <c r="K2763" s="8"/>
      <c r="L2763" s="8"/>
      <c r="M2763" s="8"/>
    </row>
    <row r="2764" spans="1:13">
      <c r="A2764" s="73" t="s">
        <v>7247</v>
      </c>
      <c r="B2764" s="67">
        <v>32880462886</v>
      </c>
      <c r="C2764" s="72" t="s">
        <v>7248</v>
      </c>
      <c r="D2764" s="69">
        <v>30845711806</v>
      </c>
      <c r="E2764" s="9">
        <v>810</v>
      </c>
      <c r="F2764" s="25">
        <v>42915</v>
      </c>
      <c r="G2764" s="70" t="s">
        <v>3356</v>
      </c>
      <c r="H2764" s="25">
        <v>42921</v>
      </c>
      <c r="I2764" s="8"/>
      <c r="J2764" s="8"/>
      <c r="K2764" s="8"/>
      <c r="L2764" s="9" t="s">
        <v>3475</v>
      </c>
      <c r="M2764" s="8"/>
    </row>
    <row r="2765" spans="1:13">
      <c r="A2765" s="29" t="s">
        <v>7249</v>
      </c>
      <c r="B2765" s="67">
        <v>31228758883</v>
      </c>
      <c r="C2765" s="29" t="s">
        <v>7250</v>
      </c>
      <c r="D2765" s="69">
        <v>31474664857</v>
      </c>
      <c r="E2765" s="9"/>
      <c r="F2765" s="25"/>
      <c r="G2765" s="70"/>
      <c r="H2765" s="9"/>
      <c r="I2765" s="8"/>
      <c r="J2765" s="8"/>
      <c r="K2765" s="8"/>
      <c r="L2765" s="8"/>
      <c r="M2765" s="8"/>
    </row>
    <row r="2766" spans="1:13">
      <c r="A2766" s="71" t="s">
        <v>7251</v>
      </c>
      <c r="B2766" s="67">
        <v>40443218846</v>
      </c>
      <c r="C2766" s="88" t="s">
        <v>7252</v>
      </c>
      <c r="D2766" s="69">
        <v>1891760599</v>
      </c>
      <c r="E2766" s="9"/>
      <c r="F2766" s="25"/>
      <c r="G2766" s="70"/>
      <c r="H2766" s="9"/>
      <c r="I2766" s="8"/>
      <c r="J2766" s="8"/>
      <c r="K2766" s="8"/>
      <c r="L2766" s="8"/>
      <c r="M2766" s="8"/>
    </row>
    <row r="2767" spans="1:13">
      <c r="A2767" s="14" t="s">
        <v>7253</v>
      </c>
      <c r="B2767" s="67">
        <v>39655589862</v>
      </c>
      <c r="C2767" s="72"/>
      <c r="D2767" s="69"/>
      <c r="E2767" s="9">
        <v>1752</v>
      </c>
      <c r="F2767" s="25">
        <v>43051</v>
      </c>
      <c r="G2767" s="83" t="s">
        <v>3356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71" t="s">
        <v>7254</v>
      </c>
      <c r="B2768" s="67">
        <v>66227895415</v>
      </c>
      <c r="C2768" s="72"/>
      <c r="D2768" s="69"/>
      <c r="E2768" s="9">
        <v>292</v>
      </c>
      <c r="F2768" s="25">
        <v>43168</v>
      </c>
      <c r="G2768" s="70" t="s">
        <v>3362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9" t="s">
        <v>7255</v>
      </c>
      <c r="B2769" s="67"/>
      <c r="C2769" s="29" t="s">
        <v>7256</v>
      </c>
      <c r="D2769" s="69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71" t="s">
        <v>7257</v>
      </c>
      <c r="B2770" s="67">
        <v>34462426860</v>
      </c>
      <c r="C2770" s="72" t="s">
        <v>7258</v>
      </c>
      <c r="D2770" s="69">
        <v>42694193854</v>
      </c>
      <c r="E2770" s="9">
        <v>563</v>
      </c>
      <c r="F2770" s="25">
        <v>43217</v>
      </c>
      <c r="G2770" s="70"/>
      <c r="H2770" s="25">
        <v>43234</v>
      </c>
      <c r="I2770" s="8"/>
      <c r="J2770" s="8"/>
      <c r="K2770" s="8"/>
      <c r="L2770" s="9" t="s">
        <v>3636</v>
      </c>
      <c r="M2770" s="8"/>
    </row>
    <row r="2771" spans="1:13">
      <c r="A2771" s="15" t="s">
        <v>7259</v>
      </c>
      <c r="B2771" s="67">
        <v>37080495865</v>
      </c>
      <c r="C2771" s="72"/>
      <c r="D2771" s="69"/>
      <c r="E2771" s="9">
        <v>262</v>
      </c>
      <c r="F2771" s="25">
        <v>43160</v>
      </c>
      <c r="G2771" s="70" t="s">
        <v>3356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71" t="s">
        <v>7260</v>
      </c>
      <c r="B2772" s="67">
        <v>39600488827</v>
      </c>
      <c r="C2772" s="72" t="s">
        <v>7261</v>
      </c>
      <c r="D2772" s="69">
        <v>34795746885</v>
      </c>
      <c r="E2772" s="9">
        <v>292</v>
      </c>
      <c r="F2772" s="25">
        <v>43168</v>
      </c>
      <c r="G2772" s="70" t="s">
        <v>3356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71" t="s">
        <v>7262</v>
      </c>
      <c r="B2773" s="67">
        <v>38168297830</v>
      </c>
      <c r="C2773" s="72"/>
      <c r="D2773" s="69"/>
      <c r="E2773" s="9">
        <v>527</v>
      </c>
      <c r="F2773" s="25">
        <v>43210</v>
      </c>
      <c r="G2773" s="70"/>
      <c r="H2773" s="9"/>
      <c r="I2773" s="8"/>
      <c r="J2773" s="8"/>
      <c r="K2773" s="8"/>
      <c r="L2773" s="9">
        <v>528</v>
      </c>
      <c r="M2773" s="8"/>
    </row>
    <row r="2774" spans="1:13">
      <c r="A2774" s="71" t="s">
        <v>7263</v>
      </c>
      <c r="B2774" s="67">
        <v>28518826861</v>
      </c>
      <c r="C2774" s="72"/>
      <c r="D2774" s="69"/>
      <c r="E2774" s="9">
        <v>810</v>
      </c>
      <c r="F2774" s="25">
        <v>42915</v>
      </c>
      <c r="G2774" s="70" t="s">
        <v>3370</v>
      </c>
      <c r="H2774" s="25">
        <v>42921</v>
      </c>
      <c r="I2774" s="8"/>
      <c r="J2774" s="8"/>
      <c r="K2774" s="8"/>
      <c r="L2774" s="9" t="s">
        <v>3475</v>
      </c>
      <c r="M2774" s="8"/>
    </row>
    <row r="2775" spans="1:13">
      <c r="A2775" s="71" t="s">
        <v>7264</v>
      </c>
      <c r="B2775" s="67">
        <v>32768872822</v>
      </c>
      <c r="C2775" s="72" t="s">
        <v>7265</v>
      </c>
      <c r="D2775" s="69">
        <v>35447305888</v>
      </c>
      <c r="E2775" s="9"/>
      <c r="F2775" s="25"/>
      <c r="G2775" s="70"/>
      <c r="H2775" s="9"/>
      <c r="I2775" s="8"/>
      <c r="J2775" s="8"/>
      <c r="K2775" s="8"/>
      <c r="L2775" s="8"/>
      <c r="M2775" s="8"/>
    </row>
    <row r="2776" spans="1:13">
      <c r="A2776" s="71" t="s">
        <v>7266</v>
      </c>
      <c r="B2776" s="67">
        <v>9671869866</v>
      </c>
      <c r="C2776" s="72"/>
      <c r="D2776" s="69"/>
      <c r="E2776" s="9">
        <v>292</v>
      </c>
      <c r="F2776" s="25">
        <v>43168</v>
      </c>
      <c r="G2776" s="9" t="s">
        <v>3356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71" t="s">
        <v>7267</v>
      </c>
      <c r="B2777" s="67">
        <v>85942588104</v>
      </c>
      <c r="C2777" s="88" t="s">
        <v>7268</v>
      </c>
      <c r="D2777" s="69">
        <v>33938715871</v>
      </c>
      <c r="E2777" s="9"/>
      <c r="F2777" s="25"/>
      <c r="G2777" s="97"/>
      <c r="H2777" s="9"/>
      <c r="I2777" s="8"/>
      <c r="J2777" s="8"/>
      <c r="K2777" s="8"/>
      <c r="L2777" s="8"/>
      <c r="M2777" s="8"/>
    </row>
    <row r="2778" spans="1:13">
      <c r="A2778" s="29" t="s">
        <v>7269</v>
      </c>
      <c r="B2778" s="67"/>
      <c r="C2778" s="29" t="s">
        <v>3466</v>
      </c>
      <c r="D2778" s="69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71" t="s">
        <v>7270</v>
      </c>
      <c r="B2779" s="67">
        <v>9552611806</v>
      </c>
      <c r="C2779" s="72"/>
      <c r="D2779" s="69"/>
      <c r="E2779" s="9">
        <v>292</v>
      </c>
      <c r="F2779" s="25">
        <v>43168</v>
      </c>
      <c r="G2779" s="9" t="s">
        <v>3356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7271</v>
      </c>
      <c r="B2780" s="67">
        <v>27876586449</v>
      </c>
      <c r="C2780" s="68"/>
      <c r="D2780" s="69"/>
      <c r="E2780" s="9">
        <v>1128</v>
      </c>
      <c r="F2780" s="25">
        <v>42972</v>
      </c>
      <c r="G2780" s="70" t="s">
        <v>3356</v>
      </c>
      <c r="H2780" s="25">
        <v>42979</v>
      </c>
      <c r="I2780" s="8"/>
      <c r="J2780" s="8"/>
      <c r="K2780" s="8"/>
      <c r="L2780" s="8"/>
      <c r="M2780" s="8"/>
    </row>
    <row r="2781" spans="1:13">
      <c r="A2781" s="71" t="s">
        <v>7272</v>
      </c>
      <c r="B2781" s="67">
        <v>14337004840</v>
      </c>
      <c r="C2781" s="72"/>
      <c r="D2781" s="69"/>
      <c r="E2781" s="9"/>
      <c r="F2781" s="25"/>
      <c r="G2781" s="70"/>
      <c r="H2781" s="9"/>
      <c r="I2781" s="8"/>
      <c r="J2781" s="8"/>
      <c r="K2781" s="8"/>
      <c r="L2781" s="8"/>
      <c r="M2781" s="8"/>
    </row>
    <row r="2782" spans="1:13">
      <c r="A2782" s="18" t="s">
        <v>7273</v>
      </c>
      <c r="B2782" s="67">
        <v>16505587837</v>
      </c>
      <c r="C2782" s="18"/>
      <c r="D2782" s="69"/>
      <c r="E2782" s="9"/>
      <c r="F2782" s="25"/>
      <c r="G2782" s="70"/>
      <c r="H2782" s="9"/>
      <c r="I2782" s="8"/>
      <c r="J2782" s="8"/>
      <c r="K2782" s="8"/>
      <c r="L2782" s="8"/>
      <c r="M2782" s="8"/>
    </row>
    <row r="2783" spans="1:13">
      <c r="A2783" s="13" t="s">
        <v>7274</v>
      </c>
      <c r="B2783" s="67">
        <v>14271059870</v>
      </c>
      <c r="C2783" s="68"/>
      <c r="D2783" s="69"/>
      <c r="E2783" s="9">
        <v>1128</v>
      </c>
      <c r="F2783" s="25">
        <v>42972</v>
      </c>
      <c r="G2783" s="70" t="s">
        <v>3356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7275</v>
      </c>
      <c r="B2784" s="67">
        <v>14249756890</v>
      </c>
      <c r="C2784" s="68"/>
      <c r="D2784" s="69"/>
      <c r="E2784" s="9">
        <v>1241</v>
      </c>
      <c r="F2784" s="25">
        <v>42992</v>
      </c>
      <c r="G2784" s="70" t="s">
        <v>3356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7276</v>
      </c>
      <c r="B2785" s="67">
        <v>30834349876</v>
      </c>
      <c r="C2785" s="72" t="s">
        <v>7277</v>
      </c>
      <c r="D2785" s="69">
        <v>58355561520</v>
      </c>
      <c r="E2785" s="9">
        <v>262</v>
      </c>
      <c r="F2785" s="25">
        <v>43160</v>
      </c>
      <c r="G2785" s="70" t="s">
        <v>3356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7278</v>
      </c>
      <c r="B2786" s="67">
        <v>32293775836</v>
      </c>
      <c r="C2786" s="72"/>
      <c r="D2786" s="69"/>
      <c r="E2786" s="9">
        <v>262</v>
      </c>
      <c r="F2786" s="25">
        <v>43160</v>
      </c>
      <c r="G2786" s="70" t="s">
        <v>3356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71" t="s">
        <v>7279</v>
      </c>
      <c r="B2787" s="67">
        <v>25812751897</v>
      </c>
      <c r="C2787" s="72"/>
      <c r="D2787" s="69"/>
      <c r="E2787" s="9">
        <v>262</v>
      </c>
      <c r="F2787" s="25">
        <v>43160</v>
      </c>
      <c r="G2787" s="70" t="s">
        <v>3362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71" t="s">
        <v>7280</v>
      </c>
      <c r="B2788" s="67">
        <v>22682142818</v>
      </c>
      <c r="C2788" s="72" t="s">
        <v>6081</v>
      </c>
      <c r="D2788" s="69">
        <v>22853401847</v>
      </c>
      <c r="E2788" s="9">
        <v>117</v>
      </c>
      <c r="F2788" s="25">
        <v>43117</v>
      </c>
      <c r="G2788" s="70" t="s">
        <v>3356</v>
      </c>
      <c r="H2788" s="25">
        <v>43151</v>
      </c>
      <c r="I2788" s="8"/>
      <c r="J2788" s="8"/>
      <c r="K2788" s="8"/>
      <c r="L2788" s="9" t="s">
        <v>3507</v>
      </c>
      <c r="M2788" s="8"/>
    </row>
    <row r="2789" spans="1:13">
      <c r="A2789" s="71" t="s">
        <v>7281</v>
      </c>
      <c r="B2789" s="67">
        <v>32700235886</v>
      </c>
      <c r="C2789" s="72" t="s">
        <v>7282</v>
      </c>
      <c r="D2789" s="69">
        <v>30542314886</v>
      </c>
      <c r="E2789" s="9">
        <v>292</v>
      </c>
      <c r="F2789" s="25">
        <v>43168</v>
      </c>
      <c r="G2789" s="70" t="s">
        <v>3356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71" t="s">
        <v>7283</v>
      </c>
      <c r="B2790" s="67">
        <v>22543578838</v>
      </c>
      <c r="C2790" s="88"/>
      <c r="D2790" s="69"/>
      <c r="E2790" s="9"/>
      <c r="F2790" s="25"/>
      <c r="G2790" s="70"/>
      <c r="H2790" s="9"/>
      <c r="I2790" s="8"/>
      <c r="J2790" s="8"/>
      <c r="K2790" s="8"/>
      <c r="L2790" s="8"/>
      <c r="M2790" s="8"/>
    </row>
    <row r="2791" spans="1:13">
      <c r="A2791" s="71" t="s">
        <v>7284</v>
      </c>
      <c r="B2791" s="67">
        <v>12487731877</v>
      </c>
      <c r="C2791" s="72" t="s">
        <v>7285</v>
      </c>
      <c r="D2791" s="69">
        <v>61089869487</v>
      </c>
      <c r="E2791" s="9"/>
      <c r="F2791" s="25"/>
      <c r="G2791" s="70"/>
      <c r="H2791" s="9"/>
      <c r="I2791" s="8"/>
      <c r="J2791" s="8"/>
      <c r="K2791" s="8"/>
      <c r="L2791" s="8"/>
      <c r="M2791" s="8"/>
    </row>
    <row r="2792" spans="1:13">
      <c r="A2792" s="71" t="s">
        <v>7286</v>
      </c>
      <c r="B2792" s="67" t="s">
        <v>7287</v>
      </c>
      <c r="C2792" s="88" t="s">
        <v>7288</v>
      </c>
      <c r="D2792" s="69" t="s">
        <v>7289</v>
      </c>
      <c r="E2792" s="9"/>
      <c r="F2792" s="25"/>
      <c r="G2792" s="70"/>
      <c r="H2792" s="9"/>
      <c r="I2792" s="8"/>
      <c r="J2792" s="8"/>
      <c r="K2792" s="8"/>
      <c r="L2792" s="8"/>
      <c r="M2792" s="8"/>
    </row>
    <row r="2793" spans="1:13">
      <c r="A2793" s="71" t="s">
        <v>7290</v>
      </c>
      <c r="B2793" s="67">
        <v>42346617830</v>
      </c>
      <c r="C2793" s="72"/>
      <c r="D2793" s="69"/>
      <c r="E2793" s="9">
        <v>1267</v>
      </c>
      <c r="F2793" s="25">
        <v>42998</v>
      </c>
      <c r="G2793" s="70" t="s">
        <v>3356</v>
      </c>
      <c r="H2793" s="25">
        <v>43000</v>
      </c>
      <c r="I2793" s="8"/>
      <c r="J2793" s="8"/>
      <c r="K2793" s="8"/>
      <c r="L2793" s="8"/>
      <c r="M2793" s="8"/>
    </row>
    <row r="2794" spans="1:13">
      <c r="A2794" s="71" t="s">
        <v>7291</v>
      </c>
      <c r="B2794" s="67">
        <v>35705436840</v>
      </c>
      <c r="C2794" s="88" t="s">
        <v>7292</v>
      </c>
      <c r="D2794" s="69">
        <v>42956816870</v>
      </c>
      <c r="E2794" s="9"/>
      <c r="F2794" s="25"/>
      <c r="G2794" s="70"/>
      <c r="H2794" s="9"/>
      <c r="I2794" s="8"/>
      <c r="J2794" s="8"/>
      <c r="K2794" s="8"/>
      <c r="L2794" s="8"/>
      <c r="M2794" s="8"/>
    </row>
    <row r="2795" spans="1:13">
      <c r="A2795" s="73" t="s">
        <v>7293</v>
      </c>
      <c r="B2795" s="67">
        <v>42565032854</v>
      </c>
      <c r="C2795" s="72"/>
      <c r="D2795" s="69"/>
      <c r="E2795" s="9">
        <v>608</v>
      </c>
      <c r="F2795" s="25">
        <v>43012</v>
      </c>
      <c r="G2795" s="70" t="s">
        <v>3370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7294</v>
      </c>
      <c r="B2796" s="67">
        <v>34086913801</v>
      </c>
      <c r="C2796" s="72" t="s">
        <v>7295</v>
      </c>
      <c r="D2796" s="69">
        <v>31013050800</v>
      </c>
      <c r="E2796" s="9">
        <v>229</v>
      </c>
      <c r="F2796" s="25">
        <v>43151</v>
      </c>
      <c r="G2796" s="70" t="s">
        <v>3356</v>
      </c>
      <c r="H2796" s="9"/>
      <c r="I2796" s="8"/>
      <c r="J2796" s="8"/>
      <c r="K2796" s="8"/>
      <c r="L2796" s="9">
        <v>232</v>
      </c>
      <c r="M2796" s="8"/>
    </row>
    <row r="2797" spans="1:13">
      <c r="A2797" s="71" t="s">
        <v>7296</v>
      </c>
      <c r="B2797" s="67">
        <v>14047707805</v>
      </c>
      <c r="C2797" s="68"/>
      <c r="D2797" s="69"/>
      <c r="E2797" s="9">
        <v>1128</v>
      </c>
      <c r="F2797" s="25">
        <v>42972</v>
      </c>
      <c r="G2797" s="70" t="s">
        <v>3356</v>
      </c>
      <c r="H2797" s="25">
        <v>42979</v>
      </c>
      <c r="I2797" s="8"/>
      <c r="J2797" s="8"/>
      <c r="K2797" s="8"/>
      <c r="L2797" s="8"/>
      <c r="M2797" s="8"/>
    </row>
    <row r="2798" spans="1:13">
      <c r="A2798" s="71" t="s">
        <v>7297</v>
      </c>
      <c r="B2798" s="67">
        <v>24648996828</v>
      </c>
      <c r="C2798" s="72" t="s">
        <v>7298</v>
      </c>
      <c r="D2798" s="69">
        <v>13622241896</v>
      </c>
      <c r="E2798" s="9">
        <v>262</v>
      </c>
      <c r="F2798" s="25">
        <v>43160</v>
      </c>
      <c r="G2798" s="70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73" t="s">
        <v>7299</v>
      </c>
      <c r="B2799" s="67">
        <v>87445824472</v>
      </c>
      <c r="C2799" s="72" t="s">
        <v>7300</v>
      </c>
      <c r="D2799" s="69">
        <v>30439764874</v>
      </c>
      <c r="E2799" s="9">
        <v>1417</v>
      </c>
      <c r="F2799" s="25">
        <v>43017</v>
      </c>
      <c r="G2799" s="70" t="s">
        <v>3356</v>
      </c>
      <c r="H2799" s="25">
        <v>43027</v>
      </c>
      <c r="I2799" s="8"/>
      <c r="J2799" s="8"/>
      <c r="K2799" s="8"/>
      <c r="L2799" s="9" t="s">
        <v>3590</v>
      </c>
      <c r="M2799" s="8"/>
    </row>
    <row r="2800" spans="1:13">
      <c r="A2800" s="71" t="s">
        <v>7301</v>
      </c>
      <c r="B2800" s="67">
        <v>25630230840</v>
      </c>
      <c r="C2800" s="77" t="s">
        <v>7302</v>
      </c>
      <c r="D2800" s="69">
        <v>74349325549</v>
      </c>
      <c r="E2800" s="9">
        <v>563</v>
      </c>
      <c r="F2800" s="25">
        <v>43217</v>
      </c>
      <c r="G2800" s="70"/>
      <c r="H2800" s="25">
        <v>43234</v>
      </c>
      <c r="I2800" s="8"/>
      <c r="J2800" s="8"/>
      <c r="K2800" s="8"/>
      <c r="L2800" s="9" t="s">
        <v>3636</v>
      </c>
      <c r="M2800" s="8"/>
    </row>
    <row r="2801" spans="1:13">
      <c r="A2801" s="71" t="s">
        <v>7303</v>
      </c>
      <c r="B2801" s="67">
        <v>66136822334</v>
      </c>
      <c r="C2801" s="72"/>
      <c r="D2801" s="69"/>
      <c r="E2801" s="9">
        <v>292</v>
      </c>
      <c r="F2801" s="25">
        <v>43168</v>
      </c>
      <c r="G2801" s="9" t="s">
        <v>3356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71" t="s">
        <v>7304</v>
      </c>
      <c r="B2802" s="67">
        <v>24929716861</v>
      </c>
      <c r="C2802" s="72"/>
      <c r="D2802" s="69"/>
      <c r="E2802" s="9">
        <v>1417</v>
      </c>
      <c r="F2802" s="25">
        <v>43017</v>
      </c>
      <c r="G2802" s="70" t="s">
        <v>3356</v>
      </c>
      <c r="H2802" s="25">
        <v>43027</v>
      </c>
      <c r="I2802" s="8"/>
      <c r="J2802" s="8"/>
      <c r="K2802" s="8"/>
      <c r="L2802" s="9" t="s">
        <v>3590</v>
      </c>
      <c r="M2802" s="8"/>
    </row>
    <row r="2803" spans="1:13">
      <c r="A2803" s="71" t="s">
        <v>7305</v>
      </c>
      <c r="B2803" s="67">
        <v>16700974801</v>
      </c>
      <c r="C2803" s="72"/>
      <c r="D2803" s="69"/>
      <c r="E2803" s="9"/>
      <c r="F2803" s="25"/>
      <c r="G2803" s="70"/>
      <c r="H2803" s="9"/>
      <c r="I2803" s="8"/>
      <c r="J2803" s="8"/>
      <c r="K2803" s="8"/>
      <c r="L2803" s="8"/>
      <c r="M2803" s="8"/>
    </row>
    <row r="2804" spans="1:13">
      <c r="A2804" s="73" t="s">
        <v>7306</v>
      </c>
      <c r="B2804" s="67">
        <v>17128618830</v>
      </c>
      <c r="C2804" s="72" t="s">
        <v>7307</v>
      </c>
      <c r="D2804" s="69">
        <v>69305315534</v>
      </c>
      <c r="E2804" s="9">
        <v>810</v>
      </c>
      <c r="F2804" s="25">
        <v>42915</v>
      </c>
      <c r="G2804" s="70" t="s">
        <v>3362</v>
      </c>
      <c r="H2804" s="25">
        <v>42921</v>
      </c>
      <c r="I2804" s="8"/>
      <c r="J2804" s="8"/>
      <c r="K2804" s="8"/>
      <c r="L2804" s="9" t="s">
        <v>3475</v>
      </c>
      <c r="M2804" s="8"/>
    </row>
    <row r="2805" spans="1:13">
      <c r="A2805" s="71" t="s">
        <v>7308</v>
      </c>
      <c r="B2805" s="67">
        <v>18855161857</v>
      </c>
      <c r="C2805" s="72"/>
      <c r="D2805" s="69"/>
      <c r="E2805" s="9">
        <v>443</v>
      </c>
      <c r="F2805" s="25">
        <v>43188</v>
      </c>
      <c r="G2805" s="70"/>
      <c r="H2805" s="25">
        <v>43192</v>
      </c>
      <c r="I2805" s="8"/>
      <c r="J2805" s="8"/>
      <c r="K2805" s="8"/>
      <c r="L2805" s="8"/>
      <c r="M2805" s="8"/>
    </row>
    <row r="2806" spans="1:13">
      <c r="A2806" s="71" t="s">
        <v>7309</v>
      </c>
      <c r="B2806" s="67">
        <v>23535106800</v>
      </c>
      <c r="C2806" s="72"/>
      <c r="D2806" s="69"/>
      <c r="E2806" s="9"/>
      <c r="F2806" s="25"/>
      <c r="G2806" s="70"/>
      <c r="H2806" s="9"/>
      <c r="I2806" s="8"/>
      <c r="J2806" s="8"/>
      <c r="K2806" s="8"/>
      <c r="L2806" s="8"/>
      <c r="M2806" s="8"/>
    </row>
    <row r="2807" spans="1:13">
      <c r="A2807" s="18" t="s">
        <v>7310</v>
      </c>
      <c r="B2807" s="67">
        <v>29675655801</v>
      </c>
      <c r="C2807" s="18"/>
      <c r="D2807" s="69"/>
      <c r="E2807" s="9"/>
      <c r="F2807" s="25"/>
      <c r="G2807" s="70"/>
      <c r="H2807" s="9"/>
      <c r="I2807" s="8"/>
      <c r="J2807" s="8"/>
      <c r="K2807" s="8"/>
      <c r="L2807" s="8"/>
      <c r="M2807" s="8"/>
    </row>
    <row r="2808" spans="1:13">
      <c r="A2808" s="29" t="s">
        <v>7311</v>
      </c>
      <c r="B2808" s="67">
        <v>79572421468</v>
      </c>
      <c r="C2808" s="29" t="s">
        <v>7312</v>
      </c>
      <c r="D2808" s="69">
        <v>1296794881</v>
      </c>
      <c r="E2808" s="9"/>
      <c r="F2808" s="25"/>
      <c r="G2808" s="70"/>
      <c r="H2808" s="9"/>
      <c r="I2808" s="8"/>
      <c r="J2808" s="8"/>
      <c r="K2808" s="8"/>
      <c r="L2808" s="8"/>
      <c r="M2808" s="8"/>
    </row>
    <row r="2809" spans="1:13">
      <c r="A2809" s="71" t="s">
        <v>7313</v>
      </c>
      <c r="B2809" s="67">
        <v>20539510874</v>
      </c>
      <c r="C2809" s="72"/>
      <c r="D2809" s="69"/>
      <c r="E2809" s="9">
        <v>1824</v>
      </c>
      <c r="F2809" s="25">
        <v>43091</v>
      </c>
      <c r="G2809" s="70" t="s">
        <v>3356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71" t="s">
        <v>7314</v>
      </c>
      <c r="B2810" s="67">
        <v>41523062894</v>
      </c>
      <c r="C2810" s="72"/>
      <c r="D2810" s="69"/>
      <c r="E2810" s="9"/>
      <c r="F2810" s="25"/>
      <c r="G2810" s="70"/>
      <c r="H2810" s="9"/>
      <c r="I2810" s="8"/>
      <c r="J2810" s="8"/>
      <c r="K2810" s="8"/>
      <c r="L2810" s="8"/>
      <c r="M2810" s="8"/>
    </row>
    <row r="2811" spans="1:13">
      <c r="A2811" s="71" t="s">
        <v>7315</v>
      </c>
      <c r="B2811" s="67">
        <v>44518427866</v>
      </c>
      <c r="C2811" s="72" t="s">
        <v>7316</v>
      </c>
      <c r="D2811" s="69">
        <v>41975923880</v>
      </c>
      <c r="E2811" s="9">
        <v>527</v>
      </c>
      <c r="F2811" s="25">
        <v>43210</v>
      </c>
      <c r="G2811" s="70"/>
      <c r="H2811" s="9"/>
      <c r="I2811" s="8"/>
      <c r="J2811" s="8"/>
      <c r="K2811" s="8"/>
      <c r="L2811" s="9">
        <v>528</v>
      </c>
      <c r="M2811" s="8"/>
    </row>
    <row r="2812" spans="1:13">
      <c r="A2812" s="71" t="s">
        <v>7317</v>
      </c>
      <c r="B2812" s="67">
        <v>35625515840</v>
      </c>
      <c r="C2812" s="72" t="s">
        <v>7318</v>
      </c>
      <c r="D2812" s="69">
        <v>27806916890</v>
      </c>
      <c r="E2812" s="9"/>
      <c r="F2812" s="25"/>
      <c r="G2812" s="70"/>
      <c r="H2812" s="9"/>
      <c r="I2812" s="8"/>
      <c r="J2812" s="8"/>
      <c r="K2812" s="8"/>
      <c r="L2812" s="8"/>
      <c r="M2812" s="8"/>
    </row>
    <row r="2813" spans="1:13">
      <c r="A2813" s="15" t="s">
        <v>7319</v>
      </c>
      <c r="B2813" s="67">
        <v>5479152416</v>
      </c>
      <c r="C2813" s="72"/>
      <c r="D2813" s="69"/>
      <c r="E2813" s="9"/>
      <c r="F2813" s="25"/>
      <c r="G2813" s="70"/>
      <c r="H2813" s="9"/>
      <c r="I2813" s="8"/>
      <c r="J2813" s="8"/>
      <c r="K2813" s="8"/>
      <c r="L2813" s="8"/>
      <c r="M2813" s="8"/>
    </row>
    <row r="2814" spans="1:13">
      <c r="A2814" s="71" t="s">
        <v>7320</v>
      </c>
      <c r="B2814" s="67">
        <v>45168053831</v>
      </c>
      <c r="C2814" s="77"/>
      <c r="D2814" s="69"/>
      <c r="E2814" s="9">
        <v>563</v>
      </c>
      <c r="F2814" s="25">
        <v>43217</v>
      </c>
      <c r="G2814" s="70"/>
      <c r="H2814" s="25">
        <v>43234</v>
      </c>
      <c r="I2814" s="8"/>
      <c r="J2814" s="8"/>
      <c r="K2814" s="8"/>
      <c r="L2814" s="9" t="s">
        <v>3636</v>
      </c>
      <c r="M2814" s="8"/>
    </row>
    <row r="2815" spans="1:13">
      <c r="A2815" s="18" t="s">
        <v>7321</v>
      </c>
      <c r="B2815" s="67">
        <v>43302796811</v>
      </c>
      <c r="C2815" s="18"/>
      <c r="D2815" s="69"/>
      <c r="E2815" s="9"/>
      <c r="F2815" s="25"/>
      <c r="G2815" s="70"/>
      <c r="H2815" s="9"/>
      <c r="I2815" s="8"/>
      <c r="J2815" s="8"/>
      <c r="K2815" s="8"/>
      <c r="L2815" s="8"/>
      <c r="M2815" s="8"/>
    </row>
    <row r="2816" spans="1:13">
      <c r="A2816" s="71" t="s">
        <v>7322</v>
      </c>
      <c r="B2816" s="67">
        <v>40663707803</v>
      </c>
      <c r="C2816" s="72" t="s">
        <v>7323</v>
      </c>
      <c r="D2816" s="69">
        <v>35138540807</v>
      </c>
      <c r="E2816" s="9">
        <v>262</v>
      </c>
      <c r="F2816" s="25">
        <v>43160</v>
      </c>
      <c r="G2816" s="70" t="s">
        <v>3356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71" t="s">
        <v>7324</v>
      </c>
      <c r="B2817" s="67">
        <v>41285779878</v>
      </c>
      <c r="C2817" s="72"/>
      <c r="D2817" s="69"/>
      <c r="E2817" s="9"/>
      <c r="F2817" s="25"/>
      <c r="G2817" s="70"/>
      <c r="H2817" s="9"/>
      <c r="I2817" s="8"/>
      <c r="J2817" s="8"/>
      <c r="K2817" s="8"/>
      <c r="L2817" s="8"/>
      <c r="M2817" s="8"/>
    </row>
    <row r="2818" spans="1:13">
      <c r="A2818" s="71" t="s">
        <v>7325</v>
      </c>
      <c r="B2818" s="67">
        <v>35656192873</v>
      </c>
      <c r="C2818" s="72"/>
      <c r="D2818" s="69"/>
      <c r="E2818" s="9"/>
      <c r="F2818" s="25"/>
      <c r="G2818" s="70"/>
      <c r="H2818" s="9"/>
      <c r="I2818" s="8"/>
      <c r="J2818" s="8"/>
      <c r="K2818" s="8"/>
      <c r="L2818" s="8"/>
      <c r="M2818" s="8"/>
    </row>
    <row r="2819" spans="1:13">
      <c r="A2819" s="13" t="s">
        <v>7326</v>
      </c>
      <c r="B2819" s="67">
        <v>23432370857</v>
      </c>
      <c r="C2819" s="68"/>
      <c r="D2819" s="69"/>
      <c r="E2819" s="9">
        <v>1752</v>
      </c>
      <c r="F2819" s="25">
        <v>43051</v>
      </c>
      <c r="G2819" s="70" t="s">
        <v>3356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71" t="s">
        <v>7327</v>
      </c>
      <c r="B2820" s="67">
        <v>22656035899</v>
      </c>
      <c r="C2820" s="72"/>
      <c r="D2820" s="69"/>
      <c r="E2820" s="9">
        <v>262</v>
      </c>
      <c r="F2820" s="25">
        <v>43160</v>
      </c>
      <c r="G2820" s="70" t="s">
        <v>3356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9" t="s">
        <v>7328</v>
      </c>
      <c r="B2821" s="67"/>
      <c r="C2821" s="29" t="s">
        <v>7329</v>
      </c>
      <c r="D2821" s="69"/>
      <c r="E2821" s="9"/>
      <c r="F2821" s="25"/>
      <c r="G2821" s="70"/>
      <c r="H2821" s="9"/>
      <c r="I2821" s="8"/>
      <c r="J2821" s="8"/>
      <c r="K2821" s="8"/>
      <c r="L2821" s="8"/>
      <c r="M2821" s="8"/>
    </row>
    <row r="2822" spans="1:13">
      <c r="A2822" s="71" t="s">
        <v>7330</v>
      </c>
      <c r="B2822" s="67">
        <v>40874659850</v>
      </c>
      <c r="C2822" s="77" t="s">
        <v>7331</v>
      </c>
      <c r="D2822" s="69">
        <v>37206739873</v>
      </c>
      <c r="E2822" s="9">
        <v>563</v>
      </c>
      <c r="F2822" s="25">
        <v>43217</v>
      </c>
      <c r="G2822" s="70"/>
      <c r="H2822" s="25">
        <v>43234</v>
      </c>
      <c r="I2822" s="8"/>
      <c r="J2822" s="8"/>
      <c r="K2822" s="8"/>
      <c r="L2822" s="9" t="s">
        <v>3636</v>
      </c>
      <c r="M2822" s="8"/>
    </row>
    <row r="2823" spans="1:13">
      <c r="A2823" s="29" t="s">
        <v>7332</v>
      </c>
      <c r="B2823" s="67"/>
      <c r="C2823" s="29" t="s">
        <v>7333</v>
      </c>
      <c r="D2823" s="69"/>
      <c r="E2823" s="9"/>
      <c r="F2823" s="25"/>
      <c r="G2823" s="70"/>
      <c r="H2823" s="9"/>
      <c r="I2823" s="8"/>
      <c r="J2823" s="8"/>
      <c r="K2823" s="8"/>
      <c r="L2823" s="8"/>
      <c r="M2823" s="8"/>
    </row>
    <row r="2824" spans="1:13">
      <c r="A2824" s="71" t="s">
        <v>7334</v>
      </c>
      <c r="B2824" s="67">
        <v>37028047814</v>
      </c>
      <c r="C2824" s="72" t="s">
        <v>7335</v>
      </c>
      <c r="D2824" s="69">
        <v>34812554896</v>
      </c>
      <c r="E2824" s="9">
        <v>1824</v>
      </c>
      <c r="F2824" s="25">
        <v>43091</v>
      </c>
      <c r="G2824" s="70" t="s">
        <v>3356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7336</v>
      </c>
      <c r="B2825" s="67">
        <v>10774591650</v>
      </c>
      <c r="C2825" s="72" t="s">
        <v>7337</v>
      </c>
      <c r="D2825" s="69">
        <v>33230795822</v>
      </c>
      <c r="E2825" s="9">
        <v>292</v>
      </c>
      <c r="F2825" s="25">
        <v>43168</v>
      </c>
      <c r="G2825" s="70" t="s">
        <v>3356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72" t="s">
        <v>7338</v>
      </c>
      <c r="B2826" s="67">
        <v>39001319882</v>
      </c>
      <c r="C2826" s="72"/>
      <c r="D2826" s="69"/>
      <c r="E2826" s="9">
        <v>292</v>
      </c>
      <c r="F2826" s="25">
        <v>43168</v>
      </c>
      <c r="G2826" s="9" t="s">
        <v>3356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7339</v>
      </c>
      <c r="B2827" s="67">
        <v>42779099810</v>
      </c>
      <c r="C2827" s="18" t="s">
        <v>7340</v>
      </c>
      <c r="D2827" s="69">
        <v>41316117839</v>
      </c>
      <c r="E2827" s="9"/>
      <c r="F2827" s="25"/>
      <c r="G2827" s="70"/>
      <c r="H2827" s="9"/>
      <c r="I2827" s="8"/>
      <c r="J2827" s="8"/>
      <c r="K2827" s="8"/>
      <c r="L2827" s="8"/>
      <c r="M2827" s="8"/>
    </row>
    <row r="2828" spans="1:13">
      <c r="A2828" s="29" t="s">
        <v>7341</v>
      </c>
      <c r="B2828" s="67">
        <v>50748310835</v>
      </c>
      <c r="C2828" s="18" t="s">
        <v>7342</v>
      </c>
      <c r="D2828" s="69">
        <v>37628955894</v>
      </c>
      <c r="E2828" s="9"/>
      <c r="F2828" s="25"/>
      <c r="G2828" s="70"/>
      <c r="H2828" s="9"/>
      <c r="I2828" s="8"/>
      <c r="J2828" s="8"/>
      <c r="K2828" s="8"/>
      <c r="L2828" s="8"/>
      <c r="M2828" s="8"/>
    </row>
    <row r="2829" spans="1:13">
      <c r="A2829" s="71" t="s">
        <v>7343</v>
      </c>
      <c r="B2829" s="67">
        <v>42651266850</v>
      </c>
      <c r="C2829" s="72" t="s">
        <v>7344</v>
      </c>
      <c r="D2829" s="69">
        <v>3580715429</v>
      </c>
      <c r="E2829" s="9">
        <v>1350</v>
      </c>
      <c r="F2829" s="25">
        <v>43006</v>
      </c>
      <c r="G2829" s="70" t="s">
        <v>3356</v>
      </c>
      <c r="H2829" s="25">
        <v>43011</v>
      </c>
      <c r="I2829" s="8"/>
      <c r="J2829" s="8"/>
      <c r="K2829" s="8"/>
      <c r="L2829" s="8"/>
      <c r="M2829" s="8"/>
    </row>
    <row r="2830" spans="1:13">
      <c r="A2830" s="71" t="s">
        <v>7345</v>
      </c>
      <c r="B2830" s="67">
        <v>36474824808</v>
      </c>
      <c r="C2830" s="72" t="s">
        <v>7346</v>
      </c>
      <c r="D2830" s="69">
        <v>34800902819</v>
      </c>
      <c r="E2830" s="9"/>
      <c r="F2830" s="25"/>
      <c r="G2830" s="70"/>
      <c r="H2830" s="9"/>
      <c r="I2830" s="8"/>
      <c r="J2830" s="8"/>
      <c r="K2830" s="8"/>
      <c r="L2830" s="8"/>
      <c r="M2830" s="8"/>
    </row>
    <row r="2831" spans="1:13">
      <c r="A2831" s="15" t="s">
        <v>7347</v>
      </c>
      <c r="B2831" s="67">
        <v>39137452894</v>
      </c>
      <c r="C2831" s="72"/>
      <c r="D2831" s="69"/>
      <c r="E2831" s="9">
        <v>573</v>
      </c>
      <c r="F2831" s="25">
        <v>43224</v>
      </c>
      <c r="G2831" s="70"/>
      <c r="H2831" s="9"/>
      <c r="I2831" s="8"/>
      <c r="J2831" s="8"/>
      <c r="K2831" s="8"/>
      <c r="L2831" s="8"/>
      <c r="M2831" s="8"/>
    </row>
    <row r="2832" spans="1:13">
      <c r="A2832" s="73" t="s">
        <v>7348</v>
      </c>
      <c r="B2832" s="67">
        <v>22034628845</v>
      </c>
      <c r="C2832" s="72" t="s">
        <v>7349</v>
      </c>
      <c r="D2832" s="69">
        <v>26990288515</v>
      </c>
      <c r="E2832" s="9">
        <v>1555</v>
      </c>
      <c r="F2832" s="25">
        <v>43049</v>
      </c>
      <c r="G2832" s="70" t="s">
        <v>3356</v>
      </c>
      <c r="H2832" s="9"/>
      <c r="I2832" s="8"/>
      <c r="J2832" s="8"/>
      <c r="K2832" s="8"/>
      <c r="L2832" s="9" t="s">
        <v>3735</v>
      </c>
      <c r="M2832" s="8"/>
    </row>
    <row r="2833" spans="1:13">
      <c r="A2833" s="71" t="s">
        <v>7350</v>
      </c>
      <c r="B2833" s="67">
        <v>15317360846</v>
      </c>
      <c r="C2833" s="72"/>
      <c r="D2833" s="69"/>
      <c r="E2833" s="9"/>
      <c r="F2833" s="25"/>
      <c r="G2833" s="70"/>
      <c r="H2833" s="9"/>
      <c r="I2833" s="8"/>
      <c r="J2833" s="8"/>
      <c r="K2833" s="8"/>
      <c r="L2833" s="8"/>
      <c r="M2833" s="8"/>
    </row>
    <row r="2834" spans="1:13">
      <c r="A2834" s="71" t="s">
        <v>7351</v>
      </c>
      <c r="B2834" s="67">
        <v>10782475876</v>
      </c>
      <c r="C2834" s="72" t="s">
        <v>7352</v>
      </c>
      <c r="D2834" s="69">
        <v>616947895</v>
      </c>
      <c r="E2834" s="9">
        <v>1214</v>
      </c>
      <c r="F2834" s="25">
        <v>42989</v>
      </c>
      <c r="G2834" s="70" t="s">
        <v>3356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7353</v>
      </c>
      <c r="B2835" s="67">
        <v>27242504864</v>
      </c>
      <c r="C2835" s="68"/>
      <c r="D2835" s="69"/>
      <c r="E2835" s="9">
        <v>262</v>
      </c>
      <c r="F2835" s="25">
        <v>43160</v>
      </c>
      <c r="G2835" s="70" t="s">
        <v>3356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9" t="s">
        <v>7354</v>
      </c>
      <c r="B2836" s="67"/>
      <c r="C2836" s="18" t="s">
        <v>3466</v>
      </c>
      <c r="D2836" s="69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73" t="s">
        <v>7355</v>
      </c>
      <c r="B2837" s="67">
        <v>42151049809</v>
      </c>
      <c r="C2837" s="68" t="s">
        <v>7356</v>
      </c>
      <c r="D2837" s="69">
        <v>60593342534</v>
      </c>
      <c r="E2837" s="9"/>
      <c r="F2837" s="25"/>
      <c r="G2837" s="70"/>
      <c r="H2837" s="9"/>
      <c r="I2837" s="8"/>
      <c r="J2837" s="8"/>
      <c r="K2837" s="8"/>
      <c r="L2837" s="8"/>
      <c r="M2837" s="8"/>
    </row>
    <row r="2838" spans="1:13">
      <c r="A2838" s="18" t="s">
        <v>7357</v>
      </c>
      <c r="B2838" s="67">
        <v>38785656828</v>
      </c>
      <c r="C2838" s="18" t="s">
        <v>7358</v>
      </c>
      <c r="D2838" s="69">
        <v>22008218830</v>
      </c>
      <c r="E2838" s="9"/>
      <c r="F2838" s="25"/>
      <c r="G2838" s="70"/>
      <c r="H2838" s="9"/>
      <c r="I2838" s="8"/>
      <c r="J2838" s="8"/>
      <c r="K2838" s="8"/>
      <c r="L2838" s="8"/>
      <c r="M2838" s="8"/>
    </row>
    <row r="2839" spans="1:13">
      <c r="A2839" s="71" t="s">
        <v>7359</v>
      </c>
      <c r="B2839" s="67">
        <v>34176131837</v>
      </c>
      <c r="C2839" s="72"/>
      <c r="D2839" s="69"/>
      <c r="E2839" s="9"/>
      <c r="F2839" s="25"/>
      <c r="G2839" s="70"/>
      <c r="H2839" s="9"/>
      <c r="I2839" s="8"/>
      <c r="J2839" s="8"/>
      <c r="K2839" s="8"/>
      <c r="L2839" s="8"/>
      <c r="M2839" s="8"/>
    </row>
    <row r="2840" spans="1:13">
      <c r="A2840" s="14" t="s">
        <v>7360</v>
      </c>
      <c r="B2840" s="67">
        <v>33715638800</v>
      </c>
      <c r="C2840" s="72"/>
      <c r="D2840" s="69"/>
      <c r="E2840" s="9">
        <v>262</v>
      </c>
      <c r="F2840" s="25">
        <v>43160</v>
      </c>
      <c r="G2840" s="70" t="s">
        <v>3356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71" t="s">
        <v>7361</v>
      </c>
      <c r="B2841" s="67">
        <v>22815009854</v>
      </c>
      <c r="C2841" s="77" t="s">
        <v>7362</v>
      </c>
      <c r="D2841" s="69">
        <v>36421019846</v>
      </c>
      <c r="E2841" s="9"/>
      <c r="F2841" s="25"/>
      <c r="G2841" s="70"/>
      <c r="H2841" s="9"/>
      <c r="I2841" s="8"/>
      <c r="J2841" s="8"/>
      <c r="K2841" s="8"/>
      <c r="L2841" s="8"/>
      <c r="M2841" s="8"/>
    </row>
    <row r="2842" spans="1:13">
      <c r="A2842" s="71" t="s">
        <v>7363</v>
      </c>
      <c r="B2842" s="67">
        <v>22669281800</v>
      </c>
      <c r="C2842" s="72"/>
      <c r="D2842" s="69"/>
      <c r="E2842" s="9">
        <v>1214</v>
      </c>
      <c r="F2842" s="25">
        <v>42989</v>
      </c>
      <c r="G2842" s="70" t="s">
        <v>3362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7364</v>
      </c>
      <c r="B2843" s="67">
        <v>40744151864</v>
      </c>
      <c r="C2843" s="18"/>
      <c r="D2843" s="69"/>
      <c r="E2843" s="9"/>
      <c r="F2843" s="25"/>
      <c r="G2843" s="70"/>
      <c r="H2843" s="9"/>
      <c r="I2843" s="8"/>
      <c r="J2843" s="8"/>
      <c r="K2843" s="8"/>
      <c r="L2843" s="8"/>
      <c r="M2843" s="8"/>
    </row>
    <row r="2844" spans="1:13">
      <c r="A2844" s="14" t="s">
        <v>7365</v>
      </c>
      <c r="B2844" s="67">
        <v>40506629813</v>
      </c>
      <c r="C2844" s="72" t="s">
        <v>7366</v>
      </c>
      <c r="D2844" s="69">
        <v>32485329800</v>
      </c>
      <c r="E2844" s="9">
        <v>262</v>
      </c>
      <c r="F2844" s="25">
        <v>43160</v>
      </c>
      <c r="G2844" s="70" t="s">
        <v>3356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7367</v>
      </c>
      <c r="B2845" s="67">
        <v>31504729897</v>
      </c>
      <c r="C2845" s="68" t="s">
        <v>7368</v>
      </c>
      <c r="D2845" s="69">
        <v>24816878840</v>
      </c>
      <c r="E2845" s="9">
        <v>1214</v>
      </c>
      <c r="F2845" s="25">
        <v>42989</v>
      </c>
      <c r="G2845" s="70" t="s">
        <v>3356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7369</v>
      </c>
      <c r="B2846" s="67">
        <v>33995497845</v>
      </c>
      <c r="C2846" s="68"/>
      <c r="D2846" s="69"/>
      <c r="E2846" s="9">
        <v>1128</v>
      </c>
      <c r="F2846" s="25">
        <v>42972</v>
      </c>
      <c r="G2846" s="70" t="s">
        <v>3356</v>
      </c>
      <c r="H2846" s="25">
        <v>42979</v>
      </c>
      <c r="I2846" s="8"/>
      <c r="J2846" s="8"/>
      <c r="K2846" s="8"/>
      <c r="L2846" s="8"/>
      <c r="M2846" s="8"/>
    </row>
    <row r="2847" spans="1:13">
      <c r="A2847" s="71" t="s">
        <v>7370</v>
      </c>
      <c r="B2847" s="67">
        <v>12925287700</v>
      </c>
      <c r="C2847" s="72" t="s">
        <v>7371</v>
      </c>
      <c r="D2847" s="69">
        <v>37253983807</v>
      </c>
      <c r="E2847" s="9">
        <v>1752</v>
      </c>
      <c r="F2847" s="25">
        <v>43051</v>
      </c>
      <c r="G2847" s="70" t="s">
        <v>3356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71" t="s">
        <v>7372</v>
      </c>
      <c r="B2848" s="67">
        <v>33532179830</v>
      </c>
      <c r="C2848" s="72"/>
      <c r="D2848" s="69"/>
      <c r="E2848" s="9">
        <v>563</v>
      </c>
      <c r="F2848" s="25">
        <v>43217</v>
      </c>
      <c r="G2848" s="70"/>
      <c r="H2848" s="25">
        <v>43234</v>
      </c>
      <c r="I2848" s="8"/>
      <c r="J2848" s="8"/>
      <c r="K2848" s="8"/>
      <c r="L2848" s="9" t="s">
        <v>3636</v>
      </c>
      <c r="M2848" s="8"/>
    </row>
    <row r="2849" spans="1:13">
      <c r="A2849" s="71" t="s">
        <v>7373</v>
      </c>
      <c r="B2849" s="67">
        <v>5720828869</v>
      </c>
      <c r="C2849" s="72"/>
      <c r="D2849" s="69"/>
      <c r="E2849" s="9">
        <v>1214</v>
      </c>
      <c r="F2849" s="25">
        <v>42989</v>
      </c>
      <c r="G2849" s="70" t="s">
        <v>3356</v>
      </c>
      <c r="H2849" s="25">
        <v>43000</v>
      </c>
      <c r="I2849" s="8"/>
      <c r="J2849" s="8"/>
      <c r="K2849" s="8"/>
      <c r="L2849" s="8"/>
      <c r="M2849" s="8"/>
    </row>
    <row r="2850" spans="1:13">
      <c r="A2850" s="71" t="s">
        <v>7374</v>
      </c>
      <c r="B2850" s="67">
        <v>4525791802</v>
      </c>
      <c r="C2850" s="72"/>
      <c r="D2850" s="69"/>
      <c r="E2850" s="9">
        <v>1214</v>
      </c>
      <c r="F2850" s="25">
        <v>42989</v>
      </c>
      <c r="G2850" s="70" t="s">
        <v>3356</v>
      </c>
      <c r="H2850" s="25">
        <v>43000</v>
      </c>
      <c r="I2850" s="8"/>
      <c r="J2850" s="8"/>
      <c r="K2850" s="8"/>
      <c r="L2850" s="8"/>
      <c r="M2850" s="8"/>
    </row>
    <row r="2851" spans="1:13">
      <c r="A2851" s="71" t="s">
        <v>7375</v>
      </c>
      <c r="B2851" s="67">
        <v>26735743873</v>
      </c>
      <c r="C2851" s="72" t="s">
        <v>7376</v>
      </c>
      <c r="D2851" s="69">
        <v>14913845810</v>
      </c>
      <c r="E2851" s="9">
        <v>1214</v>
      </c>
      <c r="F2851" s="25">
        <v>42989</v>
      </c>
      <c r="G2851" s="70" t="s">
        <v>3362</v>
      </c>
      <c r="H2851" s="25">
        <v>43000</v>
      </c>
      <c r="I2851" s="8"/>
      <c r="J2851" s="8"/>
      <c r="K2851" s="8"/>
      <c r="L2851" s="8"/>
      <c r="M2851" s="8"/>
    </row>
    <row r="2852" spans="1:13">
      <c r="A2852" s="71" t="s">
        <v>7377</v>
      </c>
      <c r="B2852" s="67">
        <v>25935315840</v>
      </c>
      <c r="C2852" s="72"/>
      <c r="D2852" s="69"/>
      <c r="E2852" s="9">
        <v>1214</v>
      </c>
      <c r="F2852" s="25">
        <v>42989</v>
      </c>
      <c r="G2852" s="70" t="s">
        <v>3356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7378</v>
      </c>
      <c r="B2853" s="67">
        <v>5105815874</v>
      </c>
      <c r="C2853" s="68"/>
      <c r="D2853" s="69"/>
      <c r="E2853" s="9">
        <v>1241</v>
      </c>
      <c r="F2853" s="25">
        <v>42992</v>
      </c>
      <c r="G2853" s="70" t="s">
        <v>3356</v>
      </c>
      <c r="H2853" s="25">
        <v>42998</v>
      </c>
      <c r="I2853" s="8"/>
      <c r="J2853" s="8"/>
      <c r="K2853" s="8"/>
      <c r="L2853" s="8"/>
      <c r="M2853" s="8"/>
    </row>
    <row r="2854" spans="1:13">
      <c r="A2854" s="29" t="s">
        <v>7379</v>
      </c>
      <c r="B2854" s="67">
        <v>26193222863</v>
      </c>
      <c r="C2854" s="18" t="s">
        <v>7380</v>
      </c>
      <c r="D2854" s="69">
        <v>27321039854</v>
      </c>
      <c r="E2854" s="9"/>
      <c r="F2854" s="25"/>
      <c r="G2854" s="70"/>
      <c r="H2854" s="9"/>
      <c r="I2854" s="8"/>
      <c r="J2854" s="8"/>
      <c r="K2854" s="8"/>
      <c r="L2854" s="8"/>
      <c r="M2854" s="8"/>
    </row>
    <row r="2855" spans="1:13">
      <c r="A2855" s="71" t="s">
        <v>7381</v>
      </c>
      <c r="B2855" s="67">
        <v>1398933180</v>
      </c>
      <c r="C2855" s="72"/>
      <c r="D2855" s="69"/>
      <c r="E2855" s="9"/>
      <c r="F2855" s="25"/>
      <c r="G2855" s="70"/>
      <c r="H2855" s="9"/>
      <c r="I2855" s="8"/>
      <c r="J2855" s="8"/>
      <c r="K2855" s="8"/>
      <c r="L2855" s="8"/>
      <c r="M2855" s="8"/>
    </row>
    <row r="2856" spans="1:13">
      <c r="A2856" s="71" t="s">
        <v>7382</v>
      </c>
      <c r="B2856" s="67">
        <v>3381508890</v>
      </c>
      <c r="C2856" s="72" t="s">
        <v>7383</v>
      </c>
      <c r="D2856" s="69">
        <v>4243488886</v>
      </c>
      <c r="E2856" s="9">
        <v>563</v>
      </c>
      <c r="F2856" s="25">
        <v>43217</v>
      </c>
      <c r="G2856" s="70"/>
      <c r="H2856" s="25">
        <v>43234</v>
      </c>
      <c r="I2856" s="8"/>
      <c r="J2856" s="8"/>
      <c r="K2856" s="8"/>
      <c r="L2856" s="9" t="s">
        <v>3636</v>
      </c>
      <c r="M2856" s="8"/>
    </row>
    <row r="2857" spans="1:13">
      <c r="A2857" s="15" t="s">
        <v>7384</v>
      </c>
      <c r="B2857" s="67">
        <v>12474920870</v>
      </c>
      <c r="C2857" s="72"/>
      <c r="D2857" s="69"/>
      <c r="E2857" s="9">
        <v>229</v>
      </c>
      <c r="F2857" s="25">
        <v>43151</v>
      </c>
      <c r="G2857" s="70" t="s">
        <v>3356</v>
      </c>
      <c r="H2857" s="9"/>
      <c r="I2857" s="8"/>
      <c r="J2857" s="8"/>
      <c r="K2857" s="8"/>
      <c r="L2857" s="9">
        <v>232</v>
      </c>
      <c r="M2857" s="8"/>
    </row>
    <row r="2858" spans="1:13">
      <c r="A2858" s="71" t="s">
        <v>7385</v>
      </c>
      <c r="B2858" s="67">
        <v>24602245838</v>
      </c>
      <c r="C2858" s="72"/>
      <c r="D2858" s="69"/>
      <c r="E2858" s="9">
        <v>262</v>
      </c>
      <c r="F2858" s="25">
        <v>43160</v>
      </c>
      <c r="G2858" s="70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71" t="s">
        <v>7386</v>
      </c>
      <c r="B2859" s="67">
        <v>11507771843</v>
      </c>
      <c r="C2859" s="72" t="s">
        <v>7387</v>
      </c>
      <c r="D2859" s="69">
        <v>6898979876</v>
      </c>
      <c r="E2859" s="9">
        <v>292</v>
      </c>
      <c r="F2859" s="25">
        <v>43168</v>
      </c>
      <c r="G2859" s="70" t="s">
        <v>3356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7388</v>
      </c>
      <c r="B2860" s="67">
        <v>80024319520</v>
      </c>
      <c r="C2860" s="72"/>
      <c r="D2860" s="69"/>
      <c r="E2860" s="9">
        <v>85</v>
      </c>
      <c r="F2860" s="25">
        <v>43109</v>
      </c>
      <c r="G2860" s="70" t="s">
        <v>3356</v>
      </c>
      <c r="H2860" s="25">
        <v>43151</v>
      </c>
      <c r="I2860" s="8"/>
      <c r="J2860" s="8"/>
      <c r="K2860" s="8"/>
      <c r="L2860" s="8"/>
      <c r="M2860" s="8"/>
    </row>
    <row r="2861" spans="1:13">
      <c r="A2861" s="71" t="s">
        <v>7389</v>
      </c>
      <c r="B2861" s="67">
        <v>42597970850</v>
      </c>
      <c r="C2861" s="72" t="s">
        <v>7390</v>
      </c>
      <c r="D2861" s="69">
        <v>35938405882</v>
      </c>
      <c r="E2861" s="9">
        <v>443</v>
      </c>
      <c r="F2861" s="25">
        <v>43188</v>
      </c>
      <c r="G2861" s="70"/>
      <c r="H2861" s="25">
        <v>43192</v>
      </c>
      <c r="I2861" s="8"/>
      <c r="J2861" s="8"/>
      <c r="K2861" s="8"/>
      <c r="L2861" s="8"/>
      <c r="M2861" s="8"/>
    </row>
    <row r="2862" spans="1:13">
      <c r="A2862" s="71" t="s">
        <v>7391</v>
      </c>
      <c r="B2862" s="67">
        <v>36573181867</v>
      </c>
      <c r="C2862" s="72"/>
      <c r="D2862" s="69"/>
      <c r="E2862" s="9"/>
      <c r="F2862" s="25"/>
      <c r="G2862" s="70"/>
      <c r="H2862" s="9"/>
      <c r="I2862" s="8"/>
      <c r="J2862" s="8"/>
      <c r="K2862" s="8"/>
      <c r="L2862" s="8"/>
      <c r="M2862" s="8"/>
    </row>
    <row r="2863" spans="1:13">
      <c r="A2863" s="29" t="s">
        <v>7392</v>
      </c>
      <c r="B2863" s="67"/>
      <c r="C2863" s="29" t="s">
        <v>7393</v>
      </c>
      <c r="D2863" s="69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7394</v>
      </c>
      <c r="B2864" s="67">
        <v>41687673888</v>
      </c>
      <c r="C2864" s="72"/>
      <c r="D2864" s="69"/>
      <c r="E2864" s="9">
        <v>229</v>
      </c>
      <c r="F2864" s="25">
        <v>43151</v>
      </c>
      <c r="G2864" s="70" t="s">
        <v>3356</v>
      </c>
      <c r="H2864" s="9"/>
      <c r="I2864" s="8"/>
      <c r="J2864" s="8"/>
      <c r="K2864" s="8"/>
      <c r="L2864" s="9">
        <v>232</v>
      </c>
      <c r="M2864" s="8"/>
    </row>
    <row r="2865" spans="1:13">
      <c r="A2865" s="71" t="s">
        <v>7395</v>
      </c>
      <c r="B2865" s="67">
        <v>48081983805</v>
      </c>
      <c r="C2865" s="77" t="s">
        <v>7396</v>
      </c>
      <c r="D2865" s="69">
        <v>46307294884</v>
      </c>
      <c r="E2865" s="9"/>
      <c r="F2865" s="25"/>
      <c r="G2865" s="70"/>
      <c r="H2865" s="9"/>
      <c r="I2865" s="8"/>
      <c r="J2865" s="8"/>
      <c r="K2865" s="8"/>
      <c r="L2865" s="8"/>
      <c r="M2865" s="8"/>
    </row>
    <row r="2866" spans="1:13">
      <c r="A2866" s="71" t="s">
        <v>7397</v>
      </c>
      <c r="B2866" s="67">
        <v>43249836826</v>
      </c>
      <c r="C2866" s="72" t="s">
        <v>7398</v>
      </c>
      <c r="D2866" s="69">
        <v>41128623854</v>
      </c>
      <c r="E2866" s="9">
        <v>262</v>
      </c>
      <c r="F2866" s="25">
        <v>43160</v>
      </c>
      <c r="G2866" s="70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71" t="s">
        <v>7399</v>
      </c>
      <c r="B2867" s="67">
        <v>43628139856</v>
      </c>
      <c r="C2867" s="72"/>
      <c r="D2867" s="69"/>
      <c r="E2867" s="9">
        <v>1570</v>
      </c>
      <c r="F2867" s="25">
        <v>43077</v>
      </c>
      <c r="G2867" s="70" t="s">
        <v>3356</v>
      </c>
      <c r="H2867" s="25">
        <v>43080</v>
      </c>
      <c r="I2867" s="8"/>
      <c r="J2867" s="8"/>
      <c r="K2867" s="8"/>
      <c r="L2867" s="8"/>
      <c r="M2867" s="8"/>
    </row>
    <row r="2868" spans="1:13">
      <c r="A2868" s="71" t="s">
        <v>7400</v>
      </c>
      <c r="B2868" s="67">
        <v>48474391806</v>
      </c>
      <c r="C2868" s="72"/>
      <c r="D2868" s="69"/>
      <c r="E2868" s="9">
        <v>262</v>
      </c>
      <c r="F2868" s="25">
        <v>43160</v>
      </c>
      <c r="G2868" s="70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72" t="s">
        <v>7401</v>
      </c>
      <c r="B2869" s="67">
        <v>11894872681</v>
      </c>
      <c r="C2869" s="72" t="s">
        <v>7402</v>
      </c>
      <c r="D2869" s="69">
        <v>38569239858</v>
      </c>
      <c r="E2869" s="9">
        <v>292</v>
      </c>
      <c r="F2869" s="25">
        <v>43168</v>
      </c>
      <c r="G2869" s="70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71" t="s">
        <v>7403</v>
      </c>
      <c r="B2870" s="67">
        <v>40155044885</v>
      </c>
      <c r="C2870" s="72" t="s">
        <v>7404</v>
      </c>
      <c r="D2870" s="69">
        <v>34935837888</v>
      </c>
      <c r="E2870" s="9">
        <v>292</v>
      </c>
      <c r="F2870" s="25">
        <v>43168</v>
      </c>
      <c r="G2870" s="9" t="s">
        <v>3356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73" t="s">
        <v>7405</v>
      </c>
      <c r="B2871" s="67">
        <v>35165262898</v>
      </c>
      <c r="C2871" s="68" t="s">
        <v>7406</v>
      </c>
      <c r="D2871" s="69">
        <v>34112749805</v>
      </c>
      <c r="E2871" s="9">
        <v>1241</v>
      </c>
      <c r="F2871" s="25">
        <v>42992</v>
      </c>
      <c r="G2871" s="70" t="s">
        <v>3356</v>
      </c>
      <c r="H2871" s="25">
        <v>42998</v>
      </c>
      <c r="I2871" s="8"/>
      <c r="J2871" s="8"/>
      <c r="K2871" s="8"/>
      <c r="L2871" s="8"/>
      <c r="M2871" s="8"/>
    </row>
    <row r="2872" spans="1:13">
      <c r="A2872" s="71" t="s">
        <v>7407</v>
      </c>
      <c r="B2872" s="67">
        <v>37000833866</v>
      </c>
      <c r="C2872" s="72"/>
      <c r="D2872" s="69"/>
      <c r="E2872" s="9">
        <v>117</v>
      </c>
      <c r="F2872" s="25">
        <v>43117</v>
      </c>
      <c r="G2872" s="70" t="s">
        <v>3356</v>
      </c>
      <c r="H2872" s="25">
        <v>43151</v>
      </c>
      <c r="I2872" s="8"/>
      <c r="J2872" s="8"/>
      <c r="K2872" s="8"/>
      <c r="L2872" s="9" t="s">
        <v>3507</v>
      </c>
      <c r="M2872" s="8"/>
    </row>
    <row r="2873" spans="1:13">
      <c r="A2873" s="72" t="s">
        <v>7408</v>
      </c>
      <c r="B2873" s="67">
        <v>38211152894</v>
      </c>
      <c r="C2873" s="72"/>
      <c r="D2873" s="69"/>
      <c r="E2873" s="9"/>
      <c r="F2873" s="25"/>
      <c r="G2873" s="70"/>
      <c r="H2873" s="9"/>
      <c r="I2873" s="8"/>
      <c r="J2873" s="8"/>
      <c r="K2873" s="8"/>
      <c r="L2873" s="8"/>
      <c r="M2873" s="8"/>
    </row>
    <row r="2874" spans="1:13">
      <c r="A2874" s="71" t="s">
        <v>7409</v>
      </c>
      <c r="B2874" s="67">
        <v>32280648830</v>
      </c>
      <c r="C2874" s="72"/>
      <c r="D2874" s="69"/>
      <c r="E2874" s="9">
        <v>292</v>
      </c>
      <c r="F2874" s="25">
        <v>43168</v>
      </c>
      <c r="G2874" s="70" t="s">
        <v>3356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7410</v>
      </c>
      <c r="B2875" s="67">
        <v>47127932875</v>
      </c>
      <c r="C2875" s="72"/>
      <c r="D2875" s="69"/>
      <c r="E2875" s="9">
        <v>1752</v>
      </c>
      <c r="F2875" s="25">
        <v>43051</v>
      </c>
      <c r="G2875" s="70" t="s">
        <v>3356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7411</v>
      </c>
      <c r="B2876" s="67">
        <v>36213127810</v>
      </c>
      <c r="C2876" s="72"/>
      <c r="D2876" s="69"/>
      <c r="E2876" s="9">
        <v>85</v>
      </c>
      <c r="F2876" s="25">
        <v>43109</v>
      </c>
      <c r="G2876" s="70" t="s">
        <v>3356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7412</v>
      </c>
      <c r="B2877" s="67">
        <v>40770970885</v>
      </c>
      <c r="C2877" s="72" t="s">
        <v>7413</v>
      </c>
      <c r="D2877" s="69">
        <v>43652847890</v>
      </c>
      <c r="E2877" s="9">
        <v>117</v>
      </c>
      <c r="F2877" s="25">
        <v>43117</v>
      </c>
      <c r="G2877" s="70" t="s">
        <v>3356</v>
      </c>
      <c r="H2877" s="25">
        <v>43151</v>
      </c>
      <c r="I2877" s="8"/>
      <c r="J2877" s="8"/>
      <c r="K2877" s="8"/>
      <c r="L2877" s="9" t="s">
        <v>3507</v>
      </c>
      <c r="M2877" s="8"/>
    </row>
    <row r="2878" spans="1:13">
      <c r="A2878" s="29" t="s">
        <v>7414</v>
      </c>
      <c r="B2878" s="67"/>
      <c r="C2878" s="18" t="s">
        <v>3466</v>
      </c>
      <c r="D2878" s="69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9" t="s">
        <v>7415</v>
      </c>
      <c r="B2879" s="67">
        <v>38462624800</v>
      </c>
      <c r="C2879" s="18" t="s">
        <v>3466</v>
      </c>
      <c r="D2879" s="69"/>
      <c r="E2879" s="9"/>
      <c r="F2879" s="25"/>
      <c r="G2879" s="70"/>
      <c r="H2879" s="9"/>
      <c r="I2879" s="8"/>
      <c r="J2879" s="8"/>
      <c r="K2879" s="8"/>
      <c r="L2879" s="8"/>
      <c r="M2879" s="8"/>
    </row>
    <row r="2880" spans="1:13">
      <c r="A2880" s="71" t="s">
        <v>7416</v>
      </c>
      <c r="B2880" s="67">
        <v>30942876890</v>
      </c>
      <c r="C2880" s="72" t="s">
        <v>7417</v>
      </c>
      <c r="D2880" s="69">
        <v>1657015521</v>
      </c>
      <c r="E2880" s="9">
        <v>573</v>
      </c>
      <c r="F2880" s="25">
        <v>43224</v>
      </c>
      <c r="G2880" s="70"/>
      <c r="H2880" s="9"/>
      <c r="I2880" s="8"/>
      <c r="J2880" s="8"/>
      <c r="K2880" s="8"/>
      <c r="L2880" s="8"/>
      <c r="M2880" s="8"/>
    </row>
    <row r="2881" spans="1:13">
      <c r="A2881" s="15" t="s">
        <v>7418</v>
      </c>
      <c r="B2881" s="67">
        <v>34602309836</v>
      </c>
      <c r="C2881" s="72"/>
      <c r="D2881" s="69"/>
      <c r="E2881" s="9">
        <v>229</v>
      </c>
      <c r="F2881" s="25">
        <v>43151</v>
      </c>
      <c r="G2881" s="70" t="s">
        <v>3356</v>
      </c>
      <c r="H2881" s="9"/>
      <c r="I2881" s="8"/>
      <c r="J2881" s="8"/>
      <c r="K2881" s="8"/>
      <c r="L2881" s="9">
        <v>232</v>
      </c>
      <c r="M2881" s="8"/>
    </row>
    <row r="2882" spans="1:13">
      <c r="A2882" s="71" t="s">
        <v>7419</v>
      </c>
      <c r="B2882" s="67">
        <v>28146615821</v>
      </c>
      <c r="C2882" s="72"/>
      <c r="D2882" s="69"/>
      <c r="E2882" s="9">
        <v>1570</v>
      </c>
      <c r="F2882" s="25">
        <v>43055</v>
      </c>
      <c r="G2882" s="9" t="s">
        <v>3356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7420</v>
      </c>
      <c r="B2883" s="67">
        <v>43027371827</v>
      </c>
      <c r="C2883" s="72"/>
      <c r="D2883" s="69"/>
      <c r="E2883" s="9">
        <v>85</v>
      </c>
      <c r="F2883" s="25">
        <v>43109</v>
      </c>
      <c r="G2883" s="70" t="s">
        <v>3356</v>
      </c>
      <c r="H2883" s="25">
        <v>43151</v>
      </c>
      <c r="I2883" s="8"/>
      <c r="J2883" s="8"/>
      <c r="K2883" s="8"/>
      <c r="L2883" s="8"/>
      <c r="M2883" s="8"/>
    </row>
    <row r="2884" spans="1:13">
      <c r="A2884" s="72" t="s">
        <v>7421</v>
      </c>
      <c r="B2884" s="67">
        <v>7104134832</v>
      </c>
      <c r="C2884" s="72"/>
      <c r="D2884" s="69"/>
      <c r="E2884" s="9"/>
      <c r="F2884" s="25"/>
      <c r="G2884" s="70"/>
      <c r="H2884" s="9"/>
      <c r="I2884" s="8"/>
      <c r="J2884" s="8"/>
      <c r="K2884" s="8"/>
      <c r="L2884" s="8"/>
      <c r="M2884" s="8"/>
    </row>
    <row r="2885" spans="1:13">
      <c r="A2885" s="71" t="s">
        <v>7422</v>
      </c>
      <c r="B2885" s="67">
        <v>26468301572</v>
      </c>
      <c r="C2885" s="72"/>
      <c r="D2885" s="69"/>
      <c r="E2885" s="9">
        <v>292</v>
      </c>
      <c r="F2885" s="25">
        <v>43168</v>
      </c>
      <c r="G2885" s="70" t="s">
        <v>3356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71" t="s">
        <v>7423</v>
      </c>
      <c r="B2886" s="67">
        <v>28965520819</v>
      </c>
      <c r="C2886" s="72" t="s">
        <v>7424</v>
      </c>
      <c r="D2886" s="69">
        <v>8432372447</v>
      </c>
      <c r="E2886" s="9">
        <v>1824</v>
      </c>
      <c r="F2886" s="25">
        <v>43091</v>
      </c>
      <c r="G2886" s="70" t="s">
        <v>3362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71" t="s">
        <v>7425</v>
      </c>
      <c r="B2887" s="67">
        <v>2264797819</v>
      </c>
      <c r="C2887" s="72"/>
      <c r="D2887" s="69"/>
      <c r="E2887" s="9"/>
      <c r="F2887" s="25"/>
      <c r="G2887" s="70"/>
      <c r="H2887" s="9"/>
      <c r="I2887" s="8"/>
      <c r="J2887" s="8"/>
      <c r="K2887" s="8"/>
      <c r="L2887" s="8"/>
      <c r="M2887" s="8"/>
    </row>
    <row r="2888" spans="1:13">
      <c r="A2888" s="71" t="s">
        <v>7426</v>
      </c>
      <c r="B2888" s="67">
        <v>13616640881</v>
      </c>
      <c r="C2888" s="77"/>
      <c r="D2888" s="69"/>
      <c r="E2888" s="9">
        <v>563</v>
      </c>
      <c r="F2888" s="25">
        <v>43217</v>
      </c>
      <c r="G2888" s="70"/>
      <c r="H2888" s="25">
        <v>43234</v>
      </c>
      <c r="I2888" s="8"/>
      <c r="J2888" s="8"/>
      <c r="K2888" s="8"/>
      <c r="L2888" s="9" t="s">
        <v>3636</v>
      </c>
      <c r="M2888" s="8"/>
    </row>
    <row r="2889" spans="1:13">
      <c r="A2889" s="71" t="s">
        <v>7427</v>
      </c>
      <c r="B2889" s="67">
        <v>31336065818</v>
      </c>
      <c r="C2889" s="72" t="s">
        <v>7428</v>
      </c>
      <c r="D2889" s="69">
        <v>43264481804</v>
      </c>
      <c r="E2889" s="9">
        <v>1214</v>
      </c>
      <c r="F2889" s="25">
        <v>42989</v>
      </c>
      <c r="G2889" s="70" t="s">
        <v>3356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7429</v>
      </c>
      <c r="B2890" s="67">
        <v>29416232807</v>
      </c>
      <c r="C2890" s="72"/>
      <c r="D2890" s="69"/>
      <c r="E2890" s="9"/>
      <c r="F2890" s="25"/>
      <c r="G2890" s="70"/>
      <c r="H2890" s="9"/>
      <c r="I2890" s="8"/>
      <c r="J2890" s="8"/>
      <c r="K2890" s="8"/>
      <c r="L2890" s="8"/>
      <c r="M2890" s="8"/>
    </row>
    <row r="2891" spans="1:13">
      <c r="A2891" s="71" t="s">
        <v>7430</v>
      </c>
      <c r="B2891" s="67">
        <v>64878856491</v>
      </c>
      <c r="C2891" s="72"/>
      <c r="D2891" s="69"/>
      <c r="E2891" s="9">
        <v>262</v>
      </c>
      <c r="F2891" s="25">
        <v>43160</v>
      </c>
      <c r="G2891" s="70" t="s">
        <v>3356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7431</v>
      </c>
      <c r="B2892" s="67">
        <v>88589790100</v>
      </c>
      <c r="C2892" s="72"/>
      <c r="D2892" s="69"/>
      <c r="E2892" s="9">
        <v>229</v>
      </c>
      <c r="F2892" s="25">
        <v>43151</v>
      </c>
      <c r="G2892" s="70" t="s">
        <v>3356</v>
      </c>
      <c r="H2892" s="9"/>
      <c r="I2892" s="8"/>
      <c r="J2892" s="8"/>
      <c r="K2892" s="8"/>
      <c r="L2892" s="9">
        <v>232</v>
      </c>
      <c r="M2892" s="8"/>
    </row>
    <row r="2893" spans="1:13">
      <c r="A2893" s="71" t="s">
        <v>7432</v>
      </c>
      <c r="B2893" s="67">
        <v>23589275898</v>
      </c>
      <c r="C2893" s="72"/>
      <c r="D2893" s="69"/>
      <c r="E2893" s="9">
        <v>1439</v>
      </c>
      <c r="F2893" s="25">
        <v>43025</v>
      </c>
      <c r="G2893" s="70" t="s">
        <v>3356</v>
      </c>
      <c r="H2893" s="25">
        <v>43027</v>
      </c>
      <c r="I2893" s="8"/>
      <c r="J2893" s="8"/>
      <c r="K2893" s="8"/>
      <c r="L2893" s="9" t="s">
        <v>3838</v>
      </c>
      <c r="M2893" s="8"/>
    </row>
    <row r="2894" spans="1:13">
      <c r="A2894" s="15" t="s">
        <v>7433</v>
      </c>
      <c r="B2894" s="67">
        <v>2655794494</v>
      </c>
      <c r="C2894" s="72" t="s">
        <v>7434</v>
      </c>
      <c r="D2894" s="69">
        <v>96385081591</v>
      </c>
      <c r="E2894" s="9">
        <v>117</v>
      </c>
      <c r="F2894" s="25">
        <v>43117</v>
      </c>
      <c r="G2894" s="70" t="s">
        <v>3356</v>
      </c>
      <c r="H2894" s="25">
        <v>43151</v>
      </c>
      <c r="I2894" s="8"/>
      <c r="J2894" s="8"/>
      <c r="K2894" s="8"/>
      <c r="L2894" s="9" t="s">
        <v>3507</v>
      </c>
      <c r="M2894" s="8"/>
    </row>
    <row r="2895" spans="1:13">
      <c r="A2895" s="71" t="s">
        <v>7435</v>
      </c>
      <c r="B2895" s="67">
        <v>38212628850</v>
      </c>
      <c r="C2895" s="72"/>
      <c r="D2895" s="69"/>
      <c r="E2895" s="9">
        <v>1422</v>
      </c>
      <c r="F2895" s="25">
        <v>43018</v>
      </c>
      <c r="G2895" s="70" t="s">
        <v>3356</v>
      </c>
      <c r="H2895" s="25">
        <v>43027</v>
      </c>
      <c r="I2895" s="8"/>
      <c r="J2895" s="8"/>
      <c r="K2895" s="8"/>
      <c r="L2895" s="8"/>
      <c r="M2895" s="8"/>
    </row>
    <row r="2896" spans="1:13">
      <c r="A2896" s="71" t="s">
        <v>7436</v>
      </c>
      <c r="B2896" s="67">
        <v>6898125826</v>
      </c>
      <c r="C2896" s="72"/>
      <c r="D2896" s="69"/>
      <c r="E2896" s="9">
        <v>1106</v>
      </c>
      <c r="F2896" s="25">
        <v>42965</v>
      </c>
      <c r="G2896" s="70" t="s">
        <v>3356</v>
      </c>
      <c r="H2896" s="25">
        <v>42978</v>
      </c>
      <c r="I2896" s="8"/>
      <c r="J2896" s="8"/>
      <c r="K2896" s="8"/>
      <c r="L2896" s="8"/>
      <c r="M2896" s="8"/>
    </row>
    <row r="2897" spans="1:13">
      <c r="A2897" s="71" t="s">
        <v>7437</v>
      </c>
      <c r="B2897" s="67">
        <v>15520459860</v>
      </c>
      <c r="C2897" s="72"/>
      <c r="D2897" s="69"/>
      <c r="E2897" s="9">
        <v>1489</v>
      </c>
      <c r="F2897" s="25">
        <v>43038</v>
      </c>
      <c r="G2897" s="70" t="s">
        <v>3356</v>
      </c>
      <c r="H2897" s="9"/>
      <c r="I2897" s="9">
        <v>229</v>
      </c>
      <c r="J2897" s="25">
        <v>43151</v>
      </c>
      <c r="K2897" s="25">
        <v>43158</v>
      </c>
      <c r="L2897" s="9" t="s">
        <v>3497</v>
      </c>
      <c r="M2897" s="25"/>
    </row>
    <row r="2898" spans="1:13">
      <c r="A2898" s="71" t="s">
        <v>7438</v>
      </c>
      <c r="B2898" s="67">
        <v>38085002809</v>
      </c>
      <c r="C2898" s="72" t="s">
        <v>7439</v>
      </c>
      <c r="D2898" s="69">
        <v>27620884882</v>
      </c>
      <c r="E2898" s="9"/>
      <c r="F2898" s="25"/>
      <c r="G2898" s="70"/>
      <c r="H2898" s="9"/>
      <c r="I2898" s="8"/>
      <c r="J2898" s="8"/>
      <c r="K2898" s="8"/>
      <c r="L2898" s="8"/>
      <c r="M2898" s="8"/>
    </row>
    <row r="2899" spans="1:13">
      <c r="A2899" s="71" t="s">
        <v>7440</v>
      </c>
      <c r="B2899" s="67">
        <v>67998755415</v>
      </c>
      <c r="C2899" s="72"/>
      <c r="D2899" s="69"/>
      <c r="E2899" s="9">
        <v>1214</v>
      </c>
      <c r="F2899" s="25">
        <v>42989</v>
      </c>
      <c r="G2899" s="70" t="s">
        <v>3356</v>
      </c>
      <c r="H2899" s="25">
        <v>43000</v>
      </c>
      <c r="I2899" s="8"/>
      <c r="J2899" s="8"/>
      <c r="K2899" s="8"/>
      <c r="L2899" s="8"/>
      <c r="M2899" s="8"/>
    </row>
    <row r="2900" spans="1:13">
      <c r="A2900" s="71" t="s">
        <v>7441</v>
      </c>
      <c r="B2900" s="67">
        <v>23357346877</v>
      </c>
      <c r="C2900" s="72" t="s">
        <v>7442</v>
      </c>
      <c r="D2900" s="69">
        <v>39917830880</v>
      </c>
      <c r="E2900" s="9">
        <v>1555</v>
      </c>
      <c r="F2900" s="25">
        <v>43049</v>
      </c>
      <c r="G2900" s="70" t="s">
        <v>3356</v>
      </c>
      <c r="H2900" s="9"/>
      <c r="I2900" s="8"/>
      <c r="J2900" s="8"/>
      <c r="K2900" s="8"/>
      <c r="L2900" s="9" t="s">
        <v>3735</v>
      </c>
      <c r="M2900" s="8"/>
    </row>
    <row r="2901" spans="1:13">
      <c r="A2901" s="71" t="s">
        <v>7443</v>
      </c>
      <c r="B2901" s="67">
        <v>25491965898</v>
      </c>
      <c r="C2901" s="72"/>
      <c r="D2901" s="69"/>
      <c r="E2901" s="9"/>
      <c r="F2901" s="25"/>
      <c r="G2901" s="70"/>
      <c r="H2901" s="9"/>
      <c r="I2901" s="8"/>
      <c r="J2901" s="8"/>
      <c r="K2901" s="8"/>
      <c r="L2901" s="8"/>
      <c r="M2901" s="8"/>
    </row>
    <row r="2902" spans="1:13">
      <c r="A2902" s="71" t="s">
        <v>7444</v>
      </c>
      <c r="B2902" s="67">
        <v>31365966844</v>
      </c>
      <c r="C2902" s="72"/>
      <c r="D2902" s="69"/>
      <c r="E2902" s="9">
        <v>292</v>
      </c>
      <c r="F2902" s="25">
        <v>43168</v>
      </c>
      <c r="G2902" s="70" t="s">
        <v>3356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71" t="s">
        <v>7445</v>
      </c>
      <c r="B2903" s="67">
        <v>33733642805</v>
      </c>
      <c r="C2903" s="72" t="s">
        <v>7446</v>
      </c>
      <c r="D2903" s="69">
        <v>1860087590</v>
      </c>
      <c r="E2903" s="9">
        <v>85</v>
      </c>
      <c r="F2903" s="25">
        <v>43109</v>
      </c>
      <c r="G2903" s="70" t="s">
        <v>3356</v>
      </c>
      <c r="H2903" s="25">
        <v>43151</v>
      </c>
      <c r="I2903" s="8"/>
      <c r="J2903" s="8"/>
      <c r="K2903" s="8"/>
      <c r="L2903" s="8"/>
      <c r="M2903" s="8"/>
    </row>
    <row r="2904" spans="1:13">
      <c r="A2904" s="71" t="s">
        <v>7447</v>
      </c>
      <c r="B2904" s="67">
        <v>40426860870</v>
      </c>
      <c r="C2904" s="72"/>
      <c r="D2904" s="69"/>
      <c r="E2904" s="9">
        <v>1106</v>
      </c>
      <c r="F2904" s="25">
        <v>42965</v>
      </c>
      <c r="G2904" s="70" t="s">
        <v>3356</v>
      </c>
      <c r="H2904" s="25">
        <v>42978</v>
      </c>
      <c r="I2904" s="8"/>
      <c r="J2904" s="8"/>
      <c r="K2904" s="8"/>
      <c r="L2904" s="8"/>
      <c r="M2904" s="8"/>
    </row>
    <row r="2905" spans="1:13">
      <c r="A2905" s="71" t="s">
        <v>7448</v>
      </c>
      <c r="B2905" s="67">
        <v>5387678802</v>
      </c>
      <c r="C2905" s="72" t="s">
        <v>7449</v>
      </c>
      <c r="D2905" s="69">
        <v>24035160822</v>
      </c>
      <c r="E2905" s="9"/>
      <c r="F2905" s="25"/>
      <c r="G2905" s="70"/>
      <c r="H2905" s="9"/>
      <c r="I2905" s="8"/>
      <c r="J2905" s="8"/>
      <c r="K2905" s="8"/>
      <c r="L2905" s="8"/>
      <c r="M2905" s="8"/>
    </row>
    <row r="2906" spans="1:13">
      <c r="A2906" s="71" t="s">
        <v>7450</v>
      </c>
      <c r="B2906" s="67">
        <v>11428779817</v>
      </c>
      <c r="C2906" s="72"/>
      <c r="D2906" s="69"/>
      <c r="E2906" s="9">
        <v>1350</v>
      </c>
      <c r="F2906" s="25">
        <v>43006</v>
      </c>
      <c r="G2906" s="70" t="s">
        <v>3356</v>
      </c>
      <c r="H2906" s="25">
        <v>43011</v>
      </c>
      <c r="I2906" s="8"/>
      <c r="J2906" s="8"/>
      <c r="K2906" s="8"/>
      <c r="L2906" s="8"/>
      <c r="M2906" s="8"/>
    </row>
    <row r="2907" spans="1:13">
      <c r="A2907" s="72" t="s">
        <v>7451</v>
      </c>
      <c r="B2907" s="67">
        <v>41173451846</v>
      </c>
      <c r="C2907" s="72" t="s">
        <v>7452</v>
      </c>
      <c r="D2907" s="69">
        <v>38772076852</v>
      </c>
      <c r="E2907" s="9"/>
      <c r="F2907" s="25"/>
      <c r="G2907" s="70"/>
      <c r="H2907" s="9"/>
      <c r="I2907" s="8"/>
      <c r="J2907" s="8"/>
      <c r="K2907" s="8"/>
      <c r="L2907" s="8"/>
      <c r="M2907" s="8"/>
    </row>
    <row r="2908" spans="1:13">
      <c r="A2908" s="19" t="s">
        <v>7453</v>
      </c>
      <c r="B2908" s="67">
        <v>36432395801</v>
      </c>
      <c r="C2908" s="77" t="s">
        <v>7454</v>
      </c>
      <c r="D2908" s="67">
        <v>94959390549</v>
      </c>
      <c r="E2908" s="9"/>
      <c r="F2908" s="25"/>
      <c r="G2908" s="70"/>
      <c r="H2908" s="9"/>
      <c r="I2908" s="8"/>
      <c r="J2908" s="8"/>
      <c r="K2908" s="8"/>
      <c r="L2908" s="8"/>
      <c r="M2908" s="8"/>
    </row>
    <row r="2909" spans="1:13">
      <c r="A2909" s="71" t="s">
        <v>7455</v>
      </c>
      <c r="B2909" s="67">
        <v>14272488856</v>
      </c>
      <c r="C2909" s="72"/>
      <c r="D2909" s="69"/>
      <c r="E2909" s="9">
        <v>573</v>
      </c>
      <c r="F2909" s="25">
        <v>43224</v>
      </c>
      <c r="G2909" s="70"/>
      <c r="H2909" s="9"/>
      <c r="I2909" s="8"/>
      <c r="J2909" s="8"/>
      <c r="K2909" s="8"/>
      <c r="L2909" s="8"/>
      <c r="M2909" s="8"/>
    </row>
    <row r="2910" spans="1:13">
      <c r="A2910" s="71" t="s">
        <v>7456</v>
      </c>
      <c r="B2910" s="67">
        <v>28196011890</v>
      </c>
      <c r="C2910" s="72" t="s">
        <v>7457</v>
      </c>
      <c r="D2910" s="69">
        <v>73582980553</v>
      </c>
      <c r="E2910" s="9">
        <v>1262</v>
      </c>
      <c r="F2910" s="25">
        <v>42997</v>
      </c>
      <c r="G2910" s="70" t="s">
        <v>3356</v>
      </c>
      <c r="H2910" s="25">
        <v>43000</v>
      </c>
      <c r="I2910" s="8"/>
      <c r="J2910" s="8"/>
      <c r="K2910" s="8"/>
      <c r="L2910" s="8"/>
      <c r="M2910" s="8"/>
    </row>
    <row r="2911" spans="1:13">
      <c r="A2911" s="71" t="s">
        <v>7458</v>
      </c>
      <c r="B2911" s="67">
        <v>8710545409</v>
      </c>
      <c r="C2911" s="72" t="s">
        <v>7459</v>
      </c>
      <c r="D2911" s="69">
        <v>39137257846</v>
      </c>
      <c r="E2911" s="9"/>
      <c r="F2911" s="25"/>
      <c r="G2911" s="70"/>
      <c r="H2911" s="9"/>
      <c r="I2911" s="8"/>
      <c r="J2911" s="8"/>
      <c r="K2911" s="8"/>
      <c r="L2911" s="8"/>
      <c r="M2911" s="8"/>
    </row>
    <row r="2912" spans="1:13">
      <c r="A2912" s="71" t="s">
        <v>7460</v>
      </c>
      <c r="B2912" s="67">
        <v>6826115816</v>
      </c>
      <c r="C2912" s="72"/>
      <c r="D2912" s="69"/>
      <c r="E2912" s="9"/>
      <c r="F2912" s="25"/>
      <c r="G2912" s="70"/>
      <c r="H2912" s="9"/>
      <c r="I2912" s="8"/>
      <c r="J2912" s="8"/>
      <c r="K2912" s="8"/>
      <c r="L2912" s="8"/>
      <c r="M2912" s="8"/>
    </row>
    <row r="2913" spans="1:13">
      <c r="A2913" s="71" t="s">
        <v>7461</v>
      </c>
      <c r="B2913" s="67">
        <v>27279265880</v>
      </c>
      <c r="C2913" s="77" t="s">
        <v>7462</v>
      </c>
      <c r="D2913" s="69">
        <v>63886073572</v>
      </c>
      <c r="E2913" s="9"/>
      <c r="F2913" s="25"/>
      <c r="G2913" s="70"/>
      <c r="H2913" s="9"/>
      <c r="I2913" s="8"/>
      <c r="J2913" s="8"/>
      <c r="K2913" s="8"/>
      <c r="L2913" s="8"/>
      <c r="M2913" s="8"/>
    </row>
    <row r="2914" spans="1:13">
      <c r="A2914" s="29" t="s">
        <v>7463</v>
      </c>
      <c r="B2914" s="67">
        <v>2973007844</v>
      </c>
      <c r="C2914" s="18" t="s">
        <v>3466</v>
      </c>
      <c r="D2914" s="69"/>
      <c r="E2914" s="9"/>
      <c r="F2914" s="25"/>
      <c r="G2914" s="70"/>
      <c r="H2914" s="9"/>
      <c r="I2914" s="8"/>
      <c r="J2914" s="8"/>
      <c r="K2914" s="8"/>
      <c r="L2914" s="8"/>
      <c r="M2914" s="8"/>
    </row>
    <row r="2915" spans="1:13">
      <c r="A2915" s="71" t="s">
        <v>7464</v>
      </c>
      <c r="B2915" s="67">
        <v>20636195813</v>
      </c>
      <c r="C2915" s="72"/>
      <c r="D2915" s="69"/>
      <c r="E2915" s="9"/>
      <c r="F2915" s="25"/>
      <c r="G2915" s="70"/>
      <c r="H2915" s="9"/>
      <c r="I2915" s="8"/>
      <c r="J2915" s="8"/>
      <c r="K2915" s="8"/>
      <c r="L2915" s="8"/>
      <c r="M2915" s="8"/>
    </row>
    <row r="2916" spans="1:13">
      <c r="A2916" s="15" t="s">
        <v>7465</v>
      </c>
      <c r="B2916" s="67">
        <v>63168421553</v>
      </c>
      <c r="C2916" s="72"/>
      <c r="D2916" s="69"/>
      <c r="E2916" s="9">
        <v>229</v>
      </c>
      <c r="F2916" s="25">
        <v>43151</v>
      </c>
      <c r="G2916" s="70" t="s">
        <v>3356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7466</v>
      </c>
      <c r="B2917" s="67">
        <v>97080756391</v>
      </c>
      <c r="C2917" s="68" t="s">
        <v>7467</v>
      </c>
      <c r="D2917" s="69">
        <v>78464463391</v>
      </c>
      <c r="E2917" s="9">
        <v>1343</v>
      </c>
      <c r="F2917" s="25">
        <v>43004</v>
      </c>
      <c r="G2917" s="70" t="s">
        <v>3356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7468</v>
      </c>
      <c r="B2918" s="67">
        <v>38027796814</v>
      </c>
      <c r="C2918" s="72"/>
      <c r="D2918" s="69"/>
      <c r="E2918" s="9">
        <v>443</v>
      </c>
      <c r="F2918" s="25">
        <v>43188</v>
      </c>
      <c r="G2918" s="70"/>
      <c r="H2918" s="25">
        <v>43192</v>
      </c>
      <c r="I2918" s="8"/>
      <c r="J2918" s="8"/>
      <c r="K2918" s="8"/>
      <c r="L2918" s="8"/>
      <c r="M2918" s="8"/>
    </row>
    <row r="2919" spans="1:13">
      <c r="A2919" s="29" t="s">
        <v>7469</v>
      </c>
      <c r="B2919" s="67">
        <v>542688778</v>
      </c>
      <c r="C2919" s="18" t="s">
        <v>3466</v>
      </c>
      <c r="D2919" s="69"/>
      <c r="E2919" s="9"/>
      <c r="F2919" s="25"/>
      <c r="G2919" s="70"/>
      <c r="H2919" s="9"/>
      <c r="I2919" s="8"/>
      <c r="J2919" s="8"/>
      <c r="K2919" s="8"/>
      <c r="L2919" s="8"/>
      <c r="M2919" s="8"/>
    </row>
    <row r="2920" spans="1:13">
      <c r="A2920" s="71" t="s">
        <v>7470</v>
      </c>
      <c r="B2920" s="67">
        <v>6814675846</v>
      </c>
      <c r="C2920" s="77"/>
      <c r="D2920" s="69"/>
      <c r="E2920" s="9"/>
      <c r="F2920" s="25"/>
      <c r="G2920" s="70"/>
      <c r="H2920" s="9"/>
      <c r="I2920" s="8"/>
      <c r="J2920" s="8"/>
      <c r="K2920" s="8"/>
      <c r="L2920" s="8"/>
      <c r="M2920" s="8"/>
    </row>
    <row r="2921" spans="1:13">
      <c r="A2921" s="71" t="s">
        <v>7471</v>
      </c>
      <c r="B2921" s="67">
        <v>19521938854</v>
      </c>
      <c r="C2921" s="72" t="s">
        <v>7472</v>
      </c>
      <c r="D2921" s="69">
        <v>16398980506</v>
      </c>
      <c r="E2921" s="9">
        <v>1214</v>
      </c>
      <c r="F2921" s="25">
        <v>42989</v>
      </c>
      <c r="G2921" s="70" t="s">
        <v>3356</v>
      </c>
      <c r="H2921" s="25">
        <v>43000</v>
      </c>
      <c r="I2921" s="8"/>
      <c r="J2921" s="8"/>
      <c r="K2921" s="8"/>
      <c r="L2921" s="8"/>
      <c r="M2921" s="8"/>
    </row>
    <row r="2922" spans="1:13">
      <c r="A2922" s="71" t="s">
        <v>7473</v>
      </c>
      <c r="B2922" s="67">
        <v>22970050838</v>
      </c>
      <c r="C2922" s="72"/>
      <c r="D2922" s="69"/>
      <c r="E2922" s="9"/>
      <c r="F2922" s="25"/>
      <c r="G2922" s="70"/>
      <c r="H2922" s="9"/>
      <c r="I2922" s="8"/>
      <c r="J2922" s="8"/>
      <c r="K2922" s="8"/>
      <c r="L2922" s="8"/>
      <c r="M2922" s="8"/>
    </row>
    <row r="2923" spans="1:13">
      <c r="A2923" s="14" t="s">
        <v>7474</v>
      </c>
      <c r="B2923" s="67">
        <v>26307121840</v>
      </c>
      <c r="C2923" s="72"/>
      <c r="D2923" s="69"/>
      <c r="E2923" s="9">
        <v>262</v>
      </c>
      <c r="F2923" s="25">
        <v>43160</v>
      </c>
      <c r="G2923" s="70" t="s">
        <v>3356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71" t="s">
        <v>7475</v>
      </c>
      <c r="B2924" s="67">
        <v>300564546</v>
      </c>
      <c r="C2924" s="72"/>
      <c r="D2924" s="69"/>
      <c r="E2924" s="9">
        <v>1106</v>
      </c>
      <c r="F2924" s="25">
        <v>42965</v>
      </c>
      <c r="G2924" s="70" t="s">
        <v>3356</v>
      </c>
      <c r="H2924" s="25">
        <v>42978</v>
      </c>
      <c r="I2924" s="8"/>
      <c r="J2924" s="8"/>
      <c r="K2924" s="8"/>
      <c r="L2924" s="8"/>
      <c r="M2924" s="8"/>
    </row>
    <row r="2925" spans="1:13">
      <c r="A2925" s="71" t="s">
        <v>7476</v>
      </c>
      <c r="B2925" s="67">
        <v>81710763272</v>
      </c>
      <c r="C2925" s="77" t="s">
        <v>7477</v>
      </c>
      <c r="D2925" s="69">
        <v>36354836809</v>
      </c>
      <c r="E2925" s="9"/>
      <c r="F2925" s="25"/>
      <c r="G2925" s="70"/>
      <c r="H2925" s="9"/>
      <c r="I2925" s="8"/>
      <c r="J2925" s="8"/>
      <c r="K2925" s="8"/>
      <c r="L2925" s="8"/>
      <c r="M2925" s="8"/>
    </row>
    <row r="2926" spans="1:13">
      <c r="A2926" s="71" t="s">
        <v>7478</v>
      </c>
      <c r="B2926" s="67">
        <v>1095911511</v>
      </c>
      <c r="C2926" s="72"/>
      <c r="D2926" s="69"/>
      <c r="E2926" s="9">
        <v>1214</v>
      </c>
      <c r="F2926" s="25">
        <v>42989</v>
      </c>
      <c r="G2926" s="70" t="s">
        <v>3356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7479</v>
      </c>
      <c r="B2927" s="67">
        <v>35453812850</v>
      </c>
      <c r="C2927" s="18" t="s">
        <v>7480</v>
      </c>
      <c r="D2927" s="69">
        <v>27351961867</v>
      </c>
      <c r="E2927" s="9"/>
      <c r="F2927" s="25"/>
      <c r="G2927" s="70"/>
      <c r="H2927" s="9"/>
      <c r="I2927" s="8"/>
      <c r="J2927" s="8"/>
      <c r="K2927" s="8"/>
      <c r="L2927" s="8"/>
      <c r="M2927" s="8"/>
    </row>
    <row r="2928" spans="1:13">
      <c r="A2928" s="72" t="s">
        <v>7481</v>
      </c>
      <c r="B2928" s="67">
        <v>26836941808</v>
      </c>
      <c r="C2928" s="72"/>
      <c r="D2928" s="69"/>
      <c r="E2928" s="9"/>
      <c r="F2928" s="25"/>
      <c r="G2928" s="70"/>
      <c r="H2928" s="9"/>
      <c r="I2928" s="8"/>
      <c r="J2928" s="8"/>
      <c r="K2928" s="8"/>
      <c r="L2928" s="8"/>
      <c r="M2928" s="8"/>
    </row>
    <row r="2929" spans="1:13">
      <c r="A2929" s="71" t="s">
        <v>7482</v>
      </c>
      <c r="B2929" s="67">
        <v>22665008807</v>
      </c>
      <c r="C2929" s="72" t="s">
        <v>7483</v>
      </c>
      <c r="D2929" s="69">
        <v>35575903800</v>
      </c>
      <c r="E2929" s="9">
        <v>262</v>
      </c>
      <c r="F2929" s="25">
        <v>43160</v>
      </c>
      <c r="G2929" s="9" t="s">
        <v>3356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7484</v>
      </c>
      <c r="B2930" s="67">
        <v>38657793873</v>
      </c>
      <c r="C2930" s="68"/>
      <c r="D2930" s="69"/>
      <c r="E2930" s="9">
        <v>1359</v>
      </c>
      <c r="F2930" s="25">
        <v>43006</v>
      </c>
      <c r="G2930" s="70" t="s">
        <v>3356</v>
      </c>
      <c r="H2930" s="25">
        <v>43011</v>
      </c>
      <c r="I2930" s="8"/>
      <c r="J2930" s="8"/>
      <c r="K2930" s="8"/>
      <c r="L2930" s="8"/>
      <c r="M2930" s="8"/>
    </row>
    <row r="2931" spans="1:13">
      <c r="A2931" s="71" t="s">
        <v>7485</v>
      </c>
      <c r="B2931" s="67">
        <v>41032382830</v>
      </c>
      <c r="C2931" s="72"/>
      <c r="D2931" s="69"/>
      <c r="E2931" s="9">
        <v>573</v>
      </c>
      <c r="F2931" s="25">
        <v>43224</v>
      </c>
      <c r="G2931" s="70"/>
      <c r="H2931" s="9"/>
      <c r="I2931" s="8"/>
      <c r="J2931" s="8"/>
      <c r="K2931" s="8"/>
      <c r="L2931" s="8"/>
      <c r="M2931" s="8"/>
    </row>
    <row r="2932" spans="1:13">
      <c r="A2932" s="72" t="s">
        <v>7486</v>
      </c>
      <c r="B2932" s="67">
        <v>60615920357</v>
      </c>
      <c r="C2932" s="72" t="s">
        <v>7487</v>
      </c>
      <c r="D2932" s="69">
        <v>4818511358</v>
      </c>
      <c r="E2932" s="9">
        <v>292</v>
      </c>
      <c r="F2932" s="25">
        <v>43168</v>
      </c>
      <c r="G2932" s="9" t="s">
        <v>3356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71" t="s">
        <v>7488</v>
      </c>
      <c r="B2933" s="67">
        <v>22353439888</v>
      </c>
      <c r="C2933" s="72"/>
      <c r="D2933" s="69"/>
      <c r="E2933" s="9">
        <v>262</v>
      </c>
      <c r="F2933" s="25">
        <v>43160</v>
      </c>
      <c r="G2933" s="70" t="s">
        <v>3356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71" t="s">
        <v>7489</v>
      </c>
      <c r="B2934" s="67">
        <v>31633338851</v>
      </c>
      <c r="C2934" s="72" t="s">
        <v>7490</v>
      </c>
      <c r="D2934" s="69">
        <v>42441481835</v>
      </c>
      <c r="E2934" s="9">
        <v>563</v>
      </c>
      <c r="F2934" s="25">
        <v>43217</v>
      </c>
      <c r="G2934" s="70"/>
      <c r="H2934" s="25">
        <v>43234</v>
      </c>
      <c r="I2934" s="8"/>
      <c r="J2934" s="8"/>
      <c r="K2934" s="8"/>
      <c r="L2934" s="9" t="s">
        <v>3636</v>
      </c>
      <c r="M2934" s="8"/>
    </row>
    <row r="2935" spans="1:13">
      <c r="A2935" s="71" t="s">
        <v>7491</v>
      </c>
      <c r="B2935" s="67">
        <v>42518509801</v>
      </c>
      <c r="C2935" s="72" t="s">
        <v>7492</v>
      </c>
      <c r="D2935" s="69">
        <v>36320707844</v>
      </c>
      <c r="E2935" s="9">
        <v>1752</v>
      </c>
      <c r="F2935" s="25">
        <v>43051</v>
      </c>
      <c r="G2935" s="70" t="s">
        <v>3370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71" t="s">
        <v>7493</v>
      </c>
      <c r="B2936" s="67">
        <v>22958464806</v>
      </c>
      <c r="C2936" s="72" t="s">
        <v>7494</v>
      </c>
      <c r="D2936" s="69">
        <v>13499554852</v>
      </c>
      <c r="E2936" s="9"/>
      <c r="F2936" s="25"/>
      <c r="G2936" s="70"/>
      <c r="H2936" s="9"/>
      <c r="I2936" s="8"/>
      <c r="J2936" s="8"/>
      <c r="K2936" s="8"/>
      <c r="L2936" s="8"/>
      <c r="M2936" s="8"/>
    </row>
    <row r="2937" spans="1:13">
      <c r="A2937" s="13" t="s">
        <v>7495</v>
      </c>
      <c r="B2937" s="67">
        <v>31152044850</v>
      </c>
      <c r="C2937" s="72" t="s">
        <v>7496</v>
      </c>
      <c r="D2937" s="69">
        <v>31152043889</v>
      </c>
      <c r="E2937" s="9">
        <v>1128</v>
      </c>
      <c r="F2937" s="25">
        <v>42972</v>
      </c>
      <c r="G2937" s="70" t="s">
        <v>3356</v>
      </c>
      <c r="H2937" s="25">
        <v>42979</v>
      </c>
      <c r="I2937" s="8"/>
      <c r="J2937" s="8"/>
      <c r="K2937" s="8"/>
      <c r="L2937" s="8"/>
      <c r="M2937" s="8"/>
    </row>
    <row r="2938" spans="1:13">
      <c r="A2938" s="71" t="s">
        <v>7497</v>
      </c>
      <c r="B2938" s="67">
        <v>33608896813</v>
      </c>
      <c r="C2938" s="72"/>
      <c r="D2938" s="69"/>
      <c r="E2938" s="9">
        <v>292</v>
      </c>
      <c r="F2938" s="25">
        <v>43168</v>
      </c>
      <c r="G2938" s="70" t="s">
        <v>3356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9" t="s">
        <v>7498</v>
      </c>
      <c r="B2939" s="80">
        <v>35805723859</v>
      </c>
      <c r="C2939" s="81" t="s">
        <v>7499</v>
      </c>
      <c r="D2939" s="82">
        <v>12726161855</v>
      </c>
      <c r="E2939" s="47">
        <v>1824</v>
      </c>
      <c r="F2939" s="48">
        <v>43091</v>
      </c>
      <c r="G2939" s="83" t="s">
        <v>3362</v>
      </c>
      <c r="H2939" s="48">
        <v>43097</v>
      </c>
      <c r="I2939" s="49"/>
      <c r="J2939" s="49"/>
      <c r="K2939" s="49"/>
      <c r="L2939" s="9">
        <v>1828</v>
      </c>
      <c r="M2939" s="49"/>
    </row>
    <row r="2940" spans="1:13">
      <c r="A2940" s="14" t="s">
        <v>7500</v>
      </c>
      <c r="B2940" s="67">
        <v>53387955820</v>
      </c>
      <c r="C2940" s="72"/>
      <c r="D2940" s="69"/>
      <c r="E2940" s="9">
        <v>262</v>
      </c>
      <c r="F2940" s="25">
        <v>43160</v>
      </c>
      <c r="G2940" s="70" t="s">
        <v>3356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7501</v>
      </c>
      <c r="B2941" s="67">
        <v>7358002431</v>
      </c>
      <c r="C2941" s="72" t="s">
        <v>7502</v>
      </c>
      <c r="D2941" s="69">
        <v>11491307684</v>
      </c>
      <c r="E2941" s="9"/>
      <c r="F2941" s="25"/>
      <c r="G2941" s="70"/>
      <c r="H2941" s="9"/>
      <c r="I2941" s="8"/>
      <c r="J2941" s="8"/>
      <c r="K2941" s="8"/>
      <c r="L2941" s="8"/>
      <c r="M2941" s="8"/>
    </row>
    <row r="2942" spans="1:13">
      <c r="A2942" s="71" t="s">
        <v>7503</v>
      </c>
      <c r="B2942" s="67">
        <v>23154529888</v>
      </c>
      <c r="C2942" s="72"/>
      <c r="D2942" s="69"/>
      <c r="E2942" s="9">
        <v>1106</v>
      </c>
      <c r="F2942" s="25">
        <v>42965</v>
      </c>
      <c r="G2942" s="70" t="s">
        <v>3356</v>
      </c>
      <c r="H2942" s="25">
        <v>42978</v>
      </c>
      <c r="I2942" s="8"/>
      <c r="J2942" s="8"/>
      <c r="K2942" s="8"/>
      <c r="L2942" s="8"/>
      <c r="M2942" s="8"/>
    </row>
    <row r="2943" spans="1:13">
      <c r="A2943" s="71" t="s">
        <v>7504</v>
      </c>
      <c r="B2943" s="67">
        <v>43354497807</v>
      </c>
      <c r="C2943" s="72" t="s">
        <v>7505</v>
      </c>
      <c r="D2943" s="69">
        <v>40802896855</v>
      </c>
      <c r="E2943" s="9">
        <v>1214</v>
      </c>
      <c r="F2943" s="25">
        <v>42989</v>
      </c>
      <c r="G2943" s="70" t="s">
        <v>3356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7506</v>
      </c>
      <c r="B2944" s="67">
        <v>43586522800</v>
      </c>
      <c r="C2944" s="68" t="s">
        <v>7507</v>
      </c>
      <c r="D2944" s="69">
        <v>43586522800</v>
      </c>
      <c r="E2944" s="9">
        <v>1128</v>
      </c>
      <c r="F2944" s="25">
        <v>42972</v>
      </c>
      <c r="G2944" s="70" t="s">
        <v>3356</v>
      </c>
      <c r="H2944" s="25">
        <v>42979</v>
      </c>
      <c r="I2944" s="8"/>
      <c r="J2944" s="8"/>
      <c r="K2944" s="8"/>
      <c r="L2944" s="8"/>
      <c r="M2944" s="8"/>
    </row>
    <row r="2945" spans="1:13">
      <c r="A2945" s="71" t="s">
        <v>7508</v>
      </c>
      <c r="B2945" s="67">
        <v>17447067865</v>
      </c>
      <c r="C2945" s="72" t="s">
        <v>7509</v>
      </c>
      <c r="D2945" s="69">
        <v>34629773851</v>
      </c>
      <c r="E2945" s="9">
        <v>443</v>
      </c>
      <c r="F2945" s="25">
        <v>43188</v>
      </c>
      <c r="G2945" s="70"/>
      <c r="H2945" s="25">
        <v>43192</v>
      </c>
      <c r="I2945" s="8"/>
      <c r="J2945" s="8"/>
      <c r="K2945" s="8"/>
      <c r="L2945" s="8"/>
      <c r="M2945" s="8"/>
    </row>
    <row r="2946" spans="1:13">
      <c r="A2946" s="71" t="s">
        <v>7510</v>
      </c>
      <c r="B2946" s="67">
        <v>3568560542</v>
      </c>
      <c r="C2946" s="72" t="s">
        <v>7511</v>
      </c>
      <c r="D2946" s="69">
        <v>4078587500</v>
      </c>
      <c r="E2946" s="9">
        <v>1106</v>
      </c>
      <c r="F2946" s="25">
        <v>42965</v>
      </c>
      <c r="G2946" s="70" t="s">
        <v>3356</v>
      </c>
      <c r="H2946" s="25">
        <v>42978</v>
      </c>
      <c r="I2946" s="8"/>
      <c r="J2946" s="8"/>
      <c r="K2946" s="8"/>
      <c r="L2946" s="8"/>
      <c r="M2946" s="8"/>
    </row>
    <row r="2947" spans="1:13">
      <c r="A2947" s="71" t="s">
        <v>7512</v>
      </c>
      <c r="B2947" s="67">
        <v>12729952837</v>
      </c>
      <c r="C2947" s="73"/>
      <c r="D2947" s="69"/>
      <c r="E2947" s="9">
        <v>573</v>
      </c>
      <c r="F2947" s="25">
        <v>43224</v>
      </c>
      <c r="G2947" s="70"/>
      <c r="H2947" s="9"/>
      <c r="I2947" s="8"/>
      <c r="J2947" s="8"/>
      <c r="K2947" s="8"/>
      <c r="L2947" s="8"/>
      <c r="M2947" s="8"/>
    </row>
    <row r="2948" spans="1:13">
      <c r="A2948" s="14" t="s">
        <v>7513</v>
      </c>
      <c r="B2948" s="67">
        <v>29122711856</v>
      </c>
      <c r="C2948" s="72"/>
      <c r="D2948" s="69"/>
      <c r="E2948" s="9">
        <v>527</v>
      </c>
      <c r="F2948" s="25">
        <v>43210</v>
      </c>
      <c r="G2948" s="70"/>
      <c r="H2948" s="9"/>
      <c r="I2948" s="8"/>
      <c r="J2948" s="8"/>
      <c r="K2948" s="8"/>
      <c r="L2948" s="9">
        <v>528</v>
      </c>
      <c r="M2948" s="8"/>
    </row>
    <row r="2949" spans="1:13">
      <c r="A2949" s="71" t="s">
        <v>7514</v>
      </c>
      <c r="B2949" s="67">
        <v>17621509805</v>
      </c>
      <c r="C2949" s="72"/>
      <c r="D2949" s="69"/>
      <c r="E2949" s="9">
        <v>117</v>
      </c>
      <c r="F2949" s="25">
        <v>43117</v>
      </c>
      <c r="G2949" s="70"/>
      <c r="H2949" s="25">
        <v>43151</v>
      </c>
      <c r="I2949" s="8"/>
      <c r="J2949" s="8"/>
      <c r="K2949" s="8"/>
      <c r="L2949" s="9" t="s">
        <v>3507</v>
      </c>
      <c r="M2949" s="8"/>
    </row>
    <row r="2950" spans="1:13">
      <c r="A2950" s="71" t="s">
        <v>7515</v>
      </c>
      <c r="B2950" s="67">
        <v>42008783804</v>
      </c>
      <c r="C2950" s="72"/>
      <c r="D2950" s="69"/>
      <c r="E2950" s="9">
        <v>1214</v>
      </c>
      <c r="F2950" s="25">
        <v>42989</v>
      </c>
      <c r="G2950" s="70" t="s">
        <v>3356</v>
      </c>
      <c r="H2950" s="25">
        <v>43000</v>
      </c>
      <c r="I2950" s="8"/>
      <c r="J2950" s="8"/>
      <c r="K2950" s="8"/>
      <c r="L2950" s="8"/>
      <c r="M2950" s="8"/>
    </row>
    <row r="2951" spans="1:13">
      <c r="A2951" s="71" t="s">
        <v>7516</v>
      </c>
      <c r="B2951" s="67">
        <v>28666465840</v>
      </c>
      <c r="C2951" s="72"/>
      <c r="D2951" s="69"/>
      <c r="E2951" s="9">
        <v>1106</v>
      </c>
      <c r="F2951" s="25">
        <v>42965</v>
      </c>
      <c r="G2951" s="70" t="s">
        <v>3356</v>
      </c>
      <c r="H2951" s="25">
        <v>42978</v>
      </c>
      <c r="I2951" s="8"/>
      <c r="J2951" s="8"/>
      <c r="K2951" s="8"/>
      <c r="L2951" s="8"/>
      <c r="M2951" s="8"/>
    </row>
    <row r="2952" spans="1:13">
      <c r="A2952" s="29" t="s">
        <v>7517</v>
      </c>
      <c r="B2952" s="67"/>
      <c r="C2952" s="29" t="s">
        <v>7518</v>
      </c>
      <c r="D2952" s="69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7519</v>
      </c>
      <c r="B2953" s="67">
        <v>1326462857</v>
      </c>
      <c r="C2953" s="72" t="s">
        <v>7520</v>
      </c>
      <c r="D2953" s="69">
        <v>4906141838</v>
      </c>
      <c r="E2953" s="9">
        <v>229</v>
      </c>
      <c r="F2953" s="25">
        <v>43151</v>
      </c>
      <c r="G2953" s="70" t="s">
        <v>3356</v>
      </c>
      <c r="H2953" s="9"/>
      <c r="I2953" s="8"/>
      <c r="J2953" s="8"/>
      <c r="K2953" s="8"/>
      <c r="L2953" s="9">
        <v>232</v>
      </c>
      <c r="M2953" s="8"/>
    </row>
    <row r="2954" spans="1:13">
      <c r="A2954" s="29" t="s">
        <v>7521</v>
      </c>
      <c r="B2954" s="67">
        <v>7722903428</v>
      </c>
      <c r="C2954" s="29" t="s">
        <v>7522</v>
      </c>
      <c r="D2954" s="69">
        <v>4796211527</v>
      </c>
      <c r="E2954" s="9"/>
      <c r="F2954" s="25"/>
      <c r="G2954" s="70"/>
      <c r="H2954" s="9"/>
      <c r="I2954" s="8"/>
      <c r="J2954" s="8"/>
      <c r="K2954" s="8"/>
      <c r="L2954" s="8"/>
      <c r="M2954" s="8"/>
    </row>
    <row r="2955" spans="1:13">
      <c r="A2955" s="71" t="s">
        <v>7523</v>
      </c>
      <c r="B2955" s="67">
        <v>13239796899</v>
      </c>
      <c r="C2955" s="72"/>
      <c r="D2955" s="69"/>
      <c r="E2955" s="9"/>
      <c r="F2955" s="25"/>
      <c r="G2955" s="70"/>
      <c r="H2955" s="9"/>
      <c r="I2955" s="8"/>
      <c r="J2955" s="8"/>
      <c r="K2955" s="8"/>
      <c r="L2955" s="8"/>
      <c r="M2955" s="8"/>
    </row>
    <row r="2956" spans="1:13">
      <c r="A2956" s="71" t="s">
        <v>7524</v>
      </c>
      <c r="B2956" s="67">
        <v>37794411874</v>
      </c>
      <c r="C2956" s="72" t="s">
        <v>7525</v>
      </c>
      <c r="D2956" s="69">
        <v>13827421420</v>
      </c>
      <c r="E2956" s="9">
        <v>262</v>
      </c>
      <c r="F2956" s="25">
        <v>43160</v>
      </c>
      <c r="G2956" s="70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7526</v>
      </c>
      <c r="B2957" s="67">
        <v>15796080865</v>
      </c>
      <c r="C2957" s="72"/>
      <c r="D2957" s="69"/>
      <c r="E2957" s="9"/>
      <c r="F2957" s="25"/>
      <c r="G2957" s="70"/>
      <c r="H2957" s="9"/>
      <c r="I2957" s="8"/>
      <c r="J2957" s="8"/>
      <c r="K2957" s="8"/>
      <c r="L2957" s="8"/>
      <c r="M2957" s="8"/>
    </row>
    <row r="2958" spans="1:13">
      <c r="A2958" s="71" t="s">
        <v>7527</v>
      </c>
      <c r="B2958" s="67">
        <v>34093287856</v>
      </c>
      <c r="C2958" s="68" t="s">
        <v>7528</v>
      </c>
      <c r="D2958" s="69">
        <v>1517221536</v>
      </c>
      <c r="E2958" s="9">
        <v>1489</v>
      </c>
      <c r="F2958" s="25"/>
      <c r="G2958" s="70" t="s">
        <v>3356</v>
      </c>
      <c r="H2958" s="9"/>
      <c r="I2958" s="8"/>
      <c r="J2958" s="8"/>
      <c r="K2958" s="8"/>
      <c r="L2958" s="9" t="s">
        <v>3497</v>
      </c>
      <c r="M2958" s="8"/>
    </row>
    <row r="2959" spans="1:13">
      <c r="A2959" s="71" t="s">
        <v>7529</v>
      </c>
      <c r="B2959" s="67">
        <v>29289559845</v>
      </c>
      <c r="C2959" s="72" t="s">
        <v>7530</v>
      </c>
      <c r="D2959" s="69">
        <v>25585724827</v>
      </c>
      <c r="E2959" s="9">
        <v>1752</v>
      </c>
      <c r="F2959" s="25">
        <v>43051</v>
      </c>
      <c r="G2959" s="70" t="s">
        <v>3356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9" t="s">
        <v>7531</v>
      </c>
      <c r="B2960" s="67"/>
      <c r="C2960" s="29" t="s">
        <v>7532</v>
      </c>
      <c r="D2960" s="69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7533</v>
      </c>
      <c r="B2961" s="67">
        <v>17804578806</v>
      </c>
      <c r="C2961" s="72"/>
      <c r="D2961" s="69"/>
      <c r="E2961" s="9"/>
      <c r="F2961" s="25"/>
      <c r="G2961" s="70"/>
      <c r="H2961" s="9"/>
      <c r="I2961" s="8"/>
      <c r="J2961" s="8"/>
      <c r="K2961" s="8"/>
      <c r="L2961" s="8"/>
      <c r="M2961" s="8"/>
    </row>
    <row r="2962" spans="1:13">
      <c r="A2962" s="18" t="s">
        <v>7534</v>
      </c>
      <c r="B2962" s="67">
        <v>8625208860</v>
      </c>
      <c r="C2962" s="18"/>
      <c r="D2962" s="69"/>
      <c r="E2962" s="9"/>
      <c r="F2962" s="25"/>
      <c r="G2962" s="70"/>
      <c r="H2962" s="9"/>
      <c r="I2962" s="8"/>
      <c r="J2962" s="8"/>
      <c r="K2962" s="8"/>
      <c r="L2962" s="8"/>
      <c r="M2962" s="8"/>
    </row>
    <row r="2963" spans="1:13">
      <c r="A2963" s="71" t="s">
        <v>7535</v>
      </c>
      <c r="B2963" s="67">
        <v>14757050852</v>
      </c>
      <c r="C2963" s="72"/>
      <c r="D2963" s="69"/>
      <c r="E2963" s="9">
        <v>485</v>
      </c>
      <c r="F2963" s="25">
        <v>43196</v>
      </c>
      <c r="G2963" s="70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72" t="s">
        <v>7536</v>
      </c>
      <c r="B2964" s="67">
        <v>24724589833</v>
      </c>
      <c r="C2964" s="72"/>
      <c r="D2964" s="69"/>
      <c r="E2964" s="9"/>
      <c r="F2964" s="25"/>
      <c r="G2964" s="70"/>
      <c r="H2964" s="9"/>
      <c r="I2964" s="8"/>
      <c r="J2964" s="8"/>
      <c r="K2964" s="8"/>
      <c r="L2964" s="8"/>
      <c r="M2964" s="8"/>
    </row>
    <row r="2965" spans="1:13">
      <c r="A2965" s="14" t="s">
        <v>7537</v>
      </c>
      <c r="B2965" s="67">
        <v>29226299889</v>
      </c>
      <c r="C2965" s="72"/>
      <c r="D2965" s="69"/>
      <c r="E2965" s="9">
        <v>262</v>
      </c>
      <c r="F2965" s="25">
        <v>43160</v>
      </c>
      <c r="G2965" s="70" t="s">
        <v>3356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7538</v>
      </c>
      <c r="B2966" s="67">
        <v>32368859802</v>
      </c>
      <c r="C2966" s="68" t="s">
        <v>7539</v>
      </c>
      <c r="D2966" s="69">
        <v>28517056876</v>
      </c>
      <c r="E2966" s="9">
        <v>1343</v>
      </c>
      <c r="F2966" s="25">
        <v>43004</v>
      </c>
      <c r="G2966" s="70" t="s">
        <v>3356</v>
      </c>
      <c r="H2966" s="25">
        <v>43011</v>
      </c>
      <c r="I2966" s="8"/>
      <c r="J2966" s="8"/>
      <c r="K2966" s="8"/>
      <c r="L2966" s="8"/>
      <c r="M2966" s="8"/>
    </row>
    <row r="2967" spans="1:13">
      <c r="A2967" s="72" t="s">
        <v>7540</v>
      </c>
      <c r="B2967" s="67">
        <v>35104711803</v>
      </c>
      <c r="C2967" s="72" t="s">
        <v>7541</v>
      </c>
      <c r="D2967" s="69">
        <v>34881906844</v>
      </c>
      <c r="E2967" s="9">
        <v>292</v>
      </c>
      <c r="F2967" s="25">
        <v>43168</v>
      </c>
      <c r="G2967" s="9" t="s">
        <v>3356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9" t="s">
        <v>7542</v>
      </c>
      <c r="B2968" s="67">
        <v>23093033802</v>
      </c>
      <c r="C2968" s="29" t="s">
        <v>7543</v>
      </c>
      <c r="D2968" s="69">
        <v>23828837824</v>
      </c>
      <c r="E2968" s="9"/>
      <c r="F2968" s="25"/>
      <c r="G2968" s="70"/>
      <c r="H2968" s="9"/>
      <c r="I2968" s="8"/>
      <c r="J2968" s="8"/>
      <c r="K2968" s="8"/>
      <c r="L2968" s="8"/>
      <c r="M2968" s="8"/>
    </row>
    <row r="2969" spans="1:13">
      <c r="A2969" s="73" t="s">
        <v>7544</v>
      </c>
      <c r="B2969" s="67">
        <v>92605494420</v>
      </c>
      <c r="C2969" s="72" t="s">
        <v>7545</v>
      </c>
      <c r="D2969" s="69">
        <v>37622834866</v>
      </c>
      <c r="E2969" s="9">
        <v>608</v>
      </c>
      <c r="F2969" s="25">
        <v>43012</v>
      </c>
      <c r="G2969" s="70" t="s">
        <v>3356</v>
      </c>
      <c r="H2969" s="25">
        <v>43024</v>
      </c>
      <c r="I2969" s="8"/>
      <c r="J2969" s="8"/>
      <c r="K2969" s="8"/>
      <c r="L2969" s="8"/>
      <c r="M2969" s="8"/>
    </row>
    <row r="2970" spans="1:13">
      <c r="A2970" s="71" t="s">
        <v>7546</v>
      </c>
      <c r="B2970" s="67">
        <v>27646989843</v>
      </c>
      <c r="C2970" s="72" t="s">
        <v>7547</v>
      </c>
      <c r="D2970" s="69">
        <v>269739793</v>
      </c>
      <c r="E2970" s="9"/>
      <c r="F2970" s="25"/>
      <c r="G2970" s="70"/>
      <c r="H2970" s="9"/>
      <c r="I2970" s="8"/>
      <c r="J2970" s="8"/>
      <c r="K2970" s="8"/>
      <c r="L2970" s="8"/>
      <c r="M2970" s="8"/>
    </row>
    <row r="2971" spans="1:13">
      <c r="A2971" s="71" t="s">
        <v>7548</v>
      </c>
      <c r="B2971" s="67">
        <v>33572449855</v>
      </c>
      <c r="C2971" s="72"/>
      <c r="D2971" s="69"/>
      <c r="E2971" s="9">
        <v>292</v>
      </c>
      <c r="F2971" s="25">
        <v>43168</v>
      </c>
      <c r="G2971" s="70" t="s">
        <v>3356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9" t="s">
        <v>7549</v>
      </c>
      <c r="B2972" s="67">
        <v>29312608860</v>
      </c>
      <c r="C2972" s="29" t="s">
        <v>7550</v>
      </c>
      <c r="D2972" s="69">
        <v>42189748372</v>
      </c>
      <c r="E2972" s="9"/>
      <c r="F2972" s="25"/>
      <c r="G2972" s="70"/>
      <c r="H2972" s="9"/>
      <c r="I2972" s="8"/>
      <c r="J2972" s="8"/>
      <c r="K2972" s="8"/>
      <c r="L2972" s="8"/>
      <c r="M2972" s="8"/>
    </row>
    <row r="2973" spans="1:13">
      <c r="A2973" s="29" t="s">
        <v>7551</v>
      </c>
      <c r="B2973" s="67"/>
      <c r="C2973" s="29" t="s">
        <v>7552</v>
      </c>
      <c r="D2973" s="69"/>
      <c r="E2973" s="9"/>
      <c r="F2973" s="25"/>
      <c r="G2973" s="70"/>
      <c r="H2973" s="9"/>
      <c r="I2973" s="8"/>
      <c r="J2973" s="8"/>
      <c r="K2973" s="8"/>
      <c r="L2973" s="8"/>
      <c r="M2973" s="8"/>
    </row>
    <row r="2974" spans="1:13">
      <c r="A2974" s="71" t="s">
        <v>7553</v>
      </c>
      <c r="B2974" s="67">
        <v>73427489434</v>
      </c>
      <c r="C2974" s="72"/>
      <c r="D2974" s="69"/>
      <c r="E2974" s="9">
        <v>1824</v>
      </c>
      <c r="F2974" s="25">
        <v>43091</v>
      </c>
      <c r="G2974" s="70" t="s">
        <v>3356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71" t="s">
        <v>7554</v>
      </c>
      <c r="B2975" s="67">
        <v>42291334808</v>
      </c>
      <c r="C2975" s="72"/>
      <c r="D2975" s="69"/>
      <c r="E2975" s="9"/>
      <c r="F2975" s="25"/>
      <c r="G2975" s="70"/>
      <c r="H2975" s="9"/>
      <c r="I2975" s="8"/>
      <c r="J2975" s="8"/>
      <c r="K2975" s="8"/>
      <c r="L2975" s="8"/>
      <c r="M2975" s="8"/>
    </row>
    <row r="2976" spans="1:13">
      <c r="A2976" s="15" t="s">
        <v>7555</v>
      </c>
      <c r="B2976" s="67">
        <v>42448150826</v>
      </c>
      <c r="C2976" s="72"/>
      <c r="D2976" s="69"/>
      <c r="E2976" s="9"/>
      <c r="F2976" s="25"/>
      <c r="G2976" s="70"/>
      <c r="H2976" s="9"/>
      <c r="I2976" s="8"/>
      <c r="J2976" s="8"/>
      <c r="K2976" s="8"/>
      <c r="L2976" s="8"/>
      <c r="M2976" s="8"/>
    </row>
    <row r="2977" spans="1:13">
      <c r="A2977" s="71" t="s">
        <v>7556</v>
      </c>
      <c r="B2977" s="67">
        <v>26129970838</v>
      </c>
      <c r="C2977" s="77"/>
      <c r="D2977" s="69"/>
      <c r="E2977" s="9"/>
      <c r="F2977" s="25"/>
      <c r="G2977" s="70"/>
      <c r="H2977" s="9"/>
      <c r="I2977" s="8"/>
      <c r="J2977" s="8"/>
      <c r="K2977" s="8"/>
      <c r="L2977" s="8"/>
      <c r="M2977" s="8"/>
    </row>
    <row r="2978" spans="1:13">
      <c r="A2978" s="71" t="s">
        <v>7557</v>
      </c>
      <c r="B2978" s="67">
        <v>13345290510</v>
      </c>
      <c r="C2978" s="77"/>
      <c r="D2978" s="69"/>
      <c r="E2978" s="9"/>
      <c r="F2978" s="25"/>
      <c r="G2978" s="70"/>
      <c r="H2978" s="9"/>
      <c r="I2978" s="8"/>
      <c r="J2978" s="8"/>
      <c r="K2978" s="8"/>
      <c r="L2978" s="8"/>
      <c r="M2978" s="8"/>
    </row>
    <row r="2979" spans="1:13">
      <c r="A2979" s="71" t="s">
        <v>7558</v>
      </c>
      <c r="B2979" s="67">
        <v>17486829894</v>
      </c>
      <c r="C2979" s="72"/>
      <c r="D2979" s="69"/>
      <c r="E2979" s="9"/>
      <c r="F2979" s="25"/>
      <c r="G2979" s="70"/>
      <c r="H2979" s="9"/>
      <c r="I2979" s="8"/>
      <c r="J2979" s="8"/>
      <c r="K2979" s="8"/>
      <c r="L2979" s="8"/>
      <c r="M2979" s="8"/>
    </row>
    <row r="2980" spans="1:13">
      <c r="A2980" s="71" t="s">
        <v>7559</v>
      </c>
      <c r="B2980" s="67">
        <v>47917531864</v>
      </c>
      <c r="C2980" s="72"/>
      <c r="D2980" s="69"/>
      <c r="E2980" s="9">
        <v>292</v>
      </c>
      <c r="F2980" s="25">
        <v>43168</v>
      </c>
      <c r="G2980" s="70" t="s">
        <v>3356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71" t="s">
        <v>7560</v>
      </c>
      <c r="B2981" s="67">
        <v>28905805809</v>
      </c>
      <c r="C2981" s="72"/>
      <c r="D2981" s="69"/>
      <c r="E2981" s="9">
        <v>292</v>
      </c>
      <c r="F2981" s="25">
        <v>43168</v>
      </c>
      <c r="G2981" s="9" t="s">
        <v>3356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7561</v>
      </c>
      <c r="B2982" s="67">
        <v>13562151810</v>
      </c>
      <c r="C2982" s="72" t="s">
        <v>7562</v>
      </c>
      <c r="D2982" s="69">
        <v>47393076772</v>
      </c>
      <c r="E2982" s="9">
        <v>292</v>
      </c>
      <c r="F2982" s="25">
        <v>43168</v>
      </c>
      <c r="G2982" s="70" t="s">
        <v>3362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7563</v>
      </c>
      <c r="B2983" s="67">
        <v>10488541832</v>
      </c>
      <c r="C2983" s="72" t="s">
        <v>7564</v>
      </c>
      <c r="D2983" s="69">
        <v>8437233860</v>
      </c>
      <c r="E2983" s="9">
        <v>229</v>
      </c>
      <c r="F2983" s="25">
        <v>43151</v>
      </c>
      <c r="G2983" s="70" t="s">
        <v>3356</v>
      </c>
      <c r="H2983" s="9"/>
      <c r="I2983" s="8"/>
      <c r="J2983" s="8"/>
      <c r="K2983" s="8"/>
      <c r="L2983" s="9">
        <v>232</v>
      </c>
      <c r="M2983" s="8"/>
    </row>
    <row r="2984" spans="1:13">
      <c r="A2984" s="29" t="s">
        <v>7565</v>
      </c>
      <c r="B2984" s="67">
        <v>52291168894</v>
      </c>
      <c r="C2984" s="29" t="s">
        <v>3466</v>
      </c>
      <c r="D2984" s="69"/>
      <c r="E2984" s="9"/>
      <c r="F2984" s="25"/>
      <c r="G2984" s="70"/>
      <c r="H2984" s="9"/>
      <c r="I2984" s="8"/>
      <c r="J2984" s="8"/>
      <c r="K2984" s="8"/>
      <c r="L2984" s="8"/>
      <c r="M2984" s="8"/>
    </row>
    <row r="2985" spans="1:13">
      <c r="A2985" s="71" t="s">
        <v>7566</v>
      </c>
      <c r="B2985" s="67">
        <v>32455945855</v>
      </c>
      <c r="C2985" s="77" t="s">
        <v>7567</v>
      </c>
      <c r="D2985" s="69">
        <v>27999500860</v>
      </c>
      <c r="E2985" s="9"/>
      <c r="F2985" s="25"/>
      <c r="G2985" s="70"/>
      <c r="H2985" s="9"/>
      <c r="I2985" s="8"/>
      <c r="J2985" s="8"/>
      <c r="K2985" s="8"/>
      <c r="L2985" s="8"/>
      <c r="M2985" s="8"/>
    </row>
    <row r="2986" spans="1:13">
      <c r="A2986" s="71" t="s">
        <v>7568</v>
      </c>
      <c r="B2986" s="67">
        <v>7127228663</v>
      </c>
      <c r="C2986" s="72" t="s">
        <v>7569</v>
      </c>
      <c r="D2986" s="69">
        <v>18053058833</v>
      </c>
      <c r="E2986" s="9">
        <v>1628</v>
      </c>
      <c r="F2986" s="25">
        <v>43077</v>
      </c>
      <c r="G2986" s="70" t="s">
        <v>3356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7570</v>
      </c>
      <c r="B2987" s="67">
        <v>37583850835</v>
      </c>
      <c r="C2987" s="72"/>
      <c r="D2987" s="69"/>
      <c r="E2987" s="9">
        <v>262</v>
      </c>
      <c r="F2987" s="25">
        <v>43160</v>
      </c>
      <c r="G2987" s="70" t="s">
        <v>3356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71" t="s">
        <v>7571</v>
      </c>
      <c r="B2988" s="67">
        <v>32318059888</v>
      </c>
      <c r="C2988" s="68" t="s">
        <v>7572</v>
      </c>
      <c r="D2988" s="69">
        <v>38564888807</v>
      </c>
      <c r="E2988" s="9">
        <v>1128</v>
      </c>
      <c r="F2988" s="25">
        <v>42972</v>
      </c>
      <c r="G2988" s="70" t="s">
        <v>3356</v>
      </c>
      <c r="H2988" s="25">
        <v>42979</v>
      </c>
      <c r="I2988" s="8"/>
      <c r="J2988" s="8"/>
      <c r="K2988" s="8"/>
      <c r="L2988" s="8"/>
      <c r="M2988" s="8"/>
    </row>
    <row r="2989" spans="1:13">
      <c r="A2989" s="71" t="s">
        <v>7573</v>
      </c>
      <c r="B2989" s="67">
        <v>37055826829</v>
      </c>
      <c r="C2989" s="68"/>
      <c r="D2989" s="69"/>
      <c r="E2989" s="9"/>
      <c r="F2989" s="25"/>
      <c r="G2989" s="70"/>
      <c r="H2989" s="9"/>
      <c r="I2989" s="8"/>
      <c r="J2989" s="8"/>
      <c r="K2989" s="8"/>
      <c r="L2989" s="8"/>
      <c r="M2989" s="8"/>
    </row>
    <row r="2990" spans="1:13">
      <c r="A2990" s="15" t="s">
        <v>7574</v>
      </c>
      <c r="B2990" s="67">
        <v>35005474862</v>
      </c>
      <c r="C2990" s="72"/>
      <c r="D2990" s="69"/>
      <c r="E2990" s="9">
        <v>229</v>
      </c>
      <c r="F2990" s="25">
        <v>43151</v>
      </c>
      <c r="G2990" s="70" t="s">
        <v>3356</v>
      </c>
      <c r="H2990" s="9"/>
      <c r="I2990" s="8"/>
      <c r="J2990" s="8"/>
      <c r="K2990" s="8"/>
      <c r="L2990" s="9">
        <v>232</v>
      </c>
      <c r="M2990" s="8"/>
    </row>
    <row r="2991" spans="1:13">
      <c r="A2991" s="71" t="s">
        <v>7575</v>
      </c>
      <c r="B2991" s="67">
        <v>35043932899</v>
      </c>
      <c r="C2991" s="72"/>
      <c r="D2991" s="69"/>
      <c r="E2991" s="9">
        <v>1241</v>
      </c>
      <c r="F2991" s="25">
        <v>42992</v>
      </c>
      <c r="G2991" s="70" t="s">
        <v>3356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7576</v>
      </c>
      <c r="B2992" s="67">
        <v>37915656805</v>
      </c>
      <c r="C2992" s="72"/>
      <c r="D2992" s="69"/>
      <c r="E2992" s="9">
        <v>1350</v>
      </c>
      <c r="F2992" s="25">
        <v>43006</v>
      </c>
      <c r="G2992" s="70" t="s">
        <v>3356</v>
      </c>
      <c r="H2992" s="25">
        <v>43011</v>
      </c>
      <c r="I2992" s="8"/>
      <c r="J2992" s="8"/>
      <c r="K2992" s="8"/>
      <c r="L2992" s="8"/>
      <c r="M2992" s="8"/>
    </row>
    <row r="2993" spans="1:13">
      <c r="A2993" s="72" t="s">
        <v>7577</v>
      </c>
      <c r="B2993" s="67">
        <v>45255799866</v>
      </c>
      <c r="C2993" s="72" t="s">
        <v>7578</v>
      </c>
      <c r="D2993" s="69">
        <v>41679681850</v>
      </c>
      <c r="E2993" s="9"/>
      <c r="F2993" s="25"/>
      <c r="G2993" s="70"/>
      <c r="H2993" s="9"/>
      <c r="I2993" s="8"/>
      <c r="J2993" s="8"/>
      <c r="K2993" s="8"/>
      <c r="L2993" s="8"/>
      <c r="M2993" s="8"/>
    </row>
    <row r="2994" spans="1:13">
      <c r="A2994" s="71" t="s">
        <v>7579</v>
      </c>
      <c r="B2994" s="67">
        <v>31808398807</v>
      </c>
      <c r="C2994" s="72"/>
      <c r="D2994" s="69"/>
      <c r="E2994" s="9">
        <v>1824</v>
      </c>
      <c r="F2994" s="25">
        <v>43091</v>
      </c>
      <c r="G2994" s="70" t="s">
        <v>3356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72" t="s">
        <v>7580</v>
      </c>
      <c r="B2995" s="67">
        <v>37570860829</v>
      </c>
      <c r="C2995" s="72" t="s">
        <v>7581</v>
      </c>
      <c r="D2995" s="69">
        <v>19529409826</v>
      </c>
      <c r="E2995" s="9">
        <v>292</v>
      </c>
      <c r="F2995" s="25">
        <v>43168</v>
      </c>
      <c r="G2995" s="70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7582</v>
      </c>
      <c r="B2996" s="67">
        <v>22340616875</v>
      </c>
      <c r="C2996" s="68"/>
      <c r="D2996" s="69"/>
      <c r="E2996" s="9">
        <v>1128</v>
      </c>
      <c r="F2996" s="25">
        <v>42972</v>
      </c>
      <c r="G2996" s="70" t="s">
        <v>3356</v>
      </c>
      <c r="H2996" s="25">
        <v>42979</v>
      </c>
      <c r="I2996" s="8"/>
      <c r="J2996" s="8"/>
      <c r="K2996" s="8"/>
      <c r="L2996" s="8"/>
      <c r="M2996" s="8"/>
    </row>
    <row r="2997" spans="1:13">
      <c r="A2997" s="71" t="s">
        <v>7583</v>
      </c>
      <c r="B2997" s="67">
        <v>41397558814</v>
      </c>
      <c r="C2997" s="72"/>
      <c r="D2997" s="69"/>
      <c r="E2997" s="9"/>
      <c r="F2997" s="25"/>
      <c r="G2997" s="70"/>
      <c r="H2997" s="9"/>
      <c r="I2997" s="8"/>
      <c r="J2997" s="8"/>
      <c r="K2997" s="8"/>
      <c r="L2997" s="8"/>
      <c r="M2997" s="8"/>
    </row>
    <row r="2998" spans="1:13">
      <c r="A2998" s="18" t="s">
        <v>7584</v>
      </c>
      <c r="B2998" s="67">
        <v>25712620847</v>
      </c>
      <c r="C2998" s="18" t="s">
        <v>7585</v>
      </c>
      <c r="D2998" s="69">
        <v>11577952855</v>
      </c>
      <c r="E2998" s="9"/>
      <c r="F2998" s="25"/>
      <c r="G2998" s="70"/>
      <c r="H2998" s="9"/>
      <c r="I2998" s="8"/>
      <c r="J2998" s="8"/>
      <c r="K2998" s="8"/>
      <c r="L2998" s="8"/>
      <c r="M2998" s="8"/>
    </row>
    <row r="2999" spans="1:13">
      <c r="A2999" s="71" t="s">
        <v>7586</v>
      </c>
      <c r="B2999" s="67">
        <v>36200448809</v>
      </c>
      <c r="C2999" s="77"/>
      <c r="D2999" s="69"/>
      <c r="E2999" s="9">
        <v>563</v>
      </c>
      <c r="F2999" s="25">
        <v>43217</v>
      </c>
      <c r="G2999" s="70"/>
      <c r="H2999" s="25">
        <v>43234</v>
      </c>
      <c r="I2999" s="8"/>
      <c r="J2999" s="8"/>
      <c r="K2999" s="8"/>
      <c r="L2999" s="9" t="s">
        <v>3636</v>
      </c>
      <c r="M2999" s="8"/>
    </row>
    <row r="3000" spans="1:13">
      <c r="A3000" s="72" t="s">
        <v>7587</v>
      </c>
      <c r="B3000" s="67">
        <v>40000949809</v>
      </c>
      <c r="C3000" s="72" t="s">
        <v>7588</v>
      </c>
      <c r="D3000" s="69">
        <v>37870797855</v>
      </c>
      <c r="E3000" s="9">
        <v>563</v>
      </c>
      <c r="F3000" s="25">
        <v>43217</v>
      </c>
      <c r="G3000" s="70"/>
      <c r="H3000" s="25">
        <v>43234</v>
      </c>
      <c r="I3000" s="8"/>
      <c r="J3000" s="8"/>
      <c r="K3000" s="8"/>
      <c r="L3000" s="9" t="s">
        <v>3636</v>
      </c>
      <c r="M3000" s="8"/>
    </row>
    <row r="3001" spans="1:13">
      <c r="A3001" s="71" t="s">
        <v>7589</v>
      </c>
      <c r="B3001" s="67">
        <v>31051889839</v>
      </c>
      <c r="C3001" s="72"/>
      <c r="D3001" s="69"/>
      <c r="E3001" s="9"/>
      <c r="F3001" s="25"/>
      <c r="G3001" s="70"/>
      <c r="H3001" s="9"/>
      <c r="I3001" s="8"/>
      <c r="J3001" s="8"/>
      <c r="K3001" s="8"/>
      <c r="L3001" s="8"/>
      <c r="M3001" s="8"/>
    </row>
    <row r="3002" spans="1:13">
      <c r="A3002" s="71" t="s">
        <v>7590</v>
      </c>
      <c r="B3002" s="67">
        <v>22305123825</v>
      </c>
      <c r="C3002" s="72"/>
      <c r="D3002" s="69"/>
      <c r="E3002" s="9">
        <v>443</v>
      </c>
      <c r="F3002" s="25">
        <v>43188</v>
      </c>
      <c r="G3002" s="70"/>
      <c r="H3002" s="25">
        <v>43192</v>
      </c>
      <c r="I3002" s="8"/>
      <c r="J3002" s="8"/>
      <c r="K3002" s="8"/>
      <c r="L3002" s="8"/>
      <c r="M3002" s="8"/>
    </row>
    <row r="3003" spans="1:13">
      <c r="A3003" s="71" t="s">
        <v>7591</v>
      </c>
      <c r="B3003" s="67">
        <v>25731827893</v>
      </c>
      <c r="C3003" s="72"/>
      <c r="D3003" s="69"/>
      <c r="E3003" s="9"/>
      <c r="F3003" s="25"/>
      <c r="G3003" s="70"/>
      <c r="H3003" s="9"/>
      <c r="I3003" s="8"/>
      <c r="J3003" s="8"/>
      <c r="K3003" s="8"/>
      <c r="L3003" s="8"/>
      <c r="M3003" s="8"/>
    </row>
    <row r="3004" spans="1:13">
      <c r="A3004" s="29" t="s">
        <v>7592</v>
      </c>
      <c r="B3004" s="67"/>
      <c r="C3004" s="29" t="s">
        <v>3466</v>
      </c>
      <c r="D3004" s="69"/>
      <c r="E3004" s="9"/>
      <c r="F3004" s="25"/>
      <c r="G3004" s="70"/>
      <c r="H3004" s="9"/>
      <c r="I3004" s="8"/>
      <c r="J3004" s="8"/>
      <c r="K3004" s="8"/>
      <c r="L3004" s="8"/>
      <c r="M3004" s="8"/>
    </row>
    <row r="3005" spans="1:13">
      <c r="A3005" s="71" t="s">
        <v>7593</v>
      </c>
      <c r="B3005" s="67">
        <v>4804195823</v>
      </c>
      <c r="C3005" s="72"/>
      <c r="D3005" s="69"/>
      <c r="E3005" s="9">
        <v>1752</v>
      </c>
      <c r="F3005" s="25">
        <v>43051</v>
      </c>
      <c r="G3005" s="83" t="s">
        <v>3356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7594</v>
      </c>
      <c r="B3006" s="67">
        <v>20815840500</v>
      </c>
      <c r="C3006" s="72"/>
      <c r="D3006" s="69"/>
      <c r="E3006" s="9"/>
      <c r="F3006" s="25"/>
      <c r="G3006" s="70"/>
      <c r="H3006" s="9"/>
      <c r="I3006" s="8"/>
      <c r="J3006" s="8"/>
      <c r="K3006" s="8"/>
      <c r="L3006" s="8"/>
      <c r="M3006" s="8"/>
    </row>
    <row r="3007" spans="1:13">
      <c r="A3007" s="71" t="s">
        <v>7595</v>
      </c>
      <c r="B3007" s="67">
        <v>13517396893</v>
      </c>
      <c r="C3007" s="72" t="s">
        <v>7596</v>
      </c>
      <c r="D3007" s="69">
        <v>61574252453</v>
      </c>
      <c r="E3007" s="9">
        <v>262</v>
      </c>
      <c r="F3007" s="25">
        <v>43160</v>
      </c>
      <c r="G3007" s="70" t="s">
        <v>3362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71" t="s">
        <v>7597</v>
      </c>
      <c r="B3008" s="67">
        <v>31851990810</v>
      </c>
      <c r="C3008" s="68"/>
      <c r="D3008" s="69"/>
      <c r="E3008" s="9">
        <v>1128</v>
      </c>
      <c r="F3008" s="25">
        <v>42972</v>
      </c>
      <c r="G3008" s="70" t="s">
        <v>3356</v>
      </c>
      <c r="H3008" s="25">
        <v>42979</v>
      </c>
      <c r="I3008" s="8"/>
      <c r="J3008" s="8"/>
      <c r="K3008" s="8"/>
      <c r="L3008" s="8"/>
      <c r="M3008" s="8"/>
    </row>
    <row r="3009" spans="1:13">
      <c r="A3009" s="29" t="s">
        <v>7598</v>
      </c>
      <c r="B3009" s="67"/>
      <c r="C3009" s="29" t="s">
        <v>7599</v>
      </c>
      <c r="D3009" s="69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7600</v>
      </c>
      <c r="B3010" s="67">
        <v>43238179837</v>
      </c>
      <c r="C3010" s="72"/>
      <c r="D3010" s="69"/>
      <c r="E3010" s="9">
        <v>85</v>
      </c>
      <c r="F3010" s="25">
        <v>43109</v>
      </c>
      <c r="G3010" s="70" t="s">
        <v>3356</v>
      </c>
      <c r="H3010" s="25">
        <v>43151</v>
      </c>
      <c r="I3010" s="8"/>
      <c r="J3010" s="8"/>
      <c r="K3010" s="8"/>
      <c r="L3010" s="8"/>
      <c r="M3010" s="8"/>
    </row>
    <row r="3011" spans="1:13">
      <c r="A3011" s="71" t="s">
        <v>7601</v>
      </c>
      <c r="B3011" s="67">
        <v>372312519</v>
      </c>
      <c r="C3011" s="68"/>
      <c r="D3011" s="69"/>
      <c r="E3011" s="9">
        <v>1241</v>
      </c>
      <c r="F3011" s="25">
        <v>42992</v>
      </c>
      <c r="G3011" s="70" t="s">
        <v>3356</v>
      </c>
      <c r="H3011" s="25">
        <v>42998</v>
      </c>
      <c r="I3011" s="8"/>
      <c r="J3011" s="8"/>
      <c r="K3011" s="8"/>
      <c r="L3011" s="8"/>
      <c r="M3011" s="8"/>
    </row>
    <row r="3012" spans="1:13">
      <c r="A3012" s="71" t="s">
        <v>7602</v>
      </c>
      <c r="B3012" s="67">
        <v>4609966654</v>
      </c>
      <c r="C3012" s="72" t="s">
        <v>7603</v>
      </c>
      <c r="D3012" s="69">
        <v>28402756867</v>
      </c>
      <c r="E3012" s="9">
        <v>292</v>
      </c>
      <c r="F3012" s="25">
        <v>43168</v>
      </c>
      <c r="G3012" s="70" t="s">
        <v>3356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7604</v>
      </c>
      <c r="B3013" s="67">
        <v>3480463401</v>
      </c>
      <c r="C3013" s="72"/>
      <c r="D3013" s="69"/>
      <c r="E3013" s="9">
        <v>229</v>
      </c>
      <c r="F3013" s="25">
        <v>43151</v>
      </c>
      <c r="G3013" s="70" t="s">
        <v>3356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7605</v>
      </c>
      <c r="B3014" s="67">
        <v>37763674822</v>
      </c>
      <c r="C3014" s="72"/>
      <c r="D3014" s="69"/>
      <c r="E3014" s="9">
        <v>85</v>
      </c>
      <c r="F3014" s="25">
        <v>43109</v>
      </c>
      <c r="G3014" s="70" t="s">
        <v>3356</v>
      </c>
      <c r="H3014" s="25">
        <v>43151</v>
      </c>
      <c r="I3014" s="8"/>
      <c r="J3014" s="8"/>
      <c r="K3014" s="8"/>
      <c r="L3014" s="8"/>
      <c r="M3014" s="8"/>
    </row>
    <row r="3015" spans="1:13">
      <c r="A3015" s="71" t="s">
        <v>7606</v>
      </c>
      <c r="B3015" s="67">
        <v>36829911826</v>
      </c>
      <c r="C3015" s="72"/>
      <c r="D3015" s="69"/>
      <c r="E3015" s="9"/>
      <c r="F3015" s="25"/>
      <c r="G3015" s="70"/>
      <c r="H3015" s="9"/>
      <c r="I3015" s="8"/>
      <c r="J3015" s="8"/>
      <c r="K3015" s="8"/>
      <c r="L3015" s="8"/>
      <c r="M3015" s="8"/>
    </row>
    <row r="3016" spans="1:13">
      <c r="A3016" s="71" t="s">
        <v>7607</v>
      </c>
      <c r="B3016" s="67">
        <v>38556797890</v>
      </c>
      <c r="C3016" s="68"/>
      <c r="D3016" s="69"/>
      <c r="E3016" s="9">
        <v>1214</v>
      </c>
      <c r="F3016" s="25">
        <v>42989</v>
      </c>
      <c r="G3016" s="70" t="s">
        <v>3356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7608</v>
      </c>
      <c r="B3017" s="67"/>
      <c r="C3017" s="18"/>
      <c r="D3017" s="69"/>
      <c r="E3017" s="9"/>
      <c r="F3017" s="25"/>
      <c r="G3017" s="70"/>
      <c r="H3017" s="9"/>
      <c r="I3017" s="8"/>
      <c r="J3017" s="8"/>
      <c r="K3017" s="8"/>
      <c r="L3017" s="8"/>
      <c r="M3017" s="8"/>
    </row>
    <row r="3018" spans="1:13">
      <c r="A3018" s="29" t="s">
        <v>7608</v>
      </c>
      <c r="B3018" s="67"/>
      <c r="C3018" s="18" t="s">
        <v>3466</v>
      </c>
      <c r="D3018" s="69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9" t="s">
        <v>7609</v>
      </c>
      <c r="B3019" s="67"/>
      <c r="C3019" s="29" t="s">
        <v>3466</v>
      </c>
      <c r="D3019" s="69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7610</v>
      </c>
      <c r="B3020" s="67">
        <v>40882575880</v>
      </c>
      <c r="C3020" s="72" t="s">
        <v>7611</v>
      </c>
      <c r="D3020" s="69">
        <v>39163987848</v>
      </c>
      <c r="E3020" s="9">
        <v>292</v>
      </c>
      <c r="F3020" s="25">
        <v>43168</v>
      </c>
      <c r="G3020" s="70" t="s">
        <v>3356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9" t="s">
        <v>7612</v>
      </c>
      <c r="B3021" s="67"/>
      <c r="C3021" s="29" t="s">
        <v>3466</v>
      </c>
      <c r="D3021" s="69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71" t="s">
        <v>7613</v>
      </c>
      <c r="B3022" s="67">
        <v>46121067845</v>
      </c>
      <c r="C3022" s="72"/>
      <c r="D3022" s="69"/>
      <c r="E3022" s="9">
        <v>527</v>
      </c>
      <c r="F3022" s="25">
        <v>43210</v>
      </c>
      <c r="G3022" s="70"/>
      <c r="H3022" s="9"/>
      <c r="I3022" s="8"/>
      <c r="J3022" s="8"/>
      <c r="K3022" s="8"/>
      <c r="L3022" s="9">
        <v>528</v>
      </c>
      <c r="M3022" s="8"/>
    </row>
    <row r="3023" spans="1:13">
      <c r="A3023" s="71" t="s">
        <v>7614</v>
      </c>
      <c r="B3023" s="67">
        <v>34795476802</v>
      </c>
      <c r="C3023" s="72"/>
      <c r="D3023" s="69"/>
      <c r="E3023" s="9">
        <v>262</v>
      </c>
      <c r="F3023" s="25">
        <v>43160</v>
      </c>
      <c r="G3023" s="9" t="s">
        <v>3356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7615</v>
      </c>
      <c r="B3024" s="67">
        <v>32883243859</v>
      </c>
      <c r="C3024" s="18"/>
      <c r="D3024" s="69"/>
      <c r="E3024" s="9"/>
      <c r="F3024" s="25"/>
      <c r="G3024" s="70"/>
      <c r="H3024" s="9"/>
      <c r="I3024" s="8"/>
      <c r="J3024" s="8"/>
      <c r="K3024" s="8"/>
      <c r="L3024" s="8"/>
      <c r="M3024" s="8"/>
    </row>
    <row r="3025" spans="1:13">
      <c r="A3025" s="29" t="s">
        <v>7616</v>
      </c>
      <c r="B3025" s="67">
        <v>37157144840</v>
      </c>
      <c r="C3025" s="8"/>
      <c r="D3025" s="69"/>
      <c r="E3025" s="9"/>
      <c r="F3025" s="25"/>
      <c r="G3025" s="70"/>
      <c r="H3025" s="9"/>
      <c r="I3025" s="8"/>
      <c r="J3025" s="8"/>
      <c r="K3025" s="8"/>
      <c r="L3025" s="8"/>
      <c r="M3025" s="8"/>
    </row>
    <row r="3026" spans="1:13">
      <c r="A3026" s="71" t="s">
        <v>7617</v>
      </c>
      <c r="B3026" s="67">
        <v>70665570422</v>
      </c>
      <c r="C3026" s="72"/>
      <c r="D3026" s="69"/>
      <c r="E3026" s="9"/>
      <c r="F3026" s="25"/>
      <c r="G3026" s="70"/>
      <c r="H3026" s="9"/>
      <c r="I3026" s="8"/>
      <c r="J3026" s="8"/>
      <c r="K3026" s="8"/>
      <c r="L3026" s="8"/>
      <c r="M3026" s="8"/>
    </row>
    <row r="3027" spans="1:13">
      <c r="A3027" s="71" t="s">
        <v>7618</v>
      </c>
      <c r="B3027" s="67">
        <v>14778389883</v>
      </c>
      <c r="C3027" s="72"/>
      <c r="D3027" s="69"/>
      <c r="E3027" s="9">
        <v>292</v>
      </c>
      <c r="F3027" s="25">
        <v>43168</v>
      </c>
      <c r="G3027" s="70" t="s">
        <v>3356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72" t="s">
        <v>7619</v>
      </c>
      <c r="B3028" s="67">
        <v>32911776810</v>
      </c>
      <c r="C3028" s="72"/>
      <c r="D3028" s="69"/>
      <c r="E3028" s="9"/>
      <c r="F3028" s="25"/>
      <c r="G3028" s="70"/>
      <c r="H3028" s="9"/>
      <c r="I3028" s="8"/>
      <c r="J3028" s="8"/>
      <c r="K3028" s="8"/>
      <c r="L3028" s="8"/>
      <c r="M3028" s="8"/>
    </row>
    <row r="3029" spans="1:13">
      <c r="A3029" s="96" t="s">
        <v>7620</v>
      </c>
      <c r="B3029" s="67">
        <v>20647149877</v>
      </c>
      <c r="C3029" s="72"/>
      <c r="D3029" s="69"/>
      <c r="E3029" s="9"/>
      <c r="F3029" s="25"/>
      <c r="G3029" s="70"/>
      <c r="H3029" s="9"/>
      <c r="I3029" s="8"/>
      <c r="J3029" s="8"/>
      <c r="K3029" s="8"/>
      <c r="L3029" s="8"/>
      <c r="M3029" s="8"/>
    </row>
    <row r="3030" spans="1:13">
      <c r="A3030" s="29" t="s">
        <v>7621</v>
      </c>
      <c r="B3030" s="67"/>
      <c r="C3030" s="29" t="s">
        <v>3466</v>
      </c>
      <c r="D3030" s="69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71" t="s">
        <v>7622</v>
      </c>
      <c r="B3031" s="67">
        <v>44374068856</v>
      </c>
      <c r="C3031" s="72" t="s">
        <v>7623</v>
      </c>
      <c r="D3031" s="69">
        <v>34698741823</v>
      </c>
      <c r="E3031" s="9">
        <v>1489</v>
      </c>
      <c r="F3031" s="25">
        <v>43038</v>
      </c>
      <c r="G3031" s="70" t="s">
        <v>3356</v>
      </c>
      <c r="H3031" s="9"/>
      <c r="I3031" s="8"/>
      <c r="J3031" s="8"/>
      <c r="K3031" s="8"/>
      <c r="L3031" s="9" t="s">
        <v>3497</v>
      </c>
      <c r="M3031" s="8"/>
    </row>
    <row r="3032" spans="1:13">
      <c r="A3032" s="71" t="s">
        <v>7624</v>
      </c>
      <c r="B3032" s="67">
        <v>35986951875</v>
      </c>
      <c r="C3032" s="72"/>
      <c r="D3032" s="69"/>
      <c r="E3032" s="9"/>
      <c r="F3032" s="25"/>
      <c r="G3032" s="70"/>
      <c r="H3032" s="9"/>
      <c r="I3032" s="8"/>
      <c r="J3032" s="8"/>
      <c r="K3032" s="8"/>
      <c r="L3032" s="8"/>
      <c r="M3032" s="8"/>
    </row>
    <row r="3033" spans="1:13">
      <c r="A3033" s="72" t="s">
        <v>7625</v>
      </c>
      <c r="B3033" s="67">
        <v>13206564808</v>
      </c>
      <c r="C3033" s="72"/>
      <c r="D3033" s="69"/>
      <c r="E3033" s="9">
        <v>563</v>
      </c>
      <c r="F3033" s="25">
        <v>43217</v>
      </c>
      <c r="G3033" s="70"/>
      <c r="H3033" s="25">
        <v>43234</v>
      </c>
      <c r="I3033" s="8"/>
      <c r="J3033" s="8"/>
      <c r="K3033" s="8"/>
      <c r="L3033" s="9" t="s">
        <v>3636</v>
      </c>
      <c r="M3033" s="8"/>
    </row>
    <row r="3034" spans="1:13">
      <c r="A3034" s="71" t="s">
        <v>7626</v>
      </c>
      <c r="B3034" s="67">
        <v>365999806</v>
      </c>
      <c r="C3034" s="72"/>
      <c r="D3034" s="69"/>
      <c r="E3034" s="9"/>
      <c r="F3034" s="25"/>
      <c r="G3034" s="70"/>
      <c r="H3034" s="9"/>
      <c r="I3034" s="8"/>
      <c r="J3034" s="8"/>
      <c r="K3034" s="8"/>
      <c r="L3034" s="8"/>
      <c r="M3034" s="8"/>
    </row>
    <row r="3035" spans="1:13">
      <c r="A3035" s="71" t="s">
        <v>7627</v>
      </c>
      <c r="B3035" s="67">
        <v>36464924818</v>
      </c>
      <c r="C3035" s="72"/>
      <c r="D3035" s="69"/>
      <c r="E3035" s="9">
        <v>1451</v>
      </c>
      <c r="F3035" s="25">
        <v>43027</v>
      </c>
      <c r="G3035" s="70" t="s">
        <v>3356</v>
      </c>
      <c r="H3035" s="9"/>
      <c r="I3035" s="8"/>
      <c r="J3035" s="8"/>
      <c r="K3035" s="8"/>
      <c r="L3035" s="8"/>
      <c r="M3035" s="8"/>
    </row>
    <row r="3036" spans="1:13">
      <c r="A3036" s="15" t="s">
        <v>7628</v>
      </c>
      <c r="B3036" s="67">
        <v>46812344869</v>
      </c>
      <c r="C3036" s="72" t="s">
        <v>7629</v>
      </c>
      <c r="D3036" s="69">
        <v>45505959814</v>
      </c>
      <c r="E3036" s="9"/>
      <c r="F3036" s="25"/>
      <c r="G3036" s="70"/>
      <c r="H3036" s="9"/>
      <c r="I3036" s="8"/>
      <c r="J3036" s="8"/>
      <c r="K3036" s="8"/>
      <c r="L3036" s="8"/>
      <c r="M3036" s="8"/>
    </row>
    <row r="3037" spans="1:13">
      <c r="A3037" s="71" t="s">
        <v>7630</v>
      </c>
      <c r="B3037" s="67">
        <v>25155708877</v>
      </c>
      <c r="C3037" s="72"/>
      <c r="D3037" s="69"/>
      <c r="E3037" s="9">
        <v>1214</v>
      </c>
      <c r="F3037" s="25">
        <v>42989</v>
      </c>
      <c r="G3037" s="70" t="s">
        <v>3356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7631</v>
      </c>
      <c r="B3038" s="67">
        <v>70659834634</v>
      </c>
      <c r="C3038" s="68" t="s">
        <v>7632</v>
      </c>
      <c r="D3038" s="69">
        <v>70558795404</v>
      </c>
      <c r="E3038" s="9">
        <v>1267</v>
      </c>
      <c r="F3038" s="25">
        <v>42998</v>
      </c>
      <c r="G3038" s="70" t="s">
        <v>3356</v>
      </c>
      <c r="H3038" s="25">
        <v>43000</v>
      </c>
      <c r="I3038" s="8"/>
      <c r="J3038" s="8"/>
      <c r="K3038" s="8"/>
      <c r="L3038" s="8"/>
      <c r="M3038" s="8"/>
    </row>
    <row r="3039" spans="1:13">
      <c r="A3039" s="71" t="s">
        <v>7633</v>
      </c>
      <c r="B3039" s="67"/>
      <c r="C3039" s="72" t="s">
        <v>7634</v>
      </c>
      <c r="D3039" s="69"/>
      <c r="E3039" s="9"/>
      <c r="F3039" s="25"/>
      <c r="G3039" s="70"/>
      <c r="H3039" s="9"/>
      <c r="I3039" s="8"/>
      <c r="J3039" s="8"/>
      <c r="K3039" s="8"/>
      <c r="L3039" s="8"/>
      <c r="M3039" s="8"/>
    </row>
    <row r="3040" spans="1:13">
      <c r="A3040" s="71" t="s">
        <v>7635</v>
      </c>
      <c r="B3040" s="67">
        <v>9754470413</v>
      </c>
      <c r="C3040" s="72"/>
      <c r="D3040" s="69"/>
      <c r="E3040" s="9">
        <v>1106</v>
      </c>
      <c r="F3040" s="25">
        <v>42965</v>
      </c>
      <c r="G3040" s="70" t="s">
        <v>3356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7636</v>
      </c>
      <c r="B3041" s="67">
        <v>3867219630</v>
      </c>
      <c r="C3041" s="72" t="s">
        <v>7637</v>
      </c>
      <c r="D3041" s="69">
        <v>4268294503</v>
      </c>
      <c r="E3041" s="9">
        <v>1824</v>
      </c>
      <c r="F3041" s="25">
        <v>43091</v>
      </c>
      <c r="G3041" s="70" t="s">
        <v>3356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71" t="s">
        <v>7638</v>
      </c>
      <c r="B3042" s="67">
        <v>27084341870</v>
      </c>
      <c r="C3042" s="72" t="s">
        <v>3660</v>
      </c>
      <c r="D3042" s="69">
        <v>70639957315</v>
      </c>
      <c r="E3042" s="9">
        <v>1214</v>
      </c>
      <c r="F3042" s="25">
        <v>42989</v>
      </c>
      <c r="G3042" s="70" t="s">
        <v>3362</v>
      </c>
      <c r="H3042" s="25">
        <v>43000</v>
      </c>
      <c r="I3042" s="8"/>
      <c r="J3042" s="8"/>
      <c r="K3042" s="8"/>
      <c r="L3042" s="8"/>
      <c r="M3042" s="8"/>
    </row>
    <row r="3043" spans="1:13">
      <c r="A3043" s="71" t="s">
        <v>7639</v>
      </c>
      <c r="B3043" s="67">
        <v>29697189870</v>
      </c>
      <c r="C3043" s="72" t="s">
        <v>7640</v>
      </c>
      <c r="D3043" s="69">
        <v>29854895807</v>
      </c>
      <c r="E3043" s="9"/>
      <c r="F3043" s="25"/>
      <c r="G3043" s="70"/>
      <c r="H3043" s="9"/>
      <c r="I3043" s="8"/>
      <c r="J3043" s="8"/>
      <c r="K3043" s="8"/>
      <c r="L3043" s="8"/>
      <c r="M3043" s="8"/>
    </row>
    <row r="3044" spans="1:13">
      <c r="A3044" s="71" t="s">
        <v>7641</v>
      </c>
      <c r="B3044" s="67">
        <v>73433993572</v>
      </c>
      <c r="C3044" s="72"/>
      <c r="D3044" s="69"/>
      <c r="E3044" s="9">
        <v>1267</v>
      </c>
      <c r="F3044" s="25">
        <v>42998</v>
      </c>
      <c r="G3044" s="70" t="s">
        <v>3356</v>
      </c>
      <c r="H3044" s="25">
        <v>43000</v>
      </c>
      <c r="I3044" s="8"/>
      <c r="J3044" s="8"/>
      <c r="K3044" s="8"/>
      <c r="L3044" s="8"/>
      <c r="M3044" s="8"/>
    </row>
    <row r="3045" spans="1:13">
      <c r="A3045" s="29" t="s">
        <v>7642</v>
      </c>
      <c r="B3045" s="67">
        <v>4055380810</v>
      </c>
      <c r="C3045" s="29" t="s">
        <v>3466</v>
      </c>
      <c r="D3045" s="69"/>
      <c r="E3045" s="9"/>
      <c r="F3045" s="25"/>
      <c r="G3045" s="70"/>
      <c r="H3045" s="9"/>
      <c r="I3045" s="8"/>
      <c r="J3045" s="8"/>
      <c r="K3045" s="8"/>
      <c r="L3045" s="8"/>
      <c r="M3045" s="8"/>
    </row>
    <row r="3046" spans="1:13">
      <c r="A3046" s="71" t="s">
        <v>7643</v>
      </c>
      <c r="B3046" s="67">
        <v>9333141839</v>
      </c>
      <c r="C3046" s="72"/>
      <c r="D3046" s="69"/>
      <c r="E3046" s="9">
        <v>1417</v>
      </c>
      <c r="F3046" s="25">
        <v>43017</v>
      </c>
      <c r="G3046" s="70" t="s">
        <v>3356</v>
      </c>
      <c r="H3046" s="25">
        <v>43027</v>
      </c>
      <c r="I3046" s="8"/>
      <c r="J3046" s="8"/>
      <c r="K3046" s="8"/>
      <c r="L3046" s="9" t="s">
        <v>3590</v>
      </c>
      <c r="M3046" s="8"/>
    </row>
    <row r="3047" spans="1:13">
      <c r="A3047" s="16" t="s">
        <v>7644</v>
      </c>
      <c r="B3047" s="67">
        <v>1518942563</v>
      </c>
      <c r="C3047" s="72"/>
      <c r="D3047" s="69"/>
      <c r="E3047" s="9"/>
      <c r="F3047" s="25"/>
      <c r="G3047" s="70"/>
      <c r="H3047" s="9"/>
      <c r="I3047" s="8"/>
      <c r="J3047" s="8"/>
      <c r="K3047" s="8"/>
      <c r="L3047" s="8"/>
      <c r="M3047" s="8"/>
    </row>
    <row r="3048" spans="1:13">
      <c r="A3048" s="71" t="s">
        <v>7645</v>
      </c>
      <c r="B3048" s="67">
        <v>99038862504</v>
      </c>
      <c r="C3048" s="72" t="s">
        <v>7646</v>
      </c>
      <c r="D3048" s="69">
        <v>38297049841</v>
      </c>
      <c r="E3048" s="9">
        <v>527</v>
      </c>
      <c r="F3048" s="25">
        <v>43210</v>
      </c>
      <c r="G3048" s="70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7647</v>
      </c>
      <c r="B3049" s="67">
        <v>27073784881</v>
      </c>
      <c r="C3049" s="68"/>
      <c r="D3049" s="69"/>
      <c r="E3049" s="9">
        <v>1128</v>
      </c>
      <c r="F3049" s="25">
        <v>42972</v>
      </c>
      <c r="G3049" s="70" t="s">
        <v>3356</v>
      </c>
      <c r="H3049" s="25">
        <v>42979</v>
      </c>
      <c r="I3049" s="8"/>
      <c r="J3049" s="8"/>
      <c r="K3049" s="8"/>
      <c r="L3049" s="8"/>
      <c r="M3049" s="8"/>
    </row>
    <row r="3050" spans="1:13">
      <c r="A3050" s="71" t="s">
        <v>7648</v>
      </c>
      <c r="B3050" s="67">
        <v>33489457803</v>
      </c>
      <c r="C3050" s="72"/>
      <c r="D3050" s="69"/>
      <c r="E3050" s="9">
        <v>1752</v>
      </c>
      <c r="F3050" s="25">
        <v>43051</v>
      </c>
      <c r="G3050" s="70" t="s">
        <v>3356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71" t="s">
        <v>7649</v>
      </c>
      <c r="B3051" s="67">
        <v>22505123888</v>
      </c>
      <c r="C3051" s="72" t="s">
        <v>7650</v>
      </c>
      <c r="D3051" s="69">
        <v>39819234808</v>
      </c>
      <c r="E3051" s="9">
        <v>1752</v>
      </c>
      <c r="F3051" s="25">
        <v>43051</v>
      </c>
      <c r="G3051" s="70" t="s">
        <v>3356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9" t="s">
        <v>7651</v>
      </c>
      <c r="B3052" s="67"/>
      <c r="C3052" s="29" t="s">
        <v>3466</v>
      </c>
      <c r="D3052" s="69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7652</v>
      </c>
      <c r="B3053" s="67">
        <v>3572647894</v>
      </c>
      <c r="C3053" s="18"/>
      <c r="D3053" s="69"/>
      <c r="E3053" s="9"/>
      <c r="F3053" s="25"/>
      <c r="G3053" s="70"/>
      <c r="H3053" s="9"/>
      <c r="I3053" s="8"/>
      <c r="J3053" s="8"/>
      <c r="K3053" s="8"/>
      <c r="L3053" s="8"/>
      <c r="M3053" s="8"/>
    </row>
    <row r="3054" spans="1:13">
      <c r="A3054" s="73" t="s">
        <v>7653</v>
      </c>
      <c r="B3054" s="67">
        <v>34850143890</v>
      </c>
      <c r="C3054" s="72" t="s">
        <v>7654</v>
      </c>
      <c r="D3054" s="69">
        <v>86049305404</v>
      </c>
      <c r="E3054" s="9"/>
      <c r="F3054" s="25"/>
      <c r="G3054" s="70"/>
      <c r="H3054" s="9"/>
      <c r="I3054" s="8"/>
      <c r="J3054" s="8"/>
      <c r="K3054" s="8"/>
      <c r="L3054" s="8"/>
      <c r="M3054" s="8"/>
    </row>
    <row r="3055" spans="1:13">
      <c r="A3055" s="14" t="s">
        <v>7655</v>
      </c>
      <c r="B3055" s="67">
        <v>13288861828</v>
      </c>
      <c r="C3055" s="72"/>
      <c r="D3055" s="69"/>
      <c r="E3055" s="9">
        <v>292</v>
      </c>
      <c r="F3055" s="25">
        <v>43168</v>
      </c>
      <c r="G3055" s="70" t="s">
        <v>3356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71" t="s">
        <v>7656</v>
      </c>
      <c r="B3056" s="67">
        <v>17852199879</v>
      </c>
      <c r="C3056" s="72" t="s">
        <v>7657</v>
      </c>
      <c r="D3056" s="69">
        <v>15255063827</v>
      </c>
      <c r="E3056" s="9">
        <v>1128</v>
      </c>
      <c r="F3056" s="25">
        <v>42972</v>
      </c>
      <c r="G3056" s="70" t="s">
        <v>3356</v>
      </c>
      <c r="H3056" s="25">
        <v>42979</v>
      </c>
      <c r="I3056" s="8"/>
      <c r="J3056" s="8"/>
      <c r="K3056" s="8"/>
      <c r="L3056" s="8"/>
      <c r="M3056" s="8"/>
    </row>
    <row r="3057" spans="1:13">
      <c r="A3057" s="71" t="s">
        <v>7658</v>
      </c>
      <c r="B3057" s="67">
        <v>95108912315</v>
      </c>
      <c r="C3057" s="72"/>
      <c r="D3057" s="69"/>
      <c r="E3057" s="9">
        <v>1350</v>
      </c>
      <c r="F3057" s="25">
        <v>43006</v>
      </c>
      <c r="G3057" s="70" t="s">
        <v>3356</v>
      </c>
      <c r="H3057" s="25">
        <v>43011</v>
      </c>
      <c r="I3057" s="8"/>
      <c r="J3057" s="8"/>
      <c r="K3057" s="8"/>
      <c r="L3057" s="8"/>
      <c r="M3057" s="8"/>
    </row>
    <row r="3058" spans="1:13">
      <c r="A3058" s="72" t="s">
        <v>7659</v>
      </c>
      <c r="B3058" s="67">
        <v>12691650898</v>
      </c>
      <c r="C3058" s="72"/>
      <c r="D3058" s="69"/>
      <c r="E3058" s="9"/>
      <c r="F3058" s="25"/>
      <c r="G3058" s="70"/>
      <c r="H3058" s="9"/>
      <c r="I3058" s="8"/>
      <c r="J3058" s="8"/>
      <c r="K3058" s="8"/>
      <c r="L3058" s="8"/>
      <c r="M3058" s="8"/>
    </row>
    <row r="3059" spans="1:13">
      <c r="A3059" s="71" t="s">
        <v>7660</v>
      </c>
      <c r="B3059" s="67">
        <v>9096104870</v>
      </c>
      <c r="C3059" s="72"/>
      <c r="D3059" s="69"/>
      <c r="E3059" s="9">
        <v>1128</v>
      </c>
      <c r="F3059" s="25">
        <v>42972</v>
      </c>
      <c r="G3059" s="70" t="s">
        <v>3356</v>
      </c>
      <c r="H3059" s="25">
        <v>42979</v>
      </c>
      <c r="I3059" s="8"/>
      <c r="J3059" s="8"/>
      <c r="K3059" s="8"/>
      <c r="L3059" s="8"/>
      <c r="M3059" s="8"/>
    </row>
    <row r="3060" spans="1:13">
      <c r="A3060" s="27"/>
      <c r="B3060" s="28"/>
      <c r="G3060" s="54"/>
    </row>
    <row r="3061" spans="1:13">
      <c r="A3061"/>
    </row>
    <row r="3062" spans="1:13">
      <c r="A3062" s="98"/>
    </row>
    <row r="3063" spans="1:13">
      <c r="A3063" s="98"/>
    </row>
    <row r="3064" spans="1:13">
      <c r="A3064" s="98"/>
    </row>
    <row r="3065" spans="1:13">
      <c r="A3065" s="98"/>
    </row>
    <row r="3066" spans="1:13">
      <c r="A3066" s="98"/>
    </row>
    <row r="3067" spans="1:13">
      <c r="A3067" s="98"/>
    </row>
    <row r="3068" spans="1:13">
      <c r="A3068" s="98"/>
    </row>
    <row r="3069" spans="1:13">
      <c r="A3069" s="98"/>
    </row>
    <row r="3070" spans="1:13">
      <c r="A3070" s="98"/>
    </row>
    <row r="3071" spans="1:13">
      <c r="A3071" s="98"/>
    </row>
    <row r="3072" spans="1:13">
      <c r="A3072" s="98"/>
    </row>
    <row r="3073" spans="1:1">
      <c r="A3073" s="98"/>
    </row>
    <row r="3074" spans="1:1">
      <c r="A3074" s="98"/>
    </row>
    <row r="3075" spans="1:1">
      <c r="A3075" s="98"/>
    </row>
    <row r="3076" spans="1:1">
      <c r="A3076" s="98"/>
    </row>
    <row r="3077" spans="1:1">
      <c r="A3077" s="98"/>
    </row>
    <row r="3078" spans="1:1">
      <c r="A3078" s="98"/>
    </row>
    <row r="3079" spans="1:1">
      <c r="A3079" s="98"/>
    </row>
    <row r="3080" spans="1:1">
      <c r="A3080" s="98"/>
    </row>
    <row r="3081" spans="1:1">
      <c r="A3081" s="98"/>
    </row>
    <row r="3082" spans="1:1">
      <c r="A3082" s="98"/>
    </row>
    <row r="3083" spans="1:1">
      <c r="A3083" s="98"/>
    </row>
    <row r="3084" spans="1:1">
      <c r="A3084" s="98"/>
    </row>
    <row r="3085" spans="1:1">
      <c r="A3085" s="98"/>
    </row>
    <row r="3086" spans="1:1">
      <c r="A3086" s="98"/>
    </row>
    <row r="3087" spans="1:1">
      <c r="A3087" s="98"/>
    </row>
    <row r="3088" spans="1:1">
      <c r="A3088" s="98"/>
    </row>
    <row r="3089" spans="1:1">
      <c r="A3089" s="98"/>
    </row>
    <row r="3090" spans="1:1">
      <c r="A3090" s="98"/>
    </row>
    <row r="3091" spans="1:1">
      <c r="A3091" s="98"/>
    </row>
    <row r="3092" spans="1:1">
      <c r="A3092" s="98"/>
    </row>
    <row r="3093" spans="1:1">
      <c r="A3093" s="98"/>
    </row>
    <row r="3094" spans="1:1">
      <c r="A3094" s="98"/>
    </row>
    <row r="3095" spans="1:1">
      <c r="A3095" s="98"/>
    </row>
    <row r="3096" spans="1:1">
      <c r="A3096" s="98"/>
    </row>
    <row r="3097" spans="1:1">
      <c r="A3097" s="98"/>
    </row>
    <row r="3098" spans="1:1">
      <c r="A3098" s="98"/>
    </row>
    <row r="3099" spans="1:1">
      <c r="A3099" s="98"/>
    </row>
    <row r="3100" spans="1:1">
      <c r="A3100" s="98"/>
    </row>
    <row r="3101" spans="1:1">
      <c r="A3101" s="98"/>
    </row>
    <row r="3102" spans="1:1">
      <c r="A3102" s="98"/>
    </row>
    <row r="3103" spans="1:1">
      <c r="A3103" s="98"/>
    </row>
    <row r="3104" spans="1:1">
      <c r="A3104" s="98"/>
    </row>
    <row r="3105" spans="1:1">
      <c r="A3105" s="98"/>
    </row>
    <row r="3106" spans="1:1">
      <c r="A3106" s="98"/>
    </row>
    <row r="3107" spans="1:1">
      <c r="A3107" s="98"/>
    </row>
    <row r="3108" spans="1:1">
      <c r="A3108" s="98"/>
    </row>
    <row r="3109" spans="1:1">
      <c r="A3109" s="98"/>
    </row>
    <row r="3110" spans="1:1">
      <c r="A3110" s="98"/>
    </row>
    <row r="3111" spans="1:1">
      <c r="A3111" s="98"/>
    </row>
    <row r="3112" spans="1:1">
      <c r="A3112" s="98"/>
    </row>
    <row r="3113" spans="1:1">
      <c r="A3113" s="98"/>
    </row>
    <row r="3114" spans="1:1">
      <c r="A3114" s="98"/>
    </row>
    <row r="3115" spans="1:1">
      <c r="A3115" s="98"/>
    </row>
    <row r="3116" spans="1:1">
      <c r="A3116" s="98"/>
    </row>
    <row r="3117" spans="1:1">
      <c r="A3117" s="98"/>
    </row>
    <row r="3118" spans="1:1">
      <c r="A3118" s="98"/>
    </row>
    <row r="3119" spans="1:1">
      <c r="A3119" s="98"/>
    </row>
    <row r="3120" spans="1:1">
      <c r="A3120" s="9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26" priority="5" stopIfTrue="1"/>
  </conditionalFormatting>
  <conditionalFormatting sqref="A3:A128">
    <cfRule type="duplicateValues" dxfId="25" priority="4" stopIfTrue="1"/>
  </conditionalFormatting>
  <conditionalFormatting sqref="A3:A626">
    <cfRule type="duplicateValues" dxfId="24" priority="1" stopIfTrue="1"/>
  </conditionalFormatting>
  <conditionalFormatting sqref="B2684">
    <cfRule type="duplicateValues" dxfId="23" priority="3" stopIfTrue="1"/>
  </conditionalFormatting>
  <conditionalFormatting sqref="C689">
    <cfRule type="duplicateValues" dxfId="22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7F908-6F58-4777-8999-6DC984A9857E}">
  <dimension ref="B3:F33"/>
  <sheetViews>
    <sheetView workbookViewId="0">
      <selection activeCell="B3" sqref="B3:F10"/>
    </sheetView>
  </sheetViews>
  <sheetFormatPr defaultRowHeight="20.25" customHeight="1"/>
  <cols>
    <col min="1" max="1" width="9.140625" style="116"/>
    <col min="2" max="2" width="25.42578125" style="116" bestFit="1" customWidth="1"/>
    <col min="3" max="3" width="12.28515625" style="116" customWidth="1"/>
    <col min="4" max="4" width="38.5703125" style="116" customWidth="1"/>
    <col min="5" max="5" width="17" style="116" customWidth="1"/>
    <col min="6" max="6" width="35.42578125" style="116" customWidth="1"/>
    <col min="7" max="16384" width="9.140625" style="116"/>
  </cols>
  <sheetData>
    <row r="3" spans="2:6" ht="20.25" customHeight="1">
      <c r="B3" s="284" t="s">
        <v>39</v>
      </c>
      <c r="C3" s="284" t="s">
        <v>43</v>
      </c>
      <c r="D3" s="285" t="s">
        <v>65</v>
      </c>
      <c r="E3" s="285" t="s">
        <v>49</v>
      </c>
      <c r="F3" s="285" t="s">
        <v>77</v>
      </c>
    </row>
    <row r="4" spans="2:6" ht="20.25" customHeight="1">
      <c r="B4" s="113" t="s">
        <v>99</v>
      </c>
      <c r="C4" s="113" t="s">
        <v>380</v>
      </c>
      <c r="D4" s="113" t="s">
        <v>381</v>
      </c>
      <c r="E4" s="113" t="s">
        <v>383</v>
      </c>
      <c r="F4" s="113" t="s">
        <v>385</v>
      </c>
    </row>
    <row r="5" spans="2:6" ht="20.25" customHeight="1">
      <c r="B5" s="113" t="s">
        <v>99</v>
      </c>
      <c r="C5" s="113" t="s">
        <v>428</v>
      </c>
      <c r="D5" s="113" t="s">
        <v>431</v>
      </c>
      <c r="E5" s="113" t="s">
        <v>433</v>
      </c>
      <c r="F5" s="113" t="s">
        <v>434</v>
      </c>
    </row>
    <row r="6" spans="2:6" ht="20.25" customHeight="1">
      <c r="B6" s="113" t="s">
        <v>99</v>
      </c>
      <c r="C6" s="113" t="s">
        <v>469</v>
      </c>
      <c r="D6" s="113" t="s">
        <v>464</v>
      </c>
      <c r="E6" s="113" t="s">
        <v>466</v>
      </c>
      <c r="F6" s="287" t="s">
        <v>473</v>
      </c>
    </row>
    <row r="7" spans="2:6" ht="20.25" customHeight="1">
      <c r="B7" s="113" t="s">
        <v>99</v>
      </c>
      <c r="C7" s="113" t="s">
        <v>1072</v>
      </c>
      <c r="D7" s="113" t="s">
        <v>1073</v>
      </c>
      <c r="E7" s="113" t="s">
        <v>1075</v>
      </c>
      <c r="F7" s="287" t="s">
        <v>1077</v>
      </c>
    </row>
    <row r="8" spans="2:6" ht="20.25" customHeight="1">
      <c r="B8" s="113" t="s">
        <v>99</v>
      </c>
      <c r="C8" s="113" t="s">
        <v>1450</v>
      </c>
      <c r="D8" s="113" t="s">
        <v>1446</v>
      </c>
      <c r="E8" s="113" t="s">
        <v>1448</v>
      </c>
      <c r="F8" s="287" t="s">
        <v>1451</v>
      </c>
    </row>
    <row r="9" spans="2:6" ht="20.25" customHeight="1">
      <c r="B9" s="113" t="s">
        <v>99</v>
      </c>
      <c r="C9" s="113" t="s">
        <v>1484</v>
      </c>
      <c r="D9" s="113" t="s">
        <v>1485</v>
      </c>
      <c r="E9" s="113" t="s">
        <v>1487</v>
      </c>
      <c r="F9" s="287" t="s">
        <v>1489</v>
      </c>
    </row>
    <row r="10" spans="2:6" ht="20.25" customHeight="1">
      <c r="B10" s="113" t="s">
        <v>99</v>
      </c>
      <c r="C10" s="287" t="s">
        <v>1767</v>
      </c>
      <c r="D10" s="287" t="s">
        <v>1768</v>
      </c>
      <c r="E10" s="287" t="s">
        <v>1770</v>
      </c>
      <c r="F10" s="113" t="s">
        <v>1771</v>
      </c>
    </row>
    <row r="11" spans="2:6" ht="20.25" customHeight="1">
      <c r="B11" s="114"/>
      <c r="C11" s="114"/>
      <c r="D11" s="114"/>
      <c r="E11" s="114"/>
      <c r="F11" s="286"/>
    </row>
    <row r="12" spans="2:6" ht="20.25" customHeight="1">
      <c r="B12" s="113"/>
      <c r="C12" s="113"/>
      <c r="D12" s="113"/>
      <c r="E12" s="113"/>
      <c r="F12" s="118"/>
    </row>
    <row r="13" spans="2:6" ht="20.25" customHeight="1">
      <c r="B13" s="113"/>
      <c r="C13" s="113"/>
      <c r="D13" s="113"/>
      <c r="E13" s="113"/>
      <c r="F13" s="118"/>
    </row>
    <row r="14" spans="2:6" ht="20.25" customHeight="1">
      <c r="B14" s="113"/>
      <c r="C14" s="113"/>
      <c r="D14" s="113"/>
      <c r="E14" s="113"/>
      <c r="F14" s="118"/>
    </row>
    <row r="15" spans="2:6" ht="20.25" customHeight="1">
      <c r="B15" s="113"/>
      <c r="C15" s="113"/>
      <c r="D15" s="115"/>
      <c r="E15" s="115"/>
      <c r="F15" s="118"/>
    </row>
    <row r="16" spans="2:6" ht="20.25" customHeight="1">
      <c r="B16" s="113" t="s">
        <v>1833</v>
      </c>
      <c r="C16" s="113" t="s">
        <v>2675</v>
      </c>
      <c r="D16" s="113" t="s">
        <v>2900</v>
      </c>
      <c r="E16" s="113" t="s">
        <v>7661</v>
      </c>
      <c r="F16" s="118">
        <v>60000</v>
      </c>
    </row>
    <row r="17" spans="2:6" ht="20.25" customHeight="1">
      <c r="B17" s="113" t="s">
        <v>1833</v>
      </c>
      <c r="C17" s="113" t="s">
        <v>2686</v>
      </c>
      <c r="D17" s="113" t="s">
        <v>2911</v>
      </c>
      <c r="E17" s="113" t="s">
        <v>100</v>
      </c>
      <c r="F17" s="118">
        <v>60000</v>
      </c>
    </row>
    <row r="18" spans="2:6" ht="20.25" customHeight="1">
      <c r="B18" s="183"/>
      <c r="C18" s="184"/>
      <c r="D18" s="114"/>
      <c r="E18" s="114"/>
      <c r="F18" s="114"/>
    </row>
    <row r="19" spans="2:6" ht="20.25" customHeight="1">
      <c r="B19" s="136"/>
      <c r="C19" s="137"/>
      <c r="D19" s="113"/>
      <c r="E19" s="113"/>
      <c r="F19" s="113"/>
    </row>
    <row r="20" spans="2:6" ht="20.25" customHeight="1">
      <c r="B20" s="117"/>
      <c r="C20" s="117"/>
      <c r="D20" s="117"/>
      <c r="E20" s="117"/>
      <c r="F20" s="117"/>
    </row>
    <row r="21" spans="2:6" ht="20.25" customHeight="1">
      <c r="B21" s="117"/>
      <c r="C21" s="117"/>
      <c r="D21" s="117"/>
      <c r="E21" s="117"/>
      <c r="F21" s="117"/>
    </row>
    <row r="22" spans="2:6" ht="20.25" customHeight="1">
      <c r="B22" s="117"/>
      <c r="C22" s="117"/>
      <c r="D22" s="117"/>
      <c r="E22" s="117"/>
      <c r="F22" s="117"/>
    </row>
    <row r="23" spans="2:6" ht="20.25" customHeight="1">
      <c r="B23" s="113" t="s">
        <v>1833</v>
      </c>
      <c r="C23" s="113" t="s">
        <v>7662</v>
      </c>
      <c r="D23" s="113" t="s">
        <v>1914</v>
      </c>
      <c r="E23" s="113" t="s">
        <v>7663</v>
      </c>
      <c r="F23" s="113"/>
    </row>
    <row r="24" spans="2:6" ht="20.25" customHeight="1">
      <c r="B24" s="113" t="s">
        <v>1833</v>
      </c>
      <c r="C24" s="113" t="s">
        <v>7664</v>
      </c>
      <c r="D24" s="113" t="s">
        <v>1916</v>
      </c>
      <c r="E24" s="113" t="s">
        <v>7665</v>
      </c>
      <c r="F24" s="113"/>
    </row>
    <row r="25" spans="2:6" ht="20.25" customHeight="1">
      <c r="B25" s="113" t="s">
        <v>1833</v>
      </c>
      <c r="C25" s="113" t="s">
        <v>7666</v>
      </c>
      <c r="D25" s="113" t="s">
        <v>371</v>
      </c>
      <c r="E25" s="113" t="s">
        <v>371</v>
      </c>
      <c r="F25" s="113"/>
    </row>
    <row r="26" spans="2:6" ht="20.25" customHeight="1">
      <c r="B26" s="113" t="s">
        <v>1833</v>
      </c>
      <c r="C26" s="113" t="s">
        <v>7667</v>
      </c>
      <c r="D26" s="113" t="s">
        <v>1919</v>
      </c>
      <c r="E26" s="113" t="s">
        <v>7663</v>
      </c>
      <c r="F26" s="113"/>
    </row>
    <row r="27" spans="2:6" ht="20.25" customHeight="1">
      <c r="B27" s="117" t="s">
        <v>1833</v>
      </c>
      <c r="C27" s="117" t="s">
        <v>7668</v>
      </c>
      <c r="D27" s="117" t="s">
        <v>1925</v>
      </c>
      <c r="E27" s="117" t="s">
        <v>7669</v>
      </c>
      <c r="F27" s="117"/>
    </row>
    <row r="28" spans="2:6" ht="20.25" customHeight="1">
      <c r="B28" s="113" t="s">
        <v>1833</v>
      </c>
      <c r="C28" s="113" t="s">
        <v>7670</v>
      </c>
      <c r="D28" s="113" t="s">
        <v>7671</v>
      </c>
      <c r="E28" s="113" t="s">
        <v>7672</v>
      </c>
      <c r="F28" s="113"/>
    </row>
    <row r="29" spans="2:6" ht="20.25" customHeight="1">
      <c r="B29" s="113" t="s">
        <v>1833</v>
      </c>
      <c r="C29" s="113" t="s">
        <v>7673</v>
      </c>
      <c r="D29" s="113" t="s">
        <v>7674</v>
      </c>
      <c r="E29" s="113" t="s">
        <v>7675</v>
      </c>
      <c r="F29" s="113"/>
    </row>
    <row r="30" spans="2:6" ht="20.25" customHeight="1">
      <c r="B30" s="113" t="s">
        <v>1833</v>
      </c>
      <c r="C30" s="113" t="s">
        <v>7676</v>
      </c>
      <c r="D30" s="113" t="s">
        <v>1954</v>
      </c>
      <c r="E30" s="113" t="s">
        <v>7677</v>
      </c>
      <c r="F30" s="115"/>
    </row>
    <row r="31" spans="2:6" ht="20.25" customHeight="1">
      <c r="B31" s="113" t="s">
        <v>1833</v>
      </c>
      <c r="C31" s="113" t="s">
        <v>7678</v>
      </c>
      <c r="D31" s="115" t="s">
        <v>1900</v>
      </c>
      <c r="E31" s="113" t="s">
        <v>24</v>
      </c>
      <c r="F31" s="118"/>
    </row>
    <row r="32" spans="2:6" ht="20.25" customHeight="1">
      <c r="B32" s="113" t="s">
        <v>1833</v>
      </c>
      <c r="C32" s="113" t="s">
        <v>2210</v>
      </c>
      <c r="D32" s="113" t="s">
        <v>371</v>
      </c>
      <c r="E32" s="113" t="s">
        <v>371</v>
      </c>
      <c r="F32" s="118"/>
    </row>
    <row r="33" spans="2:6" ht="20.25" customHeight="1">
      <c r="B33" s="113" t="s">
        <v>1833</v>
      </c>
      <c r="C33" s="113" t="s">
        <v>2258</v>
      </c>
      <c r="D33" s="113" t="s">
        <v>371</v>
      </c>
      <c r="E33" s="113" t="s">
        <v>371</v>
      </c>
      <c r="F33" s="118"/>
    </row>
  </sheetData>
  <conditionalFormatting sqref="C4:C10">
    <cfRule type="duplicateValues" dxfId="21" priority="6"/>
    <cfRule type="duplicateValues" dxfId="20" priority="7"/>
  </conditionalFormatting>
  <conditionalFormatting sqref="C11:C17">
    <cfRule type="duplicateValues" dxfId="19" priority="8"/>
  </conditionalFormatting>
  <conditionalFormatting sqref="C18:C19">
    <cfRule type="duplicateValues" dxfId="18" priority="9"/>
  </conditionalFormatting>
  <conditionalFormatting sqref="D4">
    <cfRule type="duplicateValues" dxfId="17" priority="3"/>
  </conditionalFormatting>
  <conditionalFormatting sqref="D5:D10">
    <cfRule type="duplicateValues" dxfId="16" priority="1"/>
    <cfRule type="duplicateValues" dxfId="15" priority="2"/>
  </conditionalFormatting>
  <conditionalFormatting sqref="F3">
    <cfRule type="duplicateValues" dxfId="14" priority="5"/>
  </conditionalFormatting>
  <conditionalFormatting sqref="F4:F10">
    <cfRule type="duplicateValues" dxfId="13" priority="4"/>
  </conditionalFormatting>
  <dataValidations count="1">
    <dataValidation allowBlank="1" showInputMessage="1" showErrorMessage="1" sqref="C30:C31 B4:B31 F28 F18:F19 C11:C19" xr:uid="{379EE7C7-731B-495F-B691-D30DDA822160}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D4AE5-E74C-4236-96F7-ABD8A449C5A3}">
  <dimension ref="C6:G58"/>
  <sheetViews>
    <sheetView topLeftCell="A7" workbookViewId="0">
      <selection activeCell="F7" sqref="F7"/>
    </sheetView>
  </sheetViews>
  <sheetFormatPr defaultRowHeight="20.25" customHeight="1"/>
  <cols>
    <col min="3" max="3" width="18.5703125" bestFit="1" customWidth="1"/>
    <col min="4" max="4" width="16.28515625" customWidth="1"/>
    <col min="5" max="5" width="35.85546875" bestFit="1" customWidth="1"/>
    <col min="6" max="6" width="17" bestFit="1" customWidth="1"/>
    <col min="7" max="7" width="33.7109375" customWidth="1"/>
  </cols>
  <sheetData>
    <row r="6" spans="3:7" ht="20.25" customHeight="1">
      <c r="C6" s="185" t="s">
        <v>39</v>
      </c>
      <c r="D6" s="185" t="s">
        <v>43</v>
      </c>
      <c r="E6" s="186" t="s">
        <v>65</v>
      </c>
      <c r="F6" s="186" t="s">
        <v>49</v>
      </c>
      <c r="G6" s="186" t="s">
        <v>77</v>
      </c>
    </row>
    <row r="7" spans="3:7" ht="20.25" customHeight="1">
      <c r="C7" s="269" t="s">
        <v>99</v>
      </c>
      <c r="D7" s="269" t="s">
        <v>374</v>
      </c>
      <c r="E7" s="269" t="s">
        <v>375</v>
      </c>
      <c r="F7" s="269" t="s">
        <v>377</v>
      </c>
      <c r="G7" s="270" t="s">
        <v>379</v>
      </c>
    </row>
    <row r="8" spans="3:7" ht="20.25" customHeight="1">
      <c r="C8" s="269" t="s">
        <v>99</v>
      </c>
      <c r="D8" s="269" t="s">
        <v>529</v>
      </c>
      <c r="E8" s="269" t="s">
        <v>530</v>
      </c>
      <c r="F8" s="269" t="s">
        <v>532</v>
      </c>
      <c r="G8" s="270" t="s">
        <v>533</v>
      </c>
    </row>
    <row r="9" spans="3:7" ht="20.25" customHeight="1">
      <c r="C9" s="269" t="s">
        <v>99</v>
      </c>
      <c r="D9" s="269" t="s">
        <v>563</v>
      </c>
      <c r="E9" s="269" t="s">
        <v>564</v>
      </c>
      <c r="F9" s="269" t="s">
        <v>566</v>
      </c>
      <c r="G9" s="270" t="s">
        <v>567</v>
      </c>
    </row>
    <row r="10" spans="3:7" ht="20.25" customHeight="1">
      <c r="C10" s="269" t="s">
        <v>99</v>
      </c>
      <c r="D10" s="269" t="s">
        <v>572</v>
      </c>
      <c r="E10" s="269" t="s">
        <v>573</v>
      </c>
      <c r="F10" s="269" t="s">
        <v>575</v>
      </c>
      <c r="G10" s="270" t="s">
        <v>576</v>
      </c>
    </row>
    <row r="11" spans="3:7" ht="20.25" customHeight="1">
      <c r="C11" s="269" t="s">
        <v>99</v>
      </c>
      <c r="D11" s="269" t="s">
        <v>784</v>
      </c>
      <c r="E11" s="269" t="s">
        <v>785</v>
      </c>
      <c r="F11" s="269" t="s">
        <v>787</v>
      </c>
      <c r="G11" s="270" t="s">
        <v>788</v>
      </c>
    </row>
    <row r="12" spans="3:7" ht="20.25" customHeight="1">
      <c r="C12" s="269" t="s">
        <v>99</v>
      </c>
      <c r="D12" s="271" t="s">
        <v>848</v>
      </c>
      <c r="E12" s="271" t="s">
        <v>849</v>
      </c>
      <c r="F12" s="269" t="s">
        <v>851</v>
      </c>
      <c r="G12" s="270" t="s">
        <v>852</v>
      </c>
    </row>
    <row r="13" spans="3:7" ht="20.25" customHeight="1">
      <c r="C13" s="269" t="s">
        <v>99</v>
      </c>
      <c r="D13" s="269" t="s">
        <v>858</v>
      </c>
      <c r="E13" s="271" t="s">
        <v>859</v>
      </c>
      <c r="F13" s="269" t="s">
        <v>861</v>
      </c>
      <c r="G13" s="270" t="s">
        <v>862</v>
      </c>
    </row>
    <row r="14" spans="3:7" ht="20.25" customHeight="1">
      <c r="C14" s="269" t="s">
        <v>99</v>
      </c>
      <c r="D14" s="269" t="s">
        <v>868</v>
      </c>
      <c r="E14" s="271" t="s">
        <v>869</v>
      </c>
      <c r="F14" s="269" t="s">
        <v>871</v>
      </c>
      <c r="G14" s="270" t="s">
        <v>872</v>
      </c>
    </row>
    <row r="15" spans="3:7" ht="20.25" customHeight="1">
      <c r="C15" s="269" t="s">
        <v>99</v>
      </c>
      <c r="D15" s="269" t="s">
        <v>902</v>
      </c>
      <c r="E15" s="269" t="s">
        <v>903</v>
      </c>
      <c r="F15" s="269" t="s">
        <v>905</v>
      </c>
      <c r="G15" s="270" t="s">
        <v>906</v>
      </c>
    </row>
    <row r="16" spans="3:7" ht="20.25" customHeight="1">
      <c r="C16" s="269" t="s">
        <v>99</v>
      </c>
      <c r="D16" s="269" t="s">
        <v>955</v>
      </c>
      <c r="E16" s="269" t="s">
        <v>956</v>
      </c>
      <c r="F16" s="269" t="s">
        <v>958</v>
      </c>
      <c r="G16" s="270" t="s">
        <v>959</v>
      </c>
    </row>
    <row r="17" spans="3:7" ht="20.25" customHeight="1">
      <c r="C17" s="269" t="s">
        <v>99</v>
      </c>
      <c r="D17" s="269" t="s">
        <v>1031</v>
      </c>
      <c r="E17" s="269" t="s">
        <v>1032</v>
      </c>
      <c r="F17" s="269" t="s">
        <v>1034</v>
      </c>
      <c r="G17" s="270" t="s">
        <v>1036</v>
      </c>
    </row>
    <row r="18" spans="3:7" ht="20.25" customHeight="1">
      <c r="C18" s="269" t="s">
        <v>99</v>
      </c>
      <c r="D18" s="269" t="s">
        <v>1037</v>
      </c>
      <c r="E18" s="269" t="s">
        <v>1041</v>
      </c>
      <c r="F18" s="269" t="s">
        <v>1043</v>
      </c>
      <c r="G18" s="270" t="s">
        <v>1044</v>
      </c>
    </row>
    <row r="19" spans="3:7" ht="20.25" customHeight="1">
      <c r="C19" s="269" t="s">
        <v>99</v>
      </c>
      <c r="D19" s="269" t="s">
        <v>1054</v>
      </c>
      <c r="E19" s="269" t="s">
        <v>1055</v>
      </c>
      <c r="F19" s="269" t="s">
        <v>1057</v>
      </c>
      <c r="G19" s="270" t="s">
        <v>1059</v>
      </c>
    </row>
    <row r="20" spans="3:7" ht="20.25" customHeight="1">
      <c r="C20" s="269" t="s">
        <v>99</v>
      </c>
      <c r="D20" s="269" t="s">
        <v>1060</v>
      </c>
      <c r="E20" s="269" t="s">
        <v>1061</v>
      </c>
      <c r="F20" s="269" t="s">
        <v>1063</v>
      </c>
      <c r="G20" s="270" t="s">
        <v>1064</v>
      </c>
    </row>
    <row r="21" spans="3:7" ht="20.25" customHeight="1">
      <c r="C21" s="269" t="s">
        <v>99</v>
      </c>
      <c r="D21" s="269" t="s">
        <v>1152</v>
      </c>
      <c r="E21" s="269" t="s">
        <v>1156</v>
      </c>
      <c r="F21" s="269" t="s">
        <v>1158</v>
      </c>
      <c r="G21" s="270" t="s">
        <v>1159</v>
      </c>
    </row>
    <row r="22" spans="3:7" ht="20.25" customHeight="1">
      <c r="C22" s="269" t="s">
        <v>99</v>
      </c>
      <c r="D22" s="269" t="s">
        <v>1178</v>
      </c>
      <c r="E22" s="269" t="s">
        <v>1182</v>
      </c>
      <c r="F22" s="269" t="s">
        <v>1184</v>
      </c>
      <c r="G22" s="270" t="s">
        <v>1185</v>
      </c>
    </row>
    <row r="23" spans="3:7" ht="20.25" customHeight="1">
      <c r="C23" s="269" t="s">
        <v>99</v>
      </c>
      <c r="D23" s="269" t="s">
        <v>1221</v>
      </c>
      <c r="E23" s="269" t="s">
        <v>1225</v>
      </c>
      <c r="F23" s="269" t="s">
        <v>1224</v>
      </c>
      <c r="G23" s="270" t="s">
        <v>1226</v>
      </c>
    </row>
    <row r="24" spans="3:7" ht="20.25" customHeight="1">
      <c r="C24" s="269" t="s">
        <v>99</v>
      </c>
      <c r="D24" s="269" t="s">
        <v>1273</v>
      </c>
      <c r="E24" s="269" t="s">
        <v>1274</v>
      </c>
      <c r="F24" s="269" t="s">
        <v>1276</v>
      </c>
      <c r="G24" s="270" t="s">
        <v>1278</v>
      </c>
    </row>
    <row r="25" spans="3:7" ht="20.25" customHeight="1">
      <c r="C25" s="269" t="s">
        <v>99</v>
      </c>
      <c r="D25" s="269" t="s">
        <v>1292</v>
      </c>
      <c r="E25" s="269" t="s">
        <v>1296</v>
      </c>
      <c r="F25" s="269" t="s">
        <v>1298</v>
      </c>
      <c r="G25" s="270" t="s">
        <v>1300</v>
      </c>
    </row>
    <row r="26" spans="3:7" ht="20.25" customHeight="1">
      <c r="C26" s="269" t="s">
        <v>99</v>
      </c>
      <c r="D26" s="269" t="s">
        <v>1328</v>
      </c>
      <c r="E26" s="269" t="s">
        <v>1329</v>
      </c>
      <c r="F26" s="269" t="s">
        <v>1331</v>
      </c>
      <c r="G26" s="270" t="s">
        <v>1332</v>
      </c>
    </row>
    <row r="27" spans="3:7" ht="20.25" customHeight="1">
      <c r="C27" s="269" t="s">
        <v>99</v>
      </c>
      <c r="D27" s="269" t="s">
        <v>1452</v>
      </c>
      <c r="E27" s="269" t="s">
        <v>1453</v>
      </c>
      <c r="F27" s="269" t="s">
        <v>1455</v>
      </c>
      <c r="G27" s="270" t="s">
        <v>1456</v>
      </c>
    </row>
    <row r="28" spans="3:7" ht="20.25" customHeight="1">
      <c r="C28" s="269" t="s">
        <v>99</v>
      </c>
      <c r="D28" s="269" t="s">
        <v>1529</v>
      </c>
      <c r="E28" s="269" t="s">
        <v>1530</v>
      </c>
      <c r="F28" s="269" t="s">
        <v>1532</v>
      </c>
      <c r="G28" s="270" t="s">
        <v>1533</v>
      </c>
    </row>
    <row r="29" spans="3:7" ht="20.25" customHeight="1">
      <c r="C29" s="269" t="s">
        <v>99</v>
      </c>
      <c r="D29" s="269" t="s">
        <v>1544</v>
      </c>
      <c r="E29" s="269" t="s">
        <v>1545</v>
      </c>
      <c r="F29" s="269" t="s">
        <v>1547</v>
      </c>
      <c r="G29" s="270" t="s">
        <v>1548</v>
      </c>
    </row>
    <row r="30" spans="3:7" ht="20.25" customHeight="1">
      <c r="C30" s="269" t="s">
        <v>99</v>
      </c>
      <c r="D30" s="269" t="s">
        <v>1554</v>
      </c>
      <c r="E30" s="269" t="s">
        <v>1555</v>
      </c>
      <c r="F30" s="269" t="s">
        <v>1557</v>
      </c>
      <c r="G30" s="270" t="s">
        <v>1559</v>
      </c>
    </row>
    <row r="31" spans="3:7" ht="20.25" customHeight="1">
      <c r="C31" s="269" t="s">
        <v>99</v>
      </c>
      <c r="D31" s="269" t="s">
        <v>1588</v>
      </c>
      <c r="E31" s="269" t="s">
        <v>1592</v>
      </c>
      <c r="F31" s="269" t="s">
        <v>1594</v>
      </c>
      <c r="G31" s="270" t="s">
        <v>1595</v>
      </c>
    </row>
    <row r="32" spans="3:7" ht="20.25" customHeight="1">
      <c r="C32" s="269" t="s">
        <v>99</v>
      </c>
      <c r="D32" s="269" t="s">
        <v>1716</v>
      </c>
      <c r="E32" s="269" t="s">
        <v>1717</v>
      </c>
      <c r="F32" s="269" t="s">
        <v>1719</v>
      </c>
      <c r="G32" s="270" t="s">
        <v>1720</v>
      </c>
    </row>
    <row r="33" spans="3:7" ht="20.25" customHeight="1">
      <c r="C33" s="269" t="s">
        <v>99</v>
      </c>
      <c r="D33" s="270" t="s">
        <v>1772</v>
      </c>
      <c r="E33" s="270" t="s">
        <v>1776</v>
      </c>
      <c r="F33" s="270" t="s">
        <v>1775</v>
      </c>
      <c r="G33" s="270" t="s">
        <v>1777</v>
      </c>
    </row>
    <row r="34" spans="3:7" ht="20.25" customHeight="1">
      <c r="C34" s="269" t="s">
        <v>99</v>
      </c>
      <c r="D34" s="270" t="s">
        <v>1782</v>
      </c>
      <c r="E34" s="270" t="s">
        <v>1783</v>
      </c>
      <c r="F34" s="270" t="s">
        <v>1785</v>
      </c>
      <c r="G34" s="270" t="s">
        <v>1786</v>
      </c>
    </row>
    <row r="35" spans="3:7" ht="20.25" customHeight="1">
      <c r="C35" s="269" t="s">
        <v>99</v>
      </c>
      <c r="D35" s="270" t="s">
        <v>1787</v>
      </c>
      <c r="E35" s="270" t="s">
        <v>1788</v>
      </c>
      <c r="F35" s="270" t="s">
        <v>1790</v>
      </c>
      <c r="G35" s="270" t="s">
        <v>1791</v>
      </c>
    </row>
    <row r="36" spans="3:7" ht="20.25" customHeight="1">
      <c r="C36" s="170"/>
      <c r="D36" s="267"/>
      <c r="E36" s="268"/>
      <c r="F36" s="268"/>
      <c r="G36" s="318"/>
    </row>
    <row r="37" spans="3:7" ht="20.25" customHeight="1">
      <c r="C37" s="134"/>
      <c r="D37" s="168"/>
      <c r="E37" s="166"/>
      <c r="F37" s="166"/>
      <c r="G37" s="319"/>
    </row>
    <row r="38" spans="3:7" ht="20.25" customHeight="1">
      <c r="C38" s="134"/>
      <c r="D38" s="168"/>
      <c r="E38" s="166"/>
      <c r="F38" s="320"/>
      <c r="G38" s="165"/>
    </row>
    <row r="39" spans="3:7" ht="20.25" customHeight="1">
      <c r="C39" s="134"/>
      <c r="D39" s="168"/>
      <c r="E39" s="166"/>
      <c r="F39" s="320"/>
      <c r="G39" s="165"/>
    </row>
    <row r="40" spans="3:7" ht="20.25" customHeight="1">
      <c r="C40" s="134"/>
      <c r="D40" s="168"/>
      <c r="E40" s="166"/>
      <c r="F40" s="166"/>
      <c r="G40" s="319"/>
    </row>
    <row r="41" spans="3:7" ht="20.25" customHeight="1">
      <c r="C41" s="134"/>
      <c r="D41" s="168"/>
      <c r="E41" s="166"/>
      <c r="F41" s="320"/>
      <c r="G41" s="319"/>
    </row>
    <row r="42" spans="3:7" ht="20.25" customHeight="1">
      <c r="C42" s="134"/>
      <c r="D42" s="168"/>
      <c r="E42" s="166"/>
      <c r="F42" s="320"/>
      <c r="G42" s="319"/>
    </row>
    <row r="43" spans="3:7" ht="20.25" customHeight="1">
      <c r="C43" s="134" t="s">
        <v>99</v>
      </c>
      <c r="D43" s="168" t="s">
        <v>2931</v>
      </c>
      <c r="E43" s="166">
        <v>45063</v>
      </c>
      <c r="F43" s="166" t="s">
        <v>33</v>
      </c>
      <c r="G43" s="319" t="s">
        <v>113</v>
      </c>
    </row>
    <row r="44" spans="3:7" ht="20.25" customHeight="1">
      <c r="C44" s="134" t="s">
        <v>99</v>
      </c>
      <c r="D44" s="321" t="s">
        <v>2932</v>
      </c>
      <c r="E44" s="166">
        <v>45063</v>
      </c>
      <c r="F44" s="134" t="s">
        <v>103</v>
      </c>
      <c r="G44" s="319" t="s">
        <v>113</v>
      </c>
    </row>
    <row r="45" spans="3:7" ht="20.25" customHeight="1">
      <c r="C45" s="134" t="s">
        <v>99</v>
      </c>
      <c r="D45" s="168" t="s">
        <v>1911</v>
      </c>
      <c r="E45" s="166">
        <v>45063</v>
      </c>
      <c r="F45" s="166" t="s">
        <v>33</v>
      </c>
      <c r="G45" s="319" t="s">
        <v>113</v>
      </c>
    </row>
    <row r="46" spans="3:7" ht="20.25" customHeight="1">
      <c r="C46" s="134" t="s">
        <v>99</v>
      </c>
      <c r="D46" s="168" t="s">
        <v>1917</v>
      </c>
      <c r="E46" s="166">
        <v>45063</v>
      </c>
      <c r="F46" s="166" t="s">
        <v>33</v>
      </c>
      <c r="G46" s="319" t="s">
        <v>113</v>
      </c>
    </row>
    <row r="47" spans="3:7" ht="20.25" customHeight="1">
      <c r="C47" s="134" t="s">
        <v>99</v>
      </c>
      <c r="D47" s="168" t="s">
        <v>7679</v>
      </c>
      <c r="E47" s="167">
        <v>45054</v>
      </c>
      <c r="F47" s="166" t="s">
        <v>33</v>
      </c>
      <c r="G47" s="319" t="s">
        <v>113</v>
      </c>
    </row>
    <row r="48" spans="3:7" ht="20.25" customHeight="1">
      <c r="C48" s="134" t="s">
        <v>99</v>
      </c>
      <c r="D48" s="168" t="s">
        <v>2488</v>
      </c>
      <c r="E48" s="166">
        <v>45051</v>
      </c>
      <c r="F48" s="166" t="s">
        <v>33</v>
      </c>
      <c r="G48" s="319" t="s">
        <v>113</v>
      </c>
    </row>
    <row r="49" spans="4:4" ht="20.25" customHeight="1">
      <c r="D49" s="160"/>
    </row>
    <row r="50" spans="4:4" ht="20.25" customHeight="1">
      <c r="D50" s="138"/>
    </row>
    <row r="51" spans="4:4" ht="20.25" customHeight="1">
      <c r="D51" s="138"/>
    </row>
    <row r="52" spans="4:4" ht="20.25" customHeight="1">
      <c r="D52" s="138"/>
    </row>
    <row r="53" spans="4:4" ht="20.25" customHeight="1">
      <c r="D53" s="138"/>
    </row>
    <row r="54" spans="4:4" ht="20.25" customHeight="1">
      <c r="D54" s="154"/>
    </row>
    <row r="55" spans="4:4" ht="20.25" customHeight="1">
      <c r="D55" s="135"/>
    </row>
    <row r="56" spans="4:4" ht="20.25" customHeight="1">
      <c r="D56" s="138"/>
    </row>
    <row r="57" spans="4:4" ht="20.25" customHeight="1">
      <c r="D57" s="158"/>
    </row>
    <row r="58" spans="4:4" ht="20.25" customHeight="1">
      <c r="D58" s="135"/>
    </row>
  </sheetData>
  <conditionalFormatting sqref="D7:D35">
    <cfRule type="duplicateValues" dxfId="12" priority="13"/>
  </conditionalFormatting>
  <conditionalFormatting sqref="E18">
    <cfRule type="duplicateValues" dxfId="11" priority="10"/>
  </conditionalFormatting>
  <conditionalFormatting sqref="E19">
    <cfRule type="duplicateValues" dxfId="10" priority="9"/>
  </conditionalFormatting>
  <conditionalFormatting sqref="E20">
    <cfRule type="duplicateValues" dxfId="9" priority="8"/>
  </conditionalFormatting>
  <conditionalFormatting sqref="E23">
    <cfRule type="duplicateValues" dxfId="8" priority="7"/>
  </conditionalFormatting>
  <conditionalFormatting sqref="E24">
    <cfRule type="duplicateValues" dxfId="7" priority="6"/>
  </conditionalFormatting>
  <conditionalFormatting sqref="E26">
    <cfRule type="duplicateValues" dxfId="6" priority="5"/>
  </conditionalFormatting>
  <conditionalFormatting sqref="E27">
    <cfRule type="duplicateValues" dxfId="5" priority="4"/>
  </conditionalFormatting>
  <conditionalFormatting sqref="E32">
    <cfRule type="duplicateValues" dxfId="4" priority="3"/>
  </conditionalFormatting>
  <conditionalFormatting sqref="E33:E35 E7:E31">
    <cfRule type="duplicateValues" dxfId="3" priority="11"/>
  </conditionalFormatting>
  <conditionalFormatting sqref="E33:E35 E28:E31 E25 E21:E22 E7:E17">
    <cfRule type="duplicateValues" dxfId="2" priority="12"/>
  </conditionalFormatting>
  <conditionalFormatting sqref="G6">
    <cfRule type="duplicateValues" dxfId="1" priority="1"/>
  </conditionalFormatting>
  <conditionalFormatting sqref="G7:G35">
    <cfRule type="duplicateValues" dxfId="0" priority="2"/>
  </conditionalFormatting>
  <dataValidations count="1">
    <dataValidation allowBlank="1" showInputMessage="1" showErrorMessage="1" sqref="C7:C48 E48:F48 D36:D43 E36:E41 D49:D53 E43 E47 F36:F43" xr:uid="{02B92FBB-E581-47E0-A3F9-2F4D8A7FD326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Luciana Almeida Dantas</cp:lastModifiedBy>
  <cp:revision/>
  <dcterms:created xsi:type="dcterms:W3CDTF">2017-02-23T11:47:08Z</dcterms:created>
  <dcterms:modified xsi:type="dcterms:W3CDTF">2026-07-31T18:28:33Z</dcterms:modified>
  <cp:category/>
  <cp:contentStatus/>
</cp:coreProperties>
</file>